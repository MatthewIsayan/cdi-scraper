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b0984acddda4408" /></Relationships>
</file>

<file path=xl/workbook.xml><?xml version="1.0" encoding="utf-8"?>
<x:workbook xmlns:x="http://schemas.openxmlformats.org/spreadsheetml/2006/main">
  <x:sheets>
    <x:sheet xmlns:r="http://schemas.openxmlformats.org/officeDocument/2006/relationships" name="Summary" sheetId="1" r:id="R622e0f1ea82d459c"/>
    <x:sheet xmlns:r="http://schemas.openxmlformats.org/officeDocument/2006/relationships" name="Life review" sheetId="2" r:id="Reb982fcfb24542d9"/>
    <x:sheet xmlns:r="http://schemas.openxmlformats.org/officeDocument/2006/relationships" name="Other licenses" sheetId="3" r:id="R309956ed67364eb8"/>
    <x:sheet xmlns:r="http://schemas.openxmlformats.org/officeDocument/2006/relationships" name="Rules" sheetId="4" r:id="R48e09b5c0b264d4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0000"/>
    <x:numFmt numFmtId="201" formatCode="@"/>
    <x:numFmt numFmtId="202" formatCode="0.0"/>
    <x:numFmt numFmtId="203" formatCode="0"/>
  </x:numFmts>
  <x:fonts count="9">
    <x:font>
      <x:sz val="11"/>
      <x:name val="Carlito"/>
    </x:font>
    <x:font>
      <x:sz val="11"/>
      <x:name val="Arial"/>
    </x:font>
    <x:font>
      <x:sz val="10"/>
      <x:name val="Arial"/>
    </x:font>
    <x:font>
      <x:sz val="14"/>
      <x:name val="Arial"/>
    </x:font>
    <x:font>
      <x:b/>
      <x:sz val="14"/>
      <x:name val="Arial"/>
    </x:font>
    <x:font>
      <x:i/>
      <x:sz val="10"/>
      <x:name val="Arial"/>
    </x:font>
    <x:font>
      <x:sz val="10"/>
      <x:color rgb="FFFFFFFF"/>
      <x:name val="Arial"/>
    </x:font>
    <x:font>
      <x:b/>
      <x:sz val="10"/>
      <x:color rgb="FFFFFFFF"/>
      <x:name val="Arial"/>
    </x:font>
    <x:font>
      <x:b/>
      <x:sz val="10"/>
      <x:name val="Arial"/>
    </x:font>
  </x:fonts>
  <x:fills count="4">
    <x:fill>
      <x:patternFill patternType="none"/>
    </x:fill>
    <x:fill>
      <x:patternFill patternType="gray125"/>
    </x:fill>
    <x:fill>
      <x:patternFill patternType="solid">
        <x:fgColor rgb="FF243B53"/>
      </x:patternFill>
    </x:fill>
    <x:fill>
      <x:patternFill patternType="solid">
        <x:fgColor rgb="FFFFF2CC"/>
      </x:patternFill>
    </x:fill>
  </x:fills>
  <x:borders count="1">
    <x:border>
      <x:left/>
      <x:right/>
      <x:top/>
      <x:bottom/>
      <x:diagonal/>
    </x:border>
  </x:borders>
  <x:cellStyleXfs count="1">
    <x:xf numFmtId="0" fontId="0" fillId="0" borderId="0"/>
  </x:cellStyleXfs>
  <x:cellXfs count="19">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2" fillId="0" borderId="0" xfId="0" applyNumberFormat="1" applyFont="1" applyFill="1" applyBorder="1" applyAlignment="1">
      <x:alignment vertical="center" wrapText="1"/>
    </x:xf>
    <x:xf numFmtId="0" fontId="2" fillId="2" borderId="0" xfId="0" applyNumberFormat="1" applyFont="1" applyFill="1" applyBorder="1" applyAlignment="1">
      <x:alignment vertical="center"/>
    </x:xf>
    <x:xf numFmtId="0" fontId="6" fillId="2" borderId="0" xfId="0" applyNumberFormat="1" applyFont="1" applyFill="1" applyBorder="1" applyAlignment="1">
      <x:alignment vertical="center"/>
    </x:xf>
    <x:xf numFmtId="0" fontId="7" fillId="2" borderId="0" xfId="0" applyNumberFormat="1" applyFont="1" applyFill="1" applyBorder="1" applyAlignment="1">
      <x:alignment vertical="center"/>
    </x:xf>
    <x:xf numFmtId="0" fontId="7" fillId="2" borderId="0" xfId="0" applyNumberFormat="1" applyFont="1" applyFill="1" applyBorder="1" applyAlignment="1">
      <x:alignment vertical="center" wrapText="1"/>
    </x:xf>
    <x:xf numFmtId="0" fontId="7" fillId="2" borderId="0" xfId="0" applyNumberFormat="1" applyFont="1" applyFill="1" applyBorder="1" applyAlignment="1">
      <x:alignment horizontal="center" vertical="center" wrapText="1"/>
    </x:xf>
    <x:xf numFmtId="0" fontId="2" fillId="3" borderId="0" xfId="0" applyNumberFormat="1" applyFont="1" applyFill="1" applyBorder="1" applyAlignment="1">
      <x:alignment vertical="center" wrapText="1"/>
    </x:xf>
    <x:xf numFmtId="200" fontId="2" fillId="0" borderId="0" xfId="0" applyNumberFormat="1" applyFont="1" applyFill="1" applyBorder="1" applyAlignment="1">
      <x:alignment vertical="center" wrapText="1"/>
    </x:xf>
    <x:xf numFmtId="201" fontId="2" fillId="0" borderId="0" xfId="0" applyNumberFormat="1" applyFont="1" applyFill="1" applyBorder="1" applyAlignment="1">
      <x:alignment vertical="center" wrapText="1"/>
    </x:xf>
    <x:xf numFmtId="202" fontId="2" fillId="0" borderId="0" xfId="0" applyNumberFormat="1" applyFont="1" applyFill="1" applyBorder="1" applyAlignment="1">
      <x:alignment vertical="center" wrapText="1"/>
    </x:xf>
    <x:xf numFmtId="203" fontId="2" fillId="0" borderId="0" xfId="0" applyNumberFormat="1" applyFont="1" applyFill="1" applyBorder="1" applyAlignment="1">
      <x:alignment vertical="center" wrapText="1"/>
    </x:xf>
    <x:xf numFmtId="0" fontId="8" fillId="0" borderId="0" xfId="0" applyNumberFormat="1" applyFont="1" applyFill="1" applyBorder="1" applyAlignment="1">
      <x:alignment vertical="center"/>
    </x:xf>
  </x:cellXfs>
  <x:cellStyles count="1">
    <x:cellStyle name="Normal" xfId="0"/>
  </x:cellStyles>
  <x:dxfs count="4">
    <x:dxf>
      <x:font>
        <x:color rgb="FF9C0006"/>
      </x:font>
      <x:fill>
        <x:patternFill patternType="solid">
          <x:bgColor rgb="FFFCE4D6"/>
        </x:patternFill>
      </x:fill>
    </x:dxf>
    <x:dxf>
      <x:fill>
        <x:patternFill patternType="solid">
          <x:bgColor rgb="FFFFF2CC"/>
        </x:patternFill>
      </x:fill>
    </x:dxf>
    <x:dxf>
      <x:font>
        <x:color rgb="FF9C0006"/>
      </x:font>
      <x:fill>
        <x:patternFill patternType="solid">
          <x:bgColor rgb="FFFCE4D6"/>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4d0f988c8b64a1f" /><Relationship Type="http://schemas.openxmlformats.org/officeDocument/2006/relationships/theme" Target="/xl/theme/theme1.xml" Id="R3cff388580b640dc" /><Relationship Type="http://schemas.openxmlformats.org/officeDocument/2006/relationships/sharedStrings" Target="/xl/sharedStrings.xml" Id="R1e1948def0b44fda" /><Relationship Type="http://schemas.openxmlformats.org/officeDocument/2006/relationships/worksheet" Target="/xl/worksheets/sheet1.xml" Id="R622e0f1ea82d459c" /><Relationship Type="http://schemas.openxmlformats.org/officeDocument/2006/relationships/worksheet" Target="/xl/worksheets/sheet2.xml" Id="Reb982fcfb24542d9" /><Relationship Type="http://schemas.openxmlformats.org/officeDocument/2006/relationships/worksheet" Target="/xl/worksheets/sheet3.xml" Id="R309956ed67364eb8" /><Relationship Type="http://schemas.openxmlformats.org/officeDocument/2006/relationships/worksheet" Target="/xl/worksheets/sheet4.xml" Id="R48e09b5c0b264d4f" /></Relationships>
</file>

<file path=xl/tables/table1.xml><?xml version="1.0" encoding="utf-8"?>
<x:table xmlns:x="http://schemas.openxmlformats.org/spreadsheetml/2006/main" id="1" name="LifeReviewTable" displayName="LifeReviewTable" ref="A5:AS343" headerRowCount="1" totalsRowCount="0" totalsRowShown="0">
  <x:tableColumns count="45">
    <x:tableColumn id="1" name="Name"/>
    <x:tableColumn id="2" name="License"/>
    <x:tableColumn id="3" name="Original list"/>
    <x:tableColumn id="4" name="Draft screen"/>
    <x:tableColumn id="5" name="Reviewer decision"/>
    <x:tableColumn id="6" name="Actual reason / correction"/>
    <x:tableColumn id="7" name="Reviewer evidence / missing fact"/>
    <x:tableColumn id="8" name="Reviewer / date"/>
    <x:tableColumn id="9" name="Question for reviewer"/>
    <x:tableColumn id="10" name="Draft rule IDs"/>
    <x:tableColumn id="11" name="Observable explanation; motive unknown"/>
    <x:tableColumn id="12" name="Historical reason status"/>
    <x:tableColumn id="13" name="Earlier priority tier"/>
    <x:tableColumn id="14" name="Earlier priority route"/>
    <x:tableColumn id="15" name="Life status"/>
    <x:tableColumn id="16" name="Life issued"/>
    <x:tableColumn id="17" name="Life expires"/>
    <x:tableColumn id="18" name="All active qualifications"/>
    <x:tableColumn id="19" name="Business phone"/>
    <x:tableColumn id="20" name="Phone source"/>
    <x:tableColumn id="21" name="Business address"/>
    <x:tableColumn id="22" name="Residency"/>
    <x:tableColumn id="23" name="Search state"/>
    <x:tableColumn id="24" name="Agencies / qualification / effective date"/>
    <x:tableColumn id="25" name="Insurers / qualification / effective date"/>
    <x:tableColumn id="26" name="Enforcement / date"/>
    <x:tableColumn id="27" name="Complaints"/>
    <x:tableColumn id="28" name="Sponsors / qualification / date"/>
    <x:tableColumn id="29" name="Employer relationships"/>
    <x:tableColumn id="30" name="Positive signals"/>
    <x:tableColumn id="31" name="All contextual concerns"/>
    <x:tableColumn id="32" name="Life issue-date tenure (years)"/>
    <x:tableColumn id="33" name="Life expiry (days from check)"/>
    <x:tableColumn id="34" name="Latest Life appointment"/>
    <x:tableColumn id="35" name="Reported languages"/>
    <x:tableColumn id="36" name="Original PDF heading"/>
    <x:tableColumn id="37" name="Original PDF phone"/>
    <x:tableColumn id="38" name="Original PDF name"/>
    <x:tableColumn id="39" name="Search names / aliases"/>
    <x:tableColumn id="40" name="Direct CDI source"/>
    <x:tableColumn id="41" name="Evidence checked"/>
    <x:tableColumn id="42" name="Cached source SHA-256"/>
    <x:tableColumn id="43" name="All qualifications / status / issue / status date / expiry"/>
    <x:tableColumn id="44" name="Overall search status"/>
    <x:tableColumn id="45" name="Name source"/>
  </x:tableColumns>
  <x:tableStyleInfo name="TableStyleMedium2" showFirstColumn="0" showLastColumn="0" showRowStripes="1" showColumnStripes="0"/>
</x:table>
</file>

<file path=xl/tables/table2.xml><?xml version="1.0" encoding="utf-8"?>
<x:table xmlns:x="http://schemas.openxmlformats.org/spreadsheetml/2006/main" id="2" name="OtherLicensesTable" displayName="OtherLicensesTable" ref="A5:AS1372" headerRowCount="1" totalsRowCount="0" totalsRowShown="0">
  <x:tableColumns count="45">
    <x:tableColumn id="1" name="Name"/>
    <x:tableColumn id="2" name="License"/>
    <x:tableColumn id="3" name="Original list"/>
    <x:tableColumn id="4" name="Draft screen"/>
    <x:tableColumn id="5" name="Reviewer decision"/>
    <x:tableColumn id="6" name="Actual reason / correction"/>
    <x:tableColumn id="7" name="Reviewer evidence / missing fact"/>
    <x:tableColumn id="8" name="Reviewer / date"/>
    <x:tableColumn id="9" name="Question for reviewer"/>
    <x:tableColumn id="10" name="Draft rule IDs"/>
    <x:tableColumn id="11" name="Observable explanation; motive unknown"/>
    <x:tableColumn id="12" name="Historical reason status"/>
    <x:tableColumn id="13" name="Earlier priority tier"/>
    <x:tableColumn id="14" name="Earlier priority route"/>
    <x:tableColumn id="15" name="Life status"/>
    <x:tableColumn id="16" name="Life issued"/>
    <x:tableColumn id="17" name="Life expires"/>
    <x:tableColumn id="18" name="All active qualifications"/>
    <x:tableColumn id="19" name="Business phone"/>
    <x:tableColumn id="20" name="Phone source"/>
    <x:tableColumn id="21" name="Business address"/>
    <x:tableColumn id="22" name="Residency"/>
    <x:tableColumn id="23" name="Search state"/>
    <x:tableColumn id="24" name="Agencies / qualification / effective date"/>
    <x:tableColumn id="25" name="Insurers / qualification / effective date"/>
    <x:tableColumn id="26" name="Enforcement / date"/>
    <x:tableColumn id="27" name="Complaints"/>
    <x:tableColumn id="28" name="Sponsors / qualification / date"/>
    <x:tableColumn id="29" name="Employer relationships"/>
    <x:tableColumn id="30" name="Positive signals"/>
    <x:tableColumn id="31" name="All contextual concerns"/>
    <x:tableColumn id="32" name="Life issue-date tenure (years)"/>
    <x:tableColumn id="33" name="Life expiry (days from check)"/>
    <x:tableColumn id="34" name="Latest Life appointment"/>
    <x:tableColumn id="35" name="Reported languages"/>
    <x:tableColumn id="36" name="Original PDF heading"/>
    <x:tableColumn id="37" name="Original PDF phone"/>
    <x:tableColumn id="38" name="Original PDF name"/>
    <x:tableColumn id="39" name="Search names / aliases"/>
    <x:tableColumn id="40" name="Direct CDI source"/>
    <x:tableColumn id="41" name="Evidence checked"/>
    <x:tableColumn id="42" name="Cached source SHA-256"/>
    <x:tableColumn id="43" name="All qualifications / status / issue / status date / expiry"/>
    <x:tableColumn id="44" name="Overall search status"/>
    <x:tableColumn id="45" name="Name source"/>
  </x:tableColumns>
  <x:tableStyleInfo name="TableStyleMedium2" showFirstColumn="0" showLastColumn="0" showRowStripes="1" showColumnStripes="0"/>
</x:table>
</file>

<file path=xl/tables/table3.xml><?xml version="1.0" encoding="utf-8"?>
<x:table xmlns:x="http://schemas.openxmlformats.org/spreadsheetml/2006/main" id="3" name="RulesTable" displayName="RulesTable" ref="A5:I18" headerRowCount="1" totalsRowCount="0" totalsRowShown="0">
  <x:tableColumns count="9">
    <x:tableColumn id="1" name="ID"/>
    <x:tableColumn id="2" name="Factor"/>
    <x:tableColumn id="3" name="Draft action"/>
    <x:tableColumn id="4" name="Evidence / confidence"/>
    <x:tableColumn id="5" name="Observed counts"/>
    <x:tableColumn id="6" name="Guardrail"/>
    <x:tableColumn id="7" name="Reviewer status"/>
    <x:tableColumn id="8" name="Confirmed scope / exception"/>
    <x:tableColumn id="9" name="Reviewer / 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dd1274ad4b24e04" /></Relationships>
</file>

<file path=xl/worksheets/_rels/sheet3.xml.rels>&#65279;<?xml version="1.0" encoding="utf-8"?><Relationships xmlns="http://schemas.openxmlformats.org/package/2006/relationships"><Relationship Type="http://schemas.openxmlformats.org/officeDocument/2006/relationships/table" Target="/xl/tables/table2.xml" Id="R511c2ec13de64a62" /></Relationships>
</file>

<file path=xl/worksheets/_rels/sheet4.xml.rels>&#65279;<?xml version="1.0" encoding="utf-8"?><Relationships xmlns="http://schemas.openxmlformats.org/package/2006/relationships"><Relationship Type="http://schemas.openxmlformats.org/officeDocument/2006/relationships/table" Target="/xl/tables/table3.xml" Id="Ra5ef7f0923ba4acd" /></Relationships>
</file>

<file path=xl/worksheets/sheet1.xml><?xml version="1.0" encoding="utf-8"?>
<x:worksheet xmlns:x="http://schemas.openxmlformats.org/spreadsheetml/2006/main">
  <x:sheetPr>
    <x:tabColor rgb="FF243B53"/>
  </x:sheetPr>
  <x:sheetViews>
    <x:sheetView showGridLines="0" workbookViewId="0"/>
  </x:sheetViews>
  <x:sheetFormatPr defaultRowHeight="15"/>
  <x:cols>
    <x:col min="1" max="1" width="29" hidden="0" customWidth="1"/>
    <x:col min="2" max="2" width="17" hidden="0" customWidth="1"/>
    <x:col min="3" max="3" width="12" hidden="0" customWidth="1"/>
    <x:col min="4" max="4" width="12" hidden="0" customWidth="1"/>
    <x:col min="5" max="5" width="3" hidden="0" customWidth="1"/>
    <x:col min="6" max="6" width="25" hidden="0" customWidth="1"/>
    <x:col min="7" max="7" width="12" hidden="0" customWidth="1"/>
    <x:col min="8" max="8" width="12" hidden="0" customWidth="1"/>
  </x:cols>
  <x:sheetData>
    <x:row r="2">
      <x:c r="A2" s="5" t="str">
        <x:v>IMO recruiting experiment</x:v>
      </x:c>
      <x:c r="B2" s="3"/>
      <x:c r="C2" s="3"/>
      <x:c r="D2" s="3"/>
      <x:c r="E2" s="3"/>
      <x:c r="F2" s="3"/>
      <x:c r="G2" s="3"/>
      <x:c r="H2" s="3"/>
    </x:row>
    <x:row r="3">
      <x:c r="A3" s="6" t="str">
        <x:v>Evidence: October 8, 2026. Approval PDFs: October 5. Membership is known; historical motives remain unconfirmed.</x:v>
      </x:c>
      <x:c r="B3" s="3"/>
      <x:c r="C3" s="3"/>
      <x:c r="D3" s="3"/>
      <x:c r="E3" s="3"/>
      <x:c r="F3" s="3"/>
      <x:c r="G3" s="3"/>
      <x:c r="H3" s="3"/>
    </x:row>
    <x:row r="4">
      <x:c r="A4" s="3"/>
      <x:c r="B4" s="3"/>
      <x:c r="C4" s="3"/>
      <x:c r="D4" s="3"/>
      <x:c r="E4" s="3"/>
      <x:c r="F4" s="3"/>
      <x:c r="G4" s="3"/>
      <x:c r="H4" s="3"/>
    </x:row>
    <x:row r="5" ht="36" customHeight="1">
      <x:c r="A5" s="12" t="str">
        <x:v>Active-Life screen</x:v>
      </x:c>
      <x:c r="B5" s="12" t="str">
        <x:v>Approved</x:v>
      </x:c>
      <x:c r="C5" s="12" t="str">
        <x:v>Omitted</x:v>
      </x:c>
      <x:c r="D5" s="12" t="str">
        <x:v>Total</x:v>
      </x:c>
      <x:c r="E5" s="3"/>
      <x:c r="F5" s="12" t="str">
        <x:v>Reviewer progress</x:v>
      </x:c>
      <x:c r="G5" s="12" t="str">
        <x:v>Life</x:v>
      </x:c>
      <x:c r="H5" s="12" t="str">
        <x:v>Other</x:v>
      </x:c>
    </x:row>
    <x:row r="6">
      <x:c r="A6" s="3" t="str">
        <x:v>PASS</x:v>
      </x:c>
      <x:c r="B6" s="3" t="n">
        <x:f>COUNTIFS('Life review'!$C$6:$C$343,"Approved",'Life review'!$D$6:$D$343,A6)</x:f>
        <x:v>127</x:v>
      </x:c>
      <x:c r="C6" s="3" t="n">
        <x:f>COUNTIFS('Life review'!$C$6:$C$343,"Omitted",'Life review'!$D$6:$D$343,A6)</x:f>
        <x:v>35</x:v>
      </x:c>
      <x:c r="D6" s="3" t="n">
        <x:f>SUM(B6:C6)</x:f>
        <x:v>162</x:v>
      </x:c>
      <x:c r="E6" s="3"/>
      <x:c r="F6" s="3" t="str">
        <x:v>Pending</x:v>
      </x:c>
      <x:c r="G6" s="3" t="n">
        <x:f>COUNTIF('Life review'!$E$6:$E$343,F6)</x:f>
        <x:v>338</x:v>
      </x:c>
      <x:c r="H6" s="3" t="n">
        <x:f>COUNTIF('Other licenses'!$E$6:$E$1372,F6)</x:f>
        <x:v>1367</x:v>
      </x:c>
    </x:row>
    <x:row r="7">
      <x:c r="A7" s="3" t="str">
        <x:v>REVIEW</x:v>
      </x:c>
      <x:c r="B7" s="3" t="n">
        <x:f>COUNTIFS('Life review'!$C$6:$C$343,"Approved",'Life review'!$D$6:$D$343,A7)</x:f>
        <x:v>9</x:v>
      </x:c>
      <x:c r="C7" s="3" t="n">
        <x:f>COUNTIFS('Life review'!$C$6:$C$343,"Omitted",'Life review'!$D$6:$D$343,A7)</x:f>
        <x:v>150</x:v>
      </x:c>
      <x:c r="D7" s="3" t="n">
        <x:f>SUM(B7:C7)</x:f>
        <x:v>159</x:v>
      </x:c>
      <x:c r="E7" s="3"/>
      <x:c r="F7" s="3" t="str">
        <x:v>Approve</x:v>
      </x:c>
      <x:c r="G7" s="3" t="n">
        <x:f>COUNTIF('Life review'!$E$6:$E$343,F7)</x:f>
        <x:v>0</x:v>
      </x:c>
      <x:c r="H7" s="3" t="n">
        <x:f>COUNTIF('Other licenses'!$E$6:$E$1372,F7)</x:f>
        <x:v>0</x:v>
      </x:c>
    </x:row>
    <x:row r="8">
      <x:c r="A8" s="3" t="str">
        <x:v>FAIL</x:v>
      </x:c>
      <x:c r="B8" s="3" t="n">
        <x:f>COUNTIFS('Life review'!$C$6:$C$343,"Approved",'Life review'!$D$6:$D$343,A8)</x:f>
        <x:v>0</x:v>
      </x:c>
      <x:c r="C8" s="3" t="n">
        <x:f>COUNTIFS('Life review'!$C$6:$C$343,"Omitted",'Life review'!$D$6:$D$343,A8)</x:f>
        <x:v>17</x:v>
      </x:c>
      <x:c r="D8" s="3" t="n">
        <x:f>SUM(B8:C8)</x:f>
        <x:v>17</x:v>
      </x:c>
      <x:c r="E8" s="3"/>
      <x:c r="F8" s="3" t="str">
        <x:v>Reject</x:v>
      </x:c>
      <x:c r="G8" s="3" t="n">
        <x:f>COUNTIF('Life review'!$E$6:$E$343,F8)</x:f>
        <x:v>0</x:v>
      </x:c>
      <x:c r="H8" s="3" t="n">
        <x:f>COUNTIF('Other licenses'!$E$6:$E$1372,F8)</x:f>
        <x:v>0</x:v>
      </x:c>
    </x:row>
    <x:row r="9">
      <x:c r="A9" s="18" t="str">
        <x:v>Total active Life</x:v>
      </x:c>
      <x:c r="B9" s="18" t="n">
        <x:f>SUM(B6:B8)</x:f>
        <x:v>136</x:v>
      </x:c>
      <x:c r="C9" s="18" t="n">
        <x:f>SUM(C6:C8)</x:f>
        <x:v>202</x:v>
      </x:c>
      <x:c r="D9" s="18" t="n">
        <x:f>SUM(D6:D8)</x:f>
        <x:v>338</x:v>
      </x:c>
      <x:c r="E9" s="3"/>
      <x:c r="F9" s="3" t="str">
        <x:v>Defer</x:v>
      </x:c>
      <x:c r="G9" s="3" t="n">
        <x:f>COUNTIF('Life review'!$E$6:$E$343,F9)</x:f>
        <x:v>0</x:v>
      </x:c>
      <x:c r="H9" s="3" t="n">
        <x:f>COUNTIF('Other licenses'!$E$6:$E$1372,F9)</x:f>
        <x:v>0</x:v>
      </x:c>
    </x:row>
    <x:row r="10">
      <x:c r="A10" s="3"/>
      <x:c r="B10" s="3"/>
      <x:c r="C10" s="3"/>
      <x:c r="D10" s="3"/>
      <x:c r="E10" s="3"/>
      <x:c r="F10" s="3" t="str">
        <x:v>Not reviewed</x:v>
      </x:c>
      <x:c r="G10" s="3" t="n">
        <x:f>COUNTIF('Life review'!$E$6:$E$343,F10)</x:f>
        <x:v>0</x:v>
      </x:c>
      <x:c r="H10" s="3" t="n">
        <x:f>COUNTIF('Other licenses'!$E$6:$E$1372,F10)</x:f>
        <x:v>0</x:v>
      </x:c>
    </x:row>
    <x:row r="11">
      <x:c r="A11" s="3" t="str">
        <x:v>Other omitted licenses</x:v>
      </x:c>
      <x:c r="B11" s="3" t="n">
        <x:v>1367</x:v>
      </x:c>
      <x:c r="C11" s="3"/>
      <x:c r="D11" s="3"/>
      <x:c r="E11" s="3"/>
      <x:c r="F11" s="3"/>
      <x:c r="G11" s="3"/>
      <x:c r="H11" s="3"/>
    </x:row>
    <x:row r="12">
      <x:c r="A12" s="3" t="str">
        <x:v>Total unique licenses</x:v>
      </x:c>
      <x:c r="B12" s="3" t="n">
        <x:v>1705</x:v>
      </x:c>
      <x:c r="C12" s="3"/>
      <x:c r="D12" s="3"/>
      <x:c r="E12" s="3"/>
      <x:c r="F12" s="3"/>
      <x:c r="G12" s="3"/>
      <x:c r="H12" s="3"/>
    </x:row>
    <x:row r="13">
      <x:c r="A13" s="3" t="str">
        <x:v>Earlier first-call omissions</x:v>
      </x:c>
      <x:c r="B13" s="3" t="n">
        <x:v>35</x:v>
      </x:c>
      <x:c r="C13" s="3"/>
      <x:c r="D13" s="3"/>
      <x:c r="E13" s="3"/>
      <x:c r="F13" s="3"/>
      <x:c r="G13" s="3"/>
      <x:c r="H13" s="3"/>
    </x:row>
    <x:row r="14">
      <x:c r="A14" s="3" t="str">
        <x:v>Retrieved detail failures</x:v>
      </x:c>
      <x:c r="B14" s="3" t="n">
        <x:v>0</x:v>
      </x:c>
      <x:c r="C14" s="3"/>
      <x:c r="D14" s="3"/>
      <x:c r="E14" s="3"/>
      <x:c r="F14" s="3"/>
      <x:c r="G14" s="3"/>
      <x:c r="H14" s="3"/>
    </x:row>
    <x:row r="15">
      <x:c r="A15" s="3" t="str">
        <x:v>Unverifiable qualifications</x:v>
      </x:c>
      <x:c r="B15" s="3" t="n">
        <x:v>20</x:v>
      </x:c>
      <x:c r="C15" s="3"/>
      <x:c r="D15" s="3"/>
      <x:c r="E15" s="3"/>
      <x:c r="F15" s="3"/>
      <x:c r="G15" s="3"/>
      <x:c r="H15" s="3"/>
    </x:row>
    <x:row r="16">
      <x:c r="A16" s="3"/>
      <x:c r="B16" s="3"/>
      <x:c r="C16" s="3"/>
      <x:c r="D16" s="3"/>
      <x:c r="E16" s="3"/>
      <x:c r="F16" s="3"/>
      <x:c r="G16" s="3"/>
      <x:c r="H16" s="3"/>
    </x:row>
    <x:row r="17" ht="38" customHeight="1">
      <x:c r="A17" s="18" t="str">
        <x:v>How to use</x:v>
      </x:c>
      <x:c r="B17" s="7" t="str">
        <x:v>Enter answers once, in the amber fields of the two record sheets.</x:v>
      </x:c>
      <x:c r="C17" s="7"/>
      <x:c r="D17" s="7"/>
      <x:c r="E17" s="7"/>
      <x:c r="F17" s="7"/>
      <x:c r="G17" s="7"/>
      <x:c r="H17" s="7"/>
    </x:row>
    <x:row r="18" ht="38" customHeight="1">
      <x:c r="A18" s="18" t="str">
        <x:v>Review first</x:v>
      </x:c>
      <x:c r="B18" s="7" t="str">
        <x:v>Life review: filter Original list = Omitted and Earlier priority tier = 1.</x:v>
      </x:c>
      <x:c r="C18" s="7"/>
      <x:c r="D18" s="7"/>
      <x:c r="E18" s="7"/>
      <x:c r="F18" s="7"/>
      <x:c r="G18" s="7"/>
      <x:c r="H18" s="7"/>
    </x:row>
    <x:row r="19" ht="38" customHeight="1">
      <x:c r="A19" s="18" t="str">
        <x:v>Every omission</x:v>
      </x:c>
      <x:c r="B19" s="7" t="str">
        <x:v>Review all 202 active-Life omissions and 20 unverifiable records; bulk-confirm the 1,347 qualification mismatches only after checking scope.</x:v>
      </x:c>
      <x:c r="C19" s="7"/>
      <x:c r="D19" s="7"/>
      <x:c r="E19" s="7"/>
      <x:c r="F19" s="7"/>
      <x:c r="G19" s="7"/>
      <x:c r="H19" s="7"/>
    </x:row>
    <x:row r="20" ht="38" customHeight="1">
      <x:c r="A20" s="18" t="str">
        <x:v>Actual reasons</x:v>
      </x:c>
      <x:c r="B20" s="7" t="str">
        <x:v>Reject requires the real reason and evidence. Defer requires the missing fact. Not reviewed is different from rejected.</x:v>
      </x:c>
      <x:c r="C20" s="7"/>
      <x:c r="D20" s="7"/>
      <x:c r="E20" s="7"/>
      <x:c r="F20" s="7"/>
      <x:c r="G20" s="7"/>
      <x:c r="H20" s="7"/>
    </x:row>
    <x:row r="21" ht="38" customHeight="1">
      <x:c r="A21" s="18" t="str">
        <x:v>Approved controls</x:v>
      </x:c>
      <x:c r="B21" s="7" t="str">
        <x:v>Approved examples prevent universal P&amp;C, variable, health-carrier, nonresident, and historical-order exclusions.</x:v>
      </x:c>
      <x:c r="C21" s="7"/>
      <x:c r="D21" s="7"/>
      <x:c r="E21" s="7"/>
      <x:c r="F21" s="7"/>
      <x:c r="G21" s="7"/>
      <x:c r="H21" s="7"/>
    </x:row>
    <x:row r="22" ht="38" customHeight="1">
      <x:c r="A22" s="18" t="str">
        <x:v>Draft screen</x:v>
      </x:c>
      <x:c r="B22" s="7" t="str">
        <x:v>PASS / FAIL / REVIEW is provisional and distinct from the supplied PDF approval.</x:v>
      </x:c>
      <x:c r="C22" s="7"/>
      <x:c r="D22" s="7"/>
      <x:c r="E22" s="7"/>
      <x:c r="F22" s="7"/>
      <x:c r="G22" s="7"/>
      <x:c r="H22" s="7"/>
    </x:row>
    <x:row r="23" ht="38" customHeight="1">
      <x:c r="A23" s="18" t="str">
        <x:v>Sources</x:v>
      </x:c>
      <x:c r="B23" s="7" t="str">
        <x:v>Exact URLs, check dates, all qualification/relationship fields, original PDF contacts, and cached-page hashes are in each record.</x:v>
      </x:c>
      <x:c r="C23" s="7"/>
      <x:c r="D23" s="7"/>
      <x:c r="E23" s="7"/>
      <x:c r="F23" s="7"/>
      <x:c r="G23" s="7"/>
      <x:c r="H23" s="7"/>
    </x:row>
    <x:row r="24" ht="38" customHeight="1">
      <x:c r="A24" s="18" t="str">
        <x:v>Rule confirmation</x:v>
      </x:c>
      <x:c r="B24" s="7" t="str">
        <x:v>Rules tab records proposed scope. Record reviewer confirmation and exceptions; only confirmed rules may become automatic exclusions.</x:v>
      </x:c>
      <x:c r="C24" s="7"/>
      <x:c r="D24" s="7"/>
      <x:c r="E24" s="7"/>
      <x:c r="F24" s="7"/>
      <x:c r="G24" s="7"/>
      <x:c r="H24" s="7"/>
    </x:row>
    <x:row r="25" ht="38" customHeight="1">
      <x:c r="A25" s="18" t="str">
        <x:v>No accuracy claim</x:v>
      </x:c>
      <x:c r="B25" s="7" t="str">
        <x:v>This is retrospective reconstruction. Validate adjudicated rules on a different surname before using them at scale.</x:v>
      </x:c>
      <x:c r="C25" s="7"/>
      <x:c r="D25" s="7"/>
      <x:c r="E25" s="7"/>
      <x:c r="F25" s="7"/>
      <x:c r="G25" s="7"/>
      <x:c r="H25" s="7"/>
    </x:row>
    <x:row r="26">
      <x:c r="A26" s="3"/>
      <x:c r="B26" s="3"/>
      <x:c r="C26" s="3"/>
      <x:c r="D26" s="3"/>
      <x:c r="E26" s="3"/>
      <x:c r="F26" s="3"/>
      <x:c r="G26" s="3"/>
      <x:c r="H26" s="3"/>
    </x:row>
    <x:row r="27">
      <x:c r="A27" s="3"/>
      <x:c r="B27" s="3"/>
      <x:c r="C27" s="3"/>
      <x:c r="D27" s="3"/>
      <x:c r="E27" s="3"/>
      <x:c r="F27" s="3"/>
      <x:c r="G27" s="3"/>
      <x:c r="H27" s="3"/>
    </x:row>
    <x:row r="28">
      <x:c r="A28" s="3"/>
      <x:c r="B28" s="3"/>
      <x:c r="C28" s="3"/>
      <x:c r="D28" s="3"/>
      <x:c r="E28" s="3"/>
      <x:c r="F28" s="3"/>
      <x:c r="G28" s="3"/>
      <x:c r="H28" s="3"/>
    </x:row>
    <x:row r="29">
      <x:c r="A29" s="3"/>
      <x:c r="B29" s="3"/>
      <x:c r="C29" s="3"/>
      <x:c r="D29" s="3"/>
      <x:c r="E29" s="3"/>
      <x:c r="F29" s="3"/>
      <x:c r="G29" s="3"/>
      <x:c r="H29" s="3"/>
    </x:row>
    <x:row r="30">
      <x:c r="A30" s="3"/>
      <x:c r="B30" s="3"/>
      <x:c r="C30" s="3"/>
      <x:c r="D30" s="3"/>
      <x:c r="E30" s="3"/>
      <x:c r="F30" s="3"/>
      <x:c r="G30" s="3"/>
      <x:c r="H30" s="3"/>
    </x:row>
    <x:row r="31">
      <x:c r="A31" s="3"/>
      <x:c r="B31" s="3"/>
      <x:c r="C31" s="3"/>
      <x:c r="D31" s="3"/>
      <x:c r="E31" s="3"/>
      <x:c r="F31" s="3"/>
      <x:c r="G31" s="3"/>
      <x:c r="H31" s="3"/>
    </x:row>
    <x:row r="32">
      <x:c r="A32" s="3"/>
      <x:c r="B32" s="3"/>
      <x:c r="C32" s="3"/>
      <x:c r="D32" s="3"/>
      <x:c r="E32" s="3"/>
      <x:c r="F32" s="3"/>
      <x:c r="G32" s="3"/>
      <x:c r="H32" s="3"/>
    </x:row>
  </x:sheetData>
  <x:mergeCells>
    <x:mergeCell ref="B17:H17"/>
    <x:mergeCell ref="B18:H18"/>
    <x:mergeCell ref="B19:H19"/>
    <x:mergeCell ref="B20:H20"/>
    <x:mergeCell ref="B21:H21"/>
    <x:mergeCell ref="B22:H22"/>
    <x:mergeCell ref="B23:H23"/>
    <x:mergeCell ref="B24:H24"/>
    <x:mergeCell ref="B25:H25"/>
  </x:mergeCells>
  <x:pageMargins left="0.7" right="0.7" top="0.75" bottom="0.75" header="0.3" footer="0.3"/>
</x:worksheet>
</file>

<file path=xl/worksheets/sheet2.xml><?xml version="1.0" encoding="utf-8"?>
<x:worksheet xmlns:x="http://schemas.openxmlformats.org/spreadsheetml/2006/main">
  <x:sheetPr>
    <x:tabColor rgb="FF52718B"/>
  </x:sheetPr>
  <x:sheetViews>
    <x:sheetView showGridLines="0" workbookViewId="0">
      <x:pane xSplit="3" ySplit="5" topLeftCell="D6" activePane="bottomRight" state="frozen"/>
    </x:sheetView>
  </x:sheetViews>
  <x:sheetFormatPr defaultRowHeight="15"/>
  <x:cols>
    <x:col min="1" max="1" width="30" hidden="0" customWidth="1"/>
    <x:col min="2" max="2" width="13" hidden="0" customWidth="1"/>
    <x:col min="3" max="3" width="14" hidden="0" customWidth="1"/>
    <x:col min="4" max="4" width="14" hidden="0" customWidth="1"/>
    <x:col min="5" max="5" width="19" hidden="0" customWidth="1"/>
    <x:col min="6" max="6" width="45" hidden="0" customWidth="1"/>
    <x:col min="7" max="7" width="45" hidden="0" customWidth="1"/>
    <x:col min="8" max="8" width="23" hidden="0" customWidth="1"/>
    <x:col min="9" max="9" width="65" hidden="0" customWidth="1"/>
    <x:col min="10" max="10" width="15" hidden="0" customWidth="1"/>
    <x:col min="11" max="11" width="65" hidden="0" customWidth="1"/>
    <x:col min="12" max="12" width="36" hidden="0" customWidth="1"/>
    <x:col min="13" max="13" width="17" hidden="0" customWidth="1"/>
    <x:col min="14" max="14" width="43" hidden="0" customWidth="1"/>
    <x:col min="15" max="15" width="16" hidden="0" customWidth="1"/>
    <x:col min="16" max="16" width="15" hidden="0" customWidth="1"/>
    <x:col min="17" max="17" width="15" hidden="0" customWidth="1"/>
    <x:col min="18" max="18" width="43" hidden="0" customWidth="1"/>
    <x:col min="19" max="19" width="18" hidden="0" customWidth="1"/>
    <x:col min="20" max="20" width="42" hidden="0" customWidth="1"/>
    <x:col min="21" max="21" width="45" hidden="0" customWidth="1"/>
    <x:col min="22" max="22" width="16" hidden="0" customWidth="1"/>
    <x:col min="23" max="23" width="14" hidden="0" customWidth="1"/>
    <x:col min="24" max="24" width="65" hidden="0" customWidth="1"/>
    <x:col min="25" max="25" width="80" hidden="0" customWidth="1"/>
    <x:col min="26" max="26" width="60" hidden="0" customWidth="1"/>
    <x:col min="27" max="27" width="50" hidden="0" customWidth="1"/>
    <x:col min="28" max="28" width="50" hidden="0" customWidth="1"/>
    <x:col min="29" max="29" width="50" hidden="0" customWidth="1"/>
    <x:col min="30" max="30" width="65" hidden="0" customWidth="1"/>
    <x:col min="31" max="31" width="80" hidden="0" customWidth="1"/>
    <x:col min="32" max="32" width="24" hidden="0" customWidth="1"/>
    <x:col min="33" max="33" width="24" hidden="0" customWidth="1"/>
    <x:col min="34" max="34" width="24" hidden="0" customWidth="1"/>
    <x:col min="35" max="35" width="25" hidden="0" customWidth="1"/>
    <x:col min="36" max="36" width="45" hidden="0" customWidth="1"/>
    <x:col min="37" max="37" width="20" hidden="0" customWidth="1"/>
    <x:col min="38" max="38" width="35" hidden="0" customWidth="1"/>
    <x:col min="39" max="39" width="55" hidden="0" customWidth="1"/>
    <x:col min="40" max="40" width="80" hidden="0" customWidth="1"/>
    <x:col min="41" max="41" width="18" hidden="0" customWidth="1"/>
    <x:col min="42" max="42" width="70" hidden="0" customWidth="1"/>
    <x:col min="43" max="43" width="80" hidden="0" customWidth="1"/>
    <x:col min="44" max="44" width="22" hidden="0" customWidth="1"/>
    <x:col min="45" max="45" width="45" hidden="0" customWidth="1"/>
  </x:cols>
  <x:sheetData>
    <x:row r="2">
      <x:c r="A2" s="5" t="str">
        <x:v>Active-Life review • 202 omitted + 136 approved controls</x:v>
      </x:c>
      <x:c r="B2" s="3"/>
      <x:c r="C2" s="3"/>
      <x:c r="D2" s="3"/>
      <x:c r="E2" s="3"/>
      <x:c r="F2" s="3"/>
      <x:c r="G2" s="3"/>
      <x:c r="H2" s="3"/>
      <x:c r="I2" s="3"/>
      <x:c r="J2" s="3"/>
      <x:c r="K2" s="3"/>
      <x:c r="L2" s="3"/>
      <x:c r="M2" s="3"/>
      <x:c r="N2" s="3"/>
      <x:c r="O2" s="3"/>
      <x:c r="P2" s="3"/>
      <x:c r="Q2" s="3"/>
      <x:c r="R2" s="3"/>
      <x:c r="S2" s="3"/>
      <x:c r="T2" s="3"/>
      <x:c r="U2" s="3"/>
      <x:c r="V2" s="3"/>
      <x:c r="W2" s="3"/>
      <x:c r="X2" s="3"/>
      <x:c r="Y2" s="3"/>
      <x:c r="Z2" s="3"/>
      <x:c r="AA2" s="3"/>
      <x:c r="AB2" s="3"/>
      <x:c r="AC2" s="3"/>
      <x:c r="AD2" s="3"/>
      <x:c r="AE2" s="3"/>
      <x:c r="AF2" s="3"/>
      <x:c r="AG2" s="3"/>
      <x:c r="AH2" s="3"/>
      <x:c r="AI2" s="3"/>
      <x:c r="AJ2" s="3"/>
      <x:c r="AK2" s="3"/>
      <x:c r="AL2" s="3"/>
      <x:c r="AM2" s="3"/>
      <x:c r="AN2" s="3"/>
      <x:c r="AO2" s="3"/>
      <x:c r="AP2" s="3"/>
      <x:c r="AQ2" s="3"/>
      <x:c r="AR2" s="3"/>
      <x:c r="AS2" s="3"/>
    </x:row>
    <x:row r="3">
      <x:c r="A3" s="6" t="str">
        <x:v>Amber E:H = reviewer input. Original membership stays unchanged. Filter tier 1 + Omitted for the 35 first-call discrepancies.</x:v>
      </x:c>
      <x:c r="B3" s="3"/>
      <x:c r="C3" s="3"/>
      <x:c r="D3" s="3"/>
      <x:c r="E3" s="3"/>
      <x:c r="F3" s="3"/>
      <x:c r="G3" s="3"/>
      <x:c r="H3" s="3"/>
      <x:c r="I3" s="3"/>
      <x:c r="J3" s="3"/>
      <x:c r="K3" s="3"/>
      <x:c r="L3" s="3"/>
      <x:c r="M3" s="3"/>
      <x:c r="N3" s="3"/>
      <x:c r="O3" s="3"/>
      <x:c r="P3" s="3"/>
      <x:c r="Q3" s="3"/>
      <x:c r="R3" s="3"/>
      <x:c r="S3" s="3"/>
      <x:c r="T3" s="3"/>
      <x:c r="U3" s="3"/>
      <x:c r="V3" s="3"/>
      <x:c r="W3" s="3"/>
      <x:c r="X3" s="3"/>
      <x:c r="Y3" s="3"/>
      <x:c r="Z3" s="3"/>
      <x:c r="AA3" s="3"/>
      <x:c r="AB3" s="3"/>
      <x:c r="AC3" s="3"/>
      <x:c r="AD3" s="3"/>
      <x:c r="AE3" s="3"/>
      <x:c r="AF3" s="3"/>
      <x:c r="AG3" s="3"/>
      <x:c r="AH3" s="3"/>
      <x:c r="AI3" s="3"/>
      <x:c r="AJ3" s="3"/>
      <x:c r="AK3" s="3"/>
      <x:c r="AL3" s="3"/>
      <x:c r="AM3" s="3"/>
      <x:c r="AN3" s="3"/>
      <x:c r="AO3" s="3"/>
      <x:c r="AP3" s="3"/>
      <x:c r="AQ3" s="3"/>
      <x:c r="AR3" s="3"/>
      <x:c r="AS3" s="3"/>
    </x:row>
    <x:row r="4">
      <x:c r="A4" s="3"/>
      <x:c r="B4" s="3"/>
      <x:c r="C4" s="3"/>
      <x:c r="D4" s="3"/>
      <x:c r="E4" s="3"/>
      <x:c r="F4" s="3"/>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row>
    <x:row r="5" ht="36" customHeight="1">
      <x:c r="A5" s="12" t="str">
        <x:v>Name</x:v>
      </x:c>
      <x:c r="B5" s="12" t="str">
        <x:v>License</x:v>
      </x:c>
      <x:c r="C5" s="12" t="str">
        <x:v>Original list</x:v>
      </x:c>
      <x:c r="D5" s="12" t="str">
        <x:v>Draft screen</x:v>
      </x:c>
      <x:c r="E5" s="12" t="str">
        <x:v>Reviewer decision</x:v>
      </x:c>
      <x:c r="F5" s="12" t="str">
        <x:v>Actual reason / correction</x:v>
      </x:c>
      <x:c r="G5" s="12" t="str">
        <x:v>Reviewer evidence / missing fact</x:v>
      </x:c>
      <x:c r="H5" s="12" t="str">
        <x:v>Reviewer / date</x:v>
      </x:c>
      <x:c r="I5" s="12" t="str">
        <x:v>Question for reviewer</x:v>
      </x:c>
      <x:c r="J5" s="12" t="str">
        <x:v>Draft rule IDs</x:v>
      </x:c>
      <x:c r="K5" s="12" t="str">
        <x:v>Observable explanation; motive unknown</x:v>
      </x:c>
      <x:c r="L5" s="12" t="str">
        <x:v>Historical reason status</x:v>
      </x:c>
      <x:c r="M5" s="12" t="str">
        <x:v>Earlier priority tier</x:v>
      </x:c>
      <x:c r="N5" s="12" t="str">
        <x:v>Earlier priority route</x:v>
      </x:c>
      <x:c r="O5" s="12" t="str">
        <x:v>Life status</x:v>
      </x:c>
      <x:c r="P5" s="12" t="str">
        <x:v>Life issued</x:v>
      </x:c>
      <x:c r="Q5" s="12" t="str">
        <x:v>Life expires</x:v>
      </x:c>
      <x:c r="R5" s="12" t="str">
        <x:v>All active qualifications</x:v>
      </x:c>
      <x:c r="S5" s="12" t="str">
        <x:v>Business phone</x:v>
      </x:c>
      <x:c r="T5" s="12" t="str">
        <x:v>Phone source</x:v>
      </x:c>
      <x:c r="U5" s="12" t="str">
        <x:v>Business address</x:v>
      </x:c>
      <x:c r="V5" s="12" t="str">
        <x:v>Residency</x:v>
      </x:c>
      <x:c r="W5" s="12" t="str">
        <x:v>Search state</x:v>
      </x:c>
      <x:c r="X5" s="12" t="str">
        <x:v>Agencies / qualification / effective date</x:v>
      </x:c>
      <x:c r="Y5" s="12" t="str">
        <x:v>Insurers / qualification / effective date</x:v>
      </x:c>
      <x:c r="Z5" s="12" t="str">
        <x:v>Enforcement / date</x:v>
      </x:c>
      <x:c r="AA5" s="12" t="str">
        <x:v>Complaints</x:v>
      </x:c>
      <x:c r="AB5" s="12" t="str">
        <x:v>Sponsors / qualification / date</x:v>
      </x:c>
      <x:c r="AC5" s="12" t="str">
        <x:v>Employer relationships</x:v>
      </x:c>
      <x:c r="AD5" s="12" t="str">
        <x:v>Positive signals</x:v>
      </x:c>
      <x:c r="AE5" s="12" t="str">
        <x:v>All contextual concerns</x:v>
      </x:c>
      <x:c r="AF5" s="12" t="str">
        <x:v>Life issue-date tenure (years)</x:v>
      </x:c>
      <x:c r="AG5" s="12" t="str">
        <x:v>Life expiry (days from check)</x:v>
      </x:c>
      <x:c r="AH5" s="12" t="str">
        <x:v>Latest Life appointment</x:v>
      </x:c>
      <x:c r="AI5" s="12" t="str">
        <x:v>Reported languages</x:v>
      </x:c>
      <x:c r="AJ5" s="12" t="str">
        <x:v>Original PDF heading</x:v>
      </x:c>
      <x:c r="AK5" s="12" t="str">
        <x:v>Original PDF phone</x:v>
      </x:c>
      <x:c r="AL5" s="12" t="str">
        <x:v>Original PDF name</x:v>
      </x:c>
      <x:c r="AM5" s="12" t="str">
        <x:v>Search names / aliases</x:v>
      </x:c>
      <x:c r="AN5" s="12" t="str">
        <x:v>Direct CDI source</x:v>
      </x:c>
      <x:c r="AO5" s="12" t="str">
        <x:v>Evidence checked</x:v>
      </x:c>
      <x:c r="AP5" s="12" t="str">
        <x:v>Cached source SHA-256</x:v>
      </x:c>
      <x:c r="AQ5" s="12" t="str">
        <x:v>All qualifications / status / issue / status date / expiry</x:v>
      </x:c>
      <x:c r="AR5" s="12" t="str">
        <x:v>Overall search status</x:v>
      </x:c>
      <x:c r="AS5" s="12" t="str">
        <x:v>Name source</x:v>
      </x:c>
    </x:row>
    <x:row r="6" ht="52" customHeight="1">
      <x:c r="A6" s="7" t="str">
        <x:v>AGUILAR ABNER SEBASTIAN</x:v>
      </x:c>
      <x:c r="B6" s="14" t="str">
        <x:f>"0M53678"</x:f>
        <x:v>0M53678</x:v>
      </x:c>
      <x:c r="C6" s="7" t="str">
        <x:v>Omitted</x:v>
      </x:c>
      <x:c r="D6" s="7" t="str">
        <x:v>PASS</x:v>
      </x:c>
      <x:c r="E6" s="13" t="str">
        <x:v>Pending</x:v>
      </x:c>
      <x:c r="F6" s="13" t="str"/>
      <x:c r="G6" s="13" t="str"/>
      <x:c r="H6" s="13" t="str"/>
      <x:c r="I6" s="7" t="str">
        <x:v>Was this person reviewed? If rejected, give the actual rule and evidence. If acceptable, correct the omission. Confirm whether there was an unrecorded filter or a missed search result.</x:v>
      </x:c>
      <x:c r="J6" s="7" t="str">
        <x:v>P1</x:v>
      </x:c>
      <x:c r="K6" s="7" t="str">
        <x:v>Passes the provisional observable screen. Actual business activity and willingness are unknown; historical omission remains unexplained.</x:v>
      </x:c>
      <x:c r="L6" s="7" t="str">
        <x:v>Not supplied; membership is known, motive is not</x:v>
      </x:c>
      <x:c r="M6" s="7" t="n">
        <x:v>1</x:v>
      </x:c>
      <x:c r="N6" s="7" t="str">
        <x:v>First-call fit for stated IMO focus</x:v>
      </x:c>
      <x:c r="O6" s="7" t="str">
        <x:v>Active</x:v>
      </x:c>
      <x:c r="P6" s="7" t="str">
        <x:v>10/11/2018</x:v>
      </x:c>
      <x:c r="Q6" s="7" t="str">
        <x:v>08/31/2028</x:v>
      </x:c>
      <x:c r="R6" s="7" t="str">
        <x:v>Accident &amp; Health or Sickness; Casualty; Life; Property</x:v>
      </x:c>
      <x:c r="S6" s="15" t="str">
        <x:v>310-835-3373</x:v>
      </x:c>
      <x:c r="T6" s="7" t="str">
        <x:v>Current CDI</x:v>
      </x:c>
      <x:c r="U6" s="7" t="str">
        <x:v>935 N. AVALON BLVD. WILMINGTON CA, 90744</x:v>
      </x:c>
      <x:c r="V6" s="7" t="str">
        <x:v>Resident</x:v>
      </x:c>
      <x:c r="W6" s="7" t="str">
        <x:v>CA</x:v>
      </x:c>
      <x:c r="X6" s="7" t="str">
        <x:v>UNIAMERICA INSURANCE SERVICES, INC. / Property / 11/17/2023
UNIAMERICA INSURANCE SERVICES, INC. / Casualty / 11/17/2023</x:v>
      </x:c>
      <x:c r="Y6" s="7" t="str">
        <x:v>ASI SELECT INSURANCE CORP / Casualty / 10/15/2020
ASI SELECT INSURANCE CORP / Property / 10/15/2020
BERKSHIRE LIFE INSURANCE COMPANY OF AMERICA / Accident &amp; Health or Sickness / 01/21/2021
BERKSHIRE LIFE INSURANCE COMPANY OF AMERICA / Life / 01/21/2021
DRIVE INSURANCE COMPANY / Casualty / 07/03/2026
DRIVE INSURANCE COMPANY / Property / 07/03/2026
FOREMOST INSURANCE COMPANY GRAND RAPIDS, MICHIGAN / Casualty / 07/17/2020
FOREMOST INSURANCE COMPANY GRAND RAPIDS, MICHIGAN / Property / 07/17/2020
GUARDIAN INSURANCE &amp; ANNUITY COMPANY, INC. (THE) / Life / 04/14/2021
GUARDIAN LIFE INSURANCE COMPANY OF AMERICA (THE) / Accident &amp; Health or Sickness / 01/21/2021
GUARDIAN LIFE INSURANCE COMPANY OF AMERICA (THE) / Life / 01/21/2021
INFINITY INSURANCE COMPANY / Casualty / 10/16/2023
INFINITY INSURANCE COMPANY / Property / 10/16/2023
INFINITY SELECT INSURANCE COMPANY / Casualty / 10/16/2023
INFINITY SELECT INSURANCE COMPANY / Property / 10/16/2023
NEXT INSURANCE US COMPANY / Casualty / 11/17/2025
NEXT INSURANCE US COMPANY / Property / 11/17/2025
STATE NATIONAL INSURANCE COMPANY, INC. / Casualty / 08/10/2022
STATE NATIONAL INSURANCE COMPANY, INC. / Property / 08/10/2022
US COASTAL PROPERTY &amp; CASUALTY INSURANCE COMPANY / Casualty / 09/22/2023
US COASTAL PROPERTY &amp; CASUALTY INSURANCE COMPANY / Property / 09/22/2023</x:v>
      </x:c>
      <x:c r="Z6" s="7" t="str"/>
      <x:c r="AA6" s="7" t="str"/>
      <x:c r="AB6" s="7" t="str"/>
      <x:c r="AC6" s="7" t="str"/>
      <x:c r="AD6" s="7" t="str">
        <x:v>Active general Life authority | Direct Life appointments outside the selected health-carrier set: BERKSHIRE LIFE INSURANCE COMPANY OF AMERICA, GUARDIAN INSURANCE &amp; ANNUITY COMPANY, INC. (THE), GUARDIAN LIFE INSURANCE COMPANY OF AMERICA (THE) | Active A&amp;H supports optional cross-selling; not necessary for target products</x:v>
      </x:c>
      <x:c r="AE6" s="7" t="str">
        <x:v>Mixed P&amp;C/Life qualifications; not an exclusion because approved examples have both</x:v>
      </x:c>
      <x:c r="AF6" s="16" t="n">
        <x:v>8</x:v>
      </x:c>
      <x:c r="AG6" s="17" t="n">
        <x:v>693</x:v>
      </x:c>
      <x:c r="AH6" s="7" t="str">
        <x:v>2021-04-14</x:v>
      </x:c>
      <x:c r="AI6" s="7" t="str">
        <x:v>English</x:v>
      </x:c>
      <x:c r="AJ6" s="7" t="str"/>
      <x:c r="AK6" s="15" t="str"/>
      <x:c r="AL6" s="7" t="str"/>
      <x:c r="AM6" s="7" t="str">
        <x:v>AGUILAR SEBASTIAN ABNER</x:v>
      </x:c>
      <x:c r="AN6" s="7" t="str">
        <x:v>https://cdicloud.insurance.ca.gov/cal/LicenseDetail?SearchType=IND&amp;SearchLicNbr=0M53678&amp;SearchIndvId=2044146</x:v>
      </x:c>
      <x:c r="AO6" s="7" t="str">
        <x:v>2026-10-08</x:v>
      </x:c>
      <x:c r="AP6" s="7" t="str">
        <x:v>e305a03aba897406a070cfe7b5e857a4a6776fbf9d853fb5668dee54c386217c</x:v>
      </x:c>
      <x:c r="AQ6" s="7" t="str">
        <x:v>Accident &amp; Health or Sickness / Active / 10/11/2018 / 10/11/2018 / 08/31/2028
Casualty / Active / 08/31/2018 / 08/31/2018 / 08/31/2028
Life / Active / 10/11/2018 / 10/11/2018 / 08/31/2028
Property / Active / 08/31/2018 / 08/31/2018 / 08/31/2028</x:v>
      </x:c>
      <x:c r="AR6" s="7" t="str">
        <x:v>Active</x:v>
      </x:c>
      <x:c r="AS6" s="7" t="str">
        <x:v>Current detail page</x:v>
      </x:c>
    </x:row>
    <x:row r="7" ht="52" customHeight="1">
      <x:c r="A7" s="7" t="str">
        <x:v>AGUILAR ALBERT ANTHONY</x:v>
      </x:c>
      <x:c r="B7" s="14" t="str">
        <x:f>"0D24082"</x:f>
        <x:v>0D24082</x:v>
      </x:c>
      <x:c r="C7" s="7" t="str">
        <x:v>Omitted</x:v>
      </x:c>
      <x:c r="D7" s="7" t="str">
        <x:v>PASS</x:v>
      </x:c>
      <x:c r="E7" s="13" t="str">
        <x:v>Pending</x:v>
      </x:c>
      <x:c r="F7" s="13" t="str"/>
      <x:c r="G7" s="13" t="str"/>
      <x:c r="H7" s="13" t="str"/>
      <x:c r="I7" s="7" t="str">
        <x:v>Was this person reviewed? If rejected, give the actual rule and evidence. If acceptable, correct the omission. Confirm whether there was an unrecorded filter or a missed search result.</x:v>
      </x:c>
      <x:c r="J7" s="7" t="str">
        <x:v>P1</x:v>
      </x:c>
      <x:c r="K7" s="7" t="str">
        <x:v>Passes the provisional observable screen. Actual business activity and willingness are unknown; historical omission remains unexplained.</x:v>
      </x:c>
      <x:c r="L7" s="7" t="str">
        <x:v>Not supplied; membership is known, motive is not</x:v>
      </x:c>
      <x:c r="M7" s="7" t="n">
        <x:v>1</x:v>
      </x:c>
      <x:c r="N7" s="7" t="str">
        <x:v>First-call fit for stated IMO focus</x:v>
      </x:c>
      <x:c r="O7" s="7" t="str">
        <x:v>Active</x:v>
      </x:c>
      <x:c r="P7" s="7" t="str">
        <x:v>03/23/2001</x:v>
      </x:c>
      <x:c r="Q7" s="7" t="str">
        <x:v>09/30/2027</x:v>
      </x:c>
      <x:c r="R7" s="7" t="str">
        <x:v>Life</x:v>
      </x:c>
      <x:c r="S7" s="15" t="str">
        <x:v>909-307-0818</x:v>
      </x:c>
      <x:c r="T7" s="7" t="str">
        <x:v>Current CDI</x:v>
      </x:c>
      <x:c r="U7" s="7" t="str">
        <x:v>721 NEVADA ST SUITE 301 REDLANDS CA, 92373</x:v>
      </x:c>
      <x:c r="V7" s="7" t="str">
        <x:v>Resident</x:v>
      </x:c>
      <x:c r="W7" s="7" t="str">
        <x:v>CA</x:v>
      </x:c>
      <x:c r="X7" s="7" t="str"/>
      <x:c r="Y7" s="7" t="str">
        <x:v>PRIMERICA LIFE INSURANCE COMPANY / Life / 10/26/2023</x:v>
      </x:c>
      <x:c r="Z7" s="7" t="str"/>
      <x:c r="AA7" s="7" t="str"/>
      <x:c r="AB7" s="7" t="str"/>
      <x:c r="AC7" s="7" t="str"/>
      <x:c r="AD7" s="7" t="str">
        <x:v>Active general Life authority | Primerica relationship: matches an explicitly targeted recruiting segment | Direct Life appointments outside the selected health-carrier set: PRIMERICA LIFE INSURANCE COMPANY</x:v>
      </x:c>
      <x:c r="AE7" s="7" t="str"/>
      <x:c r="AF7" s="16" t="n">
        <x:v>25.5</x:v>
      </x:c>
      <x:c r="AG7" s="17" t="n">
        <x:v>357</x:v>
      </x:c>
      <x:c r="AH7" s="7" t="str">
        <x:v>2023-10-26</x:v>
      </x:c>
      <x:c r="AI7" s="7" t="str">
        <x:v>English</x:v>
      </x:c>
      <x:c r="AJ7" s="7" t="str"/>
      <x:c r="AK7" s="15" t="str"/>
      <x:c r="AL7" s="7" t="str"/>
      <x:c r="AM7" s="7" t="str">
        <x:v>AGUILAR ANTHONY ALBERT</x:v>
      </x:c>
      <x:c r="AN7" s="7" t="str">
        <x:v>https://cdicloud.insurance.ca.gov/cal/LicenseDetail?SearchType=IND&amp;SearchLicNbr=0D24082&amp;SearchIndvId=545922</x:v>
      </x:c>
      <x:c r="AO7" s="7" t="str">
        <x:v>2026-10-08</x:v>
      </x:c>
      <x:c r="AP7" s="7" t="str">
        <x:v>0155f9f43a16e96ffb3f2fe5d7a3e4b2b1e792434c5f194bfdaa2b2f2d06abca</x:v>
      </x:c>
      <x:c r="AQ7" s="7" t="str">
        <x:v>Life / Active / 03/23/2001 / 10/23/2023 / 09/30/2027</x:v>
      </x:c>
      <x:c r="AR7" s="7" t="str">
        <x:v>Active</x:v>
      </x:c>
      <x:c r="AS7" s="7" t="str">
        <x:v>Current detail page</x:v>
      </x:c>
    </x:row>
    <x:row r="8" ht="52" customHeight="1">
      <x:c r="A8" s="7" t="str">
        <x:v>AGUILAR ARMANDO CARLOS SR</x:v>
      </x:c>
      <x:c r="B8" s="14" t="str">
        <x:f>"0606309"</x:f>
        <x:v>0606309</x:v>
      </x:c>
      <x:c r="C8" s="7" t="str">
        <x:v>Omitted</x:v>
      </x:c>
      <x:c r="D8" s="7" t="str">
        <x:v>PASS</x:v>
      </x:c>
      <x:c r="E8" s="13" t="str">
        <x:v>Pending</x:v>
      </x:c>
      <x:c r="F8" s="13" t="str"/>
      <x:c r="G8" s="13" t="str"/>
      <x:c r="H8" s="13" t="str"/>
      <x:c r="I8" s="7" t="str">
        <x:v>Was this person reviewed? If rejected, give the actual rule and evidence. If acceptable, correct the omission. Confirm whether there was an unrecorded filter or a missed search result.</x:v>
      </x:c>
      <x:c r="J8" s="7" t="str">
        <x:v>P1</x:v>
      </x:c>
      <x:c r="K8" s="7" t="str">
        <x:v>Passes the provisional observable screen. Actual business activity and willingness are unknown; historical omission remains unexplained.</x:v>
      </x:c>
      <x:c r="L8" s="7" t="str">
        <x:v>Not supplied; membership is known, motive is not</x:v>
      </x:c>
      <x:c r="M8" s="7" t="n">
        <x:v>1</x:v>
      </x:c>
      <x:c r="N8" s="7" t="str">
        <x:v>First-call fit for stated IMO focus</x:v>
      </x:c>
      <x:c r="O8" s="7" t="str">
        <x:v>Active</x:v>
      </x:c>
      <x:c r="P8" s="7" t="str">
        <x:v>11/18/1992</x:v>
      </x:c>
      <x:c r="Q8" s="7" t="str">
        <x:v>01/31/2027</x:v>
      </x:c>
      <x:c r="R8" s="7" t="str">
        <x:v>Accident &amp; Health or Sickness; Casualty; Life; Property</x:v>
      </x:c>
      <x:c r="S8" s="15" t="str">
        <x:v>858-737-9292</x:v>
      </x:c>
      <x:c r="T8" s="7" t="str">
        <x:v>Current CDI</x:v>
      </x:c>
      <x:c r="U8" s="7" t="str">
        <x:v>1901 1ST AVE STE 221 SAN DIEGO CA, 92101-0309</x:v>
      </x:c>
      <x:c r="V8" s="7" t="str">
        <x:v>Resident</x:v>
      </x:c>
      <x:c r="W8" s="7" t="str">
        <x:v>CA</x:v>
      </x:c>
      <x:c r="X8" s="7" t="str"/>
      <x:c r="Y8" s="7" t="str">
        <x:v>AMERICAN GENERAL LIFE INSURANCE COMPANY / Accident &amp; Health or Sickness / 01/26/2021
AMERICAN GENERAL LIFE INSURANCE COMPANY / Life / 01/26/2021
AMERICAN MODERN HOME INSURANCE COMPANY / Casualty / 10/21/2019
AMERICAN MODERN HOME INSURANCE COMPANY / Property / 10/21/2019
AMERICAN MODERN PROPERTY AND CASUALTY INSURANCE COMPANY / Casualty / 10/21/2019
AMERICAN MODERN PROPERTY AND CASUALTY INSURANCE COMPANY / Property / 10/21/2019
ANTHEM BLUE CROSS LIFE AND HEALTH INSURANCE COMPANY / Accident &amp; Health or Sickness / 04/22/2009
ANTHEM BLUE CROSS LIFE AND HEALTH INSURANCE COMPANY / Life / 04/22/2009
ATHENE ANNUITY AND LIFE COMPANY / Life / 07/25/2022
BLUE SHIELD OF CALIFORNIA LIFE &amp; HEALTH INSURANCE COMPANY / Accident &amp; Health or Sickness / 03/25/2010
BLUE SHIELD OF CALIFORNIA LIFE &amp; HEALTH INSURANCE COMPANY / Life / 03/25/2010
CALIFORNIA AUTOMOBILE INSURANCE COMPANY / Casualty / 10/08/2025
CALIFORNIA AUTOMOBILE INSURANCE COMPANY / Property / 10/08/2025
CINCINNATI LIFE INSURANCE COMPANY (THE) / Life / 10/16/2019
CONTINENTAL LIFE INSURANCE COMPANY OF BRENTWOOD, TENNESSEE / Accident &amp; Health or Sickness / 01/27/2015
DRIVE INSURANCE COMPANY / Casualty / 02/06/2023
DRIVE INSURANCE COMPANY / Property / 02/06/2023
EQUITABLE FINANCIAL LIFE INSURANCE COMPANY / Accident &amp; Health or Sickness / 04/20/2009
EQUITABLE FINANCIAL LIFE INSURANCE COMPANY / Life / 04/20/2009
HEALTH NET LIFE INSURANCE COMPANY / Accident &amp; Health or Sickness / 01/01/2015
HEALTH NET LIFE INSURANCE COMPANY / Life / 01/01/2015
INFINITY INSURANCE COMPANY / Casualty / 11/21/2023
INFINITY INSURANCE COMPANY / Property / 11/21/2023
KAISER PERMANENTE INSURANCE COMPANY / Disability Only / 08/12/2009
MERCURY INSURANCE COMPANY / Casualty / 10/08/2025
MERCURY INSURANCE COMPANY / Property / 10/08/2025
PROGRESSIVE CASUALTY INSURANCE COMPANY / Casualty / 09/19/2025
PROGRESSIVE CASUALTY INSURANCE COMPANY / Property / 09/19/2025
PRUCO LIFE INSURANCE COMPANY / Life / 02/10/2020
WESTERN SURETY COMPANY / Casualty / 04/01/2019
WESTERN SURETY COMPANY / Property / 04/01/2019</x:v>
      </x:c>
      <x:c r="Z8" s="7" t="str"/>
      <x:c r="AA8" s="7" t="str"/>
      <x:c r="AB8" s="7" t="str"/>
      <x:c r="AC8" s="7" t="str"/>
      <x:c r="AD8" s="7" t="str">
        <x:v>Active general Life authority | Direct Life appointments outside the selected health-carrier set: AMERICAN GENERAL LIFE INSURANCE COMPANY, ATHENE ANNUITY AND LIFE COMPANY, CINCINNATI LIFE INSURANCE COMPANY (THE), EQUITABLE FINANCIAL LIFE INSURANCE COMPANY, PRUCO LIFE INSURANCE COMPANY | Active A&amp;H supports optional cross-selling; not necessary for target products</x:v>
      </x:c>
      <x:c r="AE8" s="7" t="str">
        <x:v>Mixed P&amp;C/Life qualifications; not an exclusion because approved examples have both</x:v>
      </x:c>
      <x:c r="AF8" s="16" t="n">
        <x:v>33.9</x:v>
      </x:c>
      <x:c r="AG8" s="17" t="n">
        <x:v>115</x:v>
      </x:c>
      <x:c r="AH8" s="7" t="str">
        <x:v>2022-07-25</x:v>
      </x:c>
      <x:c r="AI8" s="7" t="str">
        <x:v>English, Spanish, Spanish</x:v>
      </x:c>
      <x:c r="AJ8" s="7" t="str"/>
      <x:c r="AK8" s="15" t="str"/>
      <x:c r="AL8" s="7" t="str"/>
      <x:c r="AM8" s="7" t="str">
        <x:v>AGUILAR CARLOS ARMANDO</x:v>
      </x:c>
      <x:c r="AN8" s="7" t="str">
        <x:v>https://cdicloud.insurance.ca.gov/cal/LicenseDetail?SearchType=IND&amp;SearchLicNbr=0606309&amp;SearchIndvId=390659</x:v>
      </x:c>
      <x:c r="AO8" s="7" t="str">
        <x:v>2026-10-08</x:v>
      </x:c>
      <x:c r="AP8" s="7" t="str">
        <x:v>6bf92dec35eeeb5a0da787ac0286ea6918f8ddb2c6e00c4c2a5b443efde56c9e</x:v>
      </x:c>
      <x:c r="AQ8" s="7" t="str">
        <x:v>Accident &amp; Health or Sickness / Active / 11/18/1992 / 04/15/2009 / 01/31/2027
Casualty / Active / 01/09/2009 / 01/09/2009 / 01/31/2027
Life / Active / 11/18/1992 / 04/15/2009 / 01/31/2027
Property / Active / 01/09/2009 / 01/09/2009 / 01/31/2027</x:v>
      </x:c>
      <x:c r="AR8" s="7" t="str">
        <x:v>Active</x:v>
      </x:c>
      <x:c r="AS8" s="7" t="str">
        <x:v>Current detail page</x:v>
      </x:c>
    </x:row>
    <x:row r="9" ht="52" customHeight="1">
      <x:c r="A9" s="7" t="str">
        <x:v>AGUILAR BELTRAN JESUS EMMANUEL</x:v>
      </x:c>
      <x:c r="B9" s="14" t="str">
        <x:f>"4507229"</x:f>
        <x:v>4507229</x:v>
      </x:c>
      <x:c r="C9" s="7" t="str">
        <x:v>Omitted</x:v>
      </x:c>
      <x:c r="D9" s="7" t="str">
        <x:v>PASS</x:v>
      </x:c>
      <x:c r="E9" s="13" t="str">
        <x:v>Pending</x:v>
      </x:c>
      <x:c r="F9" s="13" t="str"/>
      <x:c r="G9" s="13" t="str"/>
      <x:c r="H9" s="13" t="str"/>
      <x:c r="I9" s="7" t="str">
        <x:v>Was this person reviewed? If rejected, give the actual rule and evidence. If acceptable, correct the omission. Confirm whether there was an unrecorded filter or a missed search result.</x:v>
      </x:c>
      <x:c r="J9" s="7" t="str">
        <x:v>P1</x:v>
      </x:c>
      <x:c r="K9" s="7" t="str">
        <x:v>Passes the provisional observable screen. Actual business activity and willingness are unknown; historical omission remains unexplained.</x:v>
      </x:c>
      <x:c r="L9" s="7" t="str">
        <x:v>Not supplied; membership is known, motive is not</x:v>
      </x:c>
      <x:c r="M9" s="7" t="n">
        <x:v>1</x:v>
      </x:c>
      <x:c r="N9" s="7" t="str">
        <x:v>First-call fit for stated IMO focus</x:v>
      </x:c>
      <x:c r="O9" s="7" t="str">
        <x:v>Active</x:v>
      </x:c>
      <x:c r="P9" s="7" t="str">
        <x:v>11/07/2025</x:v>
      </x:c>
      <x:c r="Q9" s="7" t="str">
        <x:v>11/30/2027</x:v>
      </x:c>
      <x:c r="R9" s="7" t="str">
        <x:v>Life</x:v>
      </x:c>
      <x:c r="S9" s="15" t="str">
        <x:v>559-310-8402</x:v>
      </x:c>
      <x:c r="T9" s="7" t="str">
        <x:v>Current CDI</x:v>
      </x:c>
      <x:c r="U9" s="7" t="str">
        <x:v>21997 AVE 176 PORTERVILLE CA, 93257</x:v>
      </x:c>
      <x:c r="V9" s="7" t="str">
        <x:v>Resident</x:v>
      </x:c>
      <x:c r="W9" s="7" t="str">
        <x:v>CA</x:v>
      </x:c>
      <x:c r="X9" s="7" t="str"/>
      <x:c r="Y9" s="7" t="str">
        <x:v>LIFE INSURANCE COMPANY OF THE SOUTHWEST / Life / 11/25/2025</x:v>
      </x:c>
      <x:c r="Z9" s="7" t="str"/>
      <x:c r="AA9" s="7" t="str"/>
      <x:c r="AB9" s="7" t="str"/>
      <x:c r="AC9" s="7" t="str"/>
      <x:c r="AD9" s="7" t="str">
        <x:v>Active general Life authority | Direct Life appointments outside the selected health-carrier set: LIFE INSURANCE COMPANY OF THE SOUTHWEST</x:v>
      </x:c>
      <x:c r="AE9" s="7" t="str"/>
      <x:c r="AF9" s="16" t="n">
        <x:v>0.9</x:v>
      </x:c>
      <x:c r="AG9" s="17" t="n">
        <x:v>418</x:v>
      </x:c>
      <x:c r="AH9" s="7" t="str">
        <x:v>2025-11-25</x:v>
      </x:c>
      <x:c r="AI9" s="7" t="str">
        <x:v>English</x:v>
      </x:c>
      <x:c r="AJ9" s="7" t="str"/>
      <x:c r="AK9" s="15" t="str"/>
      <x:c r="AL9" s="7" t="str"/>
      <x:c r="AM9" s="7" t="str">
        <x:v>AGUILAR BELTRAN EMMANUEL JESUS</x:v>
      </x:c>
      <x:c r="AN9" s="7" t="str">
        <x:v>https://cdicloud.insurance.ca.gov/cal/LicenseDetail?SearchType=IND&amp;SearchLicNbr=4507229&amp;SearchIndvId=4507229</x:v>
      </x:c>
      <x:c r="AO9" s="7" t="str">
        <x:v>2026-10-08</x:v>
      </x:c>
      <x:c r="AP9" s="7" t="str">
        <x:v>2462d15fa5ef6793770661f03b2349492c5417c61a682fb9bbd15b3e6701a598</x:v>
      </x:c>
      <x:c r="AQ9" s="7" t="str">
        <x:v>Life / Active / 11/07/2025 / 11/07/2025 / 11/30/2027</x:v>
      </x:c>
      <x:c r="AR9" s="7" t="str">
        <x:v>Active</x:v>
      </x:c>
      <x:c r="AS9" s="7" t="str">
        <x:v>Current detail page</x:v>
      </x:c>
    </x:row>
    <x:row r="10" ht="52" customHeight="1">
      <x:c r="A10" s="7" t="str">
        <x:v>AGUILAR CIRO</x:v>
      </x:c>
      <x:c r="B10" s="14" t="str">
        <x:f>"0B21429"</x:f>
        <x:v>0B21429</x:v>
      </x:c>
      <x:c r="C10" s="7" t="str">
        <x:v>Omitted</x:v>
      </x:c>
      <x:c r="D10" s="7" t="str">
        <x:v>PASS</x:v>
      </x:c>
      <x:c r="E10" s="13" t="str">
        <x:v>Pending</x:v>
      </x:c>
      <x:c r="F10" s="13" t="str"/>
      <x:c r="G10" s="13" t="str"/>
      <x:c r="H10" s="13" t="str"/>
      <x:c r="I10" s="7" t="str">
        <x:v>Was this person reviewed? If rejected, give the actual rule and evidence. If acceptable, correct the omission. Confirm whether there was an unrecorded filter or a missed search result.</x:v>
      </x:c>
      <x:c r="J10" s="7" t="str">
        <x:v>P1</x:v>
      </x:c>
      <x:c r="K10" s="7" t="str">
        <x:v>Passes the provisional observable screen. Actual business activity and willingness are unknown; historical omission remains unexplained.</x:v>
      </x:c>
      <x:c r="L10" s="7" t="str">
        <x:v>Not supplied; membership is known, motive is not</x:v>
      </x:c>
      <x:c r="M10" s="7" t="n">
        <x:v>1</x:v>
      </x:c>
      <x:c r="N10" s="7" t="str">
        <x:v>First-call fit for stated IMO focus</x:v>
      </x:c>
      <x:c r="O10" s="7" t="str">
        <x:v>Active</x:v>
      </x:c>
      <x:c r="P10" s="7" t="str">
        <x:v>08/02/1993</x:v>
      </x:c>
      <x:c r="Q10" s="7" t="str">
        <x:v>08/31/2027</x:v>
      </x:c>
      <x:c r="R10" s="7" t="str">
        <x:v>Accident &amp; Health or Sickness; Casualty; Life; Property; Var Life and Var Annuity</x:v>
      </x:c>
      <x:c r="S10" s="15" t="str">
        <x:v>562-903-1237</x:v>
      </x:c>
      <x:c r="T10" s="7" t="str">
        <x:v>Current CDI</x:v>
      </x:c>
      <x:c r="U10" s="7" t="str">
        <x:v>12440 FIRESTONE BLVD STE 1028 NORWALK CA, 90650-4366</x:v>
      </x:c>
      <x:c r="V10" s="7" t="str">
        <x:v>Resident</x:v>
      </x:c>
      <x:c r="W10" s="7" t="str">
        <x:v>CA</x:v>
      </x:c>
      <x:c r="X10" s="7" t="str">
        <x:v>PRIMERICA FINANCIAL SERVICES INSURANCE MARKETING, INC. / Property / 04/09/1998
PRIMERICA FINANCIAL SERVICES INSURANCE MARKETING, INC. / Accident &amp; Health or Sickness / 08/02/1993
PRIMERICA FINANCIAL SERVICES INSURANCE MARKETING, INC. / Casualty / 04/09/1998
PRIMERICA FINANCIAL SERVICES INSURANCE MARKETING, INC. / Var Life and Var Annuity / 05/01/1997
PRIMERICA FINANCIAL SERVICES INSURANCE MARKETING, INC. / Life / 08/02/1993</x:v>
      </x:c>
      <x:c r="Y10" s="7" t="str">
        <x:v>AMERICAN GENERAL LIFE INSURANCE COMPANY / Life / 10/07/2015
EQUITABLE FINANCIAL LIFE INSURANCE COMPANY / Life / 04/21/2014
EQUITABLE FINANCIAL LIFE INSURANCE COMPANY OF AMERICA / Var Life and Var Annuity / 09/26/2025
GENWORTH LIFE INSURANCE COMPANY / Accident &amp; Health or Sickness / 02/17/2010
GENWORTH LIFE INSURANCE COMPANY / Life / 02/17/2010
LINCOLN NATIONAL LIFE INSURANCE COMPANY (THE) / Accident &amp; Health or Sickness / 09/02/2013
LINCOLN NATIONAL LIFE INSURANCE COMPANY (THE) / Life / 09/02/2013
LINCOLN NATIONAL LIFE INSURANCE COMPANY (THE) / Var Life and Var Annuity / 09/02/2013</x:v>
      </x:c>
      <x:c r="Z10" s="7" t="str"/>
      <x:c r="AA10" s="7" t="str"/>
      <x:c r="AB10" s="7" t="str"/>
      <x:c r="AC10" s="7" t="str"/>
      <x:c r="AD10" s="7" t="str">
        <x:v>Active general Life authority | Primerica relationship: matches an explicitly targeted recruiting segment | Direct Life appointments outside the selected health-carrier set: AMERICAN GENERAL LIFE INSURANCE COMPANY, EQUITABLE FINANCIAL LIFE INSURANCE COMPANY, GENWORTH LIFE INSURANCE COMPANY, LINCOLN NATIONAL LIFE INSURANCE COMPANY (THE) | Active A&amp;H supports optional cross-selling; not necessary for target products</x:v>
      </x:c>
      <x:c r="AE10" s="7" t="str">
        <x:v>Mixed P&amp;C/Life qualifications; not an exclusion because approved examples have both | Variable authority: financial-advice/variable-product capability; not needed for fixed annuities and not an automatic exclusion</x:v>
      </x:c>
      <x:c r="AF10" s="16" t="n">
        <x:v>33.2</x:v>
      </x:c>
      <x:c r="AG10" s="17" t="n">
        <x:v>327</x:v>
      </x:c>
      <x:c r="AH10" s="7" t="str">
        <x:v>2015-10-07</x:v>
      </x:c>
      <x:c r="AI10" s="7" t="str">
        <x:v>English</x:v>
      </x:c>
      <x:c r="AJ10" s="7" t="str"/>
      <x:c r="AK10" s="15" t="str"/>
      <x:c r="AL10" s="7" t="str"/>
      <x:c r="AM10" s="7" t="str">
        <x:v>AGUILAR  CIRO</x:v>
      </x:c>
      <x:c r="AN10" s="7" t="str">
        <x:v>https://cdicloud.insurance.ca.gov/cal/LicenseDetail?SearchType=IND&amp;SearchLicNbr=0B21429&amp;SearchIndvId=202329</x:v>
      </x:c>
      <x:c r="AO10" s="7" t="str">
        <x:v>2026-10-08</x:v>
      </x:c>
      <x:c r="AP10" s="7" t="str">
        <x:v>3169eed4b11dc10c21a6616dd799a88c59b03dc715b0b56a20612539a4f3488f</x:v>
      </x:c>
      <x:c r="AQ10" s="7" t="str">
        <x:v>Accident &amp; Health or Sickness / Active / 08/02/1993 / 08/02/1993 / 08/31/2027
Casualty / Active / 04/09/1998 / 04/09/1998 / 08/31/2027
Life / Active / 08/02/1993 / 08/02/1993 / 08/31/2027
Property / Active / 04/09/1998 / 04/09/1998 / 08/31/2027
Var Life and Var Annuity / Active / 05/01/1997 / 05/01/1997 / 08/31/2027</x:v>
      </x:c>
      <x:c r="AR10" s="7" t="str">
        <x:v>Active</x:v>
      </x:c>
      <x:c r="AS10" s="7" t="str">
        <x:v>Current detail page</x:v>
      </x:c>
    </x:row>
    <x:row r="11" ht="52" customHeight="1">
      <x:c r="A11" s="7" t="str">
        <x:v>AGUILAR DAVID OSCAR</x:v>
      </x:c>
      <x:c r="B11" s="14" t="str">
        <x:f>"0E94914"</x:f>
        <x:v>0E94914</x:v>
      </x:c>
      <x:c r="C11" s="7" t="str">
        <x:v>Omitted</x:v>
      </x:c>
      <x:c r="D11" s="7" t="str">
        <x:v>PASS</x:v>
      </x:c>
      <x:c r="E11" s="13" t="str">
        <x:v>Pending</x:v>
      </x:c>
      <x:c r="F11" s="13" t="str"/>
      <x:c r="G11" s="13" t="str"/>
      <x:c r="H11" s="13" t="str"/>
      <x:c r="I11" s="7" t="str">
        <x:v>Was this person reviewed? If rejected, give the actual rule and evidence. If acceptable, correct the omission. Confirm whether there was an unrecorded filter or a missed search result.</x:v>
      </x:c>
      <x:c r="J11" s="7" t="str">
        <x:v>P1</x:v>
      </x:c>
      <x:c r="K11" s="7" t="str">
        <x:v>Passes the provisional observable screen. Actual business activity and willingness are unknown; historical omission remains unexplained.</x:v>
      </x:c>
      <x:c r="L11" s="7" t="str">
        <x:v>Not supplied; membership is known, motive is not</x:v>
      </x:c>
      <x:c r="M11" s="7" t="n">
        <x:v>1</x:v>
      </x:c>
      <x:c r="N11" s="7" t="str">
        <x:v>First-call fit for stated IMO focus</x:v>
      </x:c>
      <x:c r="O11" s="7" t="str">
        <x:v>Active</x:v>
      </x:c>
      <x:c r="P11" s="7" t="str">
        <x:v>10/06/2005</x:v>
      </x:c>
      <x:c r="Q11" s="7" t="str">
        <x:v>12/31/2027</x:v>
      </x:c>
      <x:c r="R11" s="7" t="str">
        <x:v>Life</x:v>
      </x:c>
      <x:c r="S11" s="15" t="str">
        <x:v>805-791-3743</x:v>
      </x:c>
      <x:c r="T11" s="7" t="str">
        <x:v>Current CDI</x:v>
      </x:c>
      <x:c r="U11" s="7" t="str">
        <x:v>3655 ALAMO ST STE 301 SIMI VALLEY CA, 93063-2187</x:v>
      </x:c>
      <x:c r="V11" s="7" t="str">
        <x:v>Resident</x:v>
      </x:c>
      <x:c r="W11" s="7" t="str">
        <x:v>CA</x:v>
      </x:c>
      <x:c r="X11" s="7" t="str">
        <x:v>PRIMERICA FINANCIAL SERVICES INSURANCE MARKETING, INC. / Life / 12/04/2013</x:v>
      </x:c>
      <x:c r="Y11" s="7" t="str"/>
      <x:c r="Z11" s="7" t="str"/>
      <x:c r="AA11" s="7" t="str"/>
      <x:c r="AB11" s="7" t="str"/>
      <x:c r="AC11" s="7" t="str"/>
      <x:c r="AD11" s="7" t="str">
        <x:v>Active general Life authority | Primerica relationship: matches an explicitly targeted recruiting segment</x:v>
      </x:c>
      <x:c r="AE11" s="7" t="str"/>
      <x:c r="AF11" s="16" t="n">
        <x:v>21</x:v>
      </x:c>
      <x:c r="AG11" s="17" t="n">
        <x:v>449</x:v>
      </x:c>
      <x:c r="AH11" s="7" t="str"/>
      <x:c r="AI11" s="7" t="str">
        <x:v>English</x:v>
      </x:c>
      <x:c r="AJ11" s="7" t="str"/>
      <x:c r="AK11" s="15" t="str"/>
      <x:c r="AL11" s="7" t="str"/>
      <x:c r="AM11" s="7" t="str">
        <x:v>AGUILAR OSCAR DAVID</x:v>
      </x:c>
      <x:c r="AN11" s="7" t="str">
        <x:v>https://cdicloud.insurance.ca.gov/cal/LicenseDetail?SearchType=IND&amp;SearchLicNbr=0E94914&amp;SearchIndvId=973241</x:v>
      </x:c>
      <x:c r="AO11" s="7" t="str">
        <x:v>2026-10-08</x:v>
      </x:c>
      <x:c r="AP11" s="7" t="str">
        <x:v>272fe0c0f895e1f294ebd0f432a5ec44b524f5825b6c08585d42f27ec345dbd1</x:v>
      </x:c>
      <x:c r="AQ11" s="7" t="str">
        <x:v>Life / Active / 10/06/2005 / 12/04/2013 / 12/31/2027</x:v>
      </x:c>
      <x:c r="AR11" s="7" t="str">
        <x:v>Active</x:v>
      </x:c>
      <x:c r="AS11" s="7" t="str">
        <x:v>Current detail page</x:v>
      </x:c>
    </x:row>
    <x:row r="12" ht="52" customHeight="1">
      <x:c r="A12" s="7" t="str">
        <x:v>AGUILAR ERIK JOHN</x:v>
      </x:c>
      <x:c r="B12" s="14" t="str">
        <x:f>"4067342"</x:f>
        <x:v>4067342</x:v>
      </x:c>
      <x:c r="C12" s="7" t="str">
        <x:v>Omitted</x:v>
      </x:c>
      <x:c r="D12" s="7" t="str">
        <x:v>PASS</x:v>
      </x:c>
      <x:c r="E12" s="13" t="str">
        <x:v>Pending</x:v>
      </x:c>
      <x:c r="F12" s="13" t="str"/>
      <x:c r="G12" s="13" t="str"/>
      <x:c r="H12" s="13" t="str"/>
      <x:c r="I12" s="7" t="str">
        <x:v>Was this person reviewed? If rejected, give the actual rule and evidence. If acceptable, correct the omission. Confirm whether there was an unrecorded filter or a missed search result.</x:v>
      </x:c>
      <x:c r="J12" s="7" t="str">
        <x:v>P1</x:v>
      </x:c>
      <x:c r="K12" s="7" t="str">
        <x:v>Passes the provisional observable screen. Actual business activity and willingness are unknown; historical omission remains unexplained.</x:v>
      </x:c>
      <x:c r="L12" s="7" t="str">
        <x:v>Not supplied; membership is known, motive is not</x:v>
      </x:c>
      <x:c r="M12" s="7" t="n">
        <x:v>1</x:v>
      </x:c>
      <x:c r="N12" s="7" t="str">
        <x:v>First-call fit for stated IMO focus</x:v>
      </x:c>
      <x:c r="O12" s="7" t="str">
        <x:v>Active</x:v>
      </x:c>
      <x:c r="P12" s="7" t="str">
        <x:v>09/08/2020</x:v>
      </x:c>
      <x:c r="Q12" s="7" t="str">
        <x:v>09/30/2028</x:v>
      </x:c>
      <x:c r="R12" s="7" t="str">
        <x:v>Accident &amp; Health or Sickness; Life</x:v>
      </x:c>
      <x:c r="S12" s="15" t="str">
        <x:v>805-501-8981</x:v>
      </x:c>
      <x:c r="T12" s="7" t="str">
        <x:v>Current CDI</x:v>
      </x:c>
      <x:c r="U12" s="7" t="str">
        <x:v>14722 SUNDANCE PL CANYON COUNTRY CA, 91387-1563</x:v>
      </x:c>
      <x:c r="V12" s="7" t="str">
        <x:v>Resident</x:v>
      </x:c>
      <x:c r="W12" s="7" t="str">
        <x:v>CA</x:v>
      </x:c>
      <x:c r="X12" s="7" t="str"/>
      <x:c r="Y12" s="7" t="str"/>
      <x:c r="Z12" s="7" t="str"/>
      <x:c r="AA12" s="7" t="str"/>
      <x:c r="AB12" s="7" t="str"/>
      <x:c r="AC12" s="7" t="str"/>
      <x:c r="AD12" s="7" t="str">
        <x:v>Active general Life authority | No agency or insurer displayed: onboarding opportunity possible; existing business unknown | Active A&amp;H supports optional cross-selling; not necessary for target products</x:v>
      </x:c>
      <x:c r="AE12" s="7" t="str"/>
      <x:c r="AF12" s="16" t="n">
        <x:v>6.1</x:v>
      </x:c>
      <x:c r="AG12" s="17" t="n">
        <x:v>723</x:v>
      </x:c>
      <x:c r="AH12" s="7" t="str"/>
      <x:c r="AI12" s="7" t="str">
        <x:v>English</x:v>
      </x:c>
      <x:c r="AJ12" s="7" t="str"/>
      <x:c r="AK12" s="15" t="str"/>
      <x:c r="AL12" s="7" t="str"/>
      <x:c r="AM12" s="7" t="str">
        <x:v>AGUILAR JOHN ERIK</x:v>
      </x:c>
      <x:c r="AN12" s="7" t="str">
        <x:v>https://cdicloud.insurance.ca.gov/cal/LicenseDetail?SearchType=IND&amp;SearchLicNbr=4067342&amp;SearchIndvId=4067342</x:v>
      </x:c>
      <x:c r="AO12" s="7" t="str">
        <x:v>2026-10-08</x:v>
      </x:c>
      <x:c r="AP12" s="7" t="str">
        <x:v>b67a3aaf90f4df6f031c89e965ca33db8a67de67dffffa8f9f25cc8d9272cdff</x:v>
      </x:c>
      <x:c r="AQ12" s="7" t="str">
        <x:v>Accident &amp; Health or Sickness / Active / 09/08/2020 / 09/08/2020 / 09/30/2028
Life / Active / 09/08/2020 / 09/08/2020 / 09/30/2028</x:v>
      </x:c>
      <x:c r="AR12" s="7" t="str">
        <x:v>Active</x:v>
      </x:c>
      <x:c r="AS12" s="7" t="str">
        <x:v>Current detail page</x:v>
      </x:c>
    </x:row>
    <x:row r="13" ht="52" customHeight="1">
      <x:c r="A13" s="7" t="str">
        <x:v>AGUILAR ERIKA SHANEA</x:v>
      </x:c>
      <x:c r="B13" s="14" t="str">
        <x:f>"4575418"</x:f>
        <x:v>4575418</x:v>
      </x:c>
      <x:c r="C13" s="7" t="str">
        <x:v>Omitted</x:v>
      </x:c>
      <x:c r="D13" s="7" t="str">
        <x:v>PASS</x:v>
      </x:c>
      <x:c r="E13" s="13" t="str">
        <x:v>Pending</x:v>
      </x:c>
      <x:c r="F13" s="13" t="str"/>
      <x:c r="G13" s="13" t="str"/>
      <x:c r="H13" s="13" t="str"/>
      <x:c r="I13" s="7" t="str">
        <x:v>Was this person reviewed? If rejected, give the actual rule and evidence. If acceptable, correct the omission. Confirm whether there was an unrecorded filter or a missed search result.</x:v>
      </x:c>
      <x:c r="J13" s="7" t="str">
        <x:v>P1</x:v>
      </x:c>
      <x:c r="K13" s="7" t="str">
        <x:v>Passes the provisional observable screen. Actual business activity and willingness are unknown; historical omission remains unexplained.</x:v>
      </x:c>
      <x:c r="L13" s="7" t="str">
        <x:v>Not supplied; membership is known, motive is not</x:v>
      </x:c>
      <x:c r="M13" s="7" t="n">
        <x:v>1</x:v>
      </x:c>
      <x:c r="N13" s="7" t="str">
        <x:v>First-call fit for stated IMO focus</x:v>
      </x:c>
      <x:c r="O13" s="7" t="str">
        <x:v>Active</x:v>
      </x:c>
      <x:c r="P13" s="7" t="str">
        <x:v>09/04/2026</x:v>
      </x:c>
      <x:c r="Q13" s="7" t="str">
        <x:v>09/30/2028</x:v>
      </x:c>
      <x:c r="R13" s="7" t="str">
        <x:v>Life</x:v>
      </x:c>
      <x:c r="S13" s="15" t="str">
        <x:v>951-394-2421</x:v>
      </x:c>
      <x:c r="T13" s="7" t="str">
        <x:v>Current CDI</x:v>
      </x:c>
      <x:c r="U13" s="7" t="str">
        <x:v>1855 CHICAGO AVE STE B RIVERSIDE CA, 92507</x:v>
      </x:c>
      <x:c r="V13" s="7" t="str">
        <x:v>Resident</x:v>
      </x:c>
      <x:c r="W13" s="7" t="str">
        <x:v>CA</x:v>
      </x:c>
      <x:c r="X13" s="7" t="str"/>
      <x:c r="Y13" s="7" t="str">
        <x:v>PRIMERICA LIFE INSURANCE COMPANY / Life / 09/08/2026</x:v>
      </x:c>
      <x:c r="Z13" s="7" t="str"/>
      <x:c r="AA13" s="7" t="str"/>
      <x:c r="AB13" s="7" t="str"/>
      <x:c r="AC13" s="7" t="str"/>
      <x:c r="AD13" s="7" t="str">
        <x:v>Active general Life authority | Primerica relationship: matches an explicitly targeted recruiting segment | Direct Life appointments outside the selected health-carrier set: PRIMERICA LIFE INSURANCE COMPANY</x:v>
      </x:c>
      <x:c r="AE13" s="7" t="str"/>
      <x:c r="AF13" s="16" t="n">
        <x:v>0.1</x:v>
      </x:c>
      <x:c r="AG13" s="17" t="n">
        <x:v>723</x:v>
      </x:c>
      <x:c r="AH13" s="7" t="str">
        <x:v>2026-09-08</x:v>
      </x:c>
      <x:c r="AI13" s="7" t="str">
        <x:v>English</x:v>
      </x:c>
      <x:c r="AJ13" s="7" t="str"/>
      <x:c r="AK13" s="15" t="str"/>
      <x:c r="AL13" s="7" t="str"/>
      <x:c r="AM13" s="7" t="str">
        <x:v>AGUILAR SHANEA ERIKA</x:v>
      </x:c>
      <x:c r="AN13" s="7" t="str">
        <x:v>https://cdicloud.insurance.ca.gov/cal/LicenseDetail?SearchType=IND&amp;SearchLicNbr=4575418&amp;SearchIndvId=4575418</x:v>
      </x:c>
      <x:c r="AO13" s="7" t="str">
        <x:v>2026-10-08</x:v>
      </x:c>
      <x:c r="AP13" s="7" t="str">
        <x:v>def35ba09ea13db611c6cd2549a1ff6b2757de9310762b9546c5d4ef6fe054c1</x:v>
      </x:c>
      <x:c r="AQ13" s="7" t="str">
        <x:v>Life / Active / 09/04/2026 / 09/04/2026 / 09/30/2028</x:v>
      </x:c>
      <x:c r="AR13" s="7" t="str">
        <x:v>Active</x:v>
      </x:c>
      <x:c r="AS13" s="7" t="str">
        <x:v>Current detail page</x:v>
      </x:c>
    </x:row>
    <x:row r="14" ht="52" customHeight="1">
      <x:c r="A14" s="7" t="str">
        <x:v>AGUILAR ESTEVAN ARNULFO</x:v>
      </x:c>
      <x:c r="B14" s="14" t="str">
        <x:f>"4526717"</x:f>
        <x:v>4526717</x:v>
      </x:c>
      <x:c r="C14" s="7" t="str">
        <x:v>Omitted</x:v>
      </x:c>
      <x:c r="D14" s="7" t="str">
        <x:v>PASS</x:v>
      </x:c>
      <x:c r="E14" s="13" t="str">
        <x:v>Pending</x:v>
      </x:c>
      <x:c r="F14" s="13" t="str"/>
      <x:c r="G14" s="13" t="str"/>
      <x:c r="H14" s="13" t="str"/>
      <x:c r="I14" s="7" t="str">
        <x:v>Was this person reviewed? If rejected, give the actual rule and evidence. If acceptable, correct the omission. Confirm whether there was an unrecorded filter or a missed search result.</x:v>
      </x:c>
      <x:c r="J14" s="7" t="str">
        <x:v>P1</x:v>
      </x:c>
      <x:c r="K14" s="7" t="str">
        <x:v>Passes the provisional observable screen. Actual business activity and willingness are unknown; historical omission remains unexplained.</x:v>
      </x:c>
      <x:c r="L14" s="7" t="str">
        <x:v>Not supplied; membership is known, motive is not</x:v>
      </x:c>
      <x:c r="M14" s="7" t="n">
        <x:v>1</x:v>
      </x:c>
      <x:c r="N14" s="7" t="str">
        <x:v>First-call fit for stated IMO focus</x:v>
      </x:c>
      <x:c r="O14" s="7" t="str">
        <x:v>Active</x:v>
      </x:c>
      <x:c r="P14" s="7" t="str">
        <x:v>02/09/2026</x:v>
      </x:c>
      <x:c r="Q14" s="7" t="str">
        <x:v>02/29/2028</x:v>
      </x:c>
      <x:c r="R14" s="7" t="str">
        <x:v>Accident &amp; Health or Sickness; Life</x:v>
      </x:c>
      <x:c r="S14" s="15" t="str">
        <x:v>661-556-7498</x:v>
      </x:c>
      <x:c r="T14" s="7" t="str">
        <x:v>Current CDI</x:v>
      </x:c>
      <x:c r="U14" s="7" t="str">
        <x:v>809 ROSA CT DELANO CA, 93215</x:v>
      </x:c>
      <x:c r="V14" s="7" t="str">
        <x:v>Resident</x:v>
      </x:c>
      <x:c r="W14" s="7" t="str">
        <x:v>CA</x:v>
      </x:c>
      <x:c r="X14" s="7" t="str">
        <x:v>WORLD FINANCIAL GROUP INSURANCE AGENCY, LLC / Life / 02/23/2026
WORLD FINANCIAL GROUP INSURANCE AGENCY, LLC / Accident &amp; Health or Sickness / 02/23/2026</x:v>
      </x:c>
      <x:c r="Y14" s="7" t="str"/>
      <x:c r="Z14" s="7" t="str"/>
      <x:c r="AA14" s="7" t="str"/>
      <x:c r="AB14" s="7" t="str"/>
      <x:c r="AC14" s="7" t="str"/>
      <x:c r="AD14" s="7" t="str">
        <x:v>Active general Life authority | WFG relationship: matches an explicitly targeted recruiting segment | Active A&amp;H supports optional cross-selling; not necessary for target products</x:v>
      </x:c>
      <x:c r="AE14" s="7" t="str"/>
      <x:c r="AF14" s="16" t="n">
        <x:v>0.7</x:v>
      </x:c>
      <x:c r="AG14" s="17" t="n">
        <x:v>509</x:v>
      </x:c>
      <x:c r="AH14" s="7" t="str"/>
      <x:c r="AI14" s="7" t="str">
        <x:v>English</x:v>
      </x:c>
      <x:c r="AJ14" s="7" t="str"/>
      <x:c r="AK14" s="15" t="str"/>
      <x:c r="AL14" s="7" t="str"/>
      <x:c r="AM14" s="7" t="str">
        <x:v>AGUILAR ARNULFO ESTEVAN</x:v>
      </x:c>
      <x:c r="AN14" s="7" t="str">
        <x:v>https://cdicloud.insurance.ca.gov/cal/LicenseDetail?SearchType=IND&amp;SearchLicNbr=4526717&amp;SearchIndvId=4526717</x:v>
      </x:c>
      <x:c r="AO14" s="7" t="str">
        <x:v>2026-10-08</x:v>
      </x:c>
      <x:c r="AP14" s="7" t="str">
        <x:v>0c43d769cdc36d9a85236768ee0ad298eb1423c21c58ddb68ee1944953ffab94</x:v>
      </x:c>
      <x:c r="AQ14" s="7" t="str">
        <x:v>Accident &amp; Health or Sickness / Active / 02/09/2026 / 02/09/2026 / 02/29/2028
Life / Active / 02/09/2026 / 02/09/2026 / 02/29/2028</x:v>
      </x:c>
      <x:c r="AR14" s="7" t="str">
        <x:v>Active</x:v>
      </x:c>
      <x:c r="AS14" s="7" t="str">
        <x:v>Current detail page</x:v>
      </x:c>
    </x:row>
    <x:row r="15" ht="52" customHeight="1">
      <x:c r="A15" s="7" t="str">
        <x:v>AGUILAR EVA</x:v>
      </x:c>
      <x:c r="B15" s="14" t="str">
        <x:f>"0H80279"</x:f>
        <x:v>0H80279</x:v>
      </x:c>
      <x:c r="C15" s="7" t="str">
        <x:v>Omitted</x:v>
      </x:c>
      <x:c r="D15" s="7" t="str">
        <x:v>PASS</x:v>
      </x:c>
      <x:c r="E15" s="13" t="str">
        <x:v>Pending</x:v>
      </x:c>
      <x:c r="F15" s="13" t="str"/>
      <x:c r="G15" s="13" t="str"/>
      <x:c r="H15" s="13" t="str"/>
      <x:c r="I15" s="7" t="str">
        <x:v>Was this person reviewed? If rejected, give the actual rule and evidence. If acceptable, correct the omission. Confirm whether there was an unrecorded filter or a missed search result.</x:v>
      </x:c>
      <x:c r="J15" s="7" t="str">
        <x:v>P1</x:v>
      </x:c>
      <x:c r="K15" s="7" t="str">
        <x:v>Passes the provisional observable screen. Actual business activity and willingness are unknown; historical omission remains unexplained.</x:v>
      </x:c>
      <x:c r="L15" s="7" t="str">
        <x:v>Not supplied; membership is known, motive is not</x:v>
      </x:c>
      <x:c r="M15" s="7" t="n">
        <x:v>1</x:v>
      </x:c>
      <x:c r="N15" s="7" t="str">
        <x:v>First-call fit for stated IMO focus</x:v>
      </x:c>
      <x:c r="O15" s="7" t="str">
        <x:v>Active</x:v>
      </x:c>
      <x:c r="P15" s="7" t="str">
        <x:v>03/12/2012</x:v>
      </x:c>
      <x:c r="Q15" s="7" t="str">
        <x:v>03/31/2028</x:v>
      </x:c>
      <x:c r="R15" s="7" t="str">
        <x:v>Accident &amp; Health or Sickness; Casualty; Life; Property</x:v>
      </x:c>
      <x:c r="S15" s="15" t="str">
        <x:v>619-514-5715</x:v>
      </x:c>
      <x:c r="T15" s="7" t="str">
        <x:v>Current CDI</x:v>
      </x:c>
      <x:c r="U15" s="7" t="str">
        <x:v>2256 BUCKMAN SPRINGS RD 2256 BUCKMAN SPRINGS RD CAMPO CA, 91906-2016</x:v>
      </x:c>
      <x:c r="V15" s="7" t="str">
        <x:v>Resident</x:v>
      </x:c>
      <x:c r="W15" s="7" t="str">
        <x:v>CA</x:v>
      </x:c>
      <x:c r="X15" s="7" t="str">
        <x:v>SAFER INSURANCE AGENCY, INC. / Casualty / 02/23/2026
CALIFORNIA HEALTH BENEFIT EXCHANGE / Accident &amp; Health or Sickness / 10/05/2023
SAFER INSURANCE AGENCY, INC. / Property / 02/23/2026
SAFER INSURANCE AGENCY, INC. / Accident &amp; Health or Sickness / 02/23/2026
SAFER INSURANCE AGENCY, INC. / Life / 02/23/2026</x:v>
      </x:c>
      <x:c r="Y15" s="7" t="str">
        <x:v>AETNA LIFE INSURANCE COMPANY / Accident &amp; Health or Sickness / 04/30/2022
FOREMOST INSURANCE COMPANY GRAND RAPIDS, MICHIGAN / Casualty / 03/16/2024
FOREMOST INSURANCE COMPANY GRAND RAPIDS, MICHIGAN / Property / 03/16/2024
PRIMERICA LIFE INSURANCE COMPANY / Accident &amp; Health or Sickness / 04/10/2023
PRIMERICA LIFE INSURANCE COMPANY / Life / 04/10/2023</x:v>
      </x:c>
      <x:c r="Z15" s="7" t="str"/>
      <x:c r="AA15" s="7" t="str"/>
      <x:c r="AB15" s="7" t="str"/>
      <x:c r="AC15" s="7" t="str"/>
      <x:c r="AD15" s="7" t="str">
        <x:v>Active general Life authority | Primerica relationship: matches an explicitly targeted recruiting segment | Direct Life appointments outside the selected health-carrier set: PRIMERICA LIFE INSURANCE COMPANY | Active A&amp;H supports optional cross-selling; not necessary for target products</x:v>
      </x:c>
      <x:c r="AE15" s="7" t="str">
        <x:v>Mixed P&amp;C/Life qualifications; not an exclusion because approved examples have both</x:v>
      </x:c>
      <x:c r="AF15" s="16" t="n">
        <x:v>14.6</x:v>
      </x:c>
      <x:c r="AG15" s="17" t="n">
        <x:v>540</x:v>
      </x:c>
      <x:c r="AH15" s="7" t="str">
        <x:v>2023-04-10</x:v>
      </x:c>
      <x:c r="AI15" s="7" t="str">
        <x:v>English</x:v>
      </x:c>
      <x:c r="AJ15" s="7" t="str"/>
      <x:c r="AK15" s="15" t="str"/>
      <x:c r="AL15" s="7" t="str"/>
      <x:c r="AM15" s="7" t="str">
        <x:v>AGUILAR  EVA</x:v>
      </x:c>
      <x:c r="AN15" s="7" t="str">
        <x:v>https://cdicloud.insurance.ca.gov/cal/LicenseDetail?SearchType=IND&amp;SearchLicNbr=0H80279&amp;SearchIndvId=1503262</x:v>
      </x:c>
      <x:c r="AO15" s="7" t="str">
        <x:v>2026-10-08</x:v>
      </x:c>
      <x:c r="AP15" s="7" t="str">
        <x:v>6bab46c0479b4ab93d1f7a0a392011a2df58d3267872f6ee508f3d112b904b4c</x:v>
      </x:c>
      <x:c r="AQ15" s="7" t="str">
        <x:v>Accident &amp; Health or Sickness / Active / 03/12/2012 / 04/14/2020 / 03/31/2028
Casualty / Active / 03/01/2013 / 04/14/2020 / 03/31/2028
Life / Active / 03/12/2012 / 04/14/2020 / 03/31/2028
Property / Active / 03/01/2013 / 04/14/2020 / 03/31/2028</x:v>
      </x:c>
      <x:c r="AR15" s="7" t="str">
        <x:v>Active</x:v>
      </x:c>
      <x:c r="AS15" s="7" t="str">
        <x:v>Current detail page</x:v>
      </x:c>
    </x:row>
    <x:row r="16" ht="52" customHeight="1">
      <x:c r="A16" s="7" t="str">
        <x:v>AGUILAR FRANCKY</x:v>
      </x:c>
      <x:c r="B16" s="14" t="str">
        <x:f>"4237704"</x:f>
        <x:v>4237704</x:v>
      </x:c>
      <x:c r="C16" s="7" t="str">
        <x:v>Omitted</x:v>
      </x:c>
      <x:c r="D16" s="7" t="str">
        <x:v>PASS</x:v>
      </x:c>
      <x:c r="E16" s="13" t="str">
        <x:v>Pending</x:v>
      </x:c>
      <x:c r="F16" s="13" t="str"/>
      <x:c r="G16" s="13" t="str"/>
      <x:c r="H16" s="13" t="str"/>
      <x:c r="I16" s="7" t="str">
        <x:v>Was this person reviewed? If rejected, give the actual rule and evidence. If acceptable, correct the omission. Confirm whether there was an unrecorded filter or a missed search result.</x:v>
      </x:c>
      <x:c r="J16" s="7" t="str">
        <x:v>P1</x:v>
      </x:c>
      <x:c r="K16" s="7" t="str">
        <x:v>Passes the provisional observable screen. Actual business activity and willingness are unknown; historical omission remains unexplained.</x:v>
      </x:c>
      <x:c r="L16" s="7" t="str">
        <x:v>Not supplied; membership is known, motive is not</x:v>
      </x:c>
      <x:c r="M16" s="7" t="n">
        <x:v>1</x:v>
      </x:c>
      <x:c r="N16" s="7" t="str">
        <x:v>First-call fit for stated IMO focus</x:v>
      </x:c>
      <x:c r="O16" s="7" t="str">
        <x:v>Active</x:v>
      </x:c>
      <x:c r="P16" s="7" t="str">
        <x:v>12/08/2023</x:v>
      </x:c>
      <x:c r="Q16" s="7" t="str">
        <x:v>10/31/2026</x:v>
      </x:c>
      <x:c r="R16" s="7" t="str">
        <x:v>Life; Personal Lines</x:v>
      </x:c>
      <x:c r="S16" s="15" t="str">
        <x:v>818-525-5443</x:v>
      </x:c>
      <x:c r="T16" s="7" t="str">
        <x:v>Current CDI</x:v>
      </x:c>
      <x:c r="U16" s="7" t="str">
        <x:v>3333 FAIRVIEW RD # A124 COSTA MESA CA, 92626</x:v>
      </x:c>
      <x:c r="V16" s="7" t="str">
        <x:v>Resident</x:v>
      </x:c>
      <x:c r="W16" s="7" t="str">
        <x:v>CA</x:v>
      </x:c>
      <x:c r="X16" s="7" t="str">
        <x:v>AUTOMOBILE CLUB OF SOUTHERN CALIFORNIA / Personal Lines / 10/14/2022</x:v>
      </x:c>
      <x:c r="Y16" s="7" t="str">
        <x:v>AAA LIFE INSURANCE COMPANY / Life / 05/20/2025</x:v>
      </x:c>
      <x:c r="Z16" s="7" t="str"/>
      <x:c r="AA16" s="7" t="str"/>
      <x:c r="AB16" s="7" t="str"/>
      <x:c r="AC16" s="7" t="str"/>
      <x:c r="AD16" s="7" t="str">
        <x:v>Active general Life authority | Direct Life appointments outside the selected health-carrier set: AAA LIFE INSURANCE COMPANY</x:v>
      </x:c>
      <x:c r="AE16" s="7" t="str">
        <x:v>Mixed P&amp;C/Life qualifications; not an exclusion because approved examples have both | Life expiration in 23 days: confirm renewal during onboarding</x:v>
      </x:c>
      <x:c r="AF16" s="16" t="n">
        <x:v>2.8</x:v>
      </x:c>
      <x:c r="AG16" s="17" t="n">
        <x:v>23</x:v>
      </x:c>
      <x:c r="AH16" s="7" t="str">
        <x:v>2025-05-20</x:v>
      </x:c>
      <x:c r="AI16" s="7" t="str">
        <x:v>English</x:v>
      </x:c>
      <x:c r="AJ16" s="7" t="str"/>
      <x:c r="AK16" s="15" t="str"/>
      <x:c r="AL16" s="7" t="str"/>
      <x:c r="AM16" s="7" t="str">
        <x:v>AGUILAR  FRANCKY</x:v>
      </x:c>
      <x:c r="AN16" s="7" t="str">
        <x:v>https://cdicloud.insurance.ca.gov/cal/LicenseDetail?SearchType=IND&amp;SearchLicNbr=4237704&amp;SearchIndvId=4237704</x:v>
      </x:c>
      <x:c r="AO16" s="7" t="str">
        <x:v>2026-10-08</x:v>
      </x:c>
      <x:c r="AP16" s="7" t="str">
        <x:v>6a218ef9799e18fd07f8d8cd57c60739df729f744fc88f8d22b646fbd40f7c64</x:v>
      </x:c>
      <x:c r="AQ16" s="7" t="str">
        <x:v>Life / Active / 12/08/2023 / 05/19/2025 / 10/31/2026
Personal Lines / Active / 10/13/2022 / 10/13/2022 / 10/31/2026</x:v>
      </x:c>
      <x:c r="AR16" s="7" t="str">
        <x:v>Active</x:v>
      </x:c>
      <x:c r="AS16" s="7" t="str">
        <x:v>Current detail page</x:v>
      </x:c>
    </x:row>
    <x:row r="17" ht="52" customHeight="1">
      <x:c r="A17" s="7" t="str">
        <x:v>AGUILAR JOHN RAYMOND</x:v>
      </x:c>
      <x:c r="B17" s="14" t="str">
        <x:f>"0510531"</x:f>
        <x:v>0510531</x:v>
      </x:c>
      <x:c r="C17" s="7" t="str">
        <x:v>Omitted</x:v>
      </x:c>
      <x:c r="D17" s="7" t="str">
        <x:v>PASS</x:v>
      </x:c>
      <x:c r="E17" s="13" t="str">
        <x:v>Pending</x:v>
      </x:c>
      <x:c r="F17" s="13" t="str"/>
      <x:c r="G17" s="13" t="str"/>
      <x:c r="H17" s="13" t="str"/>
      <x:c r="I17" s="7" t="str">
        <x:v>Was this person reviewed? If rejected, give the actual rule and evidence. If acceptable, correct the omission. Confirm whether there was an unrecorded filter or a missed search result.</x:v>
      </x:c>
      <x:c r="J17" s="7" t="str">
        <x:v>P1</x:v>
      </x:c>
      <x:c r="K17" s="7" t="str">
        <x:v>Passes the provisional observable screen. Actual business activity and willingness are unknown; historical omission remains unexplained.</x:v>
      </x:c>
      <x:c r="L17" s="7" t="str">
        <x:v>Not supplied; membership is known, motive is not</x:v>
      </x:c>
      <x:c r="M17" s="7" t="n">
        <x:v>1</x:v>
      </x:c>
      <x:c r="N17" s="7" t="str">
        <x:v>First-call fit for stated IMO focus</x:v>
      </x:c>
      <x:c r="O17" s="7" t="str">
        <x:v>Active</x:v>
      </x:c>
      <x:c r="P17" s="7" t="str">
        <x:v>11/19/1975</x:v>
      </x:c>
      <x:c r="Q17" s="7" t="str">
        <x:v>11/30/2026</x:v>
      </x:c>
      <x:c r="R17" s="7" t="str">
        <x:v>Accident &amp; Health or Sickness; Life</x:v>
      </x:c>
      <x:c r="S17" s="15" t="str">
        <x:v>949-433-2516</x:v>
      </x:c>
      <x:c r="T17" s="7" t="str">
        <x:v>Current CDI</x:v>
      </x:c>
      <x:c r="U17" s="7" t="str">
        <x:v>244 PINEVIEW # 1A IRVINE CA, 92620-1928</x:v>
      </x:c>
      <x:c r="V17" s="7" t="str">
        <x:v>Resident</x:v>
      </x:c>
      <x:c r="W17" s="7" t="str">
        <x:v>CA</x:v>
      </x:c>
      <x:c r="X17" s="7" t="str"/>
      <x:c r="Y17" s="7" t="str">
        <x:v>AETNA LIFE INSURANCE COMPANY / Accident &amp; Health or Sickness / 10/21/2004
AETNA LIFE INSURANCE COMPANY / Life / 10/21/2004
ALL SAVERS LIFE INSURANCE COMPANY OF CALIFORNIA / Accident &amp; Health or Sickness / 10/11/2022
ALL SAVERS LIFE INSURANCE COMPANY OF CALIFORNIA / Life / 10/11/2022
AMERICAN GENERAL LIFE INSURANCE COMPANY / Accident &amp; Health or Sickness / 11/30/2022
AMERICAN GENERAL LIFE INSURANCE COMPANY / Life / 11/30/2022
AMERITAS LIFE INSURANCE CORP. / Accident &amp; Health or Sickness / 06/08/1993
AMERITAS LIFE INSURANCE CORP. / Life / 06/08/1993
ANTHEM BLUE CROSS LIFE AND HEALTH INSURANCE COMPANY / Accident &amp; Health or Sickness / 12/01/1993
ANTHEM BLUE CROSS LIFE AND HEALTH INSURANCE COMPANY / Life / 12/01/1993
BERKSHIRE LIFE INSURANCE COMPANY OF AMERICA / Accident &amp; Health or Sickness / 06/01/2001
BERKSHIRE LIFE INSURANCE COMPANY OF AMERICA / Life / 06/01/2001
BLUE SHIELD OF CALIFORNIA LIFE &amp; HEALTH INSURANCE COMPANY / Accident &amp; Health or Sickness / 12/15/1989
BLUE SHIELD OF CALIFORNIA LIFE &amp; HEALTH INSURANCE COMPANY / Life / 12/15/1989
DEARBORN LIFE INSURANCE COMPANY / Accident &amp; Health or Sickness / 07/30/1992
DEARBORN LIFE INSURANCE COMPANY / Life / 07/30/1992
EQUITABLE FINANCIAL LIFE INSURANCE COMPANY / Accident &amp; Health or Sickness / 06/30/2004
EQUITABLE FINANCIAL LIFE INSURANCE COMPANY / Life / 06/30/2004
EQUITABLE FINANCIAL LIFE INSURANCE COMPANY OF AMERICA / Accident &amp; Health or Sickness / 04/15/2003
EQUITABLE FINANCIAL LIFE INSURANCE COMPANY OF AMERICA / Life / 04/15/2003
FRESENIUS HEALTH PLANS INSURANCE COMPANY / Accident &amp; Health or Sickness / 01/01/1982
FRESENIUS HEALTH PLANS INSURANCE COMPANY / Life / 01/01/1982
GENWORTH LIFE AND ANNUITY INSURANCE COMPANY / Accident &amp; Health or Sickness / 01/01/2007
GENWORTH LIFE AND ANNUITY INSURANCE COMPANY / Life / 01/01/2007
GUARDIAN INSURANCE &amp; ANNUITY COMPANY, INC. (THE) / Life / 08/14/1991
GUARDIAN LIFE INSURANCE COMPANY OF AMERICA (THE) / Accident &amp; Health or Sickness / 06/19/1980
GUARDIAN LIFE INSURANCE COMPANY OF AMERICA (THE) / Life / 06/19/1980
HEALTH NET LIFE INSURANCE COMPANY / Accident &amp; Health or Sickness / 09/01/2003
HEALTH NET LIFE INSURANCE COMPANY / Life / 09/01/2003
LINCOLN BENEFIT LIFE COMPANY / Accident &amp; Health or Sickness / 07/31/2000
LINCOLN BENEFIT LIFE COMPANY / Life / 07/31/2000
PAN-AMERICAN LIFE INSURANCE COMPANY / Accident &amp; Health or Sickness / 10/14/1988
PAN-AMERICAN LIFE INSURANCE COMPANY / Life / 10/14/1988
PROTECTIVE LIFE INSURANCE COMPANY / Accident &amp; Health or Sickness / 09/13/2018
PROTECTIVE LIFE INSURANCE COMPANY / Life / 09/13/2018
TRANSAMERICA LIFE INSURANCE COMPANY / Accident &amp; Health or Sickness / 12/22/1988
TRANSAMERICA LIFE INSURANCE COMPANY / Life / 12/22/1988
UNIMERICA INSURANCE COMPANY / Accident &amp; Health or Sickness / 12/01/2010
UNIMERICA INSURANCE COMPANY / Life / 12/01/2010
UNITEDHEALTHCARE INSURANCE COMPANY / Accident &amp; Health or Sickness / 12/04/2006
UNITEDHEALTHCARE INSURANCE COMPANY / Life / 12/04/2006
VOYA RETIREMENT INSURANCE AND ANNUITY COMPANY / Life / 10/11/2007</x:v>
      </x:c>
      <x:c r="Z17" s="7" t="str"/>
      <x:c r="AA17" s="7" t="str"/>
      <x:c r="AB17" s="7" t="str"/>
      <x:c r="AC17" s="7" t="str"/>
      <x:c r="AD17" s="7" t="str">
        <x:v>Active general Life authority | Direct Life appointments outside the selected health-carrier set: AMERICAN GENERAL LIFE INSURANCE COMPANY, AMERITAS LIFE INSURANCE CORP., BERKSHIRE LIFE INSURANCE COMPANY OF AMERICA, EQUITABLE FINANCIAL LIFE INSURANCE COMPANY, EQUITABLE FINANCIAL LIFE INSURANCE COMPANY OF AMERICA, GENWORTH LIFE AND ANNUITY INSURANCE COMPANY, GUARDIAN INSURANCE &amp; ANNUITY COMPANY, INC. (THE), GUARDIAN LIFE INSURANCE COMPANY OF AMERICA (THE), LINCOLN BENEFIT LIFE COMPANY, PAN-AMERICAN LIFE INSURANCE COMPANY, PROTECTIVE LIFE INSURANCE COMPANY, TRANSAMERICA LIFE INSURANCE COMPANY, VOYA RETIREMENT INSURANCE AND ANNUITY COMPANY | Active A&amp;H supports optional cross-selling; not necessary for target products</x:v>
      </x:c>
      <x:c r="AE17" s="7" t="str">
        <x:v>Life expiration in 53 days: confirm renewal during onboarding</x:v>
      </x:c>
      <x:c r="AF17" s="16" t="n">
        <x:v>50.9</x:v>
      </x:c>
      <x:c r="AG17" s="17" t="n">
        <x:v>53</x:v>
      </x:c>
      <x:c r="AH17" s="7" t="str">
        <x:v>2022-11-30</x:v>
      </x:c>
      <x:c r="AI17" s="7" t="str">
        <x:v>English</x:v>
      </x:c>
      <x:c r="AJ17" s="7" t="str"/>
      <x:c r="AK17" s="15" t="str"/>
      <x:c r="AL17" s="7" t="str"/>
      <x:c r="AM17" s="7" t="str">
        <x:v>AGUILAR RAYMOND JOHN</x:v>
      </x:c>
      <x:c r="AN17" s="7" t="str">
        <x:v>https://cdicloud.insurance.ca.gov/cal/LicenseDetail?SearchType=IND&amp;SearchLicNbr=0510531&amp;SearchIndvId=375923</x:v>
      </x:c>
      <x:c r="AO17" s="7" t="str">
        <x:v>2026-10-08</x:v>
      </x:c>
      <x:c r="AP17" s="7" t="str">
        <x:v>bbc129b10bea060e4c055d11569b20928373f9874a91b0a95ee60ac760ffd0f3</x:v>
      </x:c>
      <x:c r="AQ17" s="7" t="str">
        <x:v>Accident &amp; Health or Sickness / Active / 11/19/1975 / 11/19/1975 / 11/30/2026
Life / Active / 11/19/1975 / 11/19/1975 / 11/30/2026
Var Life and Var Annuity / Inactive / 09/19/1991 / 07/13/2026 / 07/13/2026</x:v>
      </x:c>
      <x:c r="AR17" s="7" t="str">
        <x:v>Active</x:v>
      </x:c>
      <x:c r="AS17" s="7" t="str">
        <x:v>Current detail page</x:v>
      </x:c>
    </x:row>
    <x:row r="18" ht="52" customHeight="1">
      <x:c r="A18" s="7" t="str">
        <x:v>AGUILAR JORGE ANTONIO</x:v>
      </x:c>
      <x:c r="B18" s="14" t="str">
        <x:f>"0C18048"</x:f>
        <x:v>0C18048</x:v>
      </x:c>
      <x:c r="C18" s="7" t="str">
        <x:v>Omitted</x:v>
      </x:c>
      <x:c r="D18" s="7" t="str">
        <x:v>PASS</x:v>
      </x:c>
      <x:c r="E18" s="13" t="str">
        <x:v>Pending</x:v>
      </x:c>
      <x:c r="F18" s="13" t="str"/>
      <x:c r="G18" s="13" t="str"/>
      <x:c r="H18" s="13" t="str"/>
      <x:c r="I18" s="7" t="str">
        <x:v>Was this person reviewed? If rejected, give the actual rule and evidence. If acceptable, correct the omission. Confirm whether there was an unrecorded filter or a missed search result.</x:v>
      </x:c>
      <x:c r="J18" s="7" t="str">
        <x:v>P1</x:v>
      </x:c>
      <x:c r="K18" s="7" t="str">
        <x:v>Passes the provisional observable screen. Actual business activity and willingness are unknown; historical omission remains unexplained.</x:v>
      </x:c>
      <x:c r="L18" s="7" t="str">
        <x:v>Not supplied; membership is known, motive is not</x:v>
      </x:c>
      <x:c r="M18" s="7" t="n">
        <x:v>1</x:v>
      </x:c>
      <x:c r="N18" s="7" t="str">
        <x:v>First-call fit for stated IMO focus</x:v>
      </x:c>
      <x:c r="O18" s="7" t="str">
        <x:v>Active</x:v>
      </x:c>
      <x:c r="P18" s="7" t="str">
        <x:v>12/29/2016</x:v>
      </x:c>
      <x:c r="Q18" s="7" t="str">
        <x:v>11/30/2027</x:v>
      </x:c>
      <x:c r="R18" s="7" t="str">
        <x:v>Accident &amp; Health or Sickness; Life</x:v>
      </x:c>
      <x:c r="S18" s="15" t="str">
        <x:v>909-376-8215</x:v>
      </x:c>
      <x:c r="T18" s="7" t="str">
        <x:v>Current CDI</x:v>
      </x:c>
      <x:c r="U18" s="7" t="str">
        <x:v>16176 PINE AVENUE FONTANA CA, 92335</x:v>
      </x:c>
      <x:c r="V18" s="7" t="str">
        <x:v>Resident</x:v>
      </x:c>
      <x:c r="W18" s="7" t="str">
        <x:v>CA</x:v>
      </x:c>
      <x:c r="X18" s="7" t="str"/>
      <x:c r="Y18" s="7" t="str">
        <x:v>WASHINGTON NATIONAL INSURANCE COMPANY / Accident &amp; Health or Sickness / 04/28/2022
WASHINGTON NATIONAL INSURANCE COMPANY / Life / 04/28/2022</x:v>
      </x:c>
      <x:c r="Z18" s="7" t="str"/>
      <x:c r="AA18" s="7" t="str"/>
      <x:c r="AB18" s="7" t="str"/>
      <x:c r="AC18" s="7" t="str"/>
      <x:c r="AD18" s="7" t="str">
        <x:v>Active general Life authority | Direct Life appointments outside the selected health-carrier set: WASHINGTON NATIONAL INSURANCE COMPANY | Active A&amp;H supports optional cross-selling; not necessary for target products</x:v>
      </x:c>
      <x:c r="AE18" s="7" t="str"/>
      <x:c r="AF18" s="16" t="n">
        <x:v>9.8</x:v>
      </x:c>
      <x:c r="AG18" s="17" t="n">
        <x:v>418</x:v>
      </x:c>
      <x:c r="AH18" s="7" t="str">
        <x:v>2022-04-28</x:v>
      </x:c>
      <x:c r="AI18" s="7" t="str">
        <x:v>English</x:v>
      </x:c>
      <x:c r="AJ18" s="7" t="str"/>
      <x:c r="AK18" s="15" t="str"/>
      <x:c r="AL18" s="7" t="str"/>
      <x:c r="AM18" s="7" t="str">
        <x:v>AGUILAR ANTONIO JORGE</x:v>
      </x:c>
      <x:c r="AN18" s="7" t="str">
        <x:v>https://cdicloud.insurance.ca.gov/cal/LicenseDetail?SearchType=IND&amp;SearchLicNbr=0C18048&amp;SearchIndvId=293655</x:v>
      </x:c>
      <x:c r="AO18" s="7" t="str">
        <x:v>2026-10-08</x:v>
      </x:c>
      <x:c r="AP18" s="7" t="str">
        <x:v>0110927a9e115ab7046b1bf31e8d6f5a5d02e5dea2cc6d68cfd10bb9d189d807</x:v>
      </x:c>
      <x:c r="AQ18" s="7" t="str">
        <x:v>Accident &amp; Health or Sickness / Active / 12/29/2016 / 12/29/2016 / 11/30/2027
Life / Active / 12/29/2016 / 12/29/2016 / 11/30/2027
Casualty / Inactive / 11/03/1997 / 11/30/2025 / 11/30/2025
Property / Inactive / 11/03/1997 / 11/30/2025 / 11/30/2025</x:v>
      </x:c>
      <x:c r="AR18" s="7" t="str">
        <x:v>Active</x:v>
      </x:c>
      <x:c r="AS18" s="7" t="str">
        <x:v>Current detail page</x:v>
      </x:c>
    </x:row>
    <x:row r="19" ht="52" customHeight="1">
      <x:c r="A19" s="7" t="str">
        <x:v>AGUILAR JOSE CONSTANTINO</x:v>
      </x:c>
      <x:c r="B19" s="14" t="str">
        <x:f>"0640919"</x:f>
        <x:v>0640919</x:v>
      </x:c>
      <x:c r="C19" s="7" t="str">
        <x:v>Omitted</x:v>
      </x:c>
      <x:c r="D19" s="7" t="str">
        <x:v>PASS</x:v>
      </x:c>
      <x:c r="E19" s="13" t="str">
        <x:v>Pending</x:v>
      </x:c>
      <x:c r="F19" s="13" t="str"/>
      <x:c r="G19" s="13" t="str"/>
      <x:c r="H19" s="13" t="str"/>
      <x:c r="I19" s="7" t="str">
        <x:v>Was this person reviewed? If rejected, give the actual rule and evidence. If acceptable, correct the omission. Confirm whether there was an unrecorded filter or a missed search result.</x:v>
      </x:c>
      <x:c r="J19" s="7" t="str">
        <x:v>P1</x:v>
      </x:c>
      <x:c r="K19" s="7" t="str">
        <x:v>Passes the provisional observable screen. Actual business activity and willingness are unknown; historical omission remains unexplained.</x:v>
      </x:c>
      <x:c r="L19" s="7" t="str">
        <x:v>Not supplied; membership is known, motive is not</x:v>
      </x:c>
      <x:c r="M19" s="7" t="n">
        <x:v>1</x:v>
      </x:c>
      <x:c r="N19" s="7" t="str">
        <x:v>First-call fit for stated IMO focus</x:v>
      </x:c>
      <x:c r="O19" s="7" t="str">
        <x:v>Active</x:v>
      </x:c>
      <x:c r="P19" s="7" t="str">
        <x:v>12/05/1991</x:v>
      </x:c>
      <x:c r="Q19" s="7" t="str">
        <x:v>01/31/2027</x:v>
      </x:c>
      <x:c r="R19" s="7" t="str">
        <x:v>Accident &amp; Health or Sickness; Life</x:v>
      </x:c>
      <x:c r="S19" s="15" t="str">
        <x:v>562-277-0880</x:v>
      </x:c>
      <x:c r="T19" s="7" t="str">
        <x:v>Current CDI</x:v>
      </x:c>
      <x:c r="U19" s="7" t="str">
        <x:v>8300 STEWART AND GRAY RD 8300 STEWART AND GRAY RD DOWNEY CA, 90241</x:v>
      </x:c>
      <x:c r="V19" s="7" t="str">
        <x:v>Resident</x:v>
      </x:c>
      <x:c r="W19" s="7" t="str">
        <x:v>CA</x:v>
      </x:c>
      <x:c r="X19" s="7" t="str"/>
      <x:c r="Y19" s="7" t="str"/>
      <x:c r="Z19" s="7" t="str">
        <x:v>ORDER ID &lt; LA 014954&gt; BP IT IS HEREBY ORDERED, THAT THE CONDITIONS AND RESTRICTIONS ON RESPONDENTS LICENSES AND LICENSING RIGHTS ARE HEREBY REMOVED. ISSUE UNRESTRICTED LICENSES. / 12/10/2002
Order ID: &lt;LA014954&gt; AP LICENSES AND LICENSING RIGHTS OF RESPONDENT TO AS FX &amp; LX AGENT IS HEREBY REVOKED. ISSUE IN LIEU THEREOF RESTRICTED LICENSES. / 04/10/1996</x:v>
      </x:c>
      <x:c r="AA19" s="7" t="str"/>
      <x:c r="AB19" s="7" t="str"/>
      <x:c r="AC19" s="7" t="str"/>
      <x:c r="AD19" s="7" t="str">
        <x:v>Active general Life authority | No agency or insurer displayed: onboarding opportunity possible; existing business unknown | Active A&amp;H supports optional cross-selling; not necessary for target products</x:v>
      </x:c>
      <x:c r="AE19" s="7" t="str">
        <x:v>Historical enforcement with later removal/unrestricted wording; not treated as a current restriction</x:v>
      </x:c>
      <x:c r="AF19" s="16" t="n">
        <x:v>34.8</x:v>
      </x:c>
      <x:c r="AG19" s="17" t="n">
        <x:v>115</x:v>
      </x:c>
      <x:c r="AH19" s="7" t="str"/>
      <x:c r="AI19" s="7" t="str">
        <x:v>English</x:v>
      </x:c>
      <x:c r="AJ19" s="7" t="str"/>
      <x:c r="AK19" s="15" t="str"/>
      <x:c r="AL19" s="7" t="str"/>
      <x:c r="AM19" s="7" t="str">
        <x:v>AGUILAR CONSTANTINO JOSE</x:v>
      </x:c>
      <x:c r="AN19" s="7" t="str">
        <x:v>https://cdicloud.insurance.ca.gov/cal/LicenseDetail?SearchType=IND&amp;SearchLicNbr=0640919&amp;SearchIndvId=398730</x:v>
      </x:c>
      <x:c r="AO19" s="7" t="str">
        <x:v>2026-10-08</x:v>
      </x:c>
      <x:c r="AP19" s="7" t="str">
        <x:v>8d3b035cca0917a175726f914b8c695936cca940524d909491085b9fcf55ba80</x:v>
      </x:c>
      <x:c r="AQ19" s="7" t="str">
        <x:v>Accident &amp; Health or Sickness / Active / 12/05/1991 / 01/13/2026 / 01/31/2027
Life / Active / 12/05/1991 / 01/13/2026 / 01/31/2027</x:v>
      </x:c>
      <x:c r="AR19" s="7" t="str">
        <x:v>Active</x:v>
      </x:c>
      <x:c r="AS19" s="7" t="str">
        <x:v>Current detail page</x:v>
      </x:c>
    </x:row>
    <x:row r="20" ht="52" customHeight="1">
      <x:c r="A20" s="7" t="str">
        <x:v>AGUILAR LYDIA JACQUELINE</x:v>
      </x:c>
      <x:c r="B20" s="14" t="str">
        <x:f>"4409571"</x:f>
        <x:v>4409571</x:v>
      </x:c>
      <x:c r="C20" s="7" t="str">
        <x:v>Omitted</x:v>
      </x:c>
      <x:c r="D20" s="7" t="str">
        <x:v>PASS</x:v>
      </x:c>
      <x:c r="E20" s="13" t="str">
        <x:v>Pending</x:v>
      </x:c>
      <x:c r="F20" s="13" t="str"/>
      <x:c r="G20" s="13" t="str"/>
      <x:c r="H20" s="13" t="str"/>
      <x:c r="I20" s="7" t="str">
        <x:v>Was this person reviewed? If rejected, give the actual rule and evidence. If acceptable, correct the omission. Confirm whether there was an unrecorded filter or a missed search result.</x:v>
      </x:c>
      <x:c r="J20" s="7" t="str">
        <x:v>P1</x:v>
      </x:c>
      <x:c r="K20" s="7" t="str">
        <x:v>Passes the provisional observable screen. Actual business activity and willingness are unknown; historical omission remains unexplained.</x:v>
      </x:c>
      <x:c r="L20" s="7" t="str">
        <x:v>Not supplied; membership is known, motive is not</x:v>
      </x:c>
      <x:c r="M20" s="7" t="n">
        <x:v>1</x:v>
      </x:c>
      <x:c r="N20" s="7" t="str">
        <x:v>First-call fit for stated IMO focus</x:v>
      </x:c>
      <x:c r="O20" s="7" t="str">
        <x:v>Active</x:v>
      </x:c>
      <x:c r="P20" s="7" t="str">
        <x:v>01/22/2025</x:v>
      </x:c>
      <x:c r="Q20" s="7" t="str">
        <x:v>01/31/2027</x:v>
      </x:c>
      <x:c r="R20" s="7" t="str">
        <x:v>Accident &amp; Health or Sickness; Life</x:v>
      </x:c>
      <x:c r="S20" s="15" t="str">
        <x:v>909-538-6044</x:v>
      </x:c>
      <x:c r="T20" s="7" t="str">
        <x:v>Current CDI</x:v>
      </x:c>
      <x:c r="U20" s="7" t="str">
        <x:v>15838 ROAN RD CHINO HILLS CA, 91709</x:v>
      </x:c>
      <x:c r="V20" s="7" t="str">
        <x:v>Resident</x:v>
      </x:c>
      <x:c r="W20" s="7" t="str">
        <x:v>CA</x:v>
      </x:c>
      <x:c r="X20" s="7" t="str"/>
      <x:c r="Y20" s="7" t="str">
        <x:v>AMERICAN GENERAL LIFE INSURANCE COMPANY / Accident &amp; Health or Sickness / 08/05/2025
AMERICAN GENERAL LIFE INSURANCE COMPANY / Life / 08/05/2025
BANNER LIFE INSURANCE COMPANY / Life / 12/12/2025
FIDELITY &amp; GUARANTY LIFE INSURANCE COMPANY / Life / 02/21/2025
LIFE INSURANCE COMPANY OF THE SOUTHWEST / Accident &amp; Health or Sickness / 06/02/2026
LIFE INSURANCE COMPANY OF THE SOUTHWEST / Life / 06/02/2026
LINCOLN HERITAGE LIFE INSURANCE COMPANY / Life / 07/10/2026
MUTUAL OF OMAHA INSURANCE COMPANY / Accident &amp; Health or Sickness / 12/18/2025
NATIONAL LIFE INSURANCE COMPANY / Accident &amp; Health or Sickness / 06/02/2026
NATIONAL LIFE INSURANCE COMPANY / Life / 06/02/2026
SAVINGS BANK MUTUAL LIFE INSURANCE COMPANY OF MASSACHUSETTS (THE) / Life / 12/05/2025</x:v>
      </x:c>
      <x:c r="Z20" s="7" t="str"/>
      <x:c r="AA20" s="7" t="str"/>
      <x:c r="AB20" s="7" t="str"/>
      <x:c r="AC20" s="7" t="str"/>
      <x:c r="AD20" s="7" t="str">
        <x:v>Active general Life authority | Direct Life appointments outside the selected health-carrier set: AMERICAN GENERAL LIFE INSURANCE COMPANY, BANNER LIFE INSURANCE COMPANY, FIDELITY &amp; GUARANTY LIFE INSURANCE COMPANY, LIFE INSURANCE COMPANY OF THE SOUTHWEST, LINCOLN HERITAGE LIFE INSURANCE COMPANY, NATIONAL LIFE INSURANCE COMPANY, SAVINGS BANK MUTUAL LIFE INSURANCE COMPANY OF MASSACHUSETTS (THE) | Active A&amp;H supports optional cross-selling; not necessary for target products</x:v>
      </x:c>
      <x:c r="AE20" s="7" t="str"/>
      <x:c r="AF20" s="16" t="n">
        <x:v>1.7</x:v>
      </x:c>
      <x:c r="AG20" s="17" t="n">
        <x:v>115</x:v>
      </x:c>
      <x:c r="AH20" s="7" t="str">
        <x:v>2026-07-10</x:v>
      </x:c>
      <x:c r="AI20" s="7" t="str">
        <x:v>English</x:v>
      </x:c>
      <x:c r="AJ20" s="7" t="str"/>
      <x:c r="AK20" s="15" t="str"/>
      <x:c r="AL20" s="7" t="str"/>
      <x:c r="AM20" s="7" t="str">
        <x:v>AGUILAR JACQUELINE LYDIA</x:v>
      </x:c>
      <x:c r="AN20" s="7" t="str">
        <x:v>https://cdicloud.insurance.ca.gov/cal/LicenseDetail?SearchType=IND&amp;SearchLicNbr=4409571&amp;SearchIndvId=4409571</x:v>
      </x:c>
      <x:c r="AO20" s="7" t="str">
        <x:v>2026-10-08</x:v>
      </x:c>
      <x:c r="AP20" s="7" t="str">
        <x:v>f439e65f37bcc8e98ce0bde9e4c97c90441e18a6993541ce79698138d2709fa7</x:v>
      </x:c>
      <x:c r="AQ20" s="7" t="str">
        <x:v>Accident &amp; Health or Sickness / Active / 01/22/2025 / 01/22/2025 / 01/31/2027
Life / Active / 01/22/2025 / 01/22/2025 / 01/31/2027</x:v>
      </x:c>
      <x:c r="AR20" s="7" t="str">
        <x:v>Active</x:v>
      </x:c>
      <x:c r="AS20" s="7" t="str">
        <x:v>Current detail page</x:v>
      </x:c>
    </x:row>
    <x:row r="21" ht="52" customHeight="1">
      <x:c r="A21" s="7" t="str">
        <x:v>AGUILAR MARQUEZ LAURA</x:v>
      </x:c>
      <x:c r="B21" s="14" t="str">
        <x:f>"4470047"</x:f>
        <x:v>4470047</x:v>
      </x:c>
      <x:c r="C21" s="7" t="str">
        <x:v>Omitted</x:v>
      </x:c>
      <x:c r="D21" s="7" t="str">
        <x:v>PASS</x:v>
      </x:c>
      <x:c r="E21" s="13" t="str">
        <x:v>Pending</x:v>
      </x:c>
      <x:c r="F21" s="13" t="str"/>
      <x:c r="G21" s="13" t="str"/>
      <x:c r="H21" s="13" t="str"/>
      <x:c r="I21" s="7" t="str">
        <x:v>Was this person reviewed? If rejected, give the actual rule and evidence. If acceptable, correct the omission. Confirm whether there was an unrecorded filter or a missed search result.</x:v>
      </x:c>
      <x:c r="J21" s="7" t="str">
        <x:v>P1</x:v>
      </x:c>
      <x:c r="K21" s="7" t="str">
        <x:v>Passes the provisional observable screen. Actual business activity and willingness are unknown; historical omission remains unexplained.</x:v>
      </x:c>
      <x:c r="L21" s="7" t="str">
        <x:v>Not supplied; membership is known, motive is not</x:v>
      </x:c>
      <x:c r="M21" s="7" t="n">
        <x:v>1</x:v>
      </x:c>
      <x:c r="N21" s="7" t="str">
        <x:v>First-call fit for stated IMO focus</x:v>
      </x:c>
      <x:c r="O21" s="7" t="str">
        <x:v>Active</x:v>
      </x:c>
      <x:c r="P21" s="7" t="str">
        <x:v>06/19/2025</x:v>
      </x:c>
      <x:c r="Q21" s="7" t="str">
        <x:v>06/30/2027</x:v>
      </x:c>
      <x:c r="R21" s="7" t="str">
        <x:v>Life</x:v>
      </x:c>
      <x:c r="S21" s="15" t="str">
        <x:v>657-529-2284</x:v>
      </x:c>
      <x:c r="T21" s="7" t="str">
        <x:v>Current CDI</x:v>
      </x:c>
      <x:c r="U21" s="7" t="str">
        <x:v>2495 E ORANGETHORPE AVE STE 200-201 FULLERTON CA, 92831</x:v>
      </x:c>
      <x:c r="V21" s="7" t="str">
        <x:v>Resident</x:v>
      </x:c>
      <x:c r="W21" s="7" t="str">
        <x:v>CA</x:v>
      </x:c>
      <x:c r="X21" s="7" t="str"/>
      <x:c r="Y21" s="7" t="str">
        <x:v>PRIMERICA LIFE INSURANCE COMPANY / Life / 06/20/2025</x:v>
      </x:c>
      <x:c r="Z21" s="7" t="str"/>
      <x:c r="AA21" s="7" t="str"/>
      <x:c r="AB21" s="7" t="str"/>
      <x:c r="AC21" s="7" t="str"/>
      <x:c r="AD21" s="7" t="str">
        <x:v>Active general Life authority | Primerica relationship: matches an explicitly targeted recruiting segment | Direct Life appointments outside the selected health-carrier set: PRIMERICA LIFE INSURANCE COMPANY</x:v>
      </x:c>
      <x:c r="AE21" s="7" t="str"/>
      <x:c r="AF21" s="16" t="n">
        <x:v>1.3</x:v>
      </x:c>
      <x:c r="AG21" s="17" t="n">
        <x:v>265</x:v>
      </x:c>
      <x:c r="AH21" s="7" t="str">
        <x:v>2025-06-20</x:v>
      </x:c>
      <x:c r="AI21" s="7" t="str">
        <x:v>English</x:v>
      </x:c>
      <x:c r="AJ21" s="7" t="str"/>
      <x:c r="AK21" s="15" t="str"/>
      <x:c r="AL21" s="7" t="str"/>
      <x:c r="AM21" s="7" t="str">
        <x:v>AGUILAR MARQUEZ  LAURA</x:v>
      </x:c>
      <x:c r="AN21" s="7" t="str">
        <x:v>https://cdicloud.insurance.ca.gov/cal/LicenseDetail?SearchType=IND&amp;SearchLicNbr=4470047&amp;SearchIndvId=4470047</x:v>
      </x:c>
      <x:c r="AO21" s="7" t="str">
        <x:v>2026-10-08</x:v>
      </x:c>
      <x:c r="AP21" s="7" t="str">
        <x:v>3da67d9bcf536f8de68f4f06c42cedadf2d18fef50b19066ed47fbe5a958c286</x:v>
      </x:c>
      <x:c r="AQ21" s="7" t="str">
        <x:v>Life / Active / 06/19/2025 / 06/19/2025 / 06/30/2027</x:v>
      </x:c>
      <x:c r="AR21" s="7" t="str">
        <x:v>Active</x:v>
      </x:c>
      <x:c r="AS21" s="7" t="str">
        <x:v>Current detail page</x:v>
      </x:c>
    </x:row>
    <x:row r="22" ht="52" customHeight="1">
      <x:c r="A22" s="7" t="str">
        <x:v>AGUILAR NESTOR DANIEL</x:v>
      </x:c>
      <x:c r="B22" s="14" t="str">
        <x:f>"0M59665"</x:f>
        <x:v>0M59665</x:v>
      </x:c>
      <x:c r="C22" s="7" t="str">
        <x:v>Omitted</x:v>
      </x:c>
      <x:c r="D22" s="7" t="str">
        <x:v>PASS</x:v>
      </x:c>
      <x:c r="E22" s="13" t="str">
        <x:v>Pending</x:v>
      </x:c>
      <x:c r="F22" s="13" t="str"/>
      <x:c r="G22" s="13" t="str"/>
      <x:c r="H22" s="13" t="str"/>
      <x:c r="I22" s="7" t="str">
        <x:v>Was this person reviewed? If rejected, give the actual rule and evidence. If acceptable, correct the omission. Confirm whether there was an unrecorded filter or a missed search result.</x:v>
      </x:c>
      <x:c r="J22" s="7" t="str">
        <x:v>P1</x:v>
      </x:c>
      <x:c r="K22" s="7" t="str">
        <x:v>Passes the provisional observable screen. Actual business activity and willingness are unknown; historical omission remains unexplained.</x:v>
      </x:c>
      <x:c r="L22" s="7" t="str">
        <x:v>Not supplied; membership is known, motive is not</x:v>
      </x:c>
      <x:c r="M22" s="7" t="n">
        <x:v>1</x:v>
      </x:c>
      <x:c r="N22" s="7" t="str">
        <x:v>First-call fit for stated IMO focus</x:v>
      </x:c>
      <x:c r="O22" s="7" t="str">
        <x:v>Active</x:v>
      </x:c>
      <x:c r="P22" s="7" t="str">
        <x:v>09/06/2019</x:v>
      </x:c>
      <x:c r="Q22" s="7" t="str">
        <x:v>10/31/2026</x:v>
      </x:c>
      <x:c r="R22" s="7" t="str">
        <x:v>Accident &amp; Health or Sickness; Casualty; Life; Property</x:v>
      </x:c>
      <x:c r="S22" s="15" t="str">
        <x:v>619-948-9933</x:v>
      </x:c>
      <x:c r="T22" s="7" t="str">
        <x:v>Current CDI</x:v>
      </x:c>
      <x:c r="U22" s="7" t="str">
        <x:v>39 PALOMAR ST CHULA VISTA CA, 91911</x:v>
      </x:c>
      <x:c r="V22" s="7" t="str">
        <x:v>Resident</x:v>
      </x:c>
      <x:c r="W22" s="7" t="str">
        <x:v>CA</x:v>
      </x:c>
      <x:c r="X22" s="7" t="str">
        <x:v>KEMJOY CORPORATION / Property / 02/01/2023
KEMJOY CORPORATION / Casualty / 02/01/2023</x:v>
      </x:c>
      <x:c r="Y22" s="7" t="str">
        <x:v>ALLMERICA FINANCIAL BENEFIT INSURANCE COMPANY / Casualty / 02/08/2023
ALLMERICA FINANCIAL BENEFIT INSURANCE COMPANY / Property / 02/08/2023
AMGUARD INSURANCE COMPANY / Casualty / 11/27/2024
AMGUARD INSURANCE COMPANY / Property / 11/27/2024
CITIZENS INSURANCE COMPANY OF AMERICA / Casualty / 02/08/2023
CITIZENS INSURANCE COMPANY OF AMERICA / Property / 02/08/2023
HANOVER AMERICAN INSURANCE COMPANY (THE) / Casualty / 02/08/2023
HANOVER AMERICAN INSURANCE COMPANY (THE) / Property / 02/08/2023
HANOVER INSURANCE COMPANY (THE) / Casualty / 02/08/2023
HANOVER INSURANCE COMPANY (THE) / Property / 02/08/2023
INTEGON NATIONAL INSURANCE COMPANY / Casualty / 09/08/2021
INTEGON NATIONAL INSURANCE COMPANY / Property / 09/08/2021
MASSACHUSETTS BAY INSURANCE COMPANY / Casualty / 02/08/2023
MASSACHUSETTS BAY INSURANCE COMPANY / Property / 02/08/2023
NATIONAL GENERAL ASSURANCE COMPANY / Casualty / 09/08/2021
NATIONAL GENERAL ASSURANCE COMPANY / Property / 09/08/2021
NORGUARD INSURANCE COMPANY / Casualty / 11/27/2024
PROTECTIVE LIFE INSURANCE COMPANY / Accident &amp; Health or Sickness / 11/22/2021
PROTECTIVE LIFE INSURANCE COMPANY / Life / 11/22/2021</x:v>
      </x:c>
      <x:c r="Z22" s="7" t="str"/>
      <x:c r="AA22" s="7" t="str"/>
      <x:c r="AB22" s="7" t="str"/>
      <x:c r="AC22" s="7" t="str"/>
      <x:c r="AD22" s="7" t="str">
        <x:v>Active general Life authority | Direct Life appointments outside the selected health-carrier set: PROTECTIVE LIFE INSURANCE COMPANY | Active A&amp;H supports optional cross-selling; not necessary for target products</x:v>
      </x:c>
      <x:c r="AE22" s="7" t="str">
        <x:v>Mixed P&amp;C/Life qualifications; not an exclusion because approved examples have both | Life expiration in 23 days: confirm renewal during onboarding</x:v>
      </x:c>
      <x:c r="AF22" s="16" t="n">
        <x:v>7.1</x:v>
      </x:c>
      <x:c r="AG22" s="17" t="n">
        <x:v>23</x:v>
      </x:c>
      <x:c r="AH22" s="7" t="str">
        <x:v>2021-11-22</x:v>
      </x:c>
      <x:c r="AI22" s="7" t="str">
        <x:v>English</x:v>
      </x:c>
      <x:c r="AJ22" s="7" t="str"/>
      <x:c r="AK22" s="15" t="str"/>
      <x:c r="AL22" s="7" t="str"/>
      <x:c r="AM22" s="7" t="str">
        <x:v>Aguilar D Nestor | AGUILAR DANIEL NESTOR</x:v>
      </x:c>
      <x:c r="AN22" s="7" t="str">
        <x:v>https://cdicloud.insurance.ca.gov/cal/LicenseDetail?SearchType=IND&amp;SearchLicNbr=0M59665&amp;SearchIndvId=2046072</x:v>
      </x:c>
      <x:c r="AO22" s="7" t="str">
        <x:v>2026-10-08</x:v>
      </x:c>
      <x:c r="AP22" s="7" t="str">
        <x:v>f713fb5eeea1cb08df4419b840cf0a734319442f38ca372ea54e6f372a0b57a3</x:v>
      </x:c>
      <x:c r="AQ22" s="7" t="str">
        <x:v>Accident &amp; Health or Sickness / Active / 09/06/2019 / 09/06/2019 / 10/31/2026
Casualty / Active / 10/02/2018 / 10/02/2018 / 10/31/2026
Life / Active / 09/06/2019 / 09/06/2019 / 10/31/2026
Property / Active / 10/02/2018 / 10/02/2018 / 10/31/2026</x:v>
      </x:c>
      <x:c r="AR22" s="7" t="str">
        <x:v>Active</x:v>
      </x:c>
      <x:c r="AS22" s="7" t="str">
        <x:v>Current detail page</x:v>
      </x:c>
    </x:row>
    <x:row r="23" ht="52" customHeight="1">
      <x:c r="A23" s="7" t="str">
        <x:v>AGUILAR PADILLA LINDA LETICIA</x:v>
      </x:c>
      <x:c r="B23" s="14" t="str">
        <x:f>"4310704"</x:f>
        <x:v>4310704</x:v>
      </x:c>
      <x:c r="C23" s="7" t="str">
        <x:v>Omitted</x:v>
      </x:c>
      <x:c r="D23" s="7" t="str">
        <x:v>PASS</x:v>
      </x:c>
      <x:c r="E23" s="13" t="str">
        <x:v>Pending</x:v>
      </x:c>
      <x:c r="F23" s="13" t="str"/>
      <x:c r="G23" s="13" t="str"/>
      <x:c r="H23" s="13" t="str"/>
      <x:c r="I23" s="7" t="str">
        <x:v>Was this person reviewed? If rejected, give the actual rule and evidence. If acceptable, correct the omission. Confirm whether there was an unrecorded filter or a missed search result.</x:v>
      </x:c>
      <x:c r="J23" s="7" t="str">
        <x:v>P1</x:v>
      </x:c>
      <x:c r="K23" s="7" t="str">
        <x:v>Passes the provisional observable screen. Actual business activity and willingness are unknown; historical omission remains unexplained.</x:v>
      </x:c>
      <x:c r="L23" s="7" t="str">
        <x:v>Not supplied; membership is known, motive is not</x:v>
      </x:c>
      <x:c r="M23" s="7" t="n">
        <x:v>1</x:v>
      </x:c>
      <x:c r="N23" s="7" t="str">
        <x:v>First-call fit for stated IMO focus</x:v>
      </x:c>
      <x:c r="O23" s="7" t="str">
        <x:v>Active</x:v>
      </x:c>
      <x:c r="P23" s="7" t="str">
        <x:v>07/19/2023</x:v>
      </x:c>
      <x:c r="Q23" s="7" t="str">
        <x:v>07/31/2027</x:v>
      </x:c>
      <x:c r="R23" s="7" t="str">
        <x:v>Life; Var Life and Var Annuity</x:v>
      </x:c>
      <x:c r="S23" s="15" t="str">
        <x:v>909-882-3119</x:v>
      </x:c>
      <x:c r="T23" s="7" t="str">
        <x:v>Current CDI</x:v>
      </x:c>
      <x:c r="U23" s="7" t="str">
        <x:v>315 W HIGHLAND AVE SAN BERNARDINO CA, 92405-4011</x:v>
      </x:c>
      <x:c r="V23" s="7" t="str">
        <x:v>Resident</x:v>
      </x:c>
      <x:c r="W23" s="7" t="str">
        <x:v>CA</x:v>
      </x:c>
      <x:c r="X23" s="7" t="str"/>
      <x:c r="Y23" s="7" t="str"/>
      <x:c r="Z23" s="7" t="str"/>
      <x:c r="AA23" s="7" t="str"/>
      <x:c r="AB23" s="7" t="str"/>
      <x:c r="AC23" s="7" t="str"/>
      <x:c r="AD23" s="7" t="str">
        <x:v>Active general Life authority | No agency or insurer displayed: onboarding opportunity possible; existing business unknown</x:v>
      </x:c>
      <x:c r="AE23" s="7" t="str">
        <x:v>Variable authority: financial-advice/variable-product capability; not needed for fixed annuities and not an automatic exclusion</x:v>
      </x:c>
      <x:c r="AF23" s="16" t="n">
        <x:v>3.2</x:v>
      </x:c>
      <x:c r="AG23" s="17" t="n">
        <x:v>296</x:v>
      </x:c>
      <x:c r="AH23" s="7" t="str"/>
      <x:c r="AI23" s="7" t="str">
        <x:v>English</x:v>
      </x:c>
      <x:c r="AJ23" s="7" t="str"/>
      <x:c r="AK23" s="15" t="str"/>
      <x:c r="AL23" s="7" t="str"/>
      <x:c r="AM23" s="7" t="str">
        <x:v>Aguilar  Linda | Aguilar Leticia Linda | Aguilar Padilla  Linda | Aguilar Padilla Leticia Linda | AGUILAR PADILLA LETICIA LINDA | Aguilarpadilla  Linda</x:v>
      </x:c>
      <x:c r="AN23" s="7" t="str">
        <x:v>https://cdicloud.insurance.ca.gov/cal/LicenseDetail?SearchType=IND&amp;SearchLicNbr=4310704&amp;SearchIndvId=4310704</x:v>
      </x:c>
      <x:c r="AO23" s="7" t="str">
        <x:v>2026-10-08</x:v>
      </x:c>
      <x:c r="AP23" s="7" t="str">
        <x:v>6f04992a6ec99cea666b8960f5d5a920f5f2a04c302bcaf241f448fb930a65a0</x:v>
      </x:c>
      <x:c r="AQ23" s="7" t="str">
        <x:v>Life / Active / 07/19/2023 / 07/19/2023 / 07/31/2027
Var Life and Var Annuity / Active / 08/01/2023 / 08/01/2023 / 07/31/2027</x:v>
      </x:c>
      <x:c r="AR23" s="7" t="str">
        <x:v>Active</x:v>
      </x:c>
      <x:c r="AS23" s="7" t="str">
        <x:v>Current detail page</x:v>
      </x:c>
    </x:row>
    <x:row r="24" ht="52" customHeight="1">
      <x:c r="A24" s="7" t="str">
        <x:v>AGUILAR ROBLES MARTHA ISABEL</x:v>
      </x:c>
      <x:c r="B24" s="14" t="str">
        <x:f>"4200766"</x:f>
        <x:v>4200766</x:v>
      </x:c>
      <x:c r="C24" s="7" t="str">
        <x:v>Omitted</x:v>
      </x:c>
      <x:c r="D24" s="7" t="str">
        <x:v>PASS</x:v>
      </x:c>
      <x:c r="E24" s="13" t="str">
        <x:v>Pending</x:v>
      </x:c>
      <x:c r="F24" s="13" t="str"/>
      <x:c r="G24" s="13" t="str"/>
      <x:c r="H24" s="13" t="str"/>
      <x:c r="I24" s="7" t="str">
        <x:v>Was this person reviewed? If rejected, give the actual rule and evidence. If acceptable, correct the omission. Confirm whether there was an unrecorded filter or a missed search result.</x:v>
      </x:c>
      <x:c r="J24" s="7" t="str">
        <x:v>P1</x:v>
      </x:c>
      <x:c r="K24" s="7" t="str">
        <x:v>Passes the provisional observable screen. Actual business activity and willingness are unknown; historical omission remains unexplained.</x:v>
      </x:c>
      <x:c r="L24" s="7" t="str">
        <x:v>Not supplied; membership is known, motive is not</x:v>
      </x:c>
      <x:c r="M24" s="7" t="n">
        <x:v>1</x:v>
      </x:c>
      <x:c r="N24" s="7" t="str">
        <x:v>First-call fit for stated IMO focus</x:v>
      </x:c>
      <x:c r="O24" s="7" t="str">
        <x:v>Active</x:v>
      </x:c>
      <x:c r="P24" s="7" t="str">
        <x:v>04/01/2022</x:v>
      </x:c>
      <x:c r="Q24" s="7" t="str">
        <x:v>04/30/2028</x:v>
      </x:c>
      <x:c r="R24" s="7" t="str">
        <x:v>Life</x:v>
      </x:c>
      <x:c r="S24" s="15" t="str">
        <x:v>323-453-2412</x:v>
      </x:c>
      <x:c r="T24" s="7" t="str">
        <x:v>Current CDI</x:v>
      </x:c>
      <x:c r="U24" s="7" t="str">
        <x:v>10812 1/2 LONG BEACH BLVD LYNWOOD CA, 90262</x:v>
      </x:c>
      <x:c r="V24" s="7" t="str">
        <x:v>Resident</x:v>
      </x:c>
      <x:c r="W24" s="7" t="str">
        <x:v>CA</x:v>
      </x:c>
      <x:c r="X24" s="7" t="str"/>
      <x:c r="Y24" s="7" t="str">
        <x:v>FIDELITY &amp; GUARANTY LIFE INSURANCE COMPANY / Life / 03/18/2025
GREAT WESTERN INSURANCE COMPANY / Life / 08/07/2026</x:v>
      </x:c>
      <x:c r="Z24" s="7" t="str"/>
      <x:c r="AA24" s="7" t="str"/>
      <x:c r="AB24" s="7" t="str"/>
      <x:c r="AC24" s="7" t="str"/>
      <x:c r="AD24" s="7" t="str">
        <x:v>Active general Life authority | Direct Life appointments outside the selected health-carrier set: FIDELITY &amp; GUARANTY LIFE INSURANCE COMPANY, GREAT WESTERN INSURANCE COMPANY</x:v>
      </x:c>
      <x:c r="AE24" s="7" t="str"/>
      <x:c r="AF24" s="16" t="n">
        <x:v>4.5</x:v>
      </x:c>
      <x:c r="AG24" s="17" t="n">
        <x:v>570</x:v>
      </x:c>
      <x:c r="AH24" s="7" t="str">
        <x:v>2026-08-07</x:v>
      </x:c>
      <x:c r="AI24" s="7" t="str">
        <x:v>English</x:v>
      </x:c>
      <x:c r="AJ24" s="7" t="str"/>
      <x:c r="AK24" s="15" t="str"/>
      <x:c r="AL24" s="7" t="str"/>
      <x:c r="AM24" s="7" t="str">
        <x:v>AGUILAR ROBLES ISABEL MARTHA</x:v>
      </x:c>
      <x:c r="AN24" s="7" t="str">
        <x:v>https://cdicloud.insurance.ca.gov/cal/LicenseDetail?SearchType=IND&amp;SearchLicNbr=4200766&amp;SearchIndvId=4200766</x:v>
      </x:c>
      <x:c r="AO24" s="7" t="str">
        <x:v>2026-10-08</x:v>
      </x:c>
      <x:c r="AP24" s="7" t="str">
        <x:v>c24dde3c4731bb65e0eeb1ecf7694456014d2bef4bb431f5d9798bf907ac4d1f</x:v>
      </x:c>
      <x:c r="AQ24" s="7" t="str">
        <x:v>Life / Active / 04/01/2022 / 04/01/2022 / 04/30/2028</x:v>
      </x:c>
      <x:c r="AR24" s="7" t="str">
        <x:v>Active</x:v>
      </x:c>
      <x:c r="AS24" s="7" t="str">
        <x:v>Current detail page</x:v>
      </x:c>
    </x:row>
    <x:row r="25" ht="52" customHeight="1">
      <x:c r="A25" s="7" t="str">
        <x:v>AGUILAR ROGELIO A JR</x:v>
      </x:c>
      <x:c r="B25" s="14" t="str">
        <x:f>"0M68645"</x:f>
        <x:v>0M68645</x:v>
      </x:c>
      <x:c r="C25" s="7" t="str">
        <x:v>Omitted</x:v>
      </x:c>
      <x:c r="D25" s="7" t="str">
        <x:v>PASS</x:v>
      </x:c>
      <x:c r="E25" s="13" t="str">
        <x:v>Pending</x:v>
      </x:c>
      <x:c r="F25" s="13" t="str"/>
      <x:c r="G25" s="13" t="str"/>
      <x:c r="H25" s="13" t="str"/>
      <x:c r="I25" s="7" t="str">
        <x:v>Was this person reviewed? If rejected, give the actual rule and evidence. If acceptable, correct the omission. Confirm whether there was an unrecorded filter or a missed search result.</x:v>
      </x:c>
      <x:c r="J25" s="7" t="str">
        <x:v>P1</x:v>
      </x:c>
      <x:c r="K25" s="7" t="str">
        <x:v>Passes the provisional observable screen. Actual business activity and willingness are unknown; historical omission remains unexplained.</x:v>
      </x:c>
      <x:c r="L25" s="7" t="str">
        <x:v>Not supplied; membership is known, motive is not</x:v>
      </x:c>
      <x:c r="M25" s="7" t="n">
        <x:v>1</x:v>
      </x:c>
      <x:c r="N25" s="7" t="str">
        <x:v>First-call fit for stated IMO focus</x:v>
      </x:c>
      <x:c r="O25" s="7" t="str">
        <x:v>Active</x:v>
      </x:c>
      <x:c r="P25" s="7" t="str">
        <x:v>12/02/2025</x:v>
      </x:c>
      <x:c r="Q25" s="7" t="str">
        <x:v>12/31/2027</x:v>
      </x:c>
      <x:c r="R25" s="7" t="str">
        <x:v>Life; Personal Lines</x:v>
      </x:c>
      <x:c r="S25" s="15" t="str">
        <x:v>760-485-8480</x:v>
      </x:c>
      <x:c r="T25" s="7" t="str">
        <x:v>Current CDI</x:v>
      </x:c>
      <x:c r="U25" s="7" t="str">
        <x:v>3333 FAIRVIEW RD A124 COSTA MESA CA, 92626</x:v>
      </x:c>
      <x:c r="V25" s="7" t="str">
        <x:v>Resident</x:v>
      </x:c>
      <x:c r="W25" s="7" t="str">
        <x:v>CA</x:v>
      </x:c>
      <x:c r="X25" s="7" t="str">
        <x:v>AUTOMOBILE CLUB OF SOUTHERN CALIFORNIA / Personal Lines / 12/02/2025</x:v>
      </x:c>
      <x:c r="Y25" s="7" t="str">
        <x:v>AAA LIFE INSURANCE COMPANY / Life / 02/16/2026</x:v>
      </x:c>
      <x:c r="Z25" s="7" t="str"/>
      <x:c r="AA25" s="7" t="str"/>
      <x:c r="AB25" s="7" t="str"/>
      <x:c r="AC25" s="7" t="str"/>
      <x:c r="AD25" s="7" t="str">
        <x:v>Active general Life authority | Direct Life appointments outside the selected health-carrier set: AAA LIFE INSURANCE COMPANY</x:v>
      </x:c>
      <x:c r="AE25" s="7" t="str">
        <x:v>Mixed P&amp;C/Life qualifications; not an exclusion because approved examples have both</x:v>
      </x:c>
      <x:c r="AF25" s="16" t="n">
        <x:v>0.8</x:v>
      </x:c>
      <x:c r="AG25" s="17" t="n">
        <x:v>449</x:v>
      </x:c>
      <x:c r="AH25" s="7" t="str">
        <x:v>2026-02-16</x:v>
      </x:c>
      <x:c r="AI25" s="7" t="str">
        <x:v>English</x:v>
      </x:c>
      <x:c r="AJ25" s="7" t="str"/>
      <x:c r="AK25" s="15" t="str"/>
      <x:c r="AL25" s="7" t="str"/>
      <x:c r="AM25" s="7" t="str">
        <x:v>AGUILAR A ROGELIO | AGUILAR  ROGER</x:v>
      </x:c>
      <x:c r="AN25" s="7" t="str">
        <x:v>https://cdicloud.insurance.ca.gov/cal/LicenseDetail?SearchType=IND&amp;SearchLicNbr=0M68645&amp;SearchIndvId=2071147</x:v>
      </x:c>
      <x:c r="AO25" s="7" t="str">
        <x:v>2026-10-08</x:v>
      </x:c>
      <x:c r="AP25" s="7" t="str">
        <x:v>bbf5f90fd081e35666672e13e8a4bf50294b95512e2a86354df9aa8b290ca6e4</x:v>
      </x:c>
      <x:c r="AQ25" s="7" t="str">
        <x:v>Life / Active / 12/02/2025 / 12/02/2025 / 12/31/2027
Personal Lines / Active / 12/02/2025 / 12/02/2025 / 12/31/2027</x:v>
      </x:c>
      <x:c r="AR25" s="7" t="str">
        <x:v>Active</x:v>
      </x:c>
      <x:c r="AS25" s="7" t="str">
        <x:v>Current detail page</x:v>
      </x:c>
    </x:row>
    <x:row r="26" ht="52" customHeight="1">
      <x:c r="A26" s="7" t="str">
        <x:v>AGUILAR ROJAS ESTEFANI DE LOS ANGEL</x:v>
      </x:c>
      <x:c r="B26" s="14" t="str">
        <x:f>"4537640"</x:f>
        <x:v>4537640</x:v>
      </x:c>
      <x:c r="C26" s="7" t="str">
        <x:v>Omitted</x:v>
      </x:c>
      <x:c r="D26" s="7" t="str">
        <x:v>PASS</x:v>
      </x:c>
      <x:c r="E26" s="13" t="str">
        <x:v>Pending</x:v>
      </x:c>
      <x:c r="F26" s="13" t="str"/>
      <x:c r="G26" s="13" t="str"/>
      <x:c r="H26" s="13" t="str"/>
      <x:c r="I26" s="7" t="str">
        <x:v>Was this person reviewed? If rejected, give the actual rule and evidence. If acceptable, correct the omission. Confirm whether there was an unrecorded filter or a missed search result.</x:v>
      </x:c>
      <x:c r="J26" s="7" t="str">
        <x:v>P1</x:v>
      </x:c>
      <x:c r="K26" s="7" t="str">
        <x:v>Passes the provisional observable screen. Actual business activity and willingness are unknown; historical omission remains unexplained.</x:v>
      </x:c>
      <x:c r="L26" s="7" t="str">
        <x:v>Not supplied; membership is known, motive is not</x:v>
      </x:c>
      <x:c r="M26" s="7" t="n">
        <x:v>1</x:v>
      </x:c>
      <x:c r="N26" s="7" t="str">
        <x:v>First-call fit for stated IMO focus</x:v>
      </x:c>
      <x:c r="O26" s="7" t="str">
        <x:v>Active</x:v>
      </x:c>
      <x:c r="P26" s="7" t="str">
        <x:v>05/05/2026</x:v>
      </x:c>
      <x:c r="Q26" s="7" t="str">
        <x:v>05/31/2028</x:v>
      </x:c>
      <x:c r="R26" s="7" t="str">
        <x:v>Life</x:v>
      </x:c>
      <x:c r="S26" s="15" t="str">
        <x:v>209-696-1236</x:v>
      </x:c>
      <x:c r="T26" s="7" t="str">
        <x:v>Current CDI</x:v>
      </x:c>
      <x:c r="U26" s="7" t="str">
        <x:v>1101 SYLVAN AVE A25A MODESTO CA, 95350</x:v>
      </x:c>
      <x:c r="V26" s="7" t="str">
        <x:v>Resident</x:v>
      </x:c>
      <x:c r="W26" s="7" t="str">
        <x:v>CA</x:v>
      </x:c>
      <x:c r="X26" s="7" t="str"/>
      <x:c r="Y26" s="7" t="str">
        <x:v>LIFE INSURANCE COMPANY OF THE SOUTHWEST / Life / 05/20/2026</x:v>
      </x:c>
      <x:c r="Z26" s="7" t="str"/>
      <x:c r="AA26" s="7" t="str"/>
      <x:c r="AB26" s="7" t="str"/>
      <x:c r="AC26" s="7" t="str"/>
      <x:c r="AD26" s="7" t="str">
        <x:v>Active general Life authority | Direct Life appointments outside the selected health-carrier set: LIFE INSURANCE COMPANY OF THE SOUTHWEST</x:v>
      </x:c>
      <x:c r="AE26" s="7" t="str"/>
      <x:c r="AF26" s="16" t="n">
        <x:v>0.4</x:v>
      </x:c>
      <x:c r="AG26" s="17" t="n">
        <x:v>601</x:v>
      </x:c>
      <x:c r="AH26" s="7" t="str">
        <x:v>2026-05-20</x:v>
      </x:c>
      <x:c r="AI26" s="7" t="str">
        <x:v>English</x:v>
      </x:c>
      <x:c r="AJ26" s="7" t="str"/>
      <x:c r="AK26" s="15" t="str"/>
      <x:c r="AL26" s="7" t="str"/>
      <x:c r="AM26" s="7" t="str">
        <x:v>AGUILAR ROJAS DE LOS ANGEL ESTEFANI</x:v>
      </x:c>
      <x:c r="AN26" s="7" t="str">
        <x:v>https://cdicloud.insurance.ca.gov/cal/LicenseDetail?SearchType=IND&amp;SearchLicNbr=4537640&amp;SearchIndvId=4537640</x:v>
      </x:c>
      <x:c r="AO26" s="7" t="str">
        <x:v>2026-10-08</x:v>
      </x:c>
      <x:c r="AP26" s="7" t="str">
        <x:v>1e7ad518f1ed75aed71f74084f2e9fd9c837a50cfb231e33572b82c0f75d4ea6</x:v>
      </x:c>
      <x:c r="AQ26" s="7" t="str">
        <x:v>Life / Active / 05/05/2026 / 05/05/2026 / 05/31/2028</x:v>
      </x:c>
      <x:c r="AR26" s="7" t="str">
        <x:v>Active</x:v>
      </x:c>
      <x:c r="AS26" s="7" t="str">
        <x:v>Current detail page</x:v>
      </x:c>
    </x:row>
    <x:row r="27" ht="52" customHeight="1">
      <x:c r="A27" s="7" t="str">
        <x:v>AGUILAR ROMMEL ESPEJO</x:v>
      </x:c>
      <x:c r="B27" s="14" t="str">
        <x:f>"0710867"</x:f>
        <x:v>0710867</x:v>
      </x:c>
      <x:c r="C27" s="7" t="str">
        <x:v>Omitted</x:v>
      </x:c>
      <x:c r="D27" s="7" t="str">
        <x:v>PASS</x:v>
      </x:c>
      <x:c r="E27" s="13" t="str">
        <x:v>Pending</x:v>
      </x:c>
      <x:c r="F27" s="13" t="str"/>
      <x:c r="G27" s="13" t="str"/>
      <x:c r="H27" s="13" t="str"/>
      <x:c r="I27" s="7" t="str">
        <x:v>Was this person reviewed? If rejected, give the actual rule and evidence. If acceptable, correct the omission. Confirm whether there was an unrecorded filter or a missed search result.</x:v>
      </x:c>
      <x:c r="J27" s="7" t="str">
        <x:v>P1</x:v>
      </x:c>
      <x:c r="K27" s="7" t="str">
        <x:v>Passes the provisional observable screen. Actual business activity and willingness are unknown; historical omission remains unexplained.</x:v>
      </x:c>
      <x:c r="L27" s="7" t="str">
        <x:v>Not supplied; membership is known, motive is not</x:v>
      </x:c>
      <x:c r="M27" s="7" t="n">
        <x:v>1</x:v>
      </x:c>
      <x:c r="N27" s="7" t="str">
        <x:v>First-call fit for stated IMO focus</x:v>
      </x:c>
      <x:c r="O27" s="7" t="str">
        <x:v>Active</x:v>
      </x:c>
      <x:c r="P27" s="7" t="str">
        <x:v>09/04/1986</x:v>
      </x:c>
      <x:c r="Q27" s="7" t="str">
        <x:v>09/30/2028</x:v>
      </x:c>
      <x:c r="R27" s="7" t="str">
        <x:v>Accident &amp; Health or Sickness; Life</x:v>
      </x:c>
      <x:c r="S27" s="15" t="str">
        <x:v>707-975-6164</x:v>
      </x:c>
      <x:c r="T27" s="7" t="str">
        <x:v>Current CDI</x:v>
      </x:c>
      <x:c r="U27" s="7" t="str">
        <x:v>406 RONSHEIMER RD. PENNGROVE CA, 94951-8689</x:v>
      </x:c>
      <x:c r="V27" s="7" t="str">
        <x:v>Resident</x:v>
      </x:c>
      <x:c r="W27" s="7" t="str">
        <x:v>CA</x:v>
      </x:c>
      <x:c r="X27" s="7" t="str">
        <x:v>ACSIA PARTNERS, LLC / Accident &amp; Health or Sickness / 05/26/2016
ACSIA PARTNERS, LLC / Life / 05/26/2016</x:v>
      </x:c>
      <x:c r="Y27" s="7" t="str">
        <x:v>AMERITAS LIFE INSURANCE CORP. / Life / 05/01/2020
ATHENE ANNUITY AND LIFE COMPANY / Life / 05/28/2024
FIDELITY &amp; GUARANTY LIFE INSURANCE COMPANY / Life / 08/17/2026
INVESTORS HERITAGE LIFE INSURANCE COMPANY / Life / 09/13/2022
MINNESOTA LIFE INSURANCE COMPANY / Accident &amp; Health or Sickness / 10/27/2016
MINNESOTA LIFE INSURANCE COMPANY / Life / 10/27/2016
NASSAU LIFE AND ANNUITY COMPANY / Life / 03/09/2021
NATIONWIDE LIFE AND ANNUITY INSURANCE COMPANY / Accident &amp; Health or Sickness / 03/24/2016
NATIONWIDE LIFE AND ANNUITY INSURANCE COMPANY / Life / 03/24/2016
NORTH AMERICAN COMPANY FOR LIFE AND HEALTH INSURANCE / Life / 02/06/2018
SECURIAN LIFE INSURANCE COMPANY / Accident &amp; Health or Sickness / 03/13/2017
SECURIAN LIFE INSURANCE COMPANY / Life / 03/13/2017
SECURITY BENEFIT LIFE INSURANCE COMPANY / Life / 12/03/2018
SENTINEL SECURITY LIFE INSURANCE COMPANY / Life / 10/04/2024
SILAC INSURANCE COMPANY / Life / 05/13/2020</x:v>
      </x:c>
      <x:c r="Z27" s="7" t="str"/>
      <x:c r="AA27" s="7" t="str"/>
      <x:c r="AB27" s="7" t="str"/>
      <x:c r="AC27" s="7" t="str"/>
      <x:c r="AD27" s="7" t="str">
        <x:v>Active general Life authority | Direct Life appointments outside the selected health-carrier set: AMERITAS LIFE INSURANCE CORP., ATHENE ANNUITY AND LIFE COMPANY, FIDELITY &amp; GUARANTY LIFE INSURANCE COMPANY, INVESTORS HERITAGE LIFE INSURANCE COMPANY, MINNESOTA LIFE INSURANCE COMPANY, NASSAU LIFE AND ANNUITY COMPANY, NATIONWIDE LIFE AND ANNUITY INSURANCE COMPANY, NORTH AMERICAN COMPANY FOR LIFE AND HEALTH INSURANCE, SECURIAN LIFE INSURANCE COMPANY, SECURITY BENEFIT LIFE INSURANCE COMPANY, SENTINEL SECURITY LIFE INSURANCE COMPANY, SILAC INSURANCE COMPANY | Active A&amp;H supports optional cross-selling; not necessary for target products</x:v>
      </x:c>
      <x:c r="AE27" s="7" t="str"/>
      <x:c r="AF27" s="16" t="n">
        <x:v>40.1</x:v>
      </x:c>
      <x:c r="AG27" s="17" t="n">
        <x:v>723</x:v>
      </x:c>
      <x:c r="AH27" s="7" t="str">
        <x:v>2026-08-17</x:v>
      </x:c>
      <x:c r="AI27" s="7" t="str">
        <x:v>English</x:v>
      </x:c>
      <x:c r="AJ27" s="7" t="str"/>
      <x:c r="AK27" s="15" t="str"/>
      <x:c r="AL27" s="7" t="str"/>
      <x:c r="AM27" s="7" t="str">
        <x:v>AGUILAR ESPEJO ROMMEL</x:v>
      </x:c>
      <x:c r="AN27" s="7" t="str">
        <x:v>https://cdicloud.insurance.ca.gov/cal/LicenseDetail?SearchType=IND&amp;SearchLicNbr=0710867&amp;SearchIndvId=419608</x:v>
      </x:c>
      <x:c r="AO27" s="7" t="str">
        <x:v>2026-10-08</x:v>
      </x:c>
      <x:c r="AP27" s="7" t="str">
        <x:v>9dea91a2cc80d514f2ea17cad530e676287e4897ea797b0b2e6d830667ddbc54</x:v>
      </x:c>
      <x:c r="AQ27" s="7" t="str">
        <x:v>Accident &amp; Health or Sickness / Active / 09/04/1986 / 10/05/2012 / 09/30/2028
Life / Active / 09/04/1986 / 10/05/2012 / 09/30/2028
Casualty / Inactive / 06/01/1987 / 09/30/2022 / 09/30/2022
Property / Inactive / 06/01/1987 / 09/30/2022 / 09/30/2022</x:v>
      </x:c>
      <x:c r="AR27" s="7" t="str">
        <x:v>Active</x:v>
      </x:c>
      <x:c r="AS27" s="7" t="str">
        <x:v>Current detail page</x:v>
      </x:c>
    </x:row>
    <x:row r="28" ht="52" customHeight="1">
      <x:c r="A28" s="7" t="str">
        <x:v>AGUILAR SALVADOR</x:v>
      </x:c>
      <x:c r="B28" s="14" t="str">
        <x:f>"0L70688"</x:f>
        <x:v>0L70688</x:v>
      </x:c>
      <x:c r="C28" s="7" t="str">
        <x:v>Omitted</x:v>
      </x:c>
      <x:c r="D28" s="7" t="str">
        <x:v>PASS</x:v>
      </x:c>
      <x:c r="E28" s="13" t="str">
        <x:v>Pending</x:v>
      </x:c>
      <x:c r="F28" s="13" t="str"/>
      <x:c r="G28" s="13" t="str"/>
      <x:c r="H28" s="13" t="str"/>
      <x:c r="I28" s="7" t="str">
        <x:v>Was this person reviewed? If rejected, give the actual rule and evidence. If acceptable, correct the omission. Confirm whether there was an unrecorded filter or a missed search result.</x:v>
      </x:c>
      <x:c r="J28" s="7" t="str">
        <x:v>P1</x:v>
      </x:c>
      <x:c r="K28" s="7" t="str">
        <x:v>Passes the provisional observable screen. Actual business activity and willingness are unknown; historical omission remains unexplained.</x:v>
      </x:c>
      <x:c r="L28" s="7" t="str">
        <x:v>Not supplied; membership is known, motive is not</x:v>
      </x:c>
      <x:c r="M28" s="7" t="n">
        <x:v>1</x:v>
      </x:c>
      <x:c r="N28" s="7" t="str">
        <x:v>First-call fit for stated IMO focus</x:v>
      </x:c>
      <x:c r="O28" s="7" t="str">
        <x:v>Active</x:v>
      </x:c>
      <x:c r="P28" s="7" t="str">
        <x:v>04/18/2017</x:v>
      </x:c>
      <x:c r="Q28" s="7" t="str">
        <x:v>04/30/2027</x:v>
      </x:c>
      <x:c r="R28" s="7" t="str">
        <x:v>Accident &amp; Health or Sickness; Life</x:v>
      </x:c>
      <x:c r="S28" s="15" t="str">
        <x:v>619-277-6370</x:v>
      </x:c>
      <x:c r="T28" s="7" t="str">
        <x:v>Current CDI</x:v>
      </x:c>
      <x:c r="U28" s="7" t="str">
        <x:v>6875 OSTERLING CT SAN DIEGO CA, 92114</x:v>
      </x:c>
      <x:c r="V28" s="7" t="str">
        <x:v>Resident</x:v>
      </x:c>
      <x:c r="W28" s="7" t="str">
        <x:v>CA</x:v>
      </x:c>
      <x:c r="X28" s="7" t="str"/>
      <x:c r="Y28" s="7" t="str">
        <x:v>5 STAR LIFE INSURANCE COMPANY / Accident &amp; Health or Sickness / 07/17/2018
5 STAR LIFE INSURANCE COMPANY / Life / 07/17/2018
ACE AMERICAN INSURANCE COMPANY / Accident &amp; Health or Sickness / 10/04/2024
ACE PROPERTY AND CASUALTY INSURANCE COMPANY / Accident &amp; Health or Sickness / 10/04/2024
AMERICAN HERITAGE LIFE INSURANCE COMPANY / Accident &amp; Health or Sickness / 10/04/2018
AMERICAN HERITAGE LIFE INSURANCE COMPANY / Life / 10/04/2018
COMBINED INSURANCE COMPANY OF AMERICA / Accident &amp; Health or Sickness / 10/02/2024
COMBINED INSURANCE COMPANY OF AMERICA / Life / 10/02/2024
CONTINENTAL AMERICAN INSURANCE COMPANY / Accident &amp; Health or Sickness / 10/24/2019
CONTINENTAL AMERICAN INSURANCE COMPANY / Disability Only / 10/22/2024
CONTINENTAL AMERICAN INSURANCE COMPANY / Life / 10/24/2019
GOLDEN RULE INSURANCE COMPANY / Accident &amp; Health or Sickness / 03/03/2021
GOLDEN RULE INSURANCE COMPANY / Life / 03/03/2021
RELIASTAR LIFE INSURANCE COMPANY / Accident &amp; Health or Sickness / 08/28/2020
RELIASTAR LIFE INSURANCE COMPANY / Life / 08/28/2020
STANDARD INSURANCE COMPANY / Accident &amp; Health or Sickness / 10/24/2021
STANDARD INSURANCE COMPANY / Disability Only / 10/24/2021
STANDARD INSURANCE COMPANY / Life Only (Limited) / 10/24/2021
STANDARD INSURANCE COMPANY / Life / 10/24/2021
TRANSAMERICA LIFE INSURANCE COMPANY / Accident &amp; Health or Sickness / 10/23/2017
TRANSAMERICA LIFE INSURANCE COMPANY / Life / 10/23/2017
TRUSTMARK INSURANCE COMPANY / Accident &amp; Health or Sickness / 05/03/2022
TRUSTMARK INSURANCE COMPANY / Life / 05/03/2022</x:v>
      </x:c>
      <x:c r="Z28" s="7" t="str"/>
      <x:c r="AA28" s="7" t="str"/>
      <x:c r="AB28" s="7" t="str"/>
      <x:c r="AC28" s="7" t="str"/>
      <x:c r="AD28" s="7" t="str">
        <x:v>Active general Life authority | Direct Life appointments outside the selected health-carrier set: 5 STAR LIFE INSURANCE COMPANY, AMERICAN HERITAGE LIFE INSURANCE COMPANY, COMBINED INSURANCE COMPANY OF AMERICA, CONTINENTAL AMERICAN INSURANCE COMPANY, GOLDEN RULE INSURANCE COMPANY, RELIASTAR LIFE INSURANCE COMPANY, STANDARD INSURANCE COMPANY, TRANSAMERICA LIFE INSURANCE COMPANY, TRUSTMARK INSURANCE COMPANY | Active A&amp;H supports optional cross-selling; not necessary for target products</x:v>
      </x:c>
      <x:c r="AE28" s="7" t="str"/>
      <x:c r="AF28" s="16" t="n">
        <x:v>9.5</x:v>
      </x:c>
      <x:c r="AG28" s="17" t="n">
        <x:v>204</x:v>
      </x:c>
      <x:c r="AH28" s="7" t="str">
        <x:v>2024-10-02</x:v>
      </x:c>
      <x:c r="AI28" s="7" t="str">
        <x:v>English</x:v>
      </x:c>
      <x:c r="AJ28" s="7" t="str"/>
      <x:c r="AK28" s="15" t="str"/>
      <x:c r="AL28" s="7" t="str"/>
      <x:c r="AM28" s="7" t="str">
        <x:v>AGUILAR  SALVADOR</x:v>
      </x:c>
      <x:c r="AN28" s="7" t="str">
        <x:v>https://cdicloud.insurance.ca.gov/cal/LicenseDetail?SearchType=IND&amp;SearchLicNbr=0L70688&amp;SearchIndvId=1925101</x:v>
      </x:c>
      <x:c r="AO28" s="7" t="str">
        <x:v>2026-10-08</x:v>
      </x:c>
      <x:c r="AP28" s="7" t="str">
        <x:v>f3c04aae78c893204e7e92dc63fe3f6222d343d740eeb8c170c71f81a6a888c9</x:v>
      </x:c>
      <x:c r="AQ28" s="7" t="str">
        <x:v>Accident &amp; Health or Sickness / Active / 04/18/2017 / 04/18/2017 / 04/30/2027
Life / Active / 04/18/2017 / 04/18/2017 / 04/30/2027</x:v>
      </x:c>
      <x:c r="AR28" s="7" t="str">
        <x:v>Active</x:v>
      </x:c>
      <x:c r="AS28" s="7" t="str">
        <x:v>Current detail page</x:v>
      </x:c>
    </x:row>
    <x:row r="29" ht="52" customHeight="1">
      <x:c r="A29" s="7" t="str">
        <x:v>AGUILAR SANDRA KELLY</x:v>
      </x:c>
      <x:c r="B29" s="14" t="str">
        <x:f>"0B57792"</x:f>
        <x:v>0B57792</x:v>
      </x:c>
      <x:c r="C29" s="7" t="str">
        <x:v>Omitted</x:v>
      </x:c>
      <x:c r="D29" s="7" t="str">
        <x:v>PASS</x:v>
      </x:c>
      <x:c r="E29" s="13" t="str">
        <x:v>Pending</x:v>
      </x:c>
      <x:c r="F29" s="13" t="str"/>
      <x:c r="G29" s="13" t="str"/>
      <x:c r="H29" s="13" t="str"/>
      <x:c r="I29" s="7" t="str">
        <x:v>Was this person reviewed? If rejected, give the actual rule and evidence. If acceptable, correct the omission. Confirm whether there was an unrecorded filter or a missed search result.</x:v>
      </x:c>
      <x:c r="J29" s="7" t="str">
        <x:v>P1</x:v>
      </x:c>
      <x:c r="K29" s="7" t="str">
        <x:v>Passes the provisional observable screen. Actual business activity and willingness are unknown; historical omission remains unexplained.</x:v>
      </x:c>
      <x:c r="L29" s="7" t="str">
        <x:v>Not supplied; membership is known, motive is not</x:v>
      </x:c>
      <x:c r="M29" s="7" t="n">
        <x:v>1</x:v>
      </x:c>
      <x:c r="N29" s="7" t="str">
        <x:v>First-call fit for stated IMO focus</x:v>
      </x:c>
      <x:c r="O29" s="7" t="str">
        <x:v>Active</x:v>
      </x:c>
      <x:c r="P29" s="7" t="str">
        <x:v>05/10/1995</x:v>
      </x:c>
      <x:c r="Q29" s="7" t="str">
        <x:v>05/31/2027</x:v>
      </x:c>
      <x:c r="R29" s="7" t="str">
        <x:v>Accident &amp; Health or Sickness; Life</x:v>
      </x:c>
      <x:c r="S29" s="15" t="str">
        <x:v>805-474-0550</x:v>
      </x:c>
      <x:c r="T29" s="7" t="str">
        <x:v>Current CDI</x:v>
      </x:c>
      <x:c r="U29" s="7" t="str">
        <x:v>650 EXCEL WAY ARROYO GRANDE CA, 93420</x:v>
      </x:c>
      <x:c r="V29" s="7" t="str">
        <x:v>Resident</x:v>
      </x:c>
      <x:c r="W29" s="7" t="str">
        <x:v>CA</x:v>
      </x:c>
      <x:c r="X29" s="7" t="str"/>
      <x:c r="Y29" s="7" t="str">
        <x:v>METROPOLITAN LIFE INSURANCE COMPANY / Accident &amp; Health or Sickness / 02/11/2000
METROPOLITAN LIFE INSURANCE COMPANY / Life / 02/11/2000
PRINCIPAL LIFE INSURANCE COMPANY / Accident &amp; Health or Sickness / 10/12/1998
PRINCIPAL LIFE INSURANCE COMPANY / Life / 10/12/1998</x:v>
      </x:c>
      <x:c r="Z29" s="7" t="str"/>
      <x:c r="AA29" s="7" t="str"/>
      <x:c r="AB29" s="7" t="str"/>
      <x:c r="AC29" s="7" t="str"/>
      <x:c r="AD29" s="7" t="str">
        <x:v>Active general Life authority | Direct Life appointments outside the selected health-carrier set: METROPOLITAN LIFE INSURANCE COMPANY, PRINCIPAL LIFE INSURANCE COMPANY | Active A&amp;H supports optional cross-selling; not necessary for target products</x:v>
      </x:c>
      <x:c r="AE29" s="7" t="str"/>
      <x:c r="AF29" s="16" t="n">
        <x:v>31.4</x:v>
      </x:c>
      <x:c r="AG29" s="17" t="n">
        <x:v>235</x:v>
      </x:c>
      <x:c r="AH29" s="7" t="str">
        <x:v>2000-02-11</x:v>
      </x:c>
      <x:c r="AI29" s="7" t="str">
        <x:v>English</x:v>
      </x:c>
      <x:c r="AJ29" s="7" t="str"/>
      <x:c r="AK29" s="15" t="str"/>
      <x:c r="AL29" s="7" t="str"/>
      <x:c r="AM29" s="7" t="str">
        <x:v>AGUILAR KELLY SANDRA</x:v>
      </x:c>
      <x:c r="AN29" s="7" t="str">
        <x:v>https://cdicloud.insurance.ca.gov/cal/LicenseDetail?SearchType=IND&amp;SearchLicNbr=0B57792&amp;SearchIndvId=236628</x:v>
      </x:c>
      <x:c r="AO29" s="7" t="str">
        <x:v>2026-10-08</x:v>
      </x:c>
      <x:c r="AP29" s="7" t="str">
        <x:v>ee19672d54efae97768f2893f37a458ff07037aebcd78cb7934916d43cac0524</x:v>
      </x:c>
      <x:c r="AQ29" s="7" t="str">
        <x:v>Accident &amp; Health or Sickness / Active / 05/10/1995 / 05/10/1995 / 05/31/2027
Life / Active / 05/10/1995 / 05/10/1995 / 05/31/2027</x:v>
      </x:c>
      <x:c r="AR29" s="7" t="str">
        <x:v>Active</x:v>
      </x:c>
      <x:c r="AS29" s="7" t="str">
        <x:v>Current detail page</x:v>
      </x:c>
    </x:row>
    <x:row r="30" ht="52" customHeight="1">
      <x:c r="A30" s="7" t="str">
        <x:v>AGUILAR SANTA AURORA</x:v>
      </x:c>
      <x:c r="B30" s="14" t="str">
        <x:f>"4004632"</x:f>
        <x:v>4004632</x:v>
      </x:c>
      <x:c r="C30" s="7" t="str">
        <x:v>Omitted</x:v>
      </x:c>
      <x:c r="D30" s="7" t="str">
        <x:v>PASS</x:v>
      </x:c>
      <x:c r="E30" s="13" t="str">
        <x:v>Pending</x:v>
      </x:c>
      <x:c r="F30" s="13" t="str"/>
      <x:c r="G30" s="13" t="str"/>
      <x:c r="H30" s="13" t="str"/>
      <x:c r="I30" s="7" t="str">
        <x:v>Was this person reviewed? If rejected, give the actual rule and evidence. If acceptable, correct the omission. Confirm whether there was an unrecorded filter or a missed search result.</x:v>
      </x:c>
      <x:c r="J30" s="7" t="str">
        <x:v>P1</x:v>
      </x:c>
      <x:c r="K30" s="7" t="str">
        <x:v>Passes the provisional observable screen. Actual business activity and willingness are unknown; historical omission remains unexplained.</x:v>
      </x:c>
      <x:c r="L30" s="7" t="str">
        <x:v>Not supplied; membership is known, motive is not</x:v>
      </x:c>
      <x:c r="M30" s="7" t="n">
        <x:v>1</x:v>
      </x:c>
      <x:c r="N30" s="7" t="str">
        <x:v>First-call fit for stated IMO focus</x:v>
      </x:c>
      <x:c r="O30" s="7" t="str">
        <x:v>Active</x:v>
      </x:c>
      <x:c r="P30" s="7" t="str">
        <x:v>10/25/2019</x:v>
      </x:c>
      <x:c r="Q30" s="7" t="str">
        <x:v>04/30/2027</x:v>
      </x:c>
      <x:c r="R30" s="7" t="str">
        <x:v>Life</x:v>
      </x:c>
      <x:c r="S30" s="15" t="str">
        <x:v>661-932-0233</x:v>
      </x:c>
      <x:c r="T30" s="7" t="str">
        <x:v>Current CDI</x:v>
      </x:c>
      <x:c r="U30" s="7" t="str">
        <x:v>27596 KIMBERLINA RD WASCO CA, 93280</x:v>
      </x:c>
      <x:c r="V30" s="7" t="str">
        <x:v>Resident</x:v>
      </x:c>
      <x:c r="W30" s="7" t="str">
        <x:v>CA</x:v>
      </x:c>
      <x:c r="X30" s="7" t="str"/>
      <x:c r="Y30" s="7" t="str">
        <x:v>AMERICAN GENERAL LIFE INSURANCE COMPANY / Life / 08/19/2025
AMERICO FINANCIAL LIFE AND ANNUITY INSURANCE COMPANY / Life / 06/05/2025
BALTIMORE LIFE INSURANCE COMPANY (THE) / Life / 06/06/2026
LIFE INSURANCE COMPANY OF THE SOUTHWEST / Life / 06/16/2025
SAVINGS BANK MUTUAL LIFE INSURANCE COMPANY OF MASSACHUSETTS (THE) / Life / 05/28/2025
UNITED OF OMAHA LIFE INSURANCE COMPANY / Life / 03/20/2026</x:v>
      </x:c>
      <x:c r="Z30" s="7" t="str"/>
      <x:c r="AA30" s="7" t="str"/>
      <x:c r="AB30" s="7" t="str"/>
      <x:c r="AC30" s="7" t="str"/>
      <x:c r="AD30" s="7" t="str">
        <x:v>Active general Life authority | Direct Life appointments outside the selected health-carrier set: AMERICAN GENERAL LIFE INSURANCE COMPANY, AMERICO FINANCIAL LIFE AND ANNUITY INSURANCE COMPANY, BALTIMORE LIFE INSURANCE COMPANY (THE), LIFE INSURANCE COMPANY OF THE SOUTHWEST, SAVINGS BANK MUTUAL LIFE INSURANCE COMPANY OF MASSACHUSETTS (THE), UNITED OF OMAHA LIFE INSURANCE COMPANY</x:v>
      </x:c>
      <x:c r="AE30" s="7" t="str"/>
      <x:c r="AF30" s="16" t="n">
        <x:v>7</x:v>
      </x:c>
      <x:c r="AG30" s="17" t="n">
        <x:v>204</x:v>
      </x:c>
      <x:c r="AH30" s="7" t="str">
        <x:v>2026-06-06</x:v>
      </x:c>
      <x:c r="AI30" s="7" t="str">
        <x:v>English</x:v>
      </x:c>
      <x:c r="AJ30" s="7" t="str"/>
      <x:c r="AK30" s="15" t="str"/>
      <x:c r="AL30" s="7" t="str"/>
      <x:c r="AM30" s="7" t="str">
        <x:v>AGUILAR A SANTA | AGUILAR AURORA SANTA</x:v>
      </x:c>
      <x:c r="AN30" s="7" t="str">
        <x:v>https://cdicloud.insurance.ca.gov/cal/LicenseDetail?SearchType=IND&amp;SearchLicNbr=4004632&amp;SearchIndvId=4004632</x:v>
      </x:c>
      <x:c r="AO30" s="7" t="str">
        <x:v>2026-10-08</x:v>
      </x:c>
      <x:c r="AP30" s="7" t="str">
        <x:v>0cbd69252199e862e5cb4ae6319c6c048e2ef9863dfbcb77dbd774323f3f49e4</x:v>
      </x:c>
      <x:c r="AQ30" s="7" t="str">
        <x:v>Life / Active / 10/25/2019 / 04/25/2025 / 04/30/2027</x:v>
      </x:c>
      <x:c r="AR30" s="7" t="str">
        <x:v>Active</x:v>
      </x:c>
      <x:c r="AS30" s="7" t="str">
        <x:v>Current detail page</x:v>
      </x:c>
    </x:row>
    <x:row r="31" ht="52" customHeight="1">
      <x:c r="A31" s="7" t="str">
        <x:v>AGUILAR SCOTT JACOB</x:v>
      </x:c>
      <x:c r="B31" s="14" t="str">
        <x:f>"0J23783"</x:f>
        <x:v>0J23783</x:v>
      </x:c>
      <x:c r="C31" s="7" t="str">
        <x:v>Omitted</x:v>
      </x:c>
      <x:c r="D31" s="7" t="str">
        <x:v>PASS</x:v>
      </x:c>
      <x:c r="E31" s="13" t="str">
        <x:v>Pending</x:v>
      </x:c>
      <x:c r="F31" s="13" t="str"/>
      <x:c r="G31" s="13" t="str"/>
      <x:c r="H31" s="13" t="str"/>
      <x:c r="I31" s="7" t="str">
        <x:v>Was this person reviewed? If rejected, give the actual rule and evidence. If acceptable, correct the omission. Confirm whether there was an unrecorded filter or a missed search result.</x:v>
      </x:c>
      <x:c r="J31" s="7" t="str">
        <x:v>P1</x:v>
      </x:c>
      <x:c r="K31" s="7" t="str">
        <x:v>Passes the provisional observable screen. Actual business activity and willingness are unknown; historical omission remains unexplained.</x:v>
      </x:c>
      <x:c r="L31" s="7" t="str">
        <x:v>Not supplied; membership is known, motive is not</x:v>
      </x:c>
      <x:c r="M31" s="7" t="n">
        <x:v>1</x:v>
      </x:c>
      <x:c r="N31" s="7" t="str">
        <x:v>First-call fit for stated IMO focus</x:v>
      </x:c>
      <x:c r="O31" s="7" t="str">
        <x:v>Active</x:v>
      </x:c>
      <x:c r="P31" s="7" t="str">
        <x:v>02/18/2025</x:v>
      </x:c>
      <x:c r="Q31" s="7" t="str">
        <x:v>02/28/2027</x:v>
      </x:c>
      <x:c r="R31" s="7" t="str">
        <x:v>Life</x:v>
      </x:c>
      <x:c r="S31" s="15" t="str">
        <x:v>760-290-1933</x:v>
      </x:c>
      <x:c r="T31" s="7" t="str">
        <x:v>Current CDI</x:v>
      </x:c>
      <x:c r="U31" s="7" t="str">
        <x:v>438 CAMINO HERMOSO SAN MARCOS CA, 92078</x:v>
      </x:c>
      <x:c r="V31" s="7" t="str">
        <x:v>Resident</x:v>
      </x:c>
      <x:c r="W31" s="7" t="str">
        <x:v>CA</x:v>
      </x:c>
      <x:c r="X31" s="7" t="str"/>
      <x:c r="Y31" s="7" t="str">
        <x:v>ACCENDO INSURANCE COMPANY / Life / 04/03/2025
AMERICAN-AMICABLE LIFE INSURANCE COMPANY OF TEXAS / Life / 04/08/2025
AMERITAS LIFE INSURANCE CORP. / Life / 04/03/2025
CMFG LIFE INSURANCE COMPANY / Life / 10/08/2025
FIDELITY LIFE ASSOCIATION, A LEGAL RESERVE LIFE INSURANCE COMPANY / Life / 09/29/2025
TRANSAMERICA LIFE INSURANCE COMPANY / Life / 04/10/2025
UNITED OF OMAHA LIFE INSURANCE COMPANY / Life / 03/23/2025</x:v>
      </x:c>
      <x:c r="Z31" s="7" t="str"/>
      <x:c r="AA31" s="7" t="str"/>
      <x:c r="AB31" s="7" t="str"/>
      <x:c r="AC31" s="7" t="str"/>
      <x:c r="AD31" s="7" t="str">
        <x:v>Active general Life authority | Direct Life appointments outside the selected health-carrier set: ACCENDO INSURANCE COMPANY, AMERICAN-AMICABLE LIFE INSURANCE COMPANY OF TEXAS, AMERITAS LIFE INSURANCE CORP., CMFG LIFE INSURANCE COMPANY, FIDELITY LIFE ASSOCIATION, A LEGAL RESERVE LIFE INSURANCE COMPANY, TRANSAMERICA LIFE INSURANCE COMPANY, UNITED OF OMAHA LIFE INSURANCE COMPANY</x:v>
      </x:c>
      <x:c r="AE31" s="7" t="str"/>
      <x:c r="AF31" s="16" t="n">
        <x:v>1.6</x:v>
      </x:c>
      <x:c r="AG31" s="17" t="n">
        <x:v>143</x:v>
      </x:c>
      <x:c r="AH31" s="7" t="str">
        <x:v>2025-10-08</x:v>
      </x:c>
      <x:c r="AI31" s="7" t="str">
        <x:v>English</x:v>
      </x:c>
      <x:c r="AJ31" s="7" t="str"/>
      <x:c r="AK31" s="15" t="str"/>
      <x:c r="AL31" s="7" t="str"/>
      <x:c r="AM31" s="7" t="str">
        <x:v>Aguilar J Scott | AGUILAR JACOB SCOTT</x:v>
      </x:c>
      <x:c r="AN31" s="7" t="str">
        <x:v>https://cdicloud.insurance.ca.gov/cal/LicenseDetail?SearchType=IND&amp;SearchLicNbr=0J23783&amp;SearchIndvId=1723920</x:v>
      </x:c>
      <x:c r="AO31" s="7" t="str">
        <x:v>2026-10-08</x:v>
      </x:c>
      <x:c r="AP31" s="7" t="str">
        <x:v>5388f686c8b784bbae3f9cf49bc801435c5db46f86941aa5b045c37633c35ed3</x:v>
      </x:c>
      <x:c r="AQ31" s="7" t="str">
        <x:v>Life / Active / 02/18/2025 / 02/18/2025 / 02/28/2027</x:v>
      </x:c>
      <x:c r="AR31" s="7" t="str">
        <x:v>Active</x:v>
      </x:c>
      <x:c r="AS31" s="7" t="str">
        <x:v>Current detail page</x:v>
      </x:c>
    </x:row>
    <x:row r="32" ht="52" customHeight="1">
      <x:c r="A32" s="7" t="str">
        <x:v>AGUILAR SOFIA AMELIA</x:v>
      </x:c>
      <x:c r="B32" s="14" t="str">
        <x:f>"4494557"</x:f>
        <x:v>4494557</x:v>
      </x:c>
      <x:c r="C32" s="7" t="str">
        <x:v>Omitted</x:v>
      </x:c>
      <x:c r="D32" s="7" t="str">
        <x:v>PASS</x:v>
      </x:c>
      <x:c r="E32" s="13" t="str">
        <x:v>Pending</x:v>
      </x:c>
      <x:c r="F32" s="13" t="str"/>
      <x:c r="G32" s="13" t="str"/>
      <x:c r="H32" s="13" t="str"/>
      <x:c r="I32" s="7" t="str">
        <x:v>Was this person reviewed? If rejected, give the actual rule and evidence. If acceptable, correct the omission. Confirm whether there was an unrecorded filter or a missed search result.</x:v>
      </x:c>
      <x:c r="J32" s="7" t="str">
        <x:v>P1</x:v>
      </x:c>
      <x:c r="K32" s="7" t="str">
        <x:v>Passes the provisional observable screen. Actual business activity and willingness are unknown; historical omission remains unexplained.</x:v>
      </x:c>
      <x:c r="L32" s="7" t="str">
        <x:v>Not supplied; membership is known, motive is not</x:v>
      </x:c>
      <x:c r="M32" s="7" t="n">
        <x:v>1</x:v>
      </x:c>
      <x:c r="N32" s="7" t="str">
        <x:v>First-call fit for stated IMO focus</x:v>
      </x:c>
      <x:c r="O32" s="7" t="str">
        <x:v>Active</x:v>
      </x:c>
      <x:c r="P32" s="7" t="str">
        <x:v>09/25/2025</x:v>
      </x:c>
      <x:c r="Q32" s="7" t="str">
        <x:v>09/30/2027</x:v>
      </x:c>
      <x:c r="R32" s="7" t="str">
        <x:v>Life</x:v>
      </x:c>
      <x:c r="S32" s="15" t="str">
        <x:v>562-251-0211</x:v>
      </x:c>
      <x:c r="T32" s="7" t="str">
        <x:v>Current CDI</x:v>
      </x:c>
      <x:c r="U32" s="7" t="str">
        <x:v>750 FAIRMONT AVE 2ND FLOOR GLENDALE CA, 91203</x:v>
      </x:c>
      <x:c r="V32" s="7" t="str">
        <x:v>Resident</x:v>
      </x:c>
      <x:c r="W32" s="7" t="str">
        <x:v>CA</x:v>
      </x:c>
      <x:c r="X32" s="7" t="str"/>
      <x:c r="Y32" s="7" t="str">
        <x:v>PRIMERICA LIFE INSURANCE COMPANY / Life / 09/26/2025</x:v>
      </x:c>
      <x:c r="Z32" s="7" t="str"/>
      <x:c r="AA32" s="7" t="str"/>
      <x:c r="AB32" s="7" t="str"/>
      <x:c r="AC32" s="7" t="str"/>
      <x:c r="AD32" s="7" t="str">
        <x:v>Active general Life authority | Primerica relationship: matches an explicitly targeted recruiting segment | Direct Life appointments outside the selected health-carrier set: PRIMERICA LIFE INSURANCE COMPANY</x:v>
      </x:c>
      <x:c r="AE32" s="7" t="str"/>
      <x:c r="AF32" s="16" t="n">
        <x:v>1</x:v>
      </x:c>
      <x:c r="AG32" s="17" t="n">
        <x:v>357</x:v>
      </x:c>
      <x:c r="AH32" s="7" t="str">
        <x:v>2025-09-26</x:v>
      </x:c>
      <x:c r="AI32" s="7" t="str">
        <x:v>English</x:v>
      </x:c>
      <x:c r="AJ32" s="7" t="str"/>
      <x:c r="AK32" s="15" t="str"/>
      <x:c r="AL32" s="7" t="str"/>
      <x:c r="AM32" s="7" t="str">
        <x:v>Aguilar A Sofia | AGUILAR AMELIA SOFIA</x:v>
      </x:c>
      <x:c r="AN32" s="7" t="str">
        <x:v>https://cdicloud.insurance.ca.gov/cal/LicenseDetail?SearchType=IND&amp;SearchLicNbr=4494557&amp;SearchIndvId=4494557</x:v>
      </x:c>
      <x:c r="AO32" s="7" t="str">
        <x:v>2026-10-08</x:v>
      </x:c>
      <x:c r="AP32" s="7" t="str">
        <x:v>5f7c254e187cb08b890e929487e984e279356f9e73309d8ea561207e576ef1a3</x:v>
      </x:c>
      <x:c r="AQ32" s="7" t="str">
        <x:v>Life / Active / 09/25/2025 / 09/25/2025 / 09/30/2027</x:v>
      </x:c>
      <x:c r="AR32" s="7" t="str">
        <x:v>Active</x:v>
      </x:c>
      <x:c r="AS32" s="7" t="str">
        <x:v>Current detail page</x:v>
      </x:c>
    </x:row>
    <x:row r="33" ht="52" customHeight="1">
      <x:c r="A33" s="7" t="str">
        <x:v>AGUILAR SPENCER J</x:v>
      </x:c>
      <x:c r="B33" s="14" t="str">
        <x:f>"4008613"</x:f>
        <x:v>4008613</x:v>
      </x:c>
      <x:c r="C33" s="7" t="str">
        <x:v>Omitted</x:v>
      </x:c>
      <x:c r="D33" s="7" t="str">
        <x:v>PASS</x:v>
      </x:c>
      <x:c r="E33" s="13" t="str">
        <x:v>Pending</x:v>
      </x:c>
      <x:c r="F33" s="13" t="str"/>
      <x:c r="G33" s="13" t="str"/>
      <x:c r="H33" s="13" t="str"/>
      <x:c r="I33" s="7" t="str">
        <x:v>Was this person reviewed? If rejected, give the actual rule and evidence. If acceptable, correct the omission. Confirm whether there was an unrecorded filter or a missed search result.</x:v>
      </x:c>
      <x:c r="J33" s="7" t="str">
        <x:v>P1</x:v>
      </x:c>
      <x:c r="K33" s="7" t="str">
        <x:v>Passes the provisional observable screen. Actual business activity and willingness are unknown; historical omission remains unexplained.</x:v>
      </x:c>
      <x:c r="L33" s="7" t="str">
        <x:v>Not supplied; membership is known, motive is not</x:v>
      </x:c>
      <x:c r="M33" s="7" t="n">
        <x:v>1</x:v>
      </x:c>
      <x:c r="N33" s="7" t="str">
        <x:v>First-call fit for stated IMO focus</x:v>
      </x:c>
      <x:c r="O33" s="7" t="str">
        <x:v>Active</x:v>
      </x:c>
      <x:c r="P33" s="7" t="str">
        <x:v>10/05/2019</x:v>
      </x:c>
      <x:c r="Q33" s="7" t="str">
        <x:v>02/29/2028</x:v>
      </x:c>
      <x:c r="R33" s="7" t="str">
        <x:v>Accident &amp; Health or Sickness; Life</x:v>
      </x:c>
      <x:c r="S33" s="15" t="str">
        <x:v>949-250-4791</x:v>
      </x:c>
      <x:c r="T33" s="7" t="str">
        <x:v>Current CDI</x:v>
      </x:c>
      <x:c r="U33" s="7" t="str">
        <x:v>100 SPECTRUM CENTER DR. SUITE 400 IRVINE CA, 92618</x:v>
      </x:c>
      <x:c r="V33" s="7" t="str">
        <x:v>Resident</x:v>
      </x:c>
      <x:c r="W33" s="7" t="str">
        <x:v>CA</x:v>
      </x:c>
      <x:c r="X33" s="7" t="str"/>
      <x:c r="Y33" s="7" t="str"/>
      <x:c r="Z33" s="7" t="str"/>
      <x:c r="AA33" s="7" t="str"/>
      <x:c r="AB33" s="7" t="str"/>
      <x:c r="AC33" s="7" t="str"/>
      <x:c r="AD33" s="7" t="str">
        <x:v>Active general Life authority | No agency or insurer displayed: onboarding opportunity possible; existing business unknown | Active A&amp;H supports optional cross-selling; not necessary for target products</x:v>
      </x:c>
      <x:c r="AE33" s="7" t="str"/>
      <x:c r="AF33" s="16" t="n">
        <x:v>7</x:v>
      </x:c>
      <x:c r="AG33" s="17" t="n">
        <x:v>509</x:v>
      </x:c>
      <x:c r="AH33" s="7" t="str"/>
      <x:c r="AI33" s="7" t="str">
        <x:v>English</x:v>
      </x:c>
      <x:c r="AJ33" s="7" t="str"/>
      <x:c r="AK33" s="15" t="str"/>
      <x:c r="AL33" s="7" t="str"/>
      <x:c r="AM33" s="7" t="str">
        <x:v>AGUILAR J SPENCER</x:v>
      </x:c>
      <x:c r="AN33" s="7" t="str">
        <x:v>https://cdicloud.insurance.ca.gov/cal/LicenseDetail?SearchType=IND&amp;SearchLicNbr=4008613&amp;SearchIndvId=4008613</x:v>
      </x:c>
      <x:c r="AO33" s="7" t="str">
        <x:v>2026-10-08</x:v>
      </x:c>
      <x:c r="AP33" s="7" t="str">
        <x:v>03fdff36f7e4ab80038fa358eb100e9c5dcfd1d068f9b6e76c4b4f946a0c3118</x:v>
      </x:c>
      <x:c r="AQ33" s="7" t="str">
        <x:v>Accident &amp; Health or Sickness / Active / 10/05/2019 / 04/09/2026 / 02/29/2028
Life / Active / 10/05/2019 / 04/09/2026 / 02/29/2028</x:v>
      </x:c>
      <x:c r="AR33" s="7" t="str">
        <x:v>Active</x:v>
      </x:c>
      <x:c r="AS33" s="7" t="str">
        <x:v>Current detail page</x:v>
      </x:c>
    </x:row>
    <x:row r="34" ht="52" customHeight="1">
      <x:c r="A34" s="7" t="str">
        <x:v>AGUILAR STELLA VANESSA</x:v>
      </x:c>
      <x:c r="B34" s="14" t="str">
        <x:f>"0K51079"</x:f>
        <x:v>0K51079</x:v>
      </x:c>
      <x:c r="C34" s="7" t="str">
        <x:v>Omitted</x:v>
      </x:c>
      <x:c r="D34" s="7" t="str">
        <x:v>PASS</x:v>
      </x:c>
      <x:c r="E34" s="13" t="str">
        <x:v>Pending</x:v>
      </x:c>
      <x:c r="F34" s="13" t="str"/>
      <x:c r="G34" s="13" t="str"/>
      <x:c r="H34" s="13" t="str"/>
      <x:c r="I34" s="7" t="str">
        <x:v>Was this person reviewed? If rejected, give the actual rule and evidence. If acceptable, correct the omission. Confirm whether there was an unrecorded filter or a missed search result.</x:v>
      </x:c>
      <x:c r="J34" s="7" t="str">
        <x:v>P1</x:v>
      </x:c>
      <x:c r="K34" s="7" t="str">
        <x:v>Passes the provisional observable screen. Actual business activity and willingness are unknown; historical omission remains unexplained.</x:v>
      </x:c>
      <x:c r="L34" s="7" t="str">
        <x:v>Not supplied; membership is known, motive is not</x:v>
      </x:c>
      <x:c r="M34" s="7" t="n">
        <x:v>1</x:v>
      </x:c>
      <x:c r="N34" s="7" t="str">
        <x:v>First-call fit for stated IMO focus</x:v>
      </x:c>
      <x:c r="O34" s="7" t="str">
        <x:v>Active</x:v>
      </x:c>
      <x:c r="P34" s="7" t="str">
        <x:v>10/02/2015</x:v>
      </x:c>
      <x:c r="Q34" s="7" t="str">
        <x:v>10/31/2027</x:v>
      </x:c>
      <x:c r="R34" s="7" t="str">
        <x:v>Accident &amp; Health or Sickness; Life</x:v>
      </x:c>
      <x:c r="S34" s="15" t="str">
        <x:v>310-634-2223</x:v>
      </x:c>
      <x:c r="T34" s="7" t="str">
        <x:v>Current CDI</x:v>
      </x:c>
      <x:c r="U34" s="7" t="str">
        <x:v>26130 NARBONNE AVE # 110 LOMITA CA, 90717</x:v>
      </x:c>
      <x:c r="V34" s="7" t="str">
        <x:v>Resident</x:v>
      </x:c>
      <x:c r="W34" s="7" t="str">
        <x:v>CA</x:v>
      </x:c>
      <x:c r="X34" s="7" t="str"/>
      <x:c r="Y34" s="7" t="str"/>
      <x:c r="Z34" s="7" t="str"/>
      <x:c r="AA34" s="7" t="str"/>
      <x:c r="AB34" s="7" t="str"/>
      <x:c r="AC34" s="7" t="str"/>
      <x:c r="AD34" s="7" t="str">
        <x:v>Active general Life authority | No agency or insurer displayed: onboarding opportunity possible; existing business unknown | Active A&amp;H supports optional cross-selling; not necessary for target products</x:v>
      </x:c>
      <x:c r="AE34" s="7" t="str"/>
      <x:c r="AF34" s="16" t="n">
        <x:v>11</x:v>
      </x:c>
      <x:c r="AG34" s="17" t="n">
        <x:v>388</x:v>
      </x:c>
      <x:c r="AH34" s="7" t="str"/>
      <x:c r="AI34" s="7" t="str">
        <x:v>English</x:v>
      </x:c>
      <x:c r="AJ34" s="7" t="str"/>
      <x:c r="AK34" s="15" t="str"/>
      <x:c r="AL34" s="7" t="str"/>
      <x:c r="AM34" s="7" t="str">
        <x:v>aguilar v stella | AGUILAR VANESSA STELLA</x:v>
      </x:c>
      <x:c r="AN34" s="7" t="str">
        <x:v>https://cdicloud.insurance.ca.gov/cal/LicenseDetail?SearchType=IND&amp;SearchLicNbr=0K51079&amp;SearchIndvId=1790442</x:v>
      </x:c>
      <x:c r="AO34" s="7" t="str">
        <x:v>2026-10-08</x:v>
      </x:c>
      <x:c r="AP34" s="7" t="str">
        <x:v>73eed068082d332955db7cc1433810ac8a6a79e4a9c0b0cecb712acd9ff0fa27</x:v>
      </x:c>
      <x:c r="AQ34" s="7" t="str">
        <x:v>Accident &amp; Health or Sickness / Active / 10/02/2015 / 03/25/2026 / 10/31/2027
Life / Active / 10/02/2015 / 03/25/2026 / 10/31/2027</x:v>
      </x:c>
      <x:c r="AR34" s="7" t="str">
        <x:v>Active</x:v>
      </x:c>
      <x:c r="AS34" s="7" t="str">
        <x:v>Current detail page</x:v>
      </x:c>
    </x:row>
    <x:row r="35" ht="52" customHeight="1">
      <x:c r="A35" s="7" t="str">
        <x:v>AGUILAR STEVIE MARIE</x:v>
      </x:c>
      <x:c r="B35" s="14" t="str">
        <x:f>"0I35024"</x:f>
        <x:v>0I35024</x:v>
      </x:c>
      <x:c r="C35" s="7" t="str">
        <x:v>Omitted</x:v>
      </x:c>
      <x:c r="D35" s="7" t="str">
        <x:v>PASS</x:v>
      </x:c>
      <x:c r="E35" s="13" t="str">
        <x:v>Pending</x:v>
      </x:c>
      <x:c r="F35" s="13" t="str"/>
      <x:c r="G35" s="13" t="str"/>
      <x:c r="H35" s="13" t="str"/>
      <x:c r="I35" s="7" t="str">
        <x:v>Was this person reviewed? If rejected, give the actual rule and evidence. If acceptable, correct the omission. Confirm whether there was an unrecorded filter or a missed search result.</x:v>
      </x:c>
      <x:c r="J35" s="7" t="str">
        <x:v>P1</x:v>
      </x:c>
      <x:c r="K35" s="7" t="str">
        <x:v>Passes the provisional observable screen. Actual business activity and willingness are unknown; historical omission remains unexplained.</x:v>
      </x:c>
      <x:c r="L35" s="7" t="str">
        <x:v>Not supplied; membership is known, motive is not</x:v>
      </x:c>
      <x:c r="M35" s="7" t="n">
        <x:v>1</x:v>
      </x:c>
      <x:c r="N35" s="7" t="str">
        <x:v>First-call fit for stated IMO focus</x:v>
      </x:c>
      <x:c r="O35" s="7" t="str">
        <x:v>Active</x:v>
      </x:c>
      <x:c r="P35" s="7" t="str">
        <x:v>04/01/2025</x:v>
      </x:c>
      <x:c r="Q35" s="7" t="str">
        <x:v>04/30/2027</x:v>
      </x:c>
      <x:c r="R35" s="7" t="str">
        <x:v>Life</x:v>
      </x:c>
      <x:c r="S35" s="15" t="str">
        <x:v>909-495-6179</x:v>
      </x:c>
      <x:c r="T35" s="7" t="str">
        <x:v>Current CDI</x:v>
      </x:c>
      <x:c r="U35" s="7" t="str">
        <x:v>40172 VILLAGE RD 1214 TEMECULA CA, 92591</x:v>
      </x:c>
      <x:c r="V35" s="7" t="str">
        <x:v>Resident</x:v>
      </x:c>
      <x:c r="W35" s="7" t="str">
        <x:v>CA</x:v>
      </x:c>
      <x:c r="X35" s="7" t="str"/>
      <x:c r="Y35" s="7" t="str"/>
      <x:c r="Z35" s="7" t="str"/>
      <x:c r="AA35" s="7" t="str"/>
      <x:c r="AB35" s="7" t="str"/>
      <x:c r="AC35" s="7" t="str"/>
      <x:c r="AD35" s="7" t="str">
        <x:v>Active general Life authority | No agency or insurer displayed: onboarding opportunity possible; existing business unknown</x:v>
      </x:c>
      <x:c r="AE35" s="7" t="str"/>
      <x:c r="AF35" s="16" t="n">
        <x:v>1.5</x:v>
      </x:c>
      <x:c r="AG35" s="17" t="n">
        <x:v>204</x:v>
      </x:c>
      <x:c r="AH35" s="7" t="str"/>
      <x:c r="AI35" s="7" t="str">
        <x:v>English</x:v>
      </x:c>
      <x:c r="AJ35" s="7" t="str"/>
      <x:c r="AK35" s="15" t="str"/>
      <x:c r="AL35" s="7" t="str"/>
      <x:c r="AM35" s="7" t="str">
        <x:v>AGUILAR MARIE STEVIE</x:v>
      </x:c>
      <x:c r="AN35" s="7" t="str">
        <x:v>https://cdicloud.insurance.ca.gov/cal/LicenseDetail?SearchType=IND&amp;SearchLicNbr=0I35024&amp;SearchIndvId=1557097</x:v>
      </x:c>
      <x:c r="AO35" s="7" t="str">
        <x:v>2026-10-08</x:v>
      </x:c>
      <x:c r="AP35" s="7" t="str">
        <x:v>2ac6507971bad5188f042a87d8bbd8fec316ec1c1adf980338603182ecb363c2</x:v>
      </x:c>
      <x:c r="AQ35" s="7" t="str">
        <x:v>Life / Active / 04/01/2025 / 04/01/2025 / 04/30/2027</x:v>
      </x:c>
      <x:c r="AR35" s="7" t="str">
        <x:v>Active</x:v>
      </x:c>
      <x:c r="AS35" s="7" t="str">
        <x:v>Current detail page</x:v>
      </x:c>
    </x:row>
    <x:row r="36" ht="52" customHeight="1">
      <x:c r="A36" s="7" t="str">
        <x:v>AGUILAR SUSANA</x:v>
      </x:c>
      <x:c r="B36" s="14" t="str">
        <x:f>"1894766"</x:f>
        <x:v>1894766</x:v>
      </x:c>
      <x:c r="C36" s="7" t="str">
        <x:v>Omitted</x:v>
      </x:c>
      <x:c r="D36" s="7" t="str">
        <x:v>PASS</x:v>
      </x:c>
      <x:c r="E36" s="13" t="str">
        <x:v>Pending</x:v>
      </x:c>
      <x:c r="F36" s="13" t="str"/>
      <x:c r="G36" s="13" t="str"/>
      <x:c r="H36" s="13" t="str"/>
      <x:c r="I36" s="7" t="str">
        <x:v>Was this person reviewed? If rejected, give the actual rule and evidence. If acceptable, correct the omission. Confirm whether there was an unrecorded filter or a missed search result.</x:v>
      </x:c>
      <x:c r="J36" s="7" t="str">
        <x:v>P1</x:v>
      </x:c>
      <x:c r="K36" s="7" t="str">
        <x:v>Passes the provisional observable screen. Actual business activity and willingness are unknown; historical omission remains unexplained.</x:v>
      </x:c>
      <x:c r="L36" s="7" t="str">
        <x:v>Not supplied; membership is known, motive is not</x:v>
      </x:c>
      <x:c r="M36" s="7" t="n">
        <x:v>1</x:v>
      </x:c>
      <x:c r="N36" s="7" t="str">
        <x:v>First-call fit for stated IMO focus</x:v>
      </x:c>
      <x:c r="O36" s="7" t="str">
        <x:v>Active</x:v>
      </x:c>
      <x:c r="P36" s="7" t="str">
        <x:v>08/27/2020</x:v>
      </x:c>
      <x:c r="Q36" s="7" t="str">
        <x:v>08/31/2028</x:v>
      </x:c>
      <x:c r="R36" s="7" t="str">
        <x:v>Life</x:v>
      </x:c>
      <x:c r="S36" s="15" t="str">
        <x:v>562-208-6461</x:v>
      </x:c>
      <x:c r="T36" s="7" t="str">
        <x:v>Current CDI</x:v>
      </x:c>
      <x:c r="U36" s="7" t="str">
        <x:v>4045 E GUASTI RD STE 207 ONTARIO CA, 91761</x:v>
      </x:c>
      <x:c r="V36" s="7" t="str">
        <x:v>Resident</x:v>
      </x:c>
      <x:c r="W36" s="7" t="str">
        <x:v>CA</x:v>
      </x:c>
      <x:c r="X36" s="7" t="str"/>
      <x:c r="Y36" s="7" t="str">
        <x:v>AMERICAN GENERAL LIFE INSURANCE COMPANY / Life / 04/01/2025
LIFE INSURANCE COMPANY OF THE SOUTHWEST / Life / 01/21/2025
SECURITY NATIONAL LIFE INSURANCE COMPANY / Life / 02/02/2024</x:v>
      </x:c>
      <x:c r="Z36" s="7" t="str"/>
      <x:c r="AA36" s="7" t="str"/>
      <x:c r="AB36" s="7" t="str"/>
      <x:c r="AC36" s="7" t="str"/>
      <x:c r="AD36" s="7" t="str">
        <x:v>Active general Life authority | Direct Life appointments outside the selected health-carrier set: AMERICAN GENERAL LIFE INSURANCE COMPANY, LIFE INSURANCE COMPANY OF THE SOUTHWEST, SECURITY NATIONAL LIFE INSURANCE COMPANY</x:v>
      </x:c>
      <x:c r="AE36" s="7" t="str"/>
      <x:c r="AF36" s="16" t="n">
        <x:v>6.1</x:v>
      </x:c>
      <x:c r="AG36" s="17" t="n">
        <x:v>693</x:v>
      </x:c>
      <x:c r="AH36" s="7" t="str">
        <x:v>2025-04-01</x:v>
      </x:c>
      <x:c r="AI36" s="7" t="str">
        <x:v>English</x:v>
      </x:c>
      <x:c r="AJ36" s="7" t="str"/>
      <x:c r="AK36" s="15" t="str"/>
      <x:c r="AL36" s="7" t="str"/>
      <x:c r="AM36" s="7" t="str">
        <x:v>AGUILAR  SUSANA</x:v>
      </x:c>
      <x:c r="AN36" s="7" t="str">
        <x:v>https://cdicloud.insurance.ca.gov/cal/LicenseDetail?SearchType=IND&amp;SearchLicNbr=1894766&amp;SearchIndvId=1894766</x:v>
      </x:c>
      <x:c r="AO36" s="7" t="str">
        <x:v>2026-10-08</x:v>
      </x:c>
      <x:c r="AP36" s="7" t="str">
        <x:v>28e58a83a7d5b31b7f175ea3a8f4d18ecbd185e571d6cdc941249fd83163985b</x:v>
      </x:c>
      <x:c r="AQ36" s="7" t="str">
        <x:v>Life / Active / 08/27/2020 / 08/27/2020 / 08/31/2028</x:v>
      </x:c>
      <x:c r="AR36" s="7" t="str">
        <x:v>Active</x:v>
      </x:c>
      <x:c r="AS36" s="7" t="str">
        <x:v>Current detail page</x:v>
      </x:c>
    </x:row>
    <x:row r="37" ht="52" customHeight="1">
      <x:c r="A37" s="7" t="str">
        <x:v>AGUILAR VANESSA FRANCES</x:v>
      </x:c>
      <x:c r="B37" s="14" t="str">
        <x:f>"4423845"</x:f>
        <x:v>4423845</x:v>
      </x:c>
      <x:c r="C37" s="7" t="str">
        <x:v>Omitted</x:v>
      </x:c>
      <x:c r="D37" s="7" t="str">
        <x:v>PASS</x:v>
      </x:c>
      <x:c r="E37" s="13" t="str">
        <x:v>Pending</x:v>
      </x:c>
      <x:c r="F37" s="13" t="str"/>
      <x:c r="G37" s="13" t="str"/>
      <x:c r="H37" s="13" t="str"/>
      <x:c r="I37" s="7" t="str">
        <x:v>Was this person reviewed? If rejected, give the actual rule and evidence. If acceptable, correct the omission. Confirm whether there was an unrecorded filter or a missed search result.</x:v>
      </x:c>
      <x:c r="J37" s="7" t="str">
        <x:v>P1</x:v>
      </x:c>
      <x:c r="K37" s="7" t="str">
        <x:v>Passes the provisional observable screen. Actual business activity and willingness are unknown; historical omission remains unexplained.</x:v>
      </x:c>
      <x:c r="L37" s="7" t="str">
        <x:v>Not supplied; membership is known, motive is not</x:v>
      </x:c>
      <x:c r="M37" s="7" t="n">
        <x:v>1</x:v>
      </x:c>
      <x:c r="N37" s="7" t="str">
        <x:v>First-call fit for stated IMO focus</x:v>
      </x:c>
      <x:c r="O37" s="7" t="str">
        <x:v>Active</x:v>
      </x:c>
      <x:c r="P37" s="7" t="str">
        <x:v>11/07/2024</x:v>
      </x:c>
      <x:c r="Q37" s="7" t="str">
        <x:v>11/30/2026</x:v>
      </x:c>
      <x:c r="R37" s="7" t="str">
        <x:v>Life</x:v>
      </x:c>
      <x:c r="S37" s="15" t="str">
        <x:v>909-354-6276</x:v>
      </x:c>
      <x:c r="T37" s="7" t="str">
        <x:v>Current CDI</x:v>
      </x:c>
      <x:c r="U37" s="7" t="str">
        <x:v>721 NEVADA ST STE 301A REDLANDS CA, 92373</x:v>
      </x:c>
      <x:c r="V37" s="7" t="str">
        <x:v>Resident</x:v>
      </x:c>
      <x:c r="W37" s="7" t="str">
        <x:v>CA</x:v>
      </x:c>
      <x:c r="X37" s="7" t="str"/>
      <x:c r="Y37" s="7" t="str">
        <x:v>PRIMERICA LIFE INSURANCE COMPANY / Life / 11/11/2024</x:v>
      </x:c>
      <x:c r="Z37" s="7" t="str"/>
      <x:c r="AA37" s="7" t="str"/>
      <x:c r="AB37" s="7" t="str"/>
      <x:c r="AC37" s="7" t="str"/>
      <x:c r="AD37" s="7" t="str">
        <x:v>Active general Life authority | Primerica relationship: matches an explicitly targeted recruiting segment | Direct Life appointments outside the selected health-carrier set: PRIMERICA LIFE INSURANCE COMPANY</x:v>
      </x:c>
      <x:c r="AE37" s="7" t="str">
        <x:v>Life expiration in 53 days: confirm renewal during onboarding</x:v>
      </x:c>
      <x:c r="AF37" s="16" t="n">
        <x:v>1.9</x:v>
      </x:c>
      <x:c r="AG37" s="17" t="n">
        <x:v>53</x:v>
      </x:c>
      <x:c r="AH37" s="7" t="str">
        <x:v>2024-11-11</x:v>
      </x:c>
      <x:c r="AI37" s="7" t="str">
        <x:v>English</x:v>
      </x:c>
      <x:c r="AJ37" s="7" t="str"/>
      <x:c r="AK37" s="15" t="str"/>
      <x:c r="AL37" s="7" t="str"/>
      <x:c r="AM37" s="7" t="str">
        <x:v>AGUILAR FRANCES VANESSA</x:v>
      </x:c>
      <x:c r="AN37" s="7" t="str">
        <x:v>https://cdicloud.insurance.ca.gov/cal/LicenseDetail?SearchType=IND&amp;SearchLicNbr=4423845&amp;SearchIndvId=4423845</x:v>
      </x:c>
      <x:c r="AO37" s="7" t="str">
        <x:v>2026-10-08</x:v>
      </x:c>
      <x:c r="AP37" s="7" t="str">
        <x:v>2dc847fb02cfa85e5f22de59c9502fef2490af2b65dbd1a7c9560cfb7d2b3a98</x:v>
      </x:c>
      <x:c r="AQ37" s="7" t="str">
        <x:v>Life / Active / 11/07/2024 / 11/07/2024 / 11/30/2026</x:v>
      </x:c>
      <x:c r="AR37" s="7" t="str">
        <x:v>Active</x:v>
      </x:c>
      <x:c r="AS37" s="7" t="str">
        <x:v>Current detail page</x:v>
      </x:c>
    </x:row>
    <x:row r="38" ht="52" customHeight="1">
      <x:c r="A38" s="7" t="str">
        <x:v>AGUILAR-FLORES EUTIQUIO</x:v>
      </x:c>
      <x:c r="B38" s="14" t="str">
        <x:f>"0N07212"</x:f>
        <x:v>0N07212</x:v>
      </x:c>
      <x:c r="C38" s="7" t="str">
        <x:v>Omitted</x:v>
      </x:c>
      <x:c r="D38" s="7" t="str">
        <x:v>PASS</x:v>
      </x:c>
      <x:c r="E38" s="13" t="str">
        <x:v>Pending</x:v>
      </x:c>
      <x:c r="F38" s="13" t="str"/>
      <x:c r="G38" s="13" t="str"/>
      <x:c r="H38" s="13" t="str"/>
      <x:c r="I38" s="7" t="str">
        <x:v>Was this person reviewed? If rejected, give the actual rule and evidence. If acceptable, correct the omission. Confirm whether there was an unrecorded filter or a missed search result.</x:v>
      </x:c>
      <x:c r="J38" s="7" t="str">
        <x:v>P1</x:v>
      </x:c>
      <x:c r="K38" s="7" t="str">
        <x:v>Passes the provisional observable screen. Actual business activity and willingness are unknown; historical omission remains unexplained.</x:v>
      </x:c>
      <x:c r="L38" s="7" t="str">
        <x:v>Not supplied; membership is known, motive is not</x:v>
      </x:c>
      <x:c r="M38" s="7" t="n">
        <x:v>1</x:v>
      </x:c>
      <x:c r="N38" s="7" t="str">
        <x:v>First-call fit for stated IMO focus</x:v>
      </x:c>
      <x:c r="O38" s="7" t="str">
        <x:v>Active</x:v>
      </x:c>
      <x:c r="P38" s="7" t="str">
        <x:v>07/09/2019</x:v>
      </x:c>
      <x:c r="Q38" s="7" t="str">
        <x:v>01/31/2027</x:v>
      </x:c>
      <x:c r="R38" s="7" t="str">
        <x:v>Life</x:v>
      </x:c>
      <x:c r="S38" s="15" t="str">
        <x:v>714-869-3501</x:v>
      </x:c>
      <x:c r="T38" s="7" t="str">
        <x:v>Current CDI</x:v>
      </x:c>
      <x:c r="U38" s="7" t="str">
        <x:v>2495 E ORANGETHORPE AVE STE 200-201 FULLERTON CA, 92831</x:v>
      </x:c>
      <x:c r="V38" s="7" t="str">
        <x:v>Resident</x:v>
      </x:c>
      <x:c r="W38" s="7" t="str">
        <x:v>CA</x:v>
      </x:c>
      <x:c r="X38" s="7" t="str"/>
      <x:c r="Y38" s="7" t="str">
        <x:v>PRIMERICA LIFE INSURANCE COMPANY / Life / 01/21/2025</x:v>
      </x:c>
      <x:c r="Z38" s="7" t="str"/>
      <x:c r="AA38" s="7" t="str"/>
      <x:c r="AB38" s="7" t="str"/>
      <x:c r="AC38" s="7" t="str"/>
      <x:c r="AD38" s="7" t="str">
        <x:v>Active general Life authority | Primerica relationship: matches an explicitly targeted recruiting segment | Direct Life appointments outside the selected health-carrier set: PRIMERICA LIFE INSURANCE COMPANY</x:v>
      </x:c>
      <x:c r="AE38" s="7" t="str"/>
      <x:c r="AF38" s="16" t="n">
        <x:v>7.2</x:v>
      </x:c>
      <x:c r="AG38" s="17" t="n">
        <x:v>115</x:v>
      </x:c>
      <x:c r="AH38" s="7" t="str">
        <x:v>2025-01-21</x:v>
      </x:c>
      <x:c r="AI38" s="7" t="str">
        <x:v>English</x:v>
      </x:c>
      <x:c r="AJ38" s="7" t="str"/>
      <x:c r="AK38" s="15" t="str"/>
      <x:c r="AL38" s="7" t="str"/>
      <x:c r="AM38" s="7" t="str">
        <x:v>Aguilar Flores  Eutiquio | AGUILAR-FLORES  EUTIQUIO</x:v>
      </x:c>
      <x:c r="AN38" s="7" t="str">
        <x:v>https://cdicloud.insurance.ca.gov/cal/LicenseDetail?SearchType=IND&amp;SearchLicNbr=0N07212&amp;SearchIndvId=2109629</x:v>
      </x:c>
      <x:c r="AO38" s="7" t="str">
        <x:v>2026-10-08</x:v>
      </x:c>
      <x:c r="AP38" s="7" t="str">
        <x:v>f97dea52bcadd1a5c089d516c2dec468c9defed8f4be1e1d637ced4e0811250f</x:v>
      </x:c>
      <x:c r="AQ38" s="7" t="str">
        <x:v>Life / Active / 07/09/2019 / 01/21/2025 / 01/31/2027</x:v>
      </x:c>
      <x:c r="AR38" s="7" t="str">
        <x:v>Active</x:v>
      </x:c>
      <x:c r="AS38" s="7" t="str">
        <x:v>Current detail page</x:v>
      </x:c>
    </x:row>
    <x:row r="39" ht="52" customHeight="1">
      <x:c r="A39" s="7" t="str">
        <x:v>DUNCAN SISTA ANGELICA</x:v>
      </x:c>
      <x:c r="B39" s="14" t="str">
        <x:f>"0E39992"</x:f>
        <x:v>0E39992</x:v>
      </x:c>
      <x:c r="C39" s="7" t="str">
        <x:v>Omitted</x:v>
      </x:c>
      <x:c r="D39" s="7" t="str">
        <x:v>PASS</x:v>
      </x:c>
      <x:c r="E39" s="13" t="str">
        <x:v>Pending</x:v>
      </x:c>
      <x:c r="F39" s="13" t="str"/>
      <x:c r="G39" s="13" t="str"/>
      <x:c r="H39" s="13" t="str"/>
      <x:c r="I39" s="7" t="str">
        <x:v>Was this person reviewed? If rejected, give the actual rule and evidence. If acceptable, correct the omission. Confirm whether there was an unrecorded filter or a missed search result.</x:v>
      </x:c>
      <x:c r="J39" s="7" t="str">
        <x:v>P1</x:v>
      </x:c>
      <x:c r="K39" s="7" t="str">
        <x:v>Passes the provisional observable screen. Actual business activity and willingness are unknown; historical omission remains unexplained.</x:v>
      </x:c>
      <x:c r="L39" s="7" t="str">
        <x:v>Not supplied; membership is known, motive is not</x:v>
      </x:c>
      <x:c r="M39" s="7" t="n">
        <x:v>1</x:v>
      </x:c>
      <x:c r="N39" s="7" t="str">
        <x:v>First-call fit for stated IMO focus</x:v>
      </x:c>
      <x:c r="O39" s="7" t="str">
        <x:v>Active</x:v>
      </x:c>
      <x:c r="P39" s="7" t="str">
        <x:v>04/23/2004</x:v>
      </x:c>
      <x:c r="Q39" s="7" t="str">
        <x:v>04/30/2028</x:v>
      </x:c>
      <x:c r="R39" s="7" t="str">
        <x:v>Accident &amp; Health or Sickness; Life</x:v>
      </x:c>
      <x:c r="S39" s="15" t="str">
        <x:v>916-859-7160 Ext. 4261</x:v>
      </x:c>
      <x:c r="T39" s="7" t="str">
        <x:v>Current CDI</x:v>
      </x:c>
      <x:c r="U39" s="7" t="str">
        <x:v>10860 GOLD CENTER DRIVE STE 350 RANCHO CORDOVA CA, 95670</x:v>
      </x:c>
      <x:c r="V39" s="7" t="str">
        <x:v>Resident</x:v>
      </x:c>
      <x:c r="W39" s="7" t="str">
        <x:v>CA</x:v>
      </x:c>
      <x:c r="X39" s="7" t="str">
        <x:v>CHIMIENTI &amp; ASSOCIATES / Life / 02/14/2008
CHIMIENTI &amp; ASSOCIATES / Accident &amp; Health or Sickness / 02/14/2008</x:v>
      </x:c>
      <x:c r="Y39" s="7" t="str">
        <x:v>AMERICAN GENERAL LIFE INSURANCE COMPANY / Accident &amp; Health or Sickness / 02/22/2011
AMERICAN GENERAL LIFE INSURANCE COMPANY / Life / 02/22/2011
AMERICAN HERITAGE LIFE INSURANCE COMPANY / Accident &amp; Health or Sickness / 04/18/2008
AMERICAN HERITAGE LIFE INSURANCE COMPANY / Life / 04/18/2008
BOSTON MUTUAL LIFE INSURANCE COMPANY / Accident &amp; Health or Sickness / 08/20/2010
BOSTON MUTUAL LIFE INSURANCE COMPANY / Life / 04/19/2010
COMBINED INSURANCE COMPANY OF AMERICA / Accident &amp; Health or Sickness / 04/02/2015
COMBINED INSURANCE COMPANY OF AMERICA / Life / 04/02/2015
CONTINENTAL AMERICAN INSURANCE COMPANY / Accident &amp; Health or Sickness / 04/22/2008
CONTINENTAL AMERICAN INSURANCE COMPANY / Disability Only / 10/22/2024
CONTINENTAL AMERICAN INSURANCE COMPANY / Life / 04/22/2008
FIDELITY SECURITY LIFE INSURANCE COMPANY / Accident &amp; Health or Sickness / 12/11/2008
FIDELITY SECURITY LIFE INSURANCE COMPANY / Life / 12/11/2008
MADISON NATIONAL LIFE INSURANCE COMPANY, INC. / Accident &amp; Health or Sickness / 04/19/2021
MADISON NATIONAL LIFE INSURANCE COMPANY, INC. / Life / 04/19/2021
NATIONAL TEACHERS ASSOCIATES LIFE INSURANCE COMPANY / Accident &amp; Health or Sickness / 10/17/2022
PAN-AMERICAN LIFE INSURANCE COMPANY / Accident &amp; Health or Sickness / 10/27/2009
PAN-AMERICAN LIFE INSURANCE COMPANY / Life / 10/27/2009
TRANSAMERICA LIFE INSURANCE COMPANY / Accident &amp; Health or Sickness / 10/27/2006
TRANSAMERICA LIFE INSURANCE COMPANY / Life / 10/27/2006
TRUSTMARK INSURANCE COMPANY / Accident &amp; Health or Sickness / 07/19/2019
TRUSTMARK INSURANCE COMPANY / Life / 07/19/2019</x:v>
      </x:c>
      <x:c r="Z39" s="7" t="str"/>
      <x:c r="AA39" s="7" t="str"/>
      <x:c r="AB39" s="7" t="str"/>
      <x:c r="AC39" s="7" t="str"/>
      <x:c r="AD39" s="7" t="str">
        <x:v>Active general Life authority | Direct Life appointments outside the selected health-carrier set: AMERICAN GENERAL LIFE INSURANCE COMPANY, AMERICAN HERITAGE LIFE INSURANCE COMPANY, BOSTON MUTUAL LIFE INSURANCE COMPANY, COMBINED INSURANCE COMPANY OF AMERICA, CONTINENTAL AMERICAN INSURANCE COMPANY, FIDELITY SECURITY LIFE INSURANCE COMPANY, MADISON NATIONAL LIFE INSURANCE COMPANY, INC., PAN-AMERICAN LIFE INSURANCE COMPANY, TRANSAMERICA LIFE INSURANCE COMPANY, TRUSTMARK INSURANCE COMPANY | Active A&amp;H supports optional cross-selling; not necessary for target products</x:v>
      </x:c>
      <x:c r="AE39" s="7" t="str"/>
      <x:c r="AF39" s="16" t="n">
        <x:v>22.5</x:v>
      </x:c>
      <x:c r="AG39" s="17" t="n">
        <x:v>570</x:v>
      </x:c>
      <x:c r="AH39" s="7" t="str">
        <x:v>2021-04-19</x:v>
      </x:c>
      <x:c r="AI39" s="7" t="str">
        <x:v>English</x:v>
      </x:c>
      <x:c r="AJ39" s="7" t="str"/>
      <x:c r="AK39" s="15" t="str"/>
      <x:c r="AL39" s="7" t="str"/>
      <x:c r="AM39" s="7" t="str">
        <x:v>AGUILAR ANGELICA SISTA</x:v>
      </x:c>
      <x:c r="AN39" s="7" t="str">
        <x:v>https://cdicloud.insurance.ca.gov/cal/LicenseDetail?SearchType=IND&amp;SearchLicNbr=0E39992&amp;SearchIndvId=894238</x:v>
      </x:c>
      <x:c r="AO39" s="7" t="str">
        <x:v>2026-10-08</x:v>
      </x:c>
      <x:c r="AP39" s="7" t="str">
        <x:v>86cb02d51c1e7c482e40d95325f901ab518016a967abd81a1cab61a19fa48c4c</x:v>
      </x:c>
      <x:c r="AQ39" s="7" t="str">
        <x:v>Accident &amp; Health or Sickness / Active / 04/23/2004 / 04/23/2004 / 04/30/2028
Life / Active / 04/23/2004 / 04/23/2004 / 04/30/2028</x:v>
      </x:c>
      <x:c r="AR39" s="7" t="str">
        <x:v>Active</x:v>
      </x:c>
      <x:c r="AS39" s="7" t="str">
        <x:v>Current detail page</x:v>
      </x:c>
    </x:row>
    <x:row r="40" ht="52" customHeight="1">
      <x:c r="A40" s="7" t="str">
        <x:v>WUENCE QUERUBINA HAYDEE</x:v>
      </x:c>
      <x:c r="B40" s="14" t="str">
        <x:f>"0B03437"</x:f>
        <x:v>0B03437</x:v>
      </x:c>
      <x:c r="C40" s="7" t="str">
        <x:v>Omitted</x:v>
      </x:c>
      <x:c r="D40" s="7" t="str">
        <x:v>PASS</x:v>
      </x:c>
      <x:c r="E40" s="13" t="str">
        <x:v>Pending</x:v>
      </x:c>
      <x:c r="F40" s="13" t="str"/>
      <x:c r="G40" s="13" t="str"/>
      <x:c r="H40" s="13" t="str"/>
      <x:c r="I40" s="7" t="str">
        <x:v>Was this person reviewed? If rejected, give the actual rule and evidence. If acceptable, correct the omission. Confirm whether there was an unrecorded filter or a missed search result.</x:v>
      </x:c>
      <x:c r="J40" s="7" t="str">
        <x:v>P1</x:v>
      </x:c>
      <x:c r="K40" s="7" t="str">
        <x:v>Passes the provisional observable screen. Actual business activity and willingness are unknown; historical omission remains unexplained.</x:v>
      </x:c>
      <x:c r="L40" s="7" t="str">
        <x:v>Not supplied; membership is known, motive is not</x:v>
      </x:c>
      <x:c r="M40" s="7" t="n">
        <x:v>1</x:v>
      </x:c>
      <x:c r="N40" s="7" t="str">
        <x:v>First-call fit for stated IMO focus</x:v>
      </x:c>
      <x:c r="O40" s="7" t="str">
        <x:v>Active</x:v>
      </x:c>
      <x:c r="P40" s="7" t="str">
        <x:v>09/04/1992</x:v>
      </x:c>
      <x:c r="Q40" s="7" t="str">
        <x:v>09/30/2028</x:v>
      </x:c>
      <x:c r="R40" s="7" t="str">
        <x:v>Accident &amp; Health or Sickness; Casualty; Life; Property</x:v>
      </x:c>
      <x:c r="S40" s="15" t="str">
        <x:v>323-771-7071</x:v>
      </x:c>
      <x:c r="T40" s="7" t="str">
        <x:v>Current CDI</x:v>
      </x:c>
      <x:c r="U40" s="7" t="str">
        <x:v>4509 E SLAUSON AVE STE G 4509 E SLAUSON AVE STE G MAYWOOD CA, 90270</x:v>
      </x:c>
      <x:c r="V40" s="7" t="str">
        <x:v>Resident</x:v>
      </x:c>
      <x:c r="W40" s="7" t="str">
        <x:v>CA</x:v>
      </x:c>
      <x:c r="X40" s="7" t="str">
        <x:v>LETO FINANCIAL &amp; INSURANCE SERVICES, INC / Casualty / 10/24/2018
LETO FINANCIAL &amp; INSURANCE SERVICES, INC / Property / 10/24/2018
Q.G.J.S. INC. / Property / 07/21/2014
Q.G.J.S. INC. / Casualty / 07/21/2014</x:v>
      </x:c>
      <x:c r="Y40" s="7" t="str">
        <x:v>AMERICAN GENERAL LIFE INSURANCE COMPANY / Accident &amp; Health or Sickness / 06/26/2006
AMERICAN GENERAL LIFE INSURANCE COMPANY / Life / 06/26/2006
AMERICAN NATIONAL INSURANCE COMPANY / Accident &amp; Health or Sickness / 01/19/2017
AMERICAN NATIONAL INSURANCE COMPANY / Life / 01/19/2017
FIDELITY &amp; GUARANTY LIFE INSURANCE COMPANY / Life / 12/28/2023
FOREMOST INSURANCE COMPANY GRAND RAPIDS, MICHIGAN / Casualty / 09/01/2011
FOREMOST INSURANCE COMPANY GRAND RAPIDS, MICHIGAN / Property / 09/01/2011
GREAT WESTERN INSURANCE COMPANY / Life / 08/25/2025
TRANSAMERICA LIFE INSURANCE COMPANY / Accident &amp; Health or Sickness / 01/30/2013</x:v>
      </x:c>
      <x:c r="Z40" s="7" t="str"/>
      <x:c r="AA40" s="7" t="str"/>
      <x:c r="AB40" s="7" t="str"/>
      <x:c r="AC40" s="7" t="str"/>
      <x:c r="AD40" s="7" t="str">
        <x:v>Active general Life authority | Direct Life appointments outside the selected health-carrier set: AMERICAN GENERAL LIFE INSURANCE COMPANY, AMERICAN NATIONAL INSURANCE COMPANY, FIDELITY &amp; GUARANTY LIFE INSURANCE COMPANY, GREAT WESTERN INSURANCE COMPANY | Active A&amp;H supports optional cross-selling; not necessary for target products</x:v>
      </x:c>
      <x:c r="AE40" s="7" t="str">
        <x:v>Mixed P&amp;C/Life qualifications; not an exclusion because approved examples have both</x:v>
      </x:c>
      <x:c r="AF40" s="16" t="n">
        <x:v>34.1</x:v>
      </x:c>
      <x:c r="AG40" s="17" t="n">
        <x:v>723</x:v>
      </x:c>
      <x:c r="AH40" s="7" t="str">
        <x:v>2025-08-25</x:v>
      </x:c>
      <x:c r="AI40" s="7" t="str">
        <x:v>English</x:v>
      </x:c>
      <x:c r="AJ40" s="7" t="str"/>
      <x:c r="AK40" s="15" t="str"/>
      <x:c r="AL40" s="7" t="str"/>
      <x:c r="AM40" s="7" t="str">
        <x:v>AGUILAR HAYDEE QUERUBINA</x:v>
      </x:c>
      <x:c r="AN40" s="7" t="str">
        <x:v>https://cdicloud.insurance.ca.gov/cal/LicenseDetail?SearchType=IND&amp;SearchLicNbr=0B03437&amp;SearchIndvId=185525</x:v>
      </x:c>
      <x:c r="AO40" s="7" t="str">
        <x:v>2026-10-08</x:v>
      </x:c>
      <x:c r="AP40" s="7" t="str">
        <x:v>dee8931aacc8550d2ee71a49112873a9704a6f4a035bff7c75e69e3a4f8e6111</x:v>
      </x:c>
      <x:c r="AQ40" s="7" t="str">
        <x:v>Accident &amp; Health or Sickness / Active / 09/04/1992 / 09/04/1992 / 09/30/2028
Casualty / Active / 07/21/1998 / 07/21/1998 / 09/30/2028
Life / Active / 09/04/1992 / 09/04/1992 / 09/30/2028
Property / Active / 07/21/1998 / 07/21/1998 / 09/30/2028</x:v>
      </x:c>
      <x:c r="AR40" s="7" t="str">
        <x:v>Active</x:v>
      </x:c>
      <x:c r="AS40" s="7" t="str">
        <x:v>Current detail page</x:v>
      </x:c>
    </x:row>
    <x:row r="41" ht="52" customHeight="1">
      <x:c r="A41" s="7" t="str">
        <x:v>AGUILAR AARON</x:v>
      </x:c>
      <x:c r="B41" s="14" t="str">
        <x:f>"4119572"</x:f>
        <x:v>4119572</x:v>
      </x:c>
      <x:c r="C41" s="7" t="str">
        <x:v>Omitted</x:v>
      </x:c>
      <x:c r="D41" s="7" t="str">
        <x:v>REVIEW</x:v>
      </x:c>
      <x:c r="E41" s="13" t="str">
        <x:v>Pending</x:v>
      </x:c>
      <x:c r="F41" s="13" t="str"/>
      <x:c r="G41" s="13" t="str"/>
      <x:c r="H41" s="13" t="str"/>
      <x:c r="I41" s="7" t="str">
        <x:v>Was this person reviewed? If rejected, give the actual rule and evidence. If acceptable, correct the omission. Resolve: P&amp;C emphasis without separate core-Life signal.</x:v>
      </x:c>
      <x:c r="J41" s="7" t="str">
        <x:v>R4</x:v>
      </x:c>
      <x:c r="K41" s="7" t="str">
        <x:v>Requires verification: P&amp;C emphasis without separate core-Life signal. These facts do not establish the original reviewer’s motive.</x:v>
      </x:c>
      <x:c r="L41" s="7" t="str">
        <x:v>Not supplied; membership is known, motive is not</x:v>
      </x:c>
      <x:c r="M41" s="7" t="n">
        <x:v>2</x:v>
      </x:c>
      <x:c r="N41" s="7" t="str">
        <x:v>Secondary call: verify product focus/reachability</x:v>
      </x:c>
      <x:c r="O41" s="7" t="str">
        <x:v>Active</x:v>
      </x:c>
      <x:c r="P41" s="7" t="str">
        <x:v>01/20/2023</x:v>
      </x:c>
      <x:c r="Q41" s="7" t="str">
        <x:v>04/30/2027</x:v>
      </x:c>
      <x:c r="R41" s="7" t="str">
        <x:v>Casualty; Life; Property</x:v>
      </x:c>
      <x:c r="S41" s="15" t="str">
        <x:v>619-317-4811</x:v>
      </x:c>
      <x:c r="T41" s="7" t="str">
        <x:v>Current CDI</x:v>
      </x:c>
      <x:c r="U41" s="7" t="str">
        <x:v>5275 MARKET ST SUITE 24-D SAN DIEGO CA, 92114</x:v>
      </x:c>
      <x:c r="V41" s="7" t="str">
        <x:v>Resident</x:v>
      </x:c>
      <x:c r="W41" s="7" t="str">
        <x:v>CA</x:v>
      </x:c>
      <x:c r="X41" s="7" t="str"/>
      <x:c r="Y41" s="7" t="str"/>
      <x:c r="Z41" s="7" t="str"/>
      <x:c r="AA41" s="7" t="str"/>
      <x:c r="AB41" s="7" t="str"/>
      <x:c r="AC41" s="7" t="str"/>
      <x:c r="AD41" s="7" t="str">
        <x:v>Active general Life authority | No agency or insurer displayed: onboarding opportunity possible; existing business unknown</x:v>
      </x:c>
      <x:c r="AE41" s="7" t="str">
        <x:v>P&amp;C/Personal Lines authority without displayed core Life appointments; mixed profile requires review</x:v>
      </x:c>
      <x:c r="AF41" s="16" t="n">
        <x:v>3.7</x:v>
      </x:c>
      <x:c r="AG41" s="17" t="n">
        <x:v>204</x:v>
      </x:c>
      <x:c r="AH41" s="7" t="str"/>
      <x:c r="AI41" s="7" t="str">
        <x:v>English</x:v>
      </x:c>
      <x:c r="AJ41" s="7" t="str"/>
      <x:c r="AK41" s="15" t="str"/>
      <x:c r="AL41" s="7" t="str"/>
      <x:c r="AM41" s="7" t="str">
        <x:v>AGUILAR  AARON</x:v>
      </x:c>
      <x:c r="AN41" s="7" t="str">
        <x:v>https://cdicloud.insurance.ca.gov/cal/LicenseDetail?SearchType=IND&amp;SearchLicNbr=4119572&amp;SearchIndvId=4119572</x:v>
      </x:c>
      <x:c r="AO41" s="7" t="str">
        <x:v>2026-10-08</x:v>
      </x:c>
      <x:c r="AP41" s="7" t="str">
        <x:v>2bccfca0cdfe22fbbe42ecefa7392ed994e1b0054bf6cb4186bb93c5420d6b0a</x:v>
      </x:c>
      <x:c r="AQ41" s="7" t="str">
        <x:v>Casualty / Active / 04/21/2021 / 04/21/2021 / 04/30/2027
Life / Active / 01/20/2023 / 01/20/2023 / 04/30/2027
Property / Active / 04/21/2021 / 04/21/2021 / 04/30/2027</x:v>
      </x:c>
      <x:c r="AR41" s="7" t="str">
        <x:v>Active</x:v>
      </x:c>
      <x:c r="AS41" s="7" t="str">
        <x:v>Current detail page</x:v>
      </x:c>
    </x:row>
    <x:row r="42" ht="52" customHeight="1">
      <x:c r="A42" s="7" t="str">
        <x:v>AGUILAR ALICIA</x:v>
      </x:c>
      <x:c r="B42" s="14" t="str">
        <x:f>"4498791"</x:f>
        <x:v>4498791</x:v>
      </x:c>
      <x:c r="C42" s="7" t="str">
        <x:v>Omitted</x:v>
      </x:c>
      <x:c r="D42" s="7" t="str">
        <x:v>REVIEW</x:v>
      </x:c>
      <x:c r="E42" s="13" t="str">
        <x:v>Pending</x:v>
      </x:c>
      <x:c r="F42" s="13" t="str"/>
      <x:c r="G42" s="13" t="str"/>
      <x:c r="H42" s="13" t="str"/>
      <x:c r="I42" s="7" t="str">
        <x:v>Was this person reviewed? If rejected, give the actual rule and evidence. If acceptable, correct the omission. Resolve: Toll-free number: direct reachability.</x:v>
      </x:c>
      <x:c r="J42" s="7" t="str">
        <x:v>R5</x:v>
      </x:c>
      <x:c r="K42" s="7" t="str">
        <x:v>Requires verification: Toll-free number: direct reachability. These facts do not establish the original reviewer’s motive.</x:v>
      </x:c>
      <x:c r="L42" s="7" t="str">
        <x:v>Not supplied; membership is known, motive is not</x:v>
      </x:c>
      <x:c r="M42" s="7" t="n">
        <x:v>2</x:v>
      </x:c>
      <x:c r="N42" s="7" t="str">
        <x:v>Secondary call: verify product focus/reachability</x:v>
      </x:c>
      <x:c r="O42" s="7" t="str">
        <x:v>Active</x:v>
      </x:c>
      <x:c r="P42" s="7" t="str">
        <x:v>11/25/2025</x:v>
      </x:c>
      <x:c r="Q42" s="7" t="str">
        <x:v>11/30/2027</x:v>
      </x:c>
      <x:c r="R42" s="7" t="str">
        <x:v>Accident &amp; Health or Sickness; Life</x:v>
      </x:c>
      <x:c r="S42" s="15" t="str">
        <x:v>800-842-6635</x:v>
      </x:c>
      <x:c r="T42" s="7" t="str">
        <x:v>Current CDI</x:v>
      </x:c>
      <x:c r="U42" s="7" t="str">
        <x:v>9500 TOPANGA CANYON BLVD CHATSWORTH CA, 91311</x:v>
      </x:c>
      <x:c r="V42" s="7" t="str">
        <x:v>Resident</x:v>
      </x:c>
      <x:c r="W42" s="7" t="str">
        <x:v>CA</x:v>
      </x:c>
      <x:c r="X42" s="7" t="str"/>
      <x:c r="Y42" s="7" t="str"/>
      <x:c r="Z42" s="7" t="str"/>
      <x:c r="AA42" s="7" t="str"/>
      <x:c r="AB42" s="7" t="str"/>
      <x:c r="AC42" s="7" t="str"/>
      <x:c r="AD42" s="7" t="str">
        <x:v>Active general Life authority | No agency or insurer displayed: onboarding opportunity possible; existing business unknown | Active A&amp;H supports optional cross-selling; not necessary for target products</x:v>
      </x:c>
      <x:c r="AE42" s="7" t="str">
        <x:v>Toll-free business number: verify that it reaches the individual rather than a central office</x:v>
      </x:c>
      <x:c r="AF42" s="16" t="n">
        <x:v>0.9</x:v>
      </x:c>
      <x:c r="AG42" s="17" t="n">
        <x:v>418</x:v>
      </x:c>
      <x:c r="AH42" s="7" t="str"/>
      <x:c r="AI42" s="7" t="str">
        <x:v>English</x:v>
      </x:c>
      <x:c r="AJ42" s="7" t="str"/>
      <x:c r="AK42" s="15" t="str"/>
      <x:c r="AL42" s="7" t="str"/>
      <x:c r="AM42" s="7" t="str">
        <x:v>AGUILAR  ALICIA</x:v>
      </x:c>
      <x:c r="AN42" s="7" t="str">
        <x:v>https://cdicloud.insurance.ca.gov/cal/LicenseDetail?SearchType=IND&amp;SearchLicNbr=4498791&amp;SearchIndvId=4498791</x:v>
      </x:c>
      <x:c r="AO42" s="7" t="str">
        <x:v>2026-10-08</x:v>
      </x:c>
      <x:c r="AP42" s="7" t="str">
        <x:v>02248dd3b231518b99e10e5cb3b347b8c6400fc0bd42c2fee3531eec5f490557</x:v>
      </x:c>
      <x:c r="AQ42" s="7" t="str">
        <x:v>Accident &amp; Health or Sickness / Active / 11/25/2025 / 11/25/2025 / 11/30/2027
Life / Active / 11/25/2025 / 11/25/2025 / 11/30/2027</x:v>
      </x:c>
      <x:c r="AR42" s="7" t="str">
        <x:v>Active</x:v>
      </x:c>
      <x:c r="AS42" s="7" t="str">
        <x:v>Current detail page</x:v>
      </x:c>
    </x:row>
    <x:row r="43" ht="52" customHeight="1">
      <x:c r="A43" s="7" t="str">
        <x:v>AGUILAR CARLOS</x:v>
      </x:c>
      <x:c r="B43" s="14" t="str">
        <x:f>"0L87403"</x:f>
        <x:v>0L87403</x:v>
      </x:c>
      <x:c r="C43" s="7" t="str">
        <x:v>Omitted</x:v>
      </x:c>
      <x:c r="D43" s="7" t="str">
        <x:v>REVIEW</x:v>
      </x:c>
      <x:c r="E43" s="13" t="str">
        <x:v>Pending</x:v>
      </x:c>
      <x:c r="F43" s="13" t="str"/>
      <x:c r="G43" s="13" t="str"/>
      <x:c r="H43" s="13" t="str"/>
      <x:c r="I43" s="7" t="str">
        <x:v>Was this person reviewed? If rejected, give the actual rule and evidence. If acceptable, correct the omission. Resolve: Selected health-carrier Life mix.</x:v>
      </x:c>
      <x:c r="J43" s="7" t="str">
        <x:v>R4</x:v>
      </x:c>
      <x:c r="K43" s="7" t="str">
        <x:v>Requires verification: Selected health-carrier Life mix. These facts do not establish the original reviewer’s motive.</x:v>
      </x:c>
      <x:c r="L43" s="7" t="str">
        <x:v>Not supplied; membership is known, motive is not</x:v>
      </x:c>
      <x:c r="M43" s="7" t="n">
        <x:v>2</x:v>
      </x:c>
      <x:c r="N43" s="7" t="str">
        <x:v>Secondary call: verify product focus/reachability</x:v>
      </x:c>
      <x:c r="O43" s="7" t="str">
        <x:v>Active</x:v>
      </x:c>
      <x:c r="P43" s="7" t="str">
        <x:v>08/09/2017</x:v>
      </x:c>
      <x:c r="Q43" s="7" t="str">
        <x:v>08/31/2027</x:v>
      </x:c>
      <x:c r="R43" s="7" t="str">
        <x:v>Accident &amp; Health or Sickness; Life</x:v>
      </x:c>
      <x:c r="S43" s="15" t="str">
        <x:v>949-529-7123 Ext. 949</x:v>
      </x:c>
      <x:c r="T43" s="7" t="str">
        <x:v>Current CDI</x:v>
      </x:c>
      <x:c r="U43" s="7" t="str">
        <x:v>30320 RANCHO VIEJO RD ST 4 SAN JUAN CAPISTRANO CA, 92675</x:v>
      </x:c>
      <x:c r="V43" s="7" t="str">
        <x:v>Resident</x:v>
      </x:c>
      <x:c r="W43" s="7" t="str">
        <x:v>CA</x:v>
      </x:c>
      <x:c r="X43" s="7" t="str">
        <x:v>CALIFORNIA HEALTH BENEFIT EXCHANGE / Accident &amp; Health or Sickness / 10/05/2023</x:v>
      </x:c>
      <x:c r="Y43" s="7" t="str">
        <x:v>AETNA LIFE INSURANCE COMPANY / Accident &amp; Health or Sickness / 11/14/2019
AETNA LIFE INSURANCE COMPANY / Life / 11/14/2019
ANTHEM BLUE CROSS LIFE AND HEALTH INSURANCE COMPANY / Accident &amp; Health or Sickness / 04/07/2018
ANTHEM BLUE CROSS LIFE AND HEALTH INSURANCE COMPANY / Life / 04/07/2018
BLUE SHIELD OF CALIFORNIA LIFE &amp; HEALTH INSURANCE COMPANY / Accident &amp; Health or Sickness / 09/28/2017
BLUE SHIELD OF CALIFORNIA LIFE &amp; HEALTH INSURANCE COMPANY / Life / 09/28/2017
HEALTH NET LIFE INSURANCE COMPANY / Accident &amp; Health or Sickness / 03/14/2018
HEALTH NET LIFE INSURANCE COMPANY / Life / 03/14/2018
HUMANA BENEFIT PLAN OF ILLINOIS, INC. / Accident &amp; Health or Sickness / 12/05/2023
KAISER PERMANENTE INSURANCE COMPANY / Accident &amp; Health or Sickness / 09/21/2017
UNITEDHEALTHCARE INSURANCE COMPANY / Accident &amp; Health or Sickness / 08/15/2017</x:v>
      </x:c>
      <x:c r="Z43" s="7" t="str"/>
      <x:c r="AA43" s="7" t="str"/>
      <x:c r="AB43" s="7" t="str"/>
      <x:c r="AC43" s="7" t="str"/>
      <x:c r="AD43" s="7" t="str">
        <x:v>Active general Life authority | Active A&amp;H supports optional cross-selling; not necessary for target products</x:v>
      </x:c>
      <x:c r="AE43" s="7" t="str">
        <x:v>Life appointments shown only at selected health-oriented carriers; core Life activity unestablished</x:v>
      </x:c>
      <x:c r="AF43" s="16" t="n">
        <x:v>9.2</x:v>
      </x:c>
      <x:c r="AG43" s="17" t="n">
        <x:v>327</x:v>
      </x:c>
      <x:c r="AH43" s="7" t="str">
        <x:v>2019-11-14</x:v>
      </x:c>
      <x:c r="AI43" s="7" t="str">
        <x:v>English</x:v>
      </x:c>
      <x:c r="AJ43" s="7" t="str"/>
      <x:c r="AK43" s="15" t="str"/>
      <x:c r="AL43" s="7" t="str"/>
      <x:c r="AM43" s="7" t="str">
        <x:v>AGUILAR  CARLOS</x:v>
      </x:c>
      <x:c r="AN43" s="7" t="str">
        <x:v>https://cdicloud.insurance.ca.gov/cal/LicenseDetail?SearchType=IND&amp;SearchLicNbr=0L87403&amp;SearchIndvId=1951937</x:v>
      </x:c>
      <x:c r="AO43" s="7" t="str">
        <x:v>2026-10-08</x:v>
      </x:c>
      <x:c r="AP43" s="7" t="str">
        <x:v>102d34630b96667b64925afabef5c2809dbf682c78d6698aa2e1ec7ee9b7bc21</x:v>
      </x:c>
      <x:c r="AQ43" s="7" t="str">
        <x:v>Accident &amp; Health or Sickness / Active / 08/09/2017 / 08/09/2017 / 08/31/2027
Life / Active / 08/09/2017 / 08/09/2017 / 08/31/2027</x:v>
      </x:c>
      <x:c r="AR43" s="7" t="str">
        <x:v>Active</x:v>
      </x:c>
      <x:c r="AS43" s="7" t="str">
        <x:v>Current detail page</x:v>
      </x:c>
    </x:row>
    <x:row r="44" ht="52" customHeight="1">
      <x:c r="A44" s="7" t="str">
        <x:v>AGUILAR DIANA</x:v>
      </x:c>
      <x:c r="B44" s="14" t="str">
        <x:f>"4002433"</x:f>
        <x:v>4002433</x:v>
      </x:c>
      <x:c r="C44" s="7" t="str">
        <x:v>Omitted</x:v>
      </x:c>
      <x:c r="D44" s="7" t="str">
        <x:v>REVIEW</x:v>
      </x:c>
      <x:c r="E44" s="13" t="str">
        <x:v>Pending</x:v>
      </x:c>
      <x:c r="F44" s="13" t="str"/>
      <x:c r="G44" s="13" t="str"/>
      <x:c r="H44" s="13" t="str"/>
      <x:c r="I44" s="7" t="str">
        <x:v>Was this person reviewed? If rejected, give the actual rule and evidence. If acceptable, correct the omission. Resolve: A&amp;H/disability appointments only; P&amp;C emphasis without separate core-Life signal.</x:v>
      </x:c>
      <x:c r="J44" s="7" t="str">
        <x:v>R4</x:v>
      </x:c>
      <x:c r="K44" s="7" t="str">
        <x:v>Requires verification: A&amp;H/disability appointments only; P&amp;C emphasis without separate core-Life signal. These facts do not establish the original reviewer’s motive.</x:v>
      </x:c>
      <x:c r="L44" s="7" t="str">
        <x:v>Not supplied; membership is known, motive is not</x:v>
      </x:c>
      <x:c r="M44" s="7" t="n">
        <x:v>2</x:v>
      </x:c>
      <x:c r="N44" s="7" t="str">
        <x:v>Secondary call: verify product focus/reachability</x:v>
      </x:c>
      <x:c r="O44" s="7" t="str">
        <x:v>Active</x:v>
      </x:c>
      <x:c r="P44" s="7" t="str">
        <x:v>10/02/2019</x:v>
      </x:c>
      <x:c r="Q44" s="7" t="str">
        <x:v>10/31/2027</x:v>
      </x:c>
      <x:c r="R44" s="7" t="str">
        <x:v>Accident &amp; Health or Sickness; Casualty; Life; Property</x:v>
      </x:c>
      <x:c r="S44" s="15" t="str">
        <x:v>714-579-9360</x:v>
      </x:c>
      <x:c r="T44" s="7" t="str">
        <x:v>Current CDI</x:v>
      </x:c>
      <x:c r="U44" s="7" t="str">
        <x:v>2019 N BROADWAY APT G SANTA ANA CA, 92706-2658</x:v>
      </x:c>
      <x:c r="V44" s="7" t="str">
        <x:v>Resident</x:v>
      </x:c>
      <x:c r="W44" s="7" t="str">
        <x:v>CA</x:v>
      </x:c>
      <x:c r="X44" s="7" t="str">
        <x:v>CALIFORNIA HEALTH BENEFIT EXCHANGE / Accident &amp; Health or Sickness / 12/02/2025</x:v>
      </x:c>
      <x:c r="Y44" s="7" t="str">
        <x:v>ANTHEM BLUE CROSS LIFE AND HEALTH INSURANCE COMPANY / Accident &amp; Health or Sickness / 05/28/2026</x:v>
      </x:c>
      <x:c r="Z44" s="7" t="str"/>
      <x:c r="AA44" s="7" t="str"/>
      <x:c r="AB44" s="7" t="str"/>
      <x:c r="AC44" s="7" t="str"/>
      <x:c r="AD44" s="7" t="str">
        <x:v>Active general Life authority | Active A&amp;H supports optional cross-selling; not necessary for target products</x:v>
      </x:c>
      <x:c r="AE44" s="7" t="str">
        <x:v>Displayed insurer appointments are A&amp;H/disability only despite active Life authority | P&amp;C/Personal Lines authority without displayed core Life appointments; mixed profile requires review</x:v>
      </x:c>
      <x:c r="AF44" s="16" t="n">
        <x:v>7</x:v>
      </x:c>
      <x:c r="AG44" s="17" t="n">
        <x:v>388</x:v>
      </x:c>
      <x:c r="AH44" s="7" t="str"/>
      <x:c r="AI44" s="7" t="str">
        <x:v>English</x:v>
      </x:c>
      <x:c r="AJ44" s="7" t="str"/>
      <x:c r="AK44" s="15" t="str"/>
      <x:c r="AL44" s="7" t="str"/>
      <x:c r="AM44" s="7" t="str">
        <x:v>AGUILAR  DIANA</x:v>
      </x:c>
      <x:c r="AN44" s="7" t="str">
        <x:v>https://cdicloud.insurance.ca.gov/cal/LicenseDetail?SearchType=IND&amp;SearchLicNbr=4002433&amp;SearchIndvId=4002433</x:v>
      </x:c>
      <x:c r="AO44" s="7" t="str">
        <x:v>2026-10-08</x:v>
      </x:c>
      <x:c r="AP44" s="7" t="str">
        <x:v>c10a8a1940062f8e5eb23b6ed7aafdbaab4b8954a0d91467219dce4493a40b5f</x:v>
      </x:c>
      <x:c r="AQ44" s="7" t="str">
        <x:v>Accident &amp; Health or Sickness / Active / 10/11/2020 / 10/11/2020 / 10/31/2027
Casualty / Active / 05/12/2023 / 05/12/2023 / 10/31/2027
Life / Active / 10/02/2019 / 10/02/2019 / 10/31/2027
Property / Active / 05/12/2023 / 05/12/2023 / 10/31/2027</x:v>
      </x:c>
      <x:c r="AR44" s="7" t="str">
        <x:v>Active</x:v>
      </x:c>
      <x:c r="AS44" s="7" t="str">
        <x:v>Current detail page</x:v>
      </x:c>
    </x:row>
    <x:row r="45" ht="52" customHeight="1">
      <x:c r="A45" s="7" t="str">
        <x:v>AGUILAR EDGARDO</x:v>
      </x:c>
      <x:c r="B45" s="14" t="str">
        <x:f>"0F42517"</x:f>
        <x:v>0F42517</x:v>
      </x:c>
      <x:c r="C45" s="7" t="str">
        <x:v>Omitted</x:v>
      </x:c>
      <x:c r="D45" s="7" t="str">
        <x:v>REVIEW</x:v>
      </x:c>
      <x:c r="E45" s="13" t="str">
        <x:v>Pending</x:v>
      </x:c>
      <x:c r="F45" s="13" t="str"/>
      <x:c r="G45" s="13" t="str"/>
      <x:c r="H45" s="13" t="str"/>
      <x:c r="I45" s="7" t="str">
        <x:v>Was this person reviewed? If rejected, give the actual rule and evidence. If acceptable, correct the omission. Resolve: P&amp;C emphasis without separate core-Life signal.</x:v>
      </x:c>
      <x:c r="J45" s="7" t="str">
        <x:v>R4</x:v>
      </x:c>
      <x:c r="K45" s="7" t="str">
        <x:v>Requires verification: P&amp;C emphasis without separate core-Life signal. These facts do not establish the original reviewer’s motive.</x:v>
      </x:c>
      <x:c r="L45" s="7" t="str">
        <x:v>Not supplied; membership is known, motive is not</x:v>
      </x:c>
      <x:c r="M45" s="7" t="n">
        <x:v>2</x:v>
      </x:c>
      <x:c r="N45" s="7" t="str">
        <x:v>Secondary call: verify product focus/reachability</x:v>
      </x:c>
      <x:c r="O45" s="7" t="str">
        <x:v>Active</x:v>
      </x:c>
      <x:c r="P45" s="7" t="str">
        <x:v>10/12/2022</x:v>
      </x:c>
      <x:c r="Q45" s="7" t="str">
        <x:v>12/31/2027</x:v>
      </x:c>
      <x:c r="R45" s="7" t="str">
        <x:v>Life; Personal Lines</x:v>
      </x:c>
      <x:c r="S45" s="15" t="str">
        <x:v>619-392-8777</x:v>
      </x:c>
      <x:c r="T45" s="7" t="str">
        <x:v>Current CDI</x:v>
      </x:c>
      <x:c r="U45" s="7" t="str">
        <x:v>1043 BROADWAY 102 CHULA VISTA CA, 91911</x:v>
      </x:c>
      <x:c r="V45" s="7" t="str">
        <x:v>Resident</x:v>
      </x:c>
      <x:c r="W45" s="7" t="str">
        <x:v>CA</x:v>
      </x:c>
      <x:c r="X45" s="7" t="str"/>
      <x:c r="Y45" s="7" t="str"/>
      <x:c r="Z45" s="7" t="str"/>
      <x:c r="AA45" s="7" t="str"/>
      <x:c r="AB45" s="7" t="str"/>
      <x:c r="AC45" s="7" t="str"/>
      <x:c r="AD45" s="7" t="str">
        <x:v>Active general Life authority | No agency or insurer displayed: onboarding opportunity possible; existing business unknown</x:v>
      </x:c>
      <x:c r="AE45" s="7" t="str">
        <x:v>P&amp;C/Personal Lines authority without displayed core Life appointments; mixed profile requires review</x:v>
      </x:c>
      <x:c r="AF45" s="16" t="n">
        <x:v>4</x:v>
      </x:c>
      <x:c r="AG45" s="17" t="n">
        <x:v>449</x:v>
      </x:c>
      <x:c r="AH45" s="7" t="str"/>
      <x:c r="AI45" s="7" t="str">
        <x:v>English</x:v>
      </x:c>
      <x:c r="AJ45" s="7" t="str"/>
      <x:c r="AK45" s="15" t="str"/>
      <x:c r="AL45" s="7" t="str"/>
      <x:c r="AM45" s="7" t="str">
        <x:v>AGUILAR  EDGARDO</x:v>
      </x:c>
      <x:c r="AN45" s="7" t="str">
        <x:v>https://cdicloud.insurance.ca.gov/cal/LicenseDetail?SearchType=IND&amp;SearchLicNbr=0F42517&amp;SearchIndvId=1054239</x:v>
      </x:c>
      <x:c r="AO45" s="7" t="str">
        <x:v>2026-10-08</x:v>
      </x:c>
      <x:c r="AP45" s="7" t="str">
        <x:v>1f71c5a7279e33396f939edc9713899bd71d062486f26b8a42bb2f18d0bcceb3</x:v>
      </x:c>
      <x:c r="AQ45" s="7" t="str">
        <x:v>Life / Active / 10/12/2022 / 02/24/2026 / 12/31/2027
Personal Lines / Active / 11/08/2006 / 02/24/2026 / 12/31/2027</x:v>
      </x:c>
      <x:c r="AR45" s="7" t="str">
        <x:v>Active</x:v>
      </x:c>
      <x:c r="AS45" s="7" t="str">
        <x:v>Current detail page</x:v>
      </x:c>
    </x:row>
    <x:row r="46" ht="52" customHeight="1">
      <x:c r="A46" s="7" t="str">
        <x:v>AGUILAR ELIZABETH PEREZ</x:v>
      </x:c>
      <x:c r="B46" s="14" t="str">
        <x:f>"0F57818"</x:f>
        <x:v>0F57818</x:v>
      </x:c>
      <x:c r="C46" s="7" t="str">
        <x:v>Omitted</x:v>
      </x:c>
      <x:c r="D46" s="7" t="str">
        <x:v>REVIEW</x:v>
      </x:c>
      <x:c r="E46" s="13" t="str">
        <x:v>Pending</x:v>
      </x:c>
      <x:c r="F46" s="13" t="str"/>
      <x:c r="G46" s="13" t="str"/>
      <x:c r="H46" s="13" t="str"/>
      <x:c r="I46" s="7" t="str">
        <x:v>Was this person reviewed? If rejected, give the actual rule and evidence. If acceptable, correct the omission. Resolve: Selected health-carrier Life mix.</x:v>
      </x:c>
      <x:c r="J46" s="7" t="str">
        <x:v>R4</x:v>
      </x:c>
      <x:c r="K46" s="7" t="str">
        <x:v>Requires verification: Selected health-carrier Life mix. These facts do not establish the original reviewer’s motive.</x:v>
      </x:c>
      <x:c r="L46" s="7" t="str">
        <x:v>Not supplied; membership is known, motive is not</x:v>
      </x:c>
      <x:c r="M46" s="7" t="n">
        <x:v>2</x:v>
      </x:c>
      <x:c r="N46" s="7" t="str">
        <x:v>Secondary call: verify product focus/reachability</x:v>
      </x:c>
      <x:c r="O46" s="7" t="str">
        <x:v>Active</x:v>
      </x:c>
      <x:c r="P46" s="7" t="str">
        <x:v>03/13/2007</x:v>
      </x:c>
      <x:c r="Q46" s="7" t="str">
        <x:v>03/31/2027</x:v>
      </x:c>
      <x:c r="R46" s="7" t="str">
        <x:v>Accident &amp; Health or Sickness; Life</x:v>
      </x:c>
      <x:c r="S46" s="15" t="str">
        <x:v>818-381-1112</x:v>
      </x:c>
      <x:c r="T46" s="7" t="str">
        <x:v>Current CDI</x:v>
      </x:c>
      <x:c r="U46" s="7" t="str">
        <x:v>21215 BURBANK BLVD WOODLAND HILLS CA, 91367</x:v>
      </x:c>
      <x:c r="V46" s="7" t="str">
        <x:v>Resident</x:v>
      </x:c>
      <x:c r="W46" s="7" t="str">
        <x:v>CA</x:v>
      </x:c>
      <x:c r="X46" s="7" t="str"/>
      <x:c r="Y46" s="7" t="str">
        <x:v>ANTHEM BLUE CROSS LIFE AND HEALTH INSURANCE COMPANY / Accident &amp; Health or Sickness / 06/15/2023
ANTHEM BLUE CROSS LIFE AND HEALTH INSURANCE COMPANY / Life / 06/15/2023
ANTHEM INSURANCE COMPANIES, INC. / Accident &amp; Health or Sickness / 08/05/2026
WELLPOINT LIFE AND HEALTH INSURANCE COMPANY / Accident &amp; Health or Sickness / 03/27/2024
WELLPOINT LIFE AND HEALTH INSURANCE COMPANY / Life / 03/27/2024</x:v>
      </x:c>
      <x:c r="Z46" s="7" t="str"/>
      <x:c r="AA46" s="7" t="str"/>
      <x:c r="AB46" s="7" t="str"/>
      <x:c r="AC46" s="7" t="str"/>
      <x:c r="AD46" s="7" t="str">
        <x:v>Active general Life authority | Active A&amp;H supports optional cross-selling; not necessary for target products</x:v>
      </x:c>
      <x:c r="AE46" s="7" t="str">
        <x:v>Life appointments shown only at selected health-oriented carriers; core Life activity unestablished</x:v>
      </x:c>
      <x:c r="AF46" s="16" t="n">
        <x:v>19.6</x:v>
      </x:c>
      <x:c r="AG46" s="17" t="n">
        <x:v>174</x:v>
      </x:c>
      <x:c r="AH46" s="7" t="str">
        <x:v>2024-03-27</x:v>
      </x:c>
      <x:c r="AI46" s="7" t="str">
        <x:v>English</x:v>
      </x:c>
      <x:c r="AJ46" s="7" t="str"/>
      <x:c r="AK46" s="15" t="str"/>
      <x:c r="AL46" s="7" t="str"/>
      <x:c r="AM46" s="7" t="str">
        <x:v>AGUILAR PEREZ ELIZABETH</x:v>
      </x:c>
      <x:c r="AN46" s="7" t="str">
        <x:v>https://cdicloud.insurance.ca.gov/cal/LicenseDetail?SearchType=IND&amp;SearchLicNbr=0F57818&amp;SearchIndvId=1072541</x:v>
      </x:c>
      <x:c r="AO46" s="7" t="str">
        <x:v>2026-10-08</x:v>
      </x:c>
      <x:c r="AP46" s="7" t="str">
        <x:v>7d8fceb8317168f35ef10ac92935406353dc07328ffcc932213b92b3d26d580b</x:v>
      </x:c>
      <x:c r="AQ46" s="7" t="str">
        <x:v>Accident &amp; Health or Sickness / Active / 03/13/2007 / 03/13/2007 / 03/31/2027
Life / Active / 03/13/2007 / 03/13/2007 / 03/31/2027</x:v>
      </x:c>
      <x:c r="AR46" s="7" t="str">
        <x:v>Active</x:v>
      </x:c>
      <x:c r="AS46" s="7" t="str">
        <x:v>Current detail page</x:v>
      </x:c>
    </x:row>
    <x:row r="47" ht="52" customHeight="1">
      <x:c r="A47" s="7" t="str">
        <x:v>AGUILAR ESTELA DELMAR</x:v>
      </x:c>
      <x:c r="B47" s="14" t="str">
        <x:f>"0E33551"</x:f>
        <x:v>0E33551</x:v>
      </x:c>
      <x:c r="C47" s="7" t="str">
        <x:v>Omitted</x:v>
      </x:c>
      <x:c r="D47" s="7" t="str">
        <x:v>REVIEW</x:v>
      </x:c>
      <x:c r="E47" s="13" t="str">
        <x:v>Pending</x:v>
      </x:c>
      <x:c r="F47" s="13" t="str"/>
      <x:c r="G47" s="13" t="str"/>
      <x:c r="H47" s="13" t="str"/>
      <x:c r="I47" s="7" t="str">
        <x:v>Was this person reviewed? If rejected, give the actual rule and evidence. If acceptable, correct the omission. Resolve: Selected health-carrier Life mix.</x:v>
      </x:c>
      <x:c r="J47" s="7" t="str">
        <x:v>R4</x:v>
      </x:c>
      <x:c r="K47" s="7" t="str">
        <x:v>Requires verification: Selected health-carrier Life mix. These facts do not establish the original reviewer’s motive.</x:v>
      </x:c>
      <x:c r="L47" s="7" t="str">
        <x:v>Not supplied; membership is known, motive is not</x:v>
      </x:c>
      <x:c r="M47" s="7" t="n">
        <x:v>2</x:v>
      </x:c>
      <x:c r="N47" s="7" t="str">
        <x:v>Secondary call: verify product focus/reachability</x:v>
      </x:c>
      <x:c r="O47" s="7" t="str">
        <x:v>Active</x:v>
      </x:c>
      <x:c r="P47" s="7" t="str">
        <x:v>02/28/2004</x:v>
      </x:c>
      <x:c r="Q47" s="7" t="str">
        <x:v>02/29/2028</x:v>
      </x:c>
      <x:c r="R47" s="7" t="str">
        <x:v>Accident &amp; Health or Sickness; Life</x:v>
      </x:c>
      <x:c r="S47" s="15" t="str">
        <x:v>909-731-6754</x:v>
      </x:c>
      <x:c r="T47" s="7" t="str">
        <x:v>Current CDI</x:v>
      </x:c>
      <x:c r="U47" s="7" t="str">
        <x:v>6766 EMERALD COURT FONTANA CA, 92336</x:v>
      </x:c>
      <x:c r="V47" s="7" t="str">
        <x:v>Resident</x:v>
      </x:c>
      <x:c r="W47" s="7" t="str">
        <x:v>CA</x:v>
      </x:c>
      <x:c r="X47" s="7" t="str"/>
      <x:c r="Y47" s="7" t="str">
        <x:v>CAREAMERICA LIFE INSURANCE COMPANY / Accident &amp; Health or Sickness / 03/29/2004
CAREAMERICA LIFE INSURANCE COMPANY / Life / 03/29/2004</x:v>
      </x:c>
      <x:c r="Z47" s="7" t="str"/>
      <x:c r="AA47" s="7" t="str"/>
      <x:c r="AB47" s="7" t="str"/>
      <x:c r="AC47" s="7" t="str"/>
      <x:c r="AD47" s="7" t="str">
        <x:v>Active general Life authority | Active A&amp;H supports optional cross-selling; not necessary for target products</x:v>
      </x:c>
      <x:c r="AE47" s="7" t="str">
        <x:v>Life appointments shown only at selected health-oriented carriers; core Life activity unestablished</x:v>
      </x:c>
      <x:c r="AF47" s="16" t="n">
        <x:v>22.6</x:v>
      </x:c>
      <x:c r="AG47" s="17" t="n">
        <x:v>509</x:v>
      </x:c>
      <x:c r="AH47" s="7" t="str">
        <x:v>2004-03-29</x:v>
      </x:c>
      <x:c r="AI47" s="7" t="str">
        <x:v>English</x:v>
      </x:c>
      <x:c r="AJ47" s="7" t="str"/>
      <x:c r="AK47" s="15" t="str"/>
      <x:c r="AL47" s="7" t="str"/>
      <x:c r="AM47" s="7" t="str">
        <x:v>AGUILAR DELMAR ESTELA</x:v>
      </x:c>
      <x:c r="AN47" s="7" t="str">
        <x:v>https://cdicloud.insurance.ca.gov/cal/LicenseDetail?SearchType=IND&amp;SearchLicNbr=0E33551&amp;SearchIndvId=885846</x:v>
      </x:c>
      <x:c r="AO47" s="7" t="str">
        <x:v>2026-10-08</x:v>
      </x:c>
      <x:c r="AP47" s="7" t="str">
        <x:v>f891d370d6deb7471990dc98df3a356e03a52db37298bda079336e80be965cfc</x:v>
      </x:c>
      <x:c r="AQ47" s="7" t="str">
        <x:v>Accident &amp; Health or Sickness / Active / 02/28/2004 / 02/28/2004 / 02/29/2028
Life / Active / 02/28/2004 / 02/28/2004 / 02/29/2028</x:v>
      </x:c>
      <x:c r="AR47" s="7" t="str">
        <x:v>Active</x:v>
      </x:c>
      <x:c r="AS47" s="7" t="str">
        <x:v>Current detail page</x:v>
      </x:c>
    </x:row>
    <x:row r="48" ht="52" customHeight="1">
      <x:c r="A48" s="7" t="str">
        <x:v>AGUILAR ISAAC GUTIERREZ JR</x:v>
      </x:c>
      <x:c r="B48" s="14" t="str">
        <x:f>"4349942"</x:f>
        <x:v>4349942</x:v>
      </x:c>
      <x:c r="C48" s="7" t="str">
        <x:v>Omitted</x:v>
      </x:c>
      <x:c r="D48" s="7" t="str">
        <x:v>REVIEW</x:v>
      </x:c>
      <x:c r="E48" s="13" t="str">
        <x:v>Pending</x:v>
      </x:c>
      <x:c r="F48" s="13" t="str"/>
      <x:c r="G48" s="13" t="str"/>
      <x:c r="H48" s="13" t="str"/>
      <x:c r="I48" s="7" t="str">
        <x:v>Was this person reviewed? If rejected, give the actual rule and evidence. If acceptable, correct the omission. Resolve: Toll-free number: direct reachability.</x:v>
      </x:c>
      <x:c r="J48" s="7" t="str">
        <x:v>R5</x:v>
      </x:c>
      <x:c r="K48" s="7" t="str">
        <x:v>Requires verification: Toll-free number: direct reachability. These facts do not establish the original reviewer’s motive.</x:v>
      </x:c>
      <x:c r="L48" s="7" t="str">
        <x:v>Not supplied; membership is known, motive is not</x:v>
      </x:c>
      <x:c r="M48" s="7" t="n">
        <x:v>2</x:v>
      </x:c>
      <x:c r="N48" s="7" t="str">
        <x:v>Secondary call: verify product focus/reachability</x:v>
      </x:c>
      <x:c r="O48" s="7" t="str">
        <x:v>Active</x:v>
      </x:c>
      <x:c r="P48" s="7" t="str">
        <x:v>01/29/2024</x:v>
      </x:c>
      <x:c r="Q48" s="7" t="str">
        <x:v>01/31/2028</x:v>
      </x:c>
      <x:c r="R48" s="7" t="str">
        <x:v>Accident &amp; Health or Sickness; Life; Personal Lines</x:v>
      </x:c>
      <x:c r="S48" s="15" t="str">
        <x:v>866-841-0143</x:v>
      </x:c>
      <x:c r="T48" s="7" t="str">
        <x:v>Current CDI</x:v>
      </x:c>
      <x:c r="U48" s="7" t="str">
        <x:v>2601 S FIGUEROA ST LOS ANGELES CA, 90007-3254</x:v>
      </x:c>
      <x:c r="V48" s="7" t="str">
        <x:v>Resident</x:v>
      </x:c>
      <x:c r="W48" s="7" t="str">
        <x:v>CA</x:v>
      </x:c>
      <x:c r="X48" s="7" t="str"/>
      <x:c r="Y48" s="7" t="str">
        <x:v>AAA LIFE INSURANCE COMPANY / Accident &amp; Health or Sickness / 06/24/2025
AAA LIFE INSURANCE COMPANY / Life / 06/24/2025
INTERINSURANCE EXCHANGE OF THE AUTOMOBILE CLUB / Accident &amp; Health or Sickness / 07/10/2025
INTERINSURANCE EXCHANGE OF THE AUTOMOBILE CLUB / Personal Lines / 07/10/2025</x:v>
      </x:c>
      <x:c r="Z48" s="7" t="str"/>
      <x:c r="AA48" s="7" t="str"/>
      <x:c r="AB48" s="7" t="str"/>
      <x:c r="AC48" s="7" t="str"/>
      <x:c r="AD48" s="7" t="str">
        <x:v>Active general Life authority | Direct Life appointments outside the selected health-carrier set: AAA LIFE INSURANCE COMPANY | Active A&amp;H supports optional cross-selling; not necessary for target products</x:v>
      </x:c>
      <x:c r="AE48" s="7" t="str">
        <x:v>Mixed P&amp;C/Life qualifications; not an exclusion because approved examples have both | Toll-free business number: verify that it reaches the individual rather than a central office</x:v>
      </x:c>
      <x:c r="AF48" s="16" t="n">
        <x:v>2.7</x:v>
      </x:c>
      <x:c r="AG48" s="17" t="n">
        <x:v>480</x:v>
      </x:c>
      <x:c r="AH48" s="7" t="str">
        <x:v>2025-06-24</x:v>
      </x:c>
      <x:c r="AI48" s="7" t="str">
        <x:v>English</x:v>
      </x:c>
      <x:c r="AJ48" s="7" t="str"/>
      <x:c r="AK48" s="15" t="str"/>
      <x:c r="AL48" s="7" t="str"/>
      <x:c r="AM48" s="7" t="str">
        <x:v>AGUILAR GUTIERREZ ISAAC</x:v>
      </x:c>
      <x:c r="AN48" s="7" t="str">
        <x:v>https://cdicloud.insurance.ca.gov/cal/LicenseDetail?SearchType=IND&amp;SearchLicNbr=4349942&amp;SearchIndvId=4349942</x:v>
      </x:c>
      <x:c r="AO48" s="7" t="str">
        <x:v>2026-10-08</x:v>
      </x:c>
      <x:c r="AP48" s="7" t="str">
        <x:v>1bab8884a956b12721734f539add2ed8527a7d1def9bc491b25bf2641d1ee15b</x:v>
      </x:c>
      <x:c r="AQ48" s="7" t="str">
        <x:v>Accident &amp; Health or Sickness / Active / 01/29/2024 / 01/29/2024 / 01/31/2028
Life / Active / 01/29/2024 / 01/29/2024 / 01/31/2028
Personal Lines / Active / 05/28/2025 / 05/28/2025 / 01/31/2028</x:v>
      </x:c>
      <x:c r="AR48" s="7" t="str">
        <x:v>Active</x:v>
      </x:c>
      <x:c r="AS48" s="7" t="str">
        <x:v>Current detail page</x:v>
      </x:c>
    </x:row>
    <x:row r="49" ht="52" customHeight="1">
      <x:c r="A49" s="7" t="str">
        <x:v>AGUILAR KENNETH EDUARDO JR</x:v>
      </x:c>
      <x:c r="B49" s="14" t="str">
        <x:f>"0M46185"</x:f>
        <x:v>0M46185</x:v>
      </x:c>
      <x:c r="C49" s="7" t="str">
        <x:v>Omitted</x:v>
      </x:c>
      <x:c r="D49" s="7" t="str">
        <x:v>REVIEW</x:v>
      </x:c>
      <x:c r="E49" s="13" t="str">
        <x:v>Pending</x:v>
      </x:c>
      <x:c r="F49" s="13" t="str"/>
      <x:c r="G49" s="13" t="str"/>
      <x:c r="H49" s="13" t="str"/>
      <x:c r="I49" s="7" t="str">
        <x:v>Was this person reviewed? If rejected, give the actual rule and evidence. If acceptable, correct the omission. Resolve: P&amp;C emphasis without separate core-Life signal.</x:v>
      </x:c>
      <x:c r="J49" s="7" t="str">
        <x:v>R4</x:v>
      </x:c>
      <x:c r="K49" s="7" t="str">
        <x:v>Requires verification: P&amp;C emphasis without separate core-Life signal. These facts do not establish the original reviewer’s motive.</x:v>
      </x:c>
      <x:c r="L49" s="7" t="str">
        <x:v>Not supplied; membership is known, motive is not</x:v>
      </x:c>
      <x:c r="M49" s="7" t="n">
        <x:v>2</x:v>
      </x:c>
      <x:c r="N49" s="7" t="str">
        <x:v>Secondary call: verify product focus/reachability</x:v>
      </x:c>
      <x:c r="O49" s="7" t="str">
        <x:v>Active</x:v>
      </x:c>
      <x:c r="P49" s="7" t="str">
        <x:v>06/07/2019</x:v>
      </x:c>
      <x:c r="Q49" s="7" t="str">
        <x:v>07/31/2028</x:v>
      </x:c>
      <x:c r="R49" s="7" t="str">
        <x:v>Casualty; Life; Property</x:v>
      </x:c>
      <x:c r="S49" s="15" t="str">
        <x:v>951-763-8002 Ext. 109</x:v>
      </x:c>
      <x:c r="T49" s="7" t="str">
        <x:v>Current CDI</x:v>
      </x:c>
      <x:c r="U49" s="7" t="str">
        <x:v>ARTHUR J. GALLAGHER SERVICES COMPANY 25240 HANCOCK AVE STE 415 MURRIETA CA, 92562-5990</x:v>
      </x:c>
      <x:c r="V49" s="7" t="str">
        <x:v>Resident</x:v>
      </x:c>
      <x:c r="W49" s="7" t="str">
        <x:v>CA</x:v>
      </x:c>
      <x:c r="X49" s="7" t="str">
        <x:v>ARTHUR J. GALLAGHER RISK MANAGEMENT SERVICES, LLC / Casualty / 05/20/2026
PRIMERICA FINANCIAL SERVICES INSURANCE MARKETING, INC. / Life / 06/07/2019
ARTHUR J. GALLAGHER RISK MANAGEMENT SERVICES, LLC / Property / 05/20/2026
ARTHUR J. GALLAGHER RISK MANAGEMENT SERVICES, LLC / Life / 05/20/2026</x:v>
      </x:c>
      <x:c r="Y49" s="7" t="str"/>
      <x:c r="Z49" s="7" t="str"/>
      <x:c r="AA49" s="7" t="str"/>
      <x:c r="AB49" s="7" t="str">
        <x:v>NAY RICHARD KEITH / Casualty / 07/06/2022
NAY RICHARD KEITH / Property / 07/06/2022</x:v>
      </x:c>
      <x:c r="AC49" s="7" t="str"/>
      <x:c r="AD49" s="7" t="str">
        <x:v>Active general Life authority | Primerica relationship: matches an explicitly targeted recruiting segment</x:v>
      </x:c>
      <x:c r="AE49" s="7" t="str">
        <x:v>P&amp;C/Personal Lines authority without displayed core Life appointments; mixed profile requires review | Sponsor relationships displayed: NAY RICHARD KEITH; inspect line-specific relationship, not a blanket employment inference</x:v>
      </x:c>
      <x:c r="AF49" s="16" t="n">
        <x:v>7.3</x:v>
      </x:c>
      <x:c r="AG49" s="17" t="n">
        <x:v>662</x:v>
      </x:c>
      <x:c r="AH49" s="7" t="str"/>
      <x:c r="AI49" s="7" t="str">
        <x:v>English</x:v>
      </x:c>
      <x:c r="AJ49" s="7" t="str"/>
      <x:c r="AK49" s="15" t="str"/>
      <x:c r="AL49" s="7" t="str"/>
      <x:c r="AM49" s="7" t="str">
        <x:v>Aguilar E Kenneth | AGUILAR EDUARDO KENNETH</x:v>
      </x:c>
      <x:c r="AN49" s="7" t="str">
        <x:v>https://cdicloud.insurance.ca.gov/cal/LicenseDetail?SearchType=IND&amp;SearchLicNbr=0M46185&amp;SearchIndvId=2022486</x:v>
      </x:c>
      <x:c r="AO49" s="7" t="str">
        <x:v>2026-10-08</x:v>
      </x:c>
      <x:c r="AP49" s="7" t="str">
        <x:v>11e05fe113ac36e3e89819ea497dfef8dd5a3e3367d9ddceab129a24e7d11f86</x:v>
      </x:c>
      <x:c r="AQ49" s="7" t="str">
        <x:v>Casualty / Active / 07/23/2018 / 07/23/2018 / 07/31/2028
Life / Active / 06/07/2019 / 06/07/2019 / 07/31/2028
Property / Active / 07/23/2018 / 07/23/2018 / 07/31/2028</x:v>
      </x:c>
      <x:c r="AR49" s="7" t="str">
        <x:v>Active</x:v>
      </x:c>
      <x:c r="AS49" s="7" t="str">
        <x:v>Current detail page</x:v>
      </x:c>
    </x:row>
    <x:row r="50" ht="52" customHeight="1">
      <x:c r="A50" s="7" t="str">
        <x:v>AGUILAR MANUEL V</x:v>
      </x:c>
      <x:c r="B50" s="14" t="str">
        <x:f>"0M37382"</x:f>
        <x:v>0M37382</x:v>
      </x:c>
      <x:c r="C50" s="7" t="str">
        <x:v>Omitted</x:v>
      </x:c>
      <x:c r="D50" s="7" t="str">
        <x:v>REVIEW</x:v>
      </x:c>
      <x:c r="E50" s="13" t="str">
        <x:v>Pending</x:v>
      </x:c>
      <x:c r="F50" s="13" t="str"/>
      <x:c r="G50" s="13" t="str"/>
      <x:c r="H50" s="13" t="str"/>
      <x:c r="I50" s="7" t="str">
        <x:v>Was this person reviewed? If rejected, give the actual rule and evidence. If acceptable, correct the omission. Resolve: P&amp;C emphasis without separate core-Life signal.</x:v>
      </x:c>
      <x:c r="J50" s="7" t="str">
        <x:v>R4</x:v>
      </x:c>
      <x:c r="K50" s="7" t="str">
        <x:v>Requires verification: P&amp;C emphasis without separate core-Life signal. These facts do not establish the original reviewer’s motive.</x:v>
      </x:c>
      <x:c r="L50" s="7" t="str">
        <x:v>Not supplied; membership is known, motive is not</x:v>
      </x:c>
      <x:c r="M50" s="7" t="n">
        <x:v>2</x:v>
      </x:c>
      <x:c r="N50" s="7" t="str">
        <x:v>Secondary call: verify product focus/reachability</x:v>
      </x:c>
      <x:c r="O50" s="7" t="str">
        <x:v>Active</x:v>
      </x:c>
      <x:c r="P50" s="7" t="str">
        <x:v>08/22/2022</x:v>
      </x:c>
      <x:c r="Q50" s="7" t="str">
        <x:v>06/30/2028</x:v>
      </x:c>
      <x:c r="R50" s="7" t="str">
        <x:v>Accident &amp; Health or Sickness; Casualty; Life; Property</x:v>
      </x:c>
      <x:c r="S50" s="15" t="str">
        <x:v>650-898-2838</x:v>
      </x:c>
      <x:c r="T50" s="7" t="str">
        <x:v>Current CDI</x:v>
      </x:c>
      <x:c r="U50" s="7" t="str">
        <x:v>38069 MARTHA AVE SUITE 500 TFREMON CA, 94536</x:v>
      </x:c>
      <x:c r="V50" s="7" t="str">
        <x:v>Resident</x:v>
      </x:c>
      <x:c r="W50" s="7" t="str">
        <x:v>CA</x:v>
      </x:c>
      <x:c r="X50" s="7" t="str">
        <x:v>GLEETOPIA INSURANCE SERVICES / Casualty / 02/13/2025
GLEETOPIA INSURANCE SERVICES / Property / 02/13/2025
GLEETOPIA INSURANCE SERVICES / Life / 02/13/2025
GLEETOPIA INSURANCE SERVICES / Accident &amp; Health or Sickness / 02/13/2025</x:v>
      </x:c>
      <x:c r="Y50" s="7" t="str">
        <x:v>FOREMOST INSURANCE COMPANY GRAND RAPIDS, MICHIGAN / Casualty / 04/16/2025
FOREMOST INSURANCE COMPANY GRAND RAPIDS, MICHIGAN / Property / 04/16/2025
NEXT INSURANCE US COMPANY / Casualty / 09/15/2025
NEXT INSURANCE US COMPANY / Property / 09/15/2025
ROOT INSURANCE COMPANY / Casualty / 10/02/2025
ROOT INSURANCE COMPANY / Property / 10/02/2025</x:v>
      </x:c>
      <x:c r="Z50" s="7" t="str"/>
      <x:c r="AA50" s="7" t="str"/>
      <x:c r="AB50" s="7" t="str"/>
      <x:c r="AC50" s="7" t="str"/>
      <x:c r="AD50" s="7" t="str">
        <x:v>Active general Life authority | Active A&amp;H supports optional cross-selling; not necessary for target products</x:v>
      </x:c>
      <x:c r="AE50" s="7" t="str">
        <x:v>P&amp;C/Personal Lines authority without displayed core Life appointments; mixed profile requires review</x:v>
      </x:c>
      <x:c r="AF50" s="16" t="n">
        <x:v>4.1</x:v>
      </x:c>
      <x:c r="AG50" s="17" t="n">
        <x:v>631</x:v>
      </x:c>
      <x:c r="AH50" s="7" t="str"/>
      <x:c r="AI50" s="7" t="str">
        <x:v>English</x:v>
      </x:c>
      <x:c r="AJ50" s="7" t="str"/>
      <x:c r="AK50" s="15" t="str"/>
      <x:c r="AL50" s="7" t="str"/>
      <x:c r="AM50" s="7" t="str">
        <x:v>AGUILAR V MANNY | AGUILAR  MANUEL V</x:v>
      </x:c>
      <x:c r="AN50" s="7" t="str">
        <x:v>https://cdicloud.insurance.ca.gov/cal/LicenseDetail?SearchType=IND&amp;SearchLicNbr=0M37382&amp;SearchIndvId=1974423</x:v>
      </x:c>
      <x:c r="AO50" s="7" t="str">
        <x:v>2026-10-08</x:v>
      </x:c>
      <x:c r="AP50" s="7" t="str">
        <x:v>96e4afc8f0334b2d792478bd8dd90852123c01481d5ec83271dca038c60b2cee</x:v>
      </x:c>
      <x:c r="AQ50" s="7" t="str">
        <x:v>Accident &amp; Health or Sickness / Active / 08/22/2022 / 07/01/2024 / 06/30/2028
Casualty / Active / 06/04/2018 / 07/01/2024 / 06/30/2028
Life / Active / 08/22/2022 / 07/01/2024 / 06/30/2028
Property / Active / 06/04/2018 / 07/01/2024 / 06/30/2028</x:v>
      </x:c>
      <x:c r="AR50" s="7" t="str">
        <x:v>Active</x:v>
      </x:c>
      <x:c r="AS50" s="7" t="str">
        <x:v>Current detail page</x:v>
      </x:c>
    </x:row>
    <x:row r="51" ht="52" customHeight="1">
      <x:c r="A51" s="7" t="str">
        <x:v>AGUILAR NELLY EMELY</x:v>
      </x:c>
      <x:c r="B51" s="14" t="str">
        <x:f>"0K21407"</x:f>
        <x:v>0K21407</x:v>
      </x:c>
      <x:c r="C51" s="7" t="str">
        <x:v>Omitted</x:v>
      </x:c>
      <x:c r="D51" s="7" t="str">
        <x:v>REVIEW</x:v>
      </x:c>
      <x:c r="E51" s="13" t="str">
        <x:v>Pending</x:v>
      </x:c>
      <x:c r="F51" s="13" t="str"/>
      <x:c r="G51" s="13" t="str"/>
      <x:c r="H51" s="13" t="str"/>
      <x:c r="I51" s="7" t="str">
        <x:v>Was this person reviewed? If rejected, give the actual rule and evidence. If acceptable, correct the omission. Resolve: P&amp;C emphasis without separate core-Life signal.</x:v>
      </x:c>
      <x:c r="J51" s="7" t="str">
        <x:v>R4</x:v>
      </x:c>
      <x:c r="K51" s="7" t="str">
        <x:v>Requires verification: P&amp;C emphasis without separate core-Life signal. These facts do not establish the original reviewer’s motive.</x:v>
      </x:c>
      <x:c r="L51" s="7" t="str">
        <x:v>Not supplied; membership is known, motive is not</x:v>
      </x:c>
      <x:c r="M51" s="7" t="n">
        <x:v>2</x:v>
      </x:c>
      <x:c r="N51" s="7" t="str">
        <x:v>Secondary call: verify product focus/reachability</x:v>
      </x:c>
      <x:c r="O51" s="7" t="str">
        <x:v>Active</x:v>
      </x:c>
      <x:c r="P51" s="7" t="str">
        <x:v>04/08/2025</x:v>
      </x:c>
      <x:c r="Q51" s="7" t="str">
        <x:v>04/30/2027</x:v>
      </x:c>
      <x:c r="R51" s="7" t="str">
        <x:v>Life; Personal Lines</x:v>
      </x:c>
      <x:c r="S51" s="15" t="str">
        <x:v>714-808-6842</x:v>
      </x:c>
      <x:c r="T51" s="7" t="str">
        <x:v>Current CDI</x:v>
      </x:c>
      <x:c r="U51" s="7" t="str">
        <x:v>3333 FAIRVIEW RD COSTA MESA CA, 92626-1610</x:v>
      </x:c>
      <x:c r="V51" s="7" t="str">
        <x:v>Resident</x:v>
      </x:c>
      <x:c r="W51" s="7" t="str">
        <x:v>CA</x:v>
      </x:c>
      <x:c r="X51" s="7" t="str">
        <x:v>AUTOMOBILE CLUB OF SOUTHERN CALIFORNIA / Personal Lines / 02/05/2016
AUTOMOBILE CLUB OF SOUTHERN CALIFORNIA / Life / 09/08/2025</x:v>
      </x:c>
      <x:c r="Y51" s="7" t="str">
        <x:v>INTERINSURANCE EXCHANGE OF THE AUTOMOBILE CLUB / Personal Lines / 08/25/2025</x:v>
      </x:c>
      <x:c r="Z51" s="7" t="str"/>
      <x:c r="AA51" s="7" t="str"/>
      <x:c r="AB51" s="7" t="str"/>
      <x:c r="AC51" s="7" t="str"/>
      <x:c r="AD51" s="7" t="str">
        <x:v>Active general Life authority</x:v>
      </x:c>
      <x:c r="AE51" s="7" t="str">
        <x:v>P&amp;C/Personal Lines authority without displayed core Life appointments; mixed profile requires review</x:v>
      </x:c>
      <x:c r="AF51" s="16" t="n">
        <x:v>1.5</x:v>
      </x:c>
      <x:c r="AG51" s="17" t="n">
        <x:v>204</x:v>
      </x:c>
      <x:c r="AH51" s="7" t="str"/>
      <x:c r="AI51" s="7" t="str">
        <x:v>English</x:v>
      </x:c>
      <x:c r="AJ51" s="7" t="str"/>
      <x:c r="AK51" s="15" t="str"/>
      <x:c r="AL51" s="7" t="str"/>
      <x:c r="AM51" s="7" t="str">
        <x:v>Aguilar E Nelly | AGUILAR EMELY NELLY</x:v>
      </x:c>
      <x:c r="AN51" s="7" t="str">
        <x:v>https://cdicloud.insurance.ca.gov/cal/LicenseDetail?SearchType=IND&amp;SearchLicNbr=0K21407&amp;SearchIndvId=1737260</x:v>
      </x:c>
      <x:c r="AO51" s="7" t="str">
        <x:v>2026-10-08</x:v>
      </x:c>
      <x:c r="AP51" s="7" t="str">
        <x:v>4970d93ebf1e387cc93d3e0aa6810b2f12cd17a4f9fc4c88fa0b70ab903c9978</x:v>
      </x:c>
      <x:c r="AQ51" s="7" t="str">
        <x:v>Life / Active / 04/08/2025 / 04/08/2025 / 04/30/2027
Personal Lines / Active / 04/29/2015 / 04/29/2015 / 04/30/2027</x:v>
      </x:c>
      <x:c r="AR51" s="7" t="str">
        <x:v>Active</x:v>
      </x:c>
      <x:c r="AS51" s="7" t="str">
        <x:v>Current detail page</x:v>
      </x:c>
    </x:row>
    <x:row r="52" ht="52" customHeight="1">
      <x:c r="A52" s="7" t="str">
        <x:v>AGUILAR W FAYE GUTIERREZ</x:v>
      </x:c>
      <x:c r="B52" s="14" t="str">
        <x:f>"0B55173"</x:f>
        <x:v>0B55173</x:v>
      </x:c>
      <x:c r="C52" s="7" t="str">
        <x:v>Omitted</x:v>
      </x:c>
      <x:c r="D52" s="7" t="str">
        <x:v>REVIEW</x:v>
      </x:c>
      <x:c r="E52" s="13" t="str">
        <x:v>Pending</x:v>
      </x:c>
      <x:c r="F52" s="13" t="str"/>
      <x:c r="G52" s="13" t="str"/>
      <x:c r="H52" s="13" t="str"/>
      <x:c r="I52" s="7" t="str">
        <x:v>Was this person reviewed? If rejected, give the actual rule and evidence. If acceptable, correct the omission. Resolve: P&amp;C emphasis without separate core-Life signal.</x:v>
      </x:c>
      <x:c r="J52" s="7" t="str">
        <x:v>R4</x:v>
      </x:c>
      <x:c r="K52" s="7" t="str">
        <x:v>Requires verification: P&amp;C emphasis without separate core-Life signal. These facts do not establish the original reviewer’s motive.</x:v>
      </x:c>
      <x:c r="L52" s="7" t="str">
        <x:v>Not supplied; membership is known, motive is not</x:v>
      </x:c>
      <x:c r="M52" s="7" t="n">
        <x:v>2</x:v>
      </x:c>
      <x:c r="N52" s="7" t="str">
        <x:v>Secondary call: verify product focus/reachability</x:v>
      </x:c>
      <x:c r="O52" s="7" t="str">
        <x:v>Active</x:v>
      </x:c>
      <x:c r="P52" s="7" t="str">
        <x:v>06/21/2008</x:v>
      </x:c>
      <x:c r="Q52" s="7" t="str">
        <x:v>03/31/2028</x:v>
      </x:c>
      <x:c r="R52" s="7" t="str">
        <x:v>Accident &amp; Health or Sickness; Casualty; Life; Property</x:v>
      </x:c>
      <x:c r="S52" s="15" t="str">
        <x:v>415-623-5181</x:v>
      </x:c>
      <x:c r="T52" s="7" t="str">
        <x:v>Current CDI</x:v>
      </x:c>
      <x:c r="U52" s="7" t="str">
        <x:v>74 WEST NEAL STREET, SUITE 200 PLEASANTON CA, 94566</x:v>
      </x:c>
      <x:c r="V52" s="7" t="str">
        <x:v>Resident</x:v>
      </x:c>
      <x:c r="W52" s="7" t="str">
        <x:v>CA</x:v>
      </x:c>
      <x:c r="X52" s="7" t="str">
        <x:v>INSURANCE SERVICES OF SAN FRANCISCO, INC. / Casualty / 02/17/2023
INSURANCE SERVICES OF SAN FRANCISCO, INC. / Accident &amp; Health or Sickness / 02/17/2023
INSURANCE SERVICES OF SAN FRANCISCO, INC. / Property / 02/17/2023
INSURANCE SERVICES OF SAN FRANCISCO, INC. / Life / 02/17/2023</x:v>
      </x:c>
      <x:c r="Y52" s="7" t="str">
        <x:v>AMGUARD INSURANCE COMPANY / Casualty / 03/06/2020
AMGUARD INSURANCE COMPANY / Property / 03/06/2020
FOREMOST INSURANCE COMPANY GRAND RAPIDS, MICHIGAN / Casualty / 02/19/2026
FOREMOST INSURANCE COMPANY GRAND RAPIDS, MICHIGAN / Property / 02/19/2026
NORGUARD INSURANCE COMPANY / Casualty / 03/06/2020</x:v>
      </x:c>
      <x:c r="Z52" s="7" t="str"/>
      <x:c r="AA52" s="7" t="str"/>
      <x:c r="AB52" s="7" t="str"/>
      <x:c r="AC52" s="7" t="str"/>
      <x:c r="AD52" s="7" t="str">
        <x:v>Active general Life authority | Active A&amp;H supports optional cross-selling; not necessary for target products</x:v>
      </x:c>
      <x:c r="AE52" s="7" t="str">
        <x:v>P&amp;C/Personal Lines authority without displayed core Life appointments; mixed profile requires review</x:v>
      </x:c>
      <x:c r="AF52" s="16" t="n">
        <x:v>18.3</x:v>
      </x:c>
      <x:c r="AG52" s="17" t="n">
        <x:v>540</x:v>
      </x:c>
      <x:c r="AH52" s="7" t="str"/>
      <x:c r="AI52" s="7" t="str">
        <x:v>English</x:v>
      </x:c>
      <x:c r="AJ52" s="7" t="str"/>
      <x:c r="AK52" s="15" t="str"/>
      <x:c r="AL52" s="7" t="str"/>
      <x:c r="AM52" s="7" t="str">
        <x:v>AGUILAR GUTIERREZ W FAYE</x:v>
      </x:c>
      <x:c r="AN52" s="7" t="str">
        <x:v>https://cdicloud.insurance.ca.gov/cal/LicenseDetail?SearchType=IND&amp;SearchLicNbr=0B55173&amp;SearchIndvId=234265</x:v>
      </x:c>
      <x:c r="AO52" s="7" t="str">
        <x:v>2026-10-08</x:v>
      </x:c>
      <x:c r="AP52" s="7" t="str">
        <x:v>728a470dd55f4aa303a4e8cba261e5f52011cd75d0c9d5ba5cde365294066ea7</x:v>
      </x:c>
      <x:c r="AQ52" s="7" t="str">
        <x:v>Accident &amp; Health or Sickness / Active / 06/21/2008 / 06/21/2008 / 03/31/2028
Casualty / Active / 03/27/1995 / 03/11/2002 / 03/31/2028
Life / Active / 06/21/2008 / 06/21/2008 / 03/31/2028
Property / Active / 03/27/1995 / 03/11/2002 / 03/31/2028</x:v>
      </x:c>
      <x:c r="AR52" s="7" t="str">
        <x:v>Active</x:v>
      </x:c>
      <x:c r="AS52" s="7" t="str">
        <x:v>Current detail page</x:v>
      </x:c>
    </x:row>
    <x:row r="53" ht="52" customHeight="1">
      <x:c r="A53" s="7" t="str">
        <x:v>AGUILARSOLORIO JESUS</x:v>
      </x:c>
      <x:c r="B53" s="14" t="str">
        <x:f>"0N03486"</x:f>
        <x:v>0N03486</x:v>
      </x:c>
      <x:c r="C53" s="7" t="str">
        <x:v>Omitted</x:v>
      </x:c>
      <x:c r="D53" s="7" t="str">
        <x:v>REVIEW</x:v>
      </x:c>
      <x:c r="E53" s="13" t="str">
        <x:v>Pending</x:v>
      </x:c>
      <x:c r="F53" s="13" t="str"/>
      <x:c r="G53" s="13" t="str"/>
      <x:c r="H53" s="13" t="str"/>
      <x:c r="I53" s="7" t="str">
        <x:v>Was this person reviewed? If rejected, give the actual rule and evidence. If acceptable, correct the omission. Resolve: P&amp;C emphasis without separate core-Life signal.</x:v>
      </x:c>
      <x:c r="J53" s="7" t="str">
        <x:v>R4</x:v>
      </x:c>
      <x:c r="K53" s="7" t="str">
        <x:v>Requires verification: P&amp;C emphasis without separate core-Life signal. These facts do not establish the original reviewer’s motive.</x:v>
      </x:c>
      <x:c r="L53" s="7" t="str">
        <x:v>Not supplied; membership is known, motive is not</x:v>
      </x:c>
      <x:c r="M53" s="7" t="n">
        <x:v>2</x:v>
      </x:c>
      <x:c r="N53" s="7" t="str">
        <x:v>Secondary call: verify product focus/reachability</x:v>
      </x:c>
      <x:c r="O53" s="7" t="str">
        <x:v>Active</x:v>
      </x:c>
      <x:c r="P53" s="7" t="str">
        <x:v>02/26/2020</x:v>
      </x:c>
      <x:c r="Q53" s="7" t="str">
        <x:v>06/30/2027</x:v>
      </x:c>
      <x:c r="R53" s="7" t="str">
        <x:v>Accident &amp; Health or Sickness; Casualty; Life; Property</x:v>
      </x:c>
      <x:c r="S53" s="15" t="str">
        <x:v>818-387-6998</x:v>
      </x:c>
      <x:c r="T53" s="7" t="str">
        <x:v>Current CDI</x:v>
      </x:c>
      <x:c r="U53" s="7" t="str">
        <x:v>15928 VANOWEN ST APT 114 VAN NUYS CA, 91406</x:v>
      </x:c>
      <x:c r="V53" s="7" t="str">
        <x:v>Resident</x:v>
      </x:c>
      <x:c r="W53" s="7" t="str">
        <x:v>CA</x:v>
      </x:c>
      <x:c r="X53" s="7" t="str"/>
      <x:c r="Y53" s="7" t="str"/>
      <x:c r="Z53" s="7" t="str"/>
      <x:c r="AA53" s="7" t="str"/>
      <x:c r="AB53" s="7" t="str">
        <x:v>FULLER GALIT / Casualty / 06/24/2019
FULLER GALIT / Property / 06/24/2019</x:v>
      </x:c>
      <x:c r="AC53" s="7" t="str"/>
      <x:c r="AD53" s="7" t="str">
        <x:v>Active general Life authority | No agency or insurer displayed: onboarding opportunity possible; existing business unknown | Active A&amp;H supports optional cross-selling; not necessary for target products</x:v>
      </x:c>
      <x:c r="AE53" s="7" t="str">
        <x:v>P&amp;C/Personal Lines authority without displayed core Life appointments; mixed profile requires review | Sponsor relationships displayed: FULLER GALIT; inspect line-specific relationship, not a blanket employment inference</x:v>
      </x:c>
      <x:c r="AF53" s="16" t="n">
        <x:v>6.6</x:v>
      </x:c>
      <x:c r="AG53" s="17" t="n">
        <x:v>265</x:v>
      </x:c>
      <x:c r="AH53" s="7" t="str"/>
      <x:c r="AI53" s="7" t="str">
        <x:v>English</x:v>
      </x:c>
      <x:c r="AJ53" s="7" t="str"/>
      <x:c r="AK53" s="15" t="str"/>
      <x:c r="AL53" s="7" t="str"/>
      <x:c r="AM53" s="7" t="str">
        <x:v>Aguilar Solorio  Jesus | AGUILARSOLORIO  JESUS</x:v>
      </x:c>
      <x:c r="AN53" s="7" t="str">
        <x:v>https://cdicloud.insurance.ca.gov/cal/LicenseDetail?SearchType=IND&amp;SearchLicNbr=0N03486&amp;SearchIndvId=2113967</x:v>
      </x:c>
      <x:c r="AO53" s="7" t="str">
        <x:v>2026-10-08</x:v>
      </x:c>
      <x:c r="AP53" s="7" t="str">
        <x:v>e9cfd73e1b178a8de913de66f7dc9fc7748b2a4dd26d474d1ff54e25f57b0d89</x:v>
      </x:c>
      <x:c r="AQ53" s="7" t="str">
        <x:v>Accident &amp; Health or Sickness / Active / 02/26/2020 / 02/26/2020 / 06/30/2027
Casualty / Active / 06/18/2019 / 06/18/2019 / 06/30/2027
Life / Active / 02/26/2020 / 02/26/2020 / 06/30/2027
Property / Active / 06/18/2019 / 06/18/2019 / 06/30/2027</x:v>
      </x:c>
      <x:c r="AR53" s="7" t="str">
        <x:v>Active</x:v>
      </x:c>
      <x:c r="AS53" s="7" t="str">
        <x:v>Current detail page</x:v>
      </x:c>
    </x:row>
    <x:row r="54" ht="52" customHeight="1">
      <x:c r="A54" s="7" t="str">
        <x:v>HARRIS EZMONAE DESTINEY</x:v>
      </x:c>
      <x:c r="B54" s="14" t="str">
        <x:f>"0H57123"</x:f>
        <x:v>0H57123</x:v>
      </x:c>
      <x:c r="C54" s="7" t="str">
        <x:v>Omitted</x:v>
      </x:c>
      <x:c r="D54" s="7" t="str">
        <x:v>REVIEW</x:v>
      </x:c>
      <x:c r="E54" s="13" t="str">
        <x:v>Pending</x:v>
      </x:c>
      <x:c r="F54" s="13" t="str"/>
      <x:c r="G54" s="13" t="str"/>
      <x:c r="H54" s="13" t="str"/>
      <x:c r="I54" s="7" t="str">
        <x:v>Was this person reviewed? If rejected, give the actual rule and evidence. If acceptable, correct the omission. Resolve: P&amp;C emphasis without separate core-Life signal.</x:v>
      </x:c>
      <x:c r="J54" s="7" t="str">
        <x:v>R4</x:v>
      </x:c>
      <x:c r="K54" s="7" t="str">
        <x:v>Requires verification: P&amp;C emphasis without separate core-Life signal. These facts do not establish the original reviewer’s motive.</x:v>
      </x:c>
      <x:c r="L54" s="7" t="str">
        <x:v>Not supplied; membership is known, motive is not</x:v>
      </x:c>
      <x:c r="M54" s="7" t="n">
        <x:v>2</x:v>
      </x:c>
      <x:c r="N54" s="7" t="str">
        <x:v>Secondary call: verify product focus/reachability</x:v>
      </x:c>
      <x:c r="O54" s="7" t="str">
        <x:v>Active</x:v>
      </x:c>
      <x:c r="P54" s="7" t="str">
        <x:v>12/16/2014</x:v>
      </x:c>
      <x:c r="Q54" s="7" t="str">
        <x:v>09/30/2027</x:v>
      </x:c>
      <x:c r="R54" s="7" t="str">
        <x:v>Accident &amp; Health or Sickness; Casualty; Life; Property</x:v>
      </x:c>
      <x:c r="S54" s="15" t="str">
        <x:v>805-496-4508</x:v>
      </x:c>
      <x:c r="T54" s="7" t="str">
        <x:v>Current CDI</x:v>
      </x:c>
      <x:c r="U54" s="7" t="str">
        <x:v>175 E WILBUR RD SUITE 102 THOUSAND OAKS CA, 91360</x:v>
      </x:c>
      <x:c r="V54" s="7" t="str">
        <x:v>Resident</x:v>
      </x:c>
      <x:c r="W54" s="7" t="str">
        <x:v>CA</x:v>
      </x:c>
      <x:c r="X54" s="7" t="str"/>
      <x:c r="Y54" s="7" t="str"/>
      <x:c r="Z54" s="7" t="str"/>
      <x:c r="AA54" s="7" t="str"/>
      <x:c r="AB54" s="7" t="str">
        <x:v>DAVIDHEISER JOSEPH LEON / Casualty / 09/17/2018
DAVIDHEISER JOSEPH LEON / Property / 09/17/2018
ZAREI WALKIRIA AYIMARA / Casualty / 04/16/2026
ZAREI WALKIRIA AYIMARA / Property / 04/16/2026</x:v>
      </x:c>
      <x:c r="AC54" s="7" t="str"/>
      <x:c r="AD54" s="7" t="str">
        <x:v>Active general Life authority | No agency or insurer displayed: onboarding opportunity possible; existing business unknown | Active A&amp;H supports optional cross-selling; not necessary for target products</x:v>
      </x:c>
      <x:c r="AE54" s="7" t="str">
        <x:v>P&amp;C/Personal Lines authority without displayed core Life appointments; mixed profile requires review | Sponsor relationships displayed: DAVIDHEISER JOSEPH LEON, ZAREI WALKIRIA AYIMARA; inspect line-specific relationship, not a blanket employment inference</x:v>
      </x:c>
      <x:c r="AF54" s="16" t="n">
        <x:v>11.8</x:v>
      </x:c>
      <x:c r="AG54" s="17" t="n">
        <x:v>357</x:v>
      </x:c>
      <x:c r="AH54" s="7" t="str"/>
      <x:c r="AI54" s="7" t="str">
        <x:v>English</x:v>
      </x:c>
      <x:c r="AJ54" s="7" t="str"/>
      <x:c r="AK54" s="15" t="str"/>
      <x:c r="AL54" s="7" t="str"/>
      <x:c r="AM54" s="7" t="str">
        <x:v>AGUILAR DESTINEY EZMONAE</x:v>
      </x:c>
      <x:c r="AN54" s="7" t="str">
        <x:v>https://cdicloud.insurance.ca.gov/cal/LicenseDetail?SearchType=IND&amp;SearchLicNbr=0H57123&amp;SearchIndvId=1477477</x:v>
      </x:c>
      <x:c r="AO54" s="7" t="str">
        <x:v>2026-10-08</x:v>
      </x:c>
      <x:c r="AP54" s="7" t="str">
        <x:v>0f26c324eab5144e6fd0b4c8a5bd3ae94c73d13eaef39ade877aac599ed08016</x:v>
      </x:c>
      <x:c r="AQ54" s="7" t="str">
        <x:v>Accident &amp; Health or Sickness / Active / 12/16/2014 / 12/16/2014 / 09/30/2027
Casualty / Active / 09/15/2011 / 09/15/2011 / 09/30/2027
Life / Active / 12/16/2014 / 12/16/2014 / 09/30/2027
Property / Active / 09/15/2011 / 09/15/2011 / 09/30/2027</x:v>
      </x:c>
      <x:c r="AR54" s="7" t="str">
        <x:v>Active</x:v>
      </x:c>
      <x:c r="AS54" s="7" t="str">
        <x:v>Current detail page</x:v>
      </x:c>
    </x:row>
    <x:row r="55" ht="52" customHeight="1">
      <x:c r="A55" s="7" t="str">
        <x:v>YANEZ JOANNE ADRIANA</x:v>
      </x:c>
      <x:c r="B55" s="14" t="str">
        <x:f>"0D89966"</x:f>
        <x:v>0D89966</x:v>
      </x:c>
      <x:c r="C55" s="7" t="str">
        <x:v>Omitted</x:v>
      </x:c>
      <x:c r="D55" s="7" t="str">
        <x:v>REVIEW</x:v>
      </x:c>
      <x:c r="E55" s="13" t="str">
        <x:v>Pending</x:v>
      </x:c>
      <x:c r="F55" s="13" t="str"/>
      <x:c r="G55" s="13" t="str"/>
      <x:c r="H55" s="13" t="str"/>
      <x:c r="I55" s="7" t="str">
        <x:v>Was this person reviewed? If rejected, give the actual rule and evidence. If acceptable, correct the omission. Resolve: P&amp;C emphasis without separate core-Life signal.</x:v>
      </x:c>
      <x:c r="J55" s="7" t="str">
        <x:v>R4</x:v>
      </x:c>
      <x:c r="K55" s="7" t="str">
        <x:v>Requires verification: P&amp;C emphasis without separate core-Life signal. These facts do not establish the original reviewer’s motive.</x:v>
      </x:c>
      <x:c r="L55" s="7" t="str">
        <x:v>Not supplied; membership is known, motive is not</x:v>
      </x:c>
      <x:c r="M55" s="7" t="n">
        <x:v>2</x:v>
      </x:c>
      <x:c r="N55" s="7" t="str">
        <x:v>Secondary call: verify product focus/reachability</x:v>
      </x:c>
      <x:c r="O55" s="7" t="str">
        <x:v>Active</x:v>
      </x:c>
      <x:c r="P55" s="7" t="str">
        <x:v>09/26/2005</x:v>
      </x:c>
      <x:c r="Q55" s="7" t="str">
        <x:v>02/28/2027</x:v>
      </x:c>
      <x:c r="R55" s="7" t="str">
        <x:v>Accident &amp; Health or Sickness; Casualty; Life; Property</x:v>
      </x:c>
      <x:c r="S55" s="15" t="str">
        <x:v>707-422-3876</x:v>
      </x:c>
      <x:c r="T55" s="7" t="str">
        <x:v>Current CDI</x:v>
      </x:c>
      <x:c r="U55" s="7" t="str">
        <x:v>912 N TEXAS ST 912 N TEXAS ST FAIRFIELD CA, 94533</x:v>
      </x:c>
      <x:c r="V55" s="7" t="str">
        <x:v>Resident</x:v>
      </x:c>
      <x:c r="W55" s="7" t="str">
        <x:v>CA</x:v>
      </x:c>
      <x:c r="X55" s="7" t="str"/>
      <x:c r="Y55" s="7" t="str">
        <x:v>FARMINGTON CASUALTY COMPANY / Casualty / 06/12/2026
FARMINGTON CASUALTY COMPANY / Property / 06/12/2026
FOREMOST INSURANCE COMPANY GRAND RAPIDS, MICHIGAN / Casualty / 02/04/2026
FOREMOST INSURANCE COMPANY GRAND RAPIDS, MICHIGAN / Property / 02/04/2026
STANDARD FIRE INSURANCE COMPANY (THE) / Casualty / 05/19/2026
STANDARD FIRE INSURANCE COMPANY (THE) / Property / 05/19/2026
TRAVELERS CASUALTY COMPANY OF CONNECTICUT / Casualty / 07/31/2026
TRAVELERS CASUALTY COMPANY OF CONNECTICUT / Property / 07/31/2026
TRAVELERS COMMERCIAL INSURANCE COMPANY / Casualty / 05/19/2026
TRAVELERS COMMERCIAL INSURANCE COMPANY / Property / 05/19/2026
TRAVELERS PROPERTY CASUALTY INSURANCE COMPANY / Casualty / 05/19/2026
TRAVELERS PROPERTY CASUALTY INSURANCE COMPANY / Property / 05/19/2026</x:v>
      </x:c>
      <x:c r="Z55" s="7" t="str"/>
      <x:c r="AA55" s="7" t="str"/>
      <x:c r="AB55" s="7" t="str"/>
      <x:c r="AC55" s="7" t="str"/>
      <x:c r="AD55" s="7" t="str">
        <x:v>Active general Life authority | Active A&amp;H supports optional cross-selling; not necessary for target products</x:v>
      </x:c>
      <x:c r="AE55" s="7" t="str">
        <x:v>P&amp;C/Personal Lines authority without displayed core Life appointments; mixed profile requires review</x:v>
      </x:c>
      <x:c r="AF55" s="16" t="n">
        <x:v>21</x:v>
      </x:c>
      <x:c r="AG55" s="17" t="n">
        <x:v>143</x:v>
      </x:c>
      <x:c r="AH55" s="7" t="str"/>
      <x:c r="AI55" s="7" t="str">
        <x:v>English</x:v>
      </x:c>
      <x:c r="AJ55" s="7" t="str"/>
      <x:c r="AK55" s="15" t="str"/>
      <x:c r="AL55" s="7" t="str"/>
      <x:c r="AM55" s="7" t="str">
        <x:v>AGUILAR ADRIANA JOANNE</x:v>
      </x:c>
      <x:c r="AN55" s="7" t="str">
        <x:v>https://cdicloud.insurance.ca.gov/cal/LicenseDetail?SearchType=IND&amp;SearchLicNbr=0D89966&amp;SearchIndvId=828922</x:v>
      </x:c>
      <x:c r="AO55" s="7" t="str">
        <x:v>2026-10-08</x:v>
      </x:c>
      <x:c r="AP55" s="7" t="str">
        <x:v>5da2b3d439976fba90393b88bba664994630e91d3406645573ad3cf72bff4e47</x:v>
      </x:c>
      <x:c r="AQ55" s="7" t="str">
        <x:v>Accident &amp; Health or Sickness / Active / 09/26/2005 / 09/26/2005 / 02/28/2027
Casualty / Active / 02/14/2003 / 02/14/2003 / 02/28/2027
Life / Active / 09/26/2005 / 09/26/2005 / 02/28/2027
Property / Active / 02/14/2003 / 02/14/2003 / 02/28/2027</x:v>
      </x:c>
      <x:c r="AR55" s="7" t="str">
        <x:v>Active</x:v>
      </x:c>
      <x:c r="AS55" s="7" t="str">
        <x:v>Current detail page</x:v>
      </x:c>
    </x:row>
    <x:row r="56" ht="52" customHeight="1">
      <x:c r="A56" s="7" t="str">
        <x:v>AGUILAR ARTHUR JESSE</x:v>
      </x:c>
      <x:c r="B56" s="14" t="str">
        <x:f>"0M67579"</x:f>
        <x:v>0M67579</x:v>
      </x:c>
      <x:c r="C56" s="7" t="str">
        <x:v>Omitted</x:v>
      </x:c>
      <x:c r="D56" s="7" t="str">
        <x:v>REVIEW</x:v>
      </x:c>
      <x:c r="E56" s="13" t="str">
        <x:v>Pending</x:v>
      </x:c>
      <x:c r="F56" s="13" t="str"/>
      <x:c r="G56" s="13" t="str"/>
      <x:c r="H56" s="13" t="str"/>
      <x:c r="I56" s="7" t="str">
        <x:v>Was this person reviewed? If rejected, give the actual rule and evidence. If acceptable, correct the omission. Resolve: Career/member channel and portability.</x:v>
      </x:c>
      <x:c r="J56" s="7" t="str">
        <x:v>R2</x:v>
      </x:c>
      <x:c r="K56" s="7" t="str">
        <x:v>Requires verification: Career/member channel and portability. These facts do not establish the original reviewer’s motive.</x:v>
      </x:c>
      <x:c r="L56" s="7" t="str">
        <x:v>Not supplied; membership is known, motive is not</x:v>
      </x:c>
      <x:c r="M56" s="7" t="n">
        <x:v>3</x:v>
      </x:c>
      <x:c r="N56" s="7" t="str">
        <x:v>Verify distribution channel</x:v>
      </x:c>
      <x:c r="O56" s="7" t="str">
        <x:v>Active</x:v>
      </x:c>
      <x:c r="P56" s="7" t="str">
        <x:v>11/09/2018</x:v>
      </x:c>
      <x:c r="Q56" s="7" t="str">
        <x:v>11/30/2026</x:v>
      </x:c>
      <x:c r="R56" s="7" t="str">
        <x:v>Accident &amp; Health or Sickness; Life</x:v>
      </x:c>
      <x:c r="S56" s="15" t="str">
        <x:v>916-275-7574</x:v>
      </x:c>
      <x:c r="T56" s="7" t="str">
        <x:v>Current CDI</x:v>
      </x:c>
      <x:c r="U56" s="7" t="str">
        <x:v>3540 KESWICK DRIVE EL DORADO HILLS CA, 95762</x:v>
      </x:c>
      <x:c r="V56" s="7" t="str">
        <x:v>Resident</x:v>
      </x:c>
      <x:c r="W56" s="7" t="str">
        <x:v>CA</x:v>
      </x:c>
      <x:c r="X56" s="7" t="str"/>
      <x:c r="Y56" s="7" t="str">
        <x:v>KNIGHTS OF COLUMBUS / Accident &amp; Health or Sickness / 01/04/2019
KNIGHTS OF COLUMBUS / Life / 01/04/2019</x:v>
      </x:c>
      <x:c r="Z56" s="7" t="str"/>
      <x:c r="AA56" s="7" t="str"/>
      <x:c r="AB56" s="7" t="str"/>
      <x:c r="AC56" s="7" t="str"/>
      <x:c r="AD56" s="7" t="str">
        <x:v>Active general Life authority | Direct Life appointments outside the selected health-carrier set: KNIGHTS OF COLUMBUS | Active A&amp;H supports optional cross-selling; not necessary for target products</x:v>
      </x:c>
      <x:c r="AE56" s="7" t="str">
        <x:v>Career/member-channel signal: KNIGHTS OF COLUMBUS | Life expiration in 53 days: confirm renewal during onboarding</x:v>
      </x:c>
      <x:c r="AF56" s="16" t="n">
        <x:v>7.9</x:v>
      </x:c>
      <x:c r="AG56" s="17" t="n">
        <x:v>53</x:v>
      </x:c>
      <x:c r="AH56" s="7" t="str">
        <x:v>2019-01-04</x:v>
      </x:c>
      <x:c r="AI56" s="7" t="str">
        <x:v>English</x:v>
      </x:c>
      <x:c r="AJ56" s="7" t="str"/>
      <x:c r="AK56" s="15" t="str"/>
      <x:c r="AL56" s="7" t="str"/>
      <x:c r="AM56" s="7" t="str">
        <x:v>Aguilar J Arthur | AGUILAR JESSE ARTHUR</x:v>
      </x:c>
      <x:c r="AN56" s="7" t="str">
        <x:v>https://cdicloud.insurance.ca.gov/cal/LicenseDetail?SearchType=IND&amp;SearchLicNbr=0M67579&amp;SearchIndvId=2070866</x:v>
      </x:c>
      <x:c r="AO56" s="7" t="str">
        <x:v>2026-10-08</x:v>
      </x:c>
      <x:c r="AP56" s="7" t="str">
        <x:v>6299f3982702e71720f4c5fb7160ad750fe43b3c1449dde669df00311d4b9c4c</x:v>
      </x:c>
      <x:c r="AQ56" s="7" t="str">
        <x:v>Accident &amp; Health or Sickness / Active / 11/09/2018 / 11/09/2018 / 11/30/2026
Life / Active / 11/09/2018 / 11/09/2018 / 11/30/2026</x:v>
      </x:c>
      <x:c r="AR56" s="7" t="str">
        <x:v>Active</x:v>
      </x:c>
      <x:c r="AS56" s="7" t="str">
        <x:v>Current detail page</x:v>
      </x:c>
    </x:row>
    <x:row r="57" ht="52" customHeight="1">
      <x:c r="A57" s="7" t="str">
        <x:v>AGUILAR AUDRA CONSUELO</x:v>
      </x:c>
      <x:c r="B57" s="14" t="str">
        <x:f>"0C19396"</x:f>
        <x:v>0C19396</x:v>
      </x:c>
      <x:c r="C57" s="7" t="str">
        <x:v>Omitted</x:v>
      </x:c>
      <x:c r="D57" s="7" t="str">
        <x:v>REVIEW</x:v>
      </x:c>
      <x:c r="E57" s="13" t="str">
        <x:v>Pending</x:v>
      </x:c>
      <x:c r="F57" s="13" t="str"/>
      <x:c r="G57" s="13" t="str"/>
      <x:c r="H57" s="13" t="str"/>
      <x:c r="I57" s="7" t="str">
        <x:v>Was this person reviewed? If rejected, give the actual rule and evidence. If acceptable, correct the omission. Resolve: Career/member channel and portability.</x:v>
      </x:c>
      <x:c r="J57" s="7" t="str">
        <x:v>R2</x:v>
      </x:c>
      <x:c r="K57" s="7" t="str">
        <x:v>Requires verification: Career/member channel and portability. These facts do not establish the original reviewer’s motive.</x:v>
      </x:c>
      <x:c r="L57" s="7" t="str">
        <x:v>Not supplied; membership is known, motive is not</x:v>
      </x:c>
      <x:c r="M57" s="7" t="n">
        <x:v>3</x:v>
      </x:c>
      <x:c r="N57" s="7" t="str">
        <x:v>Verify distribution channel</x:v>
      </x:c>
      <x:c r="O57" s="7" t="str">
        <x:v>Active</x:v>
      </x:c>
      <x:c r="P57" s="7" t="str">
        <x:v>11/21/1997</x:v>
      </x:c>
      <x:c r="Q57" s="7" t="str">
        <x:v>05/31/2027</x:v>
      </x:c>
      <x:c r="R57" s="7" t="str">
        <x:v>Accident &amp; Health or Sickness; Life</x:v>
      </x:c>
      <x:c r="S57" s="15" t="str">
        <x:v>909-268-4275</x:v>
      </x:c>
      <x:c r="T57" s="7" t="str">
        <x:v>Current CDI</x:v>
      </x:c>
      <x:c r="U57" s="7" t="str">
        <x:v>64 ANACAPA CT #126 FOOTHILL RANCH CA, 92610</x:v>
      </x:c>
      <x:c r="V57" s="7" t="str">
        <x:v>Resident</x:v>
      </x:c>
      <x:c r="W57" s="7" t="str">
        <x:v>CA</x:v>
      </x:c>
      <x:c r="X57" s="7" t="str"/>
      <x:c r="Y57" s="7" t="str">
        <x:v>ANTHEM BLUE CROSS LIFE AND HEALTH INSURANCE COMPANY / Accident &amp; Health or Sickness / 07/30/2019
ANTHEM BLUE CROSS LIFE AND HEALTH INSURANCE COMPANY / Life / 07/30/2019
BLUE SHIELD OF CALIFORNIA LIFE &amp; HEALTH INSURANCE COMPANY / Accident &amp; Health or Sickness / 05/25/2021
BLUE SHIELD OF CALIFORNIA LIFE &amp; HEALTH INSURANCE COMPANY / Life / 05/25/2021
THRIVENT FINANCIAL FOR LUTHERANS / Accident &amp; Health or Sickness / 02/27/2023
THRIVENT FINANCIAL FOR LUTHERANS / Life / 02/27/2023</x:v>
      </x:c>
      <x:c r="Z57" s="7" t="str"/>
      <x:c r="AA57" s="7" t="str"/>
      <x:c r="AB57" s="7" t="str"/>
      <x:c r="AC57" s="7" t="str"/>
      <x:c r="AD57" s="7" t="str">
        <x:v>Active general Life authority | Direct Life appointments outside the selected health-carrier set: THRIVENT FINANCIAL FOR LUTHERANS | Active A&amp;H supports optional cross-selling; not necessary for target products</x:v>
      </x:c>
      <x:c r="AE57" s="7" t="str">
        <x:v>Career/member-channel signal: THRIVENT FINANCIAL FOR LUTHERANS</x:v>
      </x:c>
      <x:c r="AF57" s="16" t="n">
        <x:v>28.9</x:v>
      </x:c>
      <x:c r="AG57" s="17" t="n">
        <x:v>235</x:v>
      </x:c>
      <x:c r="AH57" s="7" t="str">
        <x:v>2023-02-27</x:v>
      </x:c>
      <x:c r="AI57" s="7" t="str">
        <x:v>English, Spanish, Spanish</x:v>
      </x:c>
      <x:c r="AJ57" s="7" t="str"/>
      <x:c r="AK57" s="15" t="str"/>
      <x:c r="AL57" s="7" t="str"/>
      <x:c r="AM57" s="7" t="str">
        <x:v>AGUILAR CONSUELO AUDRA</x:v>
      </x:c>
      <x:c r="AN57" s="7" t="str">
        <x:v>https://cdicloud.insurance.ca.gov/cal/LicenseDetail?SearchType=IND&amp;SearchLicNbr=0C19396&amp;SearchIndvId=295002</x:v>
      </x:c>
      <x:c r="AO57" s="7" t="str">
        <x:v>2026-10-08</x:v>
      </x:c>
      <x:c r="AP57" s="7" t="str">
        <x:v>a4ef891d38302700fd9c5cfbb0ef7abdfaf5d98fab55669c3e5d9fc7380fee39</x:v>
      </x:c>
      <x:c r="AQ57" s="7" t="str">
        <x:v>Accident &amp; Health or Sickness / Active / 11/21/1997 / 06/04/2019 / 05/31/2027
Life / Active / 11/21/1997 / 06/04/2019 / 05/31/2027
Var Life and Var Annuity / Inactive / 12/08/1997 / 05/31/2025 / 05/31/2025</x:v>
      </x:c>
      <x:c r="AR57" s="7" t="str">
        <x:v>Active</x:v>
      </x:c>
      <x:c r="AS57" s="7" t="str">
        <x:v>Current detail page</x:v>
      </x:c>
    </x:row>
    <x:row r="58" ht="52" customHeight="1">
      <x:c r="A58" s="7" t="str">
        <x:v>AGUILAR AYALA ADRIAN A.</x:v>
      </x:c>
      <x:c r="B58" s="14" t="str">
        <x:f>"4245632"</x:f>
        <x:v>4245632</x:v>
      </x:c>
      <x:c r="C58" s="7" t="str">
        <x:v>Omitted</x:v>
      </x:c>
      <x:c r="D58" s="7" t="str">
        <x:v>REVIEW</x:v>
      </x:c>
      <x:c r="E58" s="13" t="str">
        <x:v>Pending</x:v>
      </x:c>
      <x:c r="F58" s="13" t="str"/>
      <x:c r="G58" s="13" t="str"/>
      <x:c r="H58" s="13" t="str"/>
      <x:c r="I58" s="7" t="str">
        <x:v>Was this person reviewed? If rejected, give the actual rule and evidence. If acceptable, correct the omission. Resolve: Bank/securities role and outside contracting.</x:v>
      </x:c>
      <x:c r="J58" s="7" t="str">
        <x:v>R1</x:v>
      </x:c>
      <x:c r="K58" s="7" t="str">
        <x:v>Requires verification: Bank/securities role and outside contracting. These facts do not establish the original reviewer’s motive.</x:v>
      </x:c>
      <x:c r="L58" s="7" t="str">
        <x:v>Not supplied; membership is known, motive is not</x:v>
      </x:c>
      <x:c r="M58" s="7" t="n">
        <x:v>3</x:v>
      </x:c>
      <x:c r="N58" s="7" t="str">
        <x:v>Verify distribution channel</x:v>
      </x:c>
      <x:c r="O58" s="7" t="str">
        <x:v>Active</x:v>
      </x:c>
      <x:c r="P58" s="7" t="str">
        <x:v>10/19/2022</x:v>
      </x:c>
      <x:c r="Q58" s="7" t="str">
        <x:v>10/31/2026</x:v>
      </x:c>
      <x:c r="R58" s="7" t="str">
        <x:v>Life; Var Life and Var Annuity</x:v>
      </x:c>
      <x:c r="S58" s="15" t="str">
        <x:v>213-335-6549</x:v>
      </x:c>
      <x:c r="T58" s="7" t="str">
        <x:v>Current CDI</x:v>
      </x:c>
      <x:c r="U58" s="7" t="str">
        <x:v>232 E 2ND ST STE G LOS ANGELES CA, 90012-4541</x:v>
      </x:c>
      <x:c r="V58" s="7" t="str">
        <x:v>Resident</x:v>
      </x:c>
      <x:c r="W58" s="7" t="str">
        <x:v>CA</x:v>
      </x:c>
      <x:c r="X58" s="7" t="str">
        <x:v>WELLS FARGO WEALTH BROKERAGE INSURANCE AGENCY LLC / Life / 02/13/2026
WELLS FARGO WEALTH BROKERAGE INSURANCE AGENCY LLC / Var Life and Var Annuity / 02/13/2026</x:v>
      </x:c>
      <x:c r="Y58" s="7" t="str"/>
      <x:c r="Z58" s="7" t="str"/>
      <x:c r="AA58" s="7" t="str"/>
      <x:c r="AB58" s="7" t="str"/>
      <x:c r="AC58" s="7" t="str"/>
      <x:c r="AD58" s="7" t="str">
        <x:v>Active general Life authority</x:v>
      </x:c>
      <x:c r="AE58" s="7" t="str">
        <x:v>Bank/securities agency channel: WELLS FARGO WEALTH BROKERAGE INSURANCE AGENCY LLC | Variable authority: financial-advice/variable-product capability; not needed for fixed annuities and not an automatic exclusion | Life expiration in 23 days: confirm renewal during onboarding</x:v>
      </x:c>
      <x:c r="AF58" s="16" t="n">
        <x:v>4</x:v>
      </x:c>
      <x:c r="AG58" s="17" t="n">
        <x:v>23</x:v>
      </x:c>
      <x:c r="AH58" s="7" t="str"/>
      <x:c r="AI58" s="7" t="str">
        <x:v>English</x:v>
      </x:c>
      <x:c r="AJ58" s="7" t="str"/>
      <x:c r="AK58" s="15" t="str"/>
      <x:c r="AL58" s="7" t="str"/>
      <x:c r="AM58" s="7" t="str">
        <x:v>Aguilar  Adrian | Aguilar Ayala  Adrian | AGUILAR AYALA A. ADRIAN | Aguilar Ayala Alejandro Adrian</x:v>
      </x:c>
      <x:c r="AN58" s="7" t="str">
        <x:v>https://cdicloud.insurance.ca.gov/cal/LicenseDetail?SearchType=IND&amp;SearchLicNbr=4245632&amp;SearchIndvId=4245632</x:v>
      </x:c>
      <x:c r="AO58" s="7" t="str">
        <x:v>2026-10-08</x:v>
      </x:c>
      <x:c r="AP58" s="7" t="str">
        <x:v>de52e77e4b478e98d9fa157d951052a15fadc8641692a04bdf0b7c00efd3f955</x:v>
      </x:c>
      <x:c r="AQ58" s="7" t="str">
        <x:v>Life / Active / 10/19/2022 / 10/19/2022 / 10/31/2026
Var Life and Var Annuity / Active / 10/19/2022 / 10/19/2022 / 10/31/2026</x:v>
      </x:c>
      <x:c r="AR58" s="7" t="str">
        <x:v>Active</x:v>
      </x:c>
      <x:c r="AS58" s="7" t="str">
        <x:v>Current detail page</x:v>
      </x:c>
    </x:row>
    <x:row r="59" ht="52" customHeight="1">
      <x:c r="A59" s="7" t="str">
        <x:v>AGUILAR CEJA EMANUEL</x:v>
      </x:c>
      <x:c r="B59" s="14" t="str">
        <x:f>"4520617"</x:f>
        <x:v>4520617</x:v>
      </x:c>
      <x:c r="C59" s="7" t="str">
        <x:v>Omitted</x:v>
      </x:c>
      <x:c r="D59" s="7" t="str">
        <x:v>REVIEW</x:v>
      </x:c>
      <x:c r="E59" s="13" t="str">
        <x:v>Pending</x:v>
      </x:c>
      <x:c r="F59" s="13" t="str"/>
      <x:c r="G59" s="13" t="str"/>
      <x:c r="H59" s="13" t="str"/>
      <x:c r="I59" s="7" t="str">
        <x:v>Was this person reviewed? If rejected, give the actual rule and evidence. If acceptable, correct the omission. Resolve: Bank/securities role and outside contracting.</x:v>
      </x:c>
      <x:c r="J59" s="7" t="str">
        <x:v>R1</x:v>
      </x:c>
      <x:c r="K59" s="7" t="str">
        <x:v>Requires verification: Bank/securities role and outside contracting. These facts do not establish the original reviewer’s motive.</x:v>
      </x:c>
      <x:c r="L59" s="7" t="str">
        <x:v>Not supplied; membership is known, motive is not</x:v>
      </x:c>
      <x:c r="M59" s="7" t="n">
        <x:v>3</x:v>
      </x:c>
      <x:c r="N59" s="7" t="str">
        <x:v>Verify distribution channel</x:v>
      </x:c>
      <x:c r="O59" s="7" t="str">
        <x:v>Active</x:v>
      </x:c>
      <x:c r="P59" s="7" t="str">
        <x:v>01/08/2026</x:v>
      </x:c>
      <x:c r="Q59" s="7" t="str">
        <x:v>01/31/2028</x:v>
      </x:c>
      <x:c r="R59" s="7" t="str">
        <x:v>Life; Var Life and Var Annuity</x:v>
      </x:c>
      <x:c r="S59" s="15" t="str">
        <x:v>650-594-4244</x:v>
      </x:c>
      <x:c r="T59" s="7" t="str">
        <x:v>Current CDI</x:v>
      </x:c>
      <x:c r="U59" s="7" t="str">
        <x:v>632 LAUREL ST SAN CARLOS CA, 94070</x:v>
      </x:c>
      <x:c r="V59" s="7" t="str">
        <x:v>Resident</x:v>
      </x:c>
      <x:c r="W59" s="7" t="str">
        <x:v>CA</x:v>
      </x:c>
      <x:c r="X59" s="7" t="str">
        <x:v>WELLS FARGO WEALTH BROKERAGE INSURANCE AGENCY LLC / Var Life and Var Annuity / 01/21/2026
WELLS FARGO WEALTH BROKERAGE INSURANCE AGENCY LLC / Life / 01/21/2026</x:v>
      </x:c>
      <x:c r="Y59" s="7" t="str"/>
      <x:c r="Z59" s="7" t="str"/>
      <x:c r="AA59" s="7" t="str"/>
      <x:c r="AB59" s="7" t="str"/>
      <x:c r="AC59" s="7" t="str"/>
      <x:c r="AD59" s="7" t="str">
        <x:v>Active general Life authority</x:v>
      </x:c>
      <x:c r="AE59" s="7" t="str">
        <x:v>Bank/securities agency channel: WELLS FARGO WEALTH BROKERAGE INSURANCE AGENCY LLC | Variable authority: financial-advice/variable-product capability; not needed for fixed annuities and not an automatic exclusion</x:v>
      </x:c>
      <x:c r="AF59" s="16" t="n">
        <x:v>0.7</x:v>
      </x:c>
      <x:c r="AG59" s="17" t="n">
        <x:v>480</x:v>
      </x:c>
      <x:c r="AH59" s="7" t="str"/>
      <x:c r="AI59" s="7" t="str">
        <x:v>English</x:v>
      </x:c>
      <x:c r="AJ59" s="7" t="str"/>
      <x:c r="AK59" s="15" t="str"/>
      <x:c r="AL59" s="7" t="str"/>
      <x:c r="AM59" s="7" t="str">
        <x:v>AGUILAR CEJA  EMANUEL</x:v>
      </x:c>
      <x:c r="AN59" s="7" t="str">
        <x:v>https://cdicloud.insurance.ca.gov/cal/LicenseDetail?SearchType=IND&amp;SearchLicNbr=4520617&amp;SearchIndvId=4520617</x:v>
      </x:c>
      <x:c r="AO59" s="7" t="str">
        <x:v>2026-10-08</x:v>
      </x:c>
      <x:c r="AP59" s="7" t="str">
        <x:v>1f809ff00aef6d46e6fe048b7ae9dfcb0e2f3f1055ea73a264327534705efbc1</x:v>
      </x:c>
      <x:c r="AQ59" s="7" t="str">
        <x:v>Life / Active / 01/08/2026 / 01/08/2026 / 01/31/2028
Var Life and Var Annuity / Active / 01/08/2026 / 01/08/2026 / 01/31/2028</x:v>
      </x:c>
      <x:c r="AR59" s="7" t="str">
        <x:v>Active</x:v>
      </x:c>
      <x:c r="AS59" s="7" t="str">
        <x:v>Current detail page</x:v>
      </x:c>
    </x:row>
    <x:row r="60" ht="52" customHeight="1">
      <x:c r="A60" s="7" t="str">
        <x:v>AGUILAR CHRISTIAN</x:v>
      </x:c>
      <x:c r="B60" s="14" t="str">
        <x:f>"4414588"</x:f>
        <x:v>4414588</x:v>
      </x:c>
      <x:c r="C60" s="7" t="str">
        <x:v>Omitted</x:v>
      </x:c>
      <x:c r="D60" s="7" t="str">
        <x:v>REVIEW</x:v>
      </x:c>
      <x:c r="E60" s="13" t="str">
        <x:v>Pending</x:v>
      </x:c>
      <x:c r="F60" s="13" t="str"/>
      <x:c r="G60" s="13" t="str"/>
      <x:c r="H60" s="13" t="str"/>
      <x:c r="I60" s="7" t="str">
        <x:v>Was this person reviewed? If rejected, give the actual rule and evidence. If acceptable, correct the omission. Resolve: Bank/securities role and outside contracting.</x:v>
      </x:c>
      <x:c r="J60" s="7" t="str">
        <x:v>R1</x:v>
      </x:c>
      <x:c r="K60" s="7" t="str">
        <x:v>Requires verification: Bank/securities role and outside contracting. These facts do not establish the original reviewer’s motive.</x:v>
      </x:c>
      <x:c r="L60" s="7" t="str">
        <x:v>Not supplied; membership is known, motive is not</x:v>
      </x:c>
      <x:c r="M60" s="7" t="n">
        <x:v>3</x:v>
      </x:c>
      <x:c r="N60" s="7" t="str">
        <x:v>Verify distribution channel</x:v>
      </x:c>
      <x:c r="O60" s="7" t="str">
        <x:v>Active</x:v>
      </x:c>
      <x:c r="P60" s="7" t="str">
        <x:v>10/08/2024</x:v>
      </x:c>
      <x:c r="Q60" s="7" t="str">
        <x:v>10/31/2028</x:v>
      </x:c>
      <x:c r="R60" s="7" t="str">
        <x:v>Life; Var Life and Var Annuity</x:v>
      </x:c>
      <x:c r="S60" s="15" t="str">
        <x:v>661-546-8485</x:v>
      </x:c>
      <x:c r="T60" s="7" t="str">
        <x:v>Current CDI</x:v>
      </x:c>
      <x:c r="U60" s="7" t="str">
        <x:v>2631 OSWELL ST BAKERSFIELD CA, 93306-3170</x:v>
      </x:c>
      <x:c r="V60" s="7" t="str">
        <x:v>Resident</x:v>
      </x:c>
      <x:c r="W60" s="7" t="str">
        <x:v>CA</x:v>
      </x:c>
      <x:c r="X60" s="7" t="str">
        <x:v>CHASE INSURANCE AGENCY, INC. / Var Life and Var Annuity / 10/11/2024
CHASE INSURANCE AGENCY, INC. / Life / 10/11/2024</x:v>
      </x:c>
      <x:c r="Y60" s="7" t="str"/>
      <x:c r="Z60" s="7" t="str"/>
      <x:c r="AA60" s="7" t="str"/>
      <x:c r="AB60" s="7" t="str"/>
      <x:c r="AC60" s="7" t="str"/>
      <x:c r="AD60" s="7" t="str">
        <x:v>Active general Life authority</x:v>
      </x:c>
      <x:c r="AE60" s="7" t="str">
        <x:v>Bank/securities agency channel: CHASE INSURANCE AGENCY, INC. | Variable authority: financial-advice/variable-product capability; not needed for fixed annuities and not an automatic exclusion</x:v>
      </x:c>
      <x:c r="AF60" s="16" t="n">
        <x:v>2</x:v>
      </x:c>
      <x:c r="AG60" s="17" t="n">
        <x:v>754</x:v>
      </x:c>
      <x:c r="AH60" s="7" t="str"/>
      <x:c r="AI60" s="7" t="str">
        <x:v>English</x:v>
      </x:c>
      <x:c r="AJ60" s="7" t="str"/>
      <x:c r="AK60" s="15" t="str"/>
      <x:c r="AL60" s="7" t="str"/>
      <x:c r="AM60" s="7" t="str">
        <x:v>Aguilar  Christian</x:v>
      </x:c>
      <x:c r="AN60" s="7" t="str">
        <x:v>https://cdicloud.insurance.ca.gov/cal/LicenseDetail?SearchType=IND&amp;SearchLicNbr=4414588&amp;SearchIndvId=4414588</x:v>
      </x:c>
      <x:c r="AO60" s="7" t="str">
        <x:v>2026-10-08</x:v>
      </x:c>
      <x:c r="AP60" s="7" t="str">
        <x:v>d5dab4fcc537b11fa816ae1251acb3f6b8caa3e088086bbfb8b57fef1cfb0417</x:v>
      </x:c>
      <x:c r="AQ60" s="7" t="str">
        <x:v>Life / Active / 10/08/2024 / 10/08/2024 / 10/31/2028
Var Life and Var Annuity / Active / 10/08/2024 / 10/08/2024 / 10/31/2028</x:v>
      </x:c>
      <x:c r="AR60" s="7" t="str">
        <x:v>Active</x:v>
      </x:c>
      <x:c r="AS60" s="7" t="str">
        <x:v>Current detail page</x:v>
      </x:c>
    </x:row>
    <x:row r="61" ht="52" customHeight="1">
      <x:c r="A61" s="7" t="str">
        <x:v>AGUILAR DIANNA</x:v>
      </x:c>
      <x:c r="B61" s="14" t="str">
        <x:f>"0J20884"</x:f>
        <x:v>0J20884</x:v>
      </x:c>
      <x:c r="C61" s="7" t="str">
        <x:v>Omitted</x:v>
      </x:c>
      <x:c r="D61" s="7" t="str">
        <x:v>REVIEW</x:v>
      </x:c>
      <x:c r="E61" s="13" t="str">
        <x:v>Pending</x:v>
      </x:c>
      <x:c r="F61" s="13" t="str"/>
      <x:c r="G61" s="13" t="str"/>
      <x:c r="H61" s="13" t="str"/>
      <x:c r="I61" s="7" t="str">
        <x:v>Was this person reviewed? If rejected, give the actual rule and evidence. If acceptable, correct the omission. Resolve: Career/member channel and portability.</x:v>
      </x:c>
      <x:c r="J61" s="7" t="str">
        <x:v>R2</x:v>
      </x:c>
      <x:c r="K61" s="7" t="str">
        <x:v>Requires verification: Career/member channel and portability. These facts do not establish the original reviewer’s motive.</x:v>
      </x:c>
      <x:c r="L61" s="7" t="str">
        <x:v>Not supplied; membership is known, motive is not</x:v>
      </x:c>
      <x:c r="M61" s="7" t="n">
        <x:v>3</x:v>
      </x:c>
      <x:c r="N61" s="7" t="str">
        <x:v>Verify distribution channel</x:v>
      </x:c>
      <x:c r="O61" s="7" t="str">
        <x:v>Active</x:v>
      </x:c>
      <x:c r="P61" s="7" t="str">
        <x:v>07/27/2015</x:v>
      </x:c>
      <x:c r="Q61" s="7" t="str">
        <x:v>11/30/2028</x:v>
      </x:c>
      <x:c r="R61" s="7" t="str">
        <x:v>Accident &amp; Health or Sickness; Life</x:v>
      </x:c>
      <x:c r="S61" s="15" t="str">
        <x:v>818-268-6245</x:v>
      </x:c>
      <x:c r="T61" s="7" t="str">
        <x:v>Current CDI</x:v>
      </x:c>
      <x:c r="U61" s="7" t="str">
        <x:v>1812 W BURBANK BLVD # 5884 BURBANK CA, 91506-1315</x:v>
      </x:c>
      <x:c r="V61" s="7" t="str">
        <x:v>Resident</x:v>
      </x:c>
      <x:c r="W61" s="7" t="str">
        <x:v>CA</x:v>
      </x:c>
      <x:c r="X61" s="7" t="str">
        <x:v>NYLIFE SECURITIES LLC / Accident &amp; Health or Sickness / 06/12/2017
NYLIFE SECURITIES LLC / Var Life and Var Annuity / 06/12/2017
NYLIFE SECURITIES LLC / Life / 06/12/2017</x:v>
      </x:c>
      <x:c r="Y61" s="7" t="str">
        <x:v>AMERICAN GENERAL LIFE INSURANCE COMPANY / Accident &amp; Health or Sickness / 08/22/2019
AMERICAN GENERAL LIFE INSURANCE COMPANY / Life / 08/22/2019
ANTHEM BLUE CROSS LIFE AND HEALTH INSURANCE COMPANY / Accident &amp; Health or Sickness / 04/21/2022
ANTHEM BLUE CROSS LIFE AND HEALTH INSURANCE COMPANY / Life / 04/21/2022
BLUE SHIELD OF CALIFORNIA LIFE &amp; HEALTH INSURANCE COMPANY / Accident &amp; Health or Sickness / 05/12/2022
BLUE SHIELD OF CALIFORNIA LIFE &amp; HEALTH INSURANCE COMPANY / Life / 05/12/2022
EQUITRUST LIFE INSURANCE COMPANY / Life / 09/18/2024
FIDELITY &amp; GUARANTY LIFE INSURANCE COMPANY / Life / 10/06/2025
JOHN HANCOCK LIFE INSURANCE COMPANY (U.S.A.) / Accident &amp; Health or Sickness / 12/15/2021
JOHN HANCOCK LIFE INSURANCE COMPANY (U.S.A.) / Life / 12/15/2021
KAISER PERMANENTE INSURANCE COMPANY / Accident &amp; Health or Sickness / 03/01/2023
LINCOLN NATIONAL LIFE INSURANCE COMPANY (THE) / Accident &amp; Health or Sickness / 02/03/2021
LINCOLN NATIONAL LIFE INSURANCE COMPANY (THE) / Life / 02/03/2021
PRINCIPAL NATIONAL LIFE INSURANCE COMPANY / Life / 04/04/2017
PRUCO LIFE INSURANCE COMPANY / Life / 03/24/2021</x:v>
      </x:c>
      <x:c r="Z61" s="7" t="str"/>
      <x:c r="AA61" s="7" t="str"/>
      <x:c r="AB61" s="7" t="str"/>
      <x:c r="AC61" s="7" t="str"/>
      <x:c r="AD61" s="7" t="str">
        <x:v>Active general Life authority | Direct Life appointments outside the selected health-carrier set: AMERICAN GENERAL LIFE INSURANCE COMPANY, EQUITRUST LIFE INSURANCE COMPANY, FIDELITY &amp; GUARANTY LIFE INSURANCE COMPANY, JOHN HANCOCK LIFE INSURANCE COMPANY (U.S.A.), LINCOLN NATIONAL LIFE INSURANCE COMPANY (THE), PRINCIPAL NATIONAL LIFE INSURANCE COMPANY, PRUCO LIFE INSURANCE COMPANY | Active A&amp;H supports optional cross-selling; not necessary for target products</x:v>
      </x:c>
      <x:c r="AE61" s="7" t="str">
        <x:v>Career/member-channel signal: NYLIFE SECURITIES LLC</x:v>
      </x:c>
      <x:c r="AF61" s="16" t="n">
        <x:v>11.2</x:v>
      </x:c>
      <x:c r="AG61" s="17" t="n">
        <x:v>784</x:v>
      </x:c>
      <x:c r="AH61" s="7" t="str">
        <x:v>2025-10-06</x:v>
      </x:c>
      <x:c r="AI61" s="7" t="str">
        <x:v>English</x:v>
      </x:c>
      <x:c r="AJ61" s="7" t="str"/>
      <x:c r="AK61" s="15" t="str"/>
      <x:c r="AL61" s="7" t="str"/>
      <x:c r="AM61" s="7" t="str">
        <x:v>AGUILAR  DIANNA</x:v>
      </x:c>
      <x:c r="AN61" s="7" t="str">
        <x:v>https://cdicloud.insurance.ca.gov/cal/LicenseDetail?SearchType=IND&amp;SearchLicNbr=0J20884&amp;SearchIndvId=1717318</x:v>
      </x:c>
      <x:c r="AO61" s="7" t="str">
        <x:v>2026-10-08</x:v>
      </x:c>
      <x:c r="AP61" s="7" t="str">
        <x:v>96afc07c6139f93bebbeebcc17661c58e917c8bfbc0c1165c59af6bab5cbb4c7</x:v>
      </x:c>
      <x:c r="AQ61" s="7" t="str">
        <x:v>Accident &amp; Health or Sickness / Active / 11/19/2014 / 12/01/2016 / 11/30/2028
Life / Active / 07/27/2015 / 12/01/2016 / 11/30/2028
Casualty / Inactive / 11/16/2022 / 11/30/2024 / 11/30/2024
Property / Inactive / 11/16/2022 / 11/30/2024 / 11/30/2024
Var Life and Var Annuity / Inactive / 05/01/2017 / 07/13/2026 / 07/13/2026</x:v>
      </x:c>
      <x:c r="AR61" s="7" t="str">
        <x:v>Active</x:v>
      </x:c>
      <x:c r="AS61" s="7" t="str">
        <x:v>Current detail page</x:v>
      </x:c>
    </x:row>
    <x:row r="62" ht="52" customHeight="1">
      <x:c r="A62" s="7" t="str">
        <x:v>AGUILAR EDGAR EDUARDO</x:v>
      </x:c>
      <x:c r="B62" s="14" t="str">
        <x:f>"4510499"</x:f>
        <x:v>4510499</x:v>
      </x:c>
      <x:c r="C62" s="7" t="str">
        <x:v>Omitted</x:v>
      </x:c>
      <x:c r="D62" s="7" t="str">
        <x:v>REVIEW</x:v>
      </x:c>
      <x:c r="E62" s="13" t="str">
        <x:v>Pending</x:v>
      </x:c>
      <x:c r="F62" s="13" t="str"/>
      <x:c r="G62" s="13" t="str"/>
      <x:c r="H62" s="13" t="str"/>
      <x:c r="I62" s="7" t="str">
        <x:v>Was this person reviewed? If rejected, give the actual rule and evidence. If acceptable, correct the omission. Resolve: Bank/securities role and outside contracting.</x:v>
      </x:c>
      <x:c r="J62" s="7" t="str">
        <x:v>R1</x:v>
      </x:c>
      <x:c r="K62" s="7" t="str">
        <x:v>Requires verification: Bank/securities role and outside contracting. These facts do not establish the original reviewer’s motive.</x:v>
      </x:c>
      <x:c r="L62" s="7" t="str">
        <x:v>Not supplied; membership is known, motive is not</x:v>
      </x:c>
      <x:c r="M62" s="7" t="n">
        <x:v>3</x:v>
      </x:c>
      <x:c r="N62" s="7" t="str">
        <x:v>Verify distribution channel</x:v>
      </x:c>
      <x:c r="O62" s="7" t="str">
        <x:v>Active</x:v>
      </x:c>
      <x:c r="P62" s="7" t="str">
        <x:v>12/17/2025</x:v>
      </x:c>
      <x:c r="Q62" s="7" t="str">
        <x:v>12/31/2027</x:v>
      </x:c>
      <x:c r="R62" s="7" t="str">
        <x:v>Life; Var Life and Var Annuity</x:v>
      </x:c>
      <x:c r="S62" s="15" t="str">
        <x:v>909-790-7014</x:v>
      </x:c>
      <x:c r="T62" s="7" t="str">
        <x:v>Current CDI</x:v>
      </x:c>
      <x:c r="U62" s="7" t="str">
        <x:v>33644 YUCAIPA BLVD YUCAIPA CA, 92399</x:v>
      </x:c>
      <x:c r="V62" s="7" t="str">
        <x:v>Resident</x:v>
      </x:c>
      <x:c r="W62" s="7" t="str">
        <x:v>CA</x:v>
      </x:c>
      <x:c r="X62" s="7" t="str">
        <x:v>WELLS FARGO WEALTH BROKERAGE INSURANCE AGENCY LLC / Var Life and Var Annuity / 12/26/2025
WELLS FARGO WEALTH BROKERAGE INSURANCE AGENCY LLC / Life / 12/26/2025</x:v>
      </x:c>
      <x:c r="Y62" s="7" t="str"/>
      <x:c r="Z62" s="7" t="str"/>
      <x:c r="AA62" s="7" t="str"/>
      <x:c r="AB62" s="7" t="str"/>
      <x:c r="AC62" s="7" t="str"/>
      <x:c r="AD62" s="7" t="str">
        <x:v>Active general Life authority</x:v>
      </x:c>
      <x:c r="AE62" s="7" t="str">
        <x:v>Bank/securities agency channel: WELLS FARGO WEALTH BROKERAGE INSURANCE AGENCY LLC | Variable authority: financial-advice/variable-product capability; not needed for fixed annuities and not an automatic exclusion</x:v>
      </x:c>
      <x:c r="AF62" s="16" t="n">
        <x:v>0.8</x:v>
      </x:c>
      <x:c r="AG62" s="17" t="n">
        <x:v>449</x:v>
      </x:c>
      <x:c r="AH62" s="7" t="str"/>
      <x:c r="AI62" s="7" t="str">
        <x:v>English</x:v>
      </x:c>
      <x:c r="AJ62" s="7" t="str"/>
      <x:c r="AK62" s="15" t="str"/>
      <x:c r="AL62" s="7" t="str"/>
      <x:c r="AM62" s="7" t="str">
        <x:v>AGUILAR EDUARDO EDGAR</x:v>
      </x:c>
      <x:c r="AN62" s="7" t="str">
        <x:v>https://cdicloud.insurance.ca.gov/cal/LicenseDetail?SearchType=IND&amp;SearchLicNbr=4510499&amp;SearchIndvId=4510499</x:v>
      </x:c>
      <x:c r="AO62" s="7" t="str">
        <x:v>2026-10-08</x:v>
      </x:c>
      <x:c r="AP62" s="7" t="str">
        <x:v>cb15854da3a80f4b91db686e390dbdfc3cc939bcef5a7585f6eb17d3a858b8e7</x:v>
      </x:c>
      <x:c r="AQ62" s="7" t="str">
        <x:v>Life / Active / 12/17/2025 / 12/17/2025 / 12/31/2027
Var Life and Var Annuity / Active / 12/17/2025 / 12/17/2025 / 12/31/2027</x:v>
      </x:c>
      <x:c r="AR62" s="7" t="str">
        <x:v>Active</x:v>
      </x:c>
      <x:c r="AS62" s="7" t="str">
        <x:v>Current detail page</x:v>
      </x:c>
    </x:row>
    <x:row r="63" ht="52" customHeight="1">
      <x:c r="A63" s="7" t="str">
        <x:v>AGUILAR ESTHER</x:v>
      </x:c>
      <x:c r="B63" s="14" t="str">
        <x:f>"0H16431"</x:f>
        <x:v>0H16431</x:v>
      </x:c>
      <x:c r="C63" s="7" t="str">
        <x:v>Omitted</x:v>
      </x:c>
      <x:c r="D63" s="7" t="str">
        <x:v>REVIEW</x:v>
      </x:c>
      <x:c r="E63" s="13" t="str">
        <x:v>Pending</x:v>
      </x:c>
      <x:c r="F63" s="13" t="str"/>
      <x:c r="G63" s="13" t="str"/>
      <x:c r="H63" s="13" t="str"/>
      <x:c r="I63" s="7" t="str">
        <x:v>Was this person reviewed? If rejected, give the actual rule and evidence. If acceptable, correct the omission. Resolve: Bank/securities role and outside contracting.</x:v>
      </x:c>
      <x:c r="J63" s="7" t="str">
        <x:v>R1</x:v>
      </x:c>
      <x:c r="K63" s="7" t="str">
        <x:v>Requires verification: Bank/securities role and outside contracting. These facts do not establish the original reviewer’s motive.</x:v>
      </x:c>
      <x:c r="L63" s="7" t="str">
        <x:v>Not supplied; membership is known, motive is not</x:v>
      </x:c>
      <x:c r="M63" s="7" t="n">
        <x:v>3</x:v>
      </x:c>
      <x:c r="N63" s="7" t="str">
        <x:v>Verify distribution channel</x:v>
      </x:c>
      <x:c r="O63" s="7" t="str">
        <x:v>Active</x:v>
      </x:c>
      <x:c r="P63" s="7" t="str">
        <x:v>09/27/2010</x:v>
      </x:c>
      <x:c r="Q63" s="7" t="str">
        <x:v>09/30/2028</x:v>
      </x:c>
      <x:c r="R63" s="7" t="str">
        <x:v>Life; Var Life and Var Annuity</x:v>
      </x:c>
      <x:c r="S63" s="15" t="str">
        <x:v>949-493-0791</x:v>
      </x:c>
      <x:c r="T63" s="7" t="str">
        <x:v>Current CDI</x:v>
      </x:c>
      <x:c r="U63" s="7" t="str">
        <x:v>31972 CAMINO CAPISTRANO SAN JUAN CAPISTRANO CA, 92675</x:v>
      </x:c>
      <x:c r="V63" s="7" t="str">
        <x:v>Resident</x:v>
      </x:c>
      <x:c r="W63" s="7" t="str">
        <x:v>CA</x:v>
      </x:c>
      <x:c r="X63" s="7" t="str">
        <x:v>CHASE INSURANCE AGENCY, INC. / Life / 08/03/2012
CHASE INSURANCE AGENCY, INC. / Var Life and Var Annuity / 08/03/2012</x:v>
      </x:c>
      <x:c r="Y63" s="7" t="str">
        <x:v>NEW YORK LIFE INSURANCE AND ANNUITY CORPORATION / Life / 05/24/2012</x:v>
      </x:c>
      <x:c r="Z63" s="7" t="str"/>
      <x:c r="AA63" s="7" t="str"/>
      <x:c r="AB63" s="7" t="str"/>
      <x:c r="AC63" s="7" t="str"/>
      <x:c r="AD63" s="7" t="str">
        <x:v>Active general Life authority | Direct Life appointments outside the selected health-carrier set: NEW YORK LIFE INSURANCE AND ANNUITY CORPORATION</x:v>
      </x:c>
      <x:c r="AE63" s="7" t="str">
        <x:v>Bank/securities agency channel: CHASE INSURANCE AGENCY, INC. | Variable authority: financial-advice/variable-product capability; not needed for fixed annuities and not an automatic exclusion</x:v>
      </x:c>
      <x:c r="AF63" s="16" t="n">
        <x:v>16</x:v>
      </x:c>
      <x:c r="AG63" s="17" t="n">
        <x:v>723</x:v>
      </x:c>
      <x:c r="AH63" s="7" t="str">
        <x:v>2012-05-24</x:v>
      </x:c>
      <x:c r="AI63" s="7" t="str">
        <x:v>English</x:v>
      </x:c>
      <x:c r="AJ63" s="7" t="str"/>
      <x:c r="AK63" s="15" t="str"/>
      <x:c r="AL63" s="7" t="str"/>
      <x:c r="AM63" s="7" t="str">
        <x:v>AGUILAR  ESTHER | AGUILAR ESTHER MARIA</x:v>
      </x:c>
      <x:c r="AN63" s="7" t="str">
        <x:v>https://cdicloud.insurance.ca.gov/cal/LicenseDetail?SearchType=IND&amp;SearchLicNbr=0H16431&amp;SearchIndvId=1354760</x:v>
      </x:c>
      <x:c r="AO63" s="7" t="str">
        <x:v>2026-10-08</x:v>
      </x:c>
      <x:c r="AP63" s="7" t="str">
        <x:v>ee983c913391a04e6fb89cbe5ff3bf824514a4ee2cf093269d0ab6fd4c9ba856</x:v>
      </x:c>
      <x:c r="AQ63" s="7" t="str">
        <x:v>Life / Active / 09/27/2010 / 09/27/2010 / 09/30/2028
Var Life and Var Annuity / Active / 09/27/2010 / 09/27/2010 / 09/30/2028</x:v>
      </x:c>
      <x:c r="AR63" s="7" t="str">
        <x:v>Active</x:v>
      </x:c>
      <x:c r="AS63" s="7" t="str">
        <x:v>Current detail page</x:v>
      </x:c>
    </x:row>
    <x:row r="64" ht="52" customHeight="1">
      <x:c r="A64" s="7" t="str">
        <x:v>AGUILAR GALARZA CRISTINA DOLORES</x:v>
      </x:c>
      <x:c r="B64" s="14" t="str">
        <x:f>"4568325"</x:f>
        <x:v>4568325</x:v>
      </x:c>
      <x:c r="C64" s="7" t="str">
        <x:v>Omitted</x:v>
      </x:c>
      <x:c r="D64" s="7" t="str">
        <x:v>REVIEW</x:v>
      </x:c>
      <x:c r="E64" s="13" t="str">
        <x:v>Pending</x:v>
      </x:c>
      <x:c r="F64" s="13" t="str"/>
      <x:c r="G64" s="13" t="str"/>
      <x:c r="H64" s="13" t="str"/>
      <x:c r="I64" s="7" t="str">
        <x:v>Was this person reviewed? If rejected, give the actual rule and evidence. If acceptable, correct the omission. Resolve: Benefits-broker role and target-product activity.</x:v>
      </x:c>
      <x:c r="J64" s="7" t="str">
        <x:v>R3</x:v>
      </x:c>
      <x:c r="K64" s="7" t="str">
        <x:v>Requires verification: Benefits-broker role and target-product activity. These facts do not establish the original reviewer’s motive.</x:v>
      </x:c>
      <x:c r="L64" s="7" t="str">
        <x:v>Not supplied; membership is known, motive is not</x:v>
      </x:c>
      <x:c r="M64" s="7" t="n">
        <x:v>3</x:v>
      </x:c>
      <x:c r="N64" s="7" t="str">
        <x:v>Verify distribution channel</x:v>
      </x:c>
      <x:c r="O64" s="7" t="str">
        <x:v>Active</x:v>
      </x:c>
      <x:c r="P64" s="7" t="str">
        <x:v>08/05/2026</x:v>
      </x:c>
      <x:c r="Q64" s="7" t="str">
        <x:v>08/31/2028</x:v>
      </x:c>
      <x:c r="R64" s="7" t="str">
        <x:v>Accident &amp; Health or Sickness; Life</x:v>
      </x:c>
      <x:c r="S64" s="15" t="str">
        <x:v>212-345-6000</x:v>
      </x:c>
      <x:c r="T64" s="7" t="str">
        <x:v>Current CDI</x:v>
      </x:c>
      <x:c r="U64" s="7" t="str">
        <x:v>9171 TOWNE CENTRE DRIVE SAN DIEGO CA, 92122</x:v>
      </x:c>
      <x:c r="V64" s="7" t="str">
        <x:v>Resident</x:v>
      </x:c>
      <x:c r="W64" s="7" t="str">
        <x:v>CA</x:v>
      </x:c>
      <x:c r="X64" s="7" t="str">
        <x:v>MARSH &amp; MCLENNAN AGENCY LLC / Life / 09/11/2026
MARSH &amp; MCLENNAN AGENCY LLC / Accident &amp; Health or Sickness / 09/11/2026</x:v>
      </x:c>
      <x:c r="Y64" s="7" t="str"/>
      <x:c r="Z64" s="7" t="str"/>
      <x:c r="AA64" s="7" t="str"/>
      <x:c r="AB64" s="7" t="str"/>
      <x:c r="AC64" s="7" t="str"/>
      <x:c r="AD64" s="7" t="str">
        <x:v>Active general Life authority | Active A&amp;H supports optional cross-selling; not necessary for target products</x:v>
      </x:c>
      <x:c r="AE64" s="7" t="str">
        <x:v>Benefits/large-broker agency signal: MARSH &amp; MCLENNAN AGENCY LLC</x:v>
      </x:c>
      <x:c r="AF64" s="16" t="n">
        <x:v>0.2</x:v>
      </x:c>
      <x:c r="AG64" s="17" t="n">
        <x:v>693</x:v>
      </x:c>
      <x:c r="AH64" s="7" t="str"/>
      <x:c r="AI64" s="7" t="str">
        <x:v>English</x:v>
      </x:c>
      <x:c r="AJ64" s="7" t="str"/>
      <x:c r="AK64" s="15" t="str"/>
      <x:c r="AL64" s="7" t="str"/>
      <x:c r="AM64" s="7" t="str">
        <x:v>AGUILAR GALARZA Dolores CRISTINA</x:v>
      </x:c>
      <x:c r="AN64" s="7" t="str">
        <x:v>https://cdicloud.insurance.ca.gov/cal/LicenseDetail?SearchType=IND&amp;SearchLicNbr=4568325&amp;SearchIndvId=4568325</x:v>
      </x:c>
      <x:c r="AO64" s="7" t="str">
        <x:v>2026-10-08</x:v>
      </x:c>
      <x:c r="AP64" s="7" t="str">
        <x:v>0f37f2d9a245fcd1ed15437f4aa62b367eaa5c41c69358865b62264a4060bbb0</x:v>
      </x:c>
      <x:c r="AQ64" s="7" t="str">
        <x:v>Accident &amp; Health or Sickness / Active / 08/05/2026 / 08/05/2026 / 08/31/2028
Life / Active / 08/05/2026 / 08/05/2026 / 08/31/2028</x:v>
      </x:c>
      <x:c r="AR64" s="7" t="str">
        <x:v>Active</x:v>
      </x:c>
      <x:c r="AS64" s="7" t="str">
        <x:v>Current detail page</x:v>
      </x:c>
    </x:row>
    <x:row r="65" ht="52" customHeight="1">
      <x:c r="A65" s="7" t="str">
        <x:v>AGUILAR IVAN</x:v>
      </x:c>
      <x:c r="B65" s="14" t="str">
        <x:f>"0L38514"</x:f>
        <x:v>0L38514</x:v>
      </x:c>
      <x:c r="C65" s="7" t="str">
        <x:v>Omitted</x:v>
      </x:c>
      <x:c r="D65" s="7" t="str">
        <x:v>REVIEW</x:v>
      </x:c>
      <x:c r="E65" s="13" t="str">
        <x:v>Pending</x:v>
      </x:c>
      <x:c r="F65" s="13" t="str"/>
      <x:c r="G65" s="13" t="str"/>
      <x:c r="H65" s="13" t="str"/>
      <x:c r="I65" s="7" t="str">
        <x:v>Was this person reviewed? If rejected, give the actual rule and evidence. If acceptable, correct the omission. Resolve: Bank/securities role and outside contracting.</x:v>
      </x:c>
      <x:c r="J65" s="7" t="str">
        <x:v>R1</x:v>
      </x:c>
      <x:c r="K65" s="7" t="str">
        <x:v>Requires verification: Bank/securities role and outside contracting. These facts do not establish the original reviewer’s motive.</x:v>
      </x:c>
      <x:c r="L65" s="7" t="str">
        <x:v>Not supplied; membership is known, motive is not</x:v>
      </x:c>
      <x:c r="M65" s="7" t="n">
        <x:v>3</x:v>
      </x:c>
      <x:c r="N65" s="7" t="str">
        <x:v>Verify distribution channel</x:v>
      </x:c>
      <x:c r="O65" s="7" t="str">
        <x:v>Active</x:v>
      </x:c>
      <x:c r="P65" s="7" t="str">
        <x:v>11/28/2016</x:v>
      </x:c>
      <x:c r="Q65" s="7" t="str">
        <x:v>11/30/2026</x:v>
      </x:c>
      <x:c r="R65" s="7" t="str">
        <x:v>Accident &amp; Health or Sickness; Life; Var Life and Var Annuity</x:v>
      </x:c>
      <x:c r="S65" s="15" t="str">
        <x:v>661-588-0907</x:v>
      </x:c>
      <x:c r="T65" s="7" t="str">
        <x:v>Current CDI</x:v>
      </x:c>
      <x:c r="U65" s="7" t="str">
        <x:v>6085 COFFEE RD BAKERSFIELD CA, 93308-9414</x:v>
      </x:c>
      <x:c r="V65" s="7" t="str">
        <x:v>Resident</x:v>
      </x:c>
      <x:c r="W65" s="7" t="str">
        <x:v>CA</x:v>
      </x:c>
      <x:c r="X65" s="7" t="str">
        <x:v>CHASE INSURANCE AGENCY, INC. / Var Life and Var Annuity / 12/12/2016
CHASE INSURANCE AGENCY, INC. / Life / 12/12/2016
CHASE INSURANCE AGENCY, INC. / Accident &amp; Health or Sickness / 01/31/2020</x:v>
      </x:c>
      <x:c r="Y65" s="7" t="str">
        <x:v>ALLIANZ LIFE INSURANCE COMPANY OF NORTH AMERICA / Life / 06/29/2026
ALLIANZ LIFE INSURANCE COMPANY OF NORTH AMERICA / Var Life and Var Annuity / 06/29/2026
ATHENE ANNUITY AND LIFE COMPANY / Life / 08/25/2023
ATHENE ANNUITY AND LIFE COMPANY / Var Life and Var Annuity / 08/25/2023
EQUITABLE FINANCIAL LIFE INSURANCE COMPANY / Var Life and Var Annuity / 08/30/2023
EQUITABLE FINANCIAL LIFE INSURANCE COMPANY OF AMERICA / Var Life and Var Annuity / 08/30/2023
FORETHOUGHT LIFE INSURANCE COMPANY / Accident &amp; Health or Sickness / 07/22/2024
FORETHOUGHT LIFE INSURANCE COMPANY / Life / 07/18/2024
FORETHOUGHT LIFE INSURANCE COMPANY / Var Life and Var Annuity / 07/22/2024
JACKSON NATIONAL LIFE INSURANCE COMPANY / Life / 09/17/2018
JACKSON NATIONAL LIFE INSURANCE COMPANY / Var Life and Var Annuity / 09/17/2018
LINCOLN NATIONAL LIFE INSURANCE COMPANY (THE) / Life / 05/15/2018
LINCOLN NATIONAL LIFE INSURANCE COMPANY (THE) / Var Life and Var Annuity / 05/15/2018
MASSACHUSETTS MUTUAL LIFE INSURANCE COMPANY / Accident &amp; Health or Sickness / 04/28/2025
MASSACHUSETTS MUTUAL LIFE INSURANCE COMPANY / Life / 04/28/2025
MASSACHUSETTS MUTUAL LIFE INSURANCE COMPANY / Var Life and Var Annuity / 04/28/2025
NATIONWIDE LIFE INSURANCE COMPANY / Life / 02/07/2019
NEW YORK LIFE INSURANCE AND ANNUITY CORPORATION / Life / 06/05/2018
PACIFIC LIFE INSURANCE COMPANY / Life / 05/04/2018
PRUCO LIFE INSURANCE COMPANY / Life / 02/18/2025
PRUCO LIFE INSURANCE COMPANY / Var Life and Var Annuity / 02/18/2025
SYMETRA LIFE INSURANCE COMPANY / Life / 01/29/2019
WESTERN-SOUTHERN LIFE ASSURANCE COMPANY / Life / 03/16/2023</x:v>
      </x:c>
      <x:c r="Z65" s="7" t="str"/>
      <x:c r="AA65" s="7" t="str"/>
      <x:c r="AB65" s="7" t="str"/>
      <x:c r="AC65" s="7" t="str"/>
      <x:c r="AD65" s="7" t="str">
        <x:v>Active general Life authority | Direct Life appointments outside the selected health-carrier set: ALLIANZ LIFE INSURANCE COMPANY OF NORTH AMERICA, ATHENE ANNUITY AND LIFE COMPANY, FORETHOUGHT LIFE INSURANCE COMPANY, JACKSON NATIONAL LIFE INSURANCE COMPANY, LINCOLN NATIONAL LIFE INSURANCE COMPANY (THE), MASSACHUSETTS MUTUAL LIFE INSURANCE COMPANY, NATIONWIDE LIFE INSURANCE COMPANY, NEW YORK LIFE INSURANCE AND ANNUITY CORPORATION, PACIFIC LIFE INSURANCE COMPANY, PRUCO LIFE INSURANCE COMPANY, SYMETRA LIFE INSURANCE COMPANY, WESTERN-SOUTHERN LIFE ASSURANCE COMPANY | Active A&amp;H supports optional cross-selling; not necessary for target products</x:v>
      </x:c>
      <x:c r="AE65" s="7" t="str">
        <x:v>Bank/securities agency channel: CHASE INSURANCE AGENCY, INC. | Variable authority: financial-advice/variable-product capability; not needed for fixed annuities and not an automatic exclusion | Life expiration in 53 days: confirm renewal during onboarding</x:v>
      </x:c>
      <x:c r="AF65" s="16" t="n">
        <x:v>9.9</x:v>
      </x:c>
      <x:c r="AG65" s="17" t="n">
        <x:v>53</x:v>
      </x:c>
      <x:c r="AH65" s="7" t="str">
        <x:v>2026-06-29</x:v>
      </x:c>
      <x:c r="AI65" s="7" t="str">
        <x:v>English</x:v>
      </x:c>
      <x:c r="AJ65" s="7" t="str"/>
      <x:c r="AK65" s="15" t="str"/>
      <x:c r="AL65" s="7" t="str"/>
      <x:c r="AM65" s="7" t="str">
        <x:v>AGUILAR  IVAN</x:v>
      </x:c>
      <x:c r="AN65" s="7" t="str">
        <x:v>https://cdicloud.insurance.ca.gov/cal/LicenseDetail?SearchType=IND&amp;SearchLicNbr=0L38514&amp;SearchIndvId=1889282</x:v>
      </x:c>
      <x:c r="AO65" s="7" t="str">
        <x:v>2026-10-08</x:v>
      </x:c>
      <x:c r="AP65" s="7" t="str">
        <x:v>cc8780cbf1f9d67df8f13ddb1931e70ce01648882f1b88fd8ca8cd2b3498e0b6</x:v>
      </x:c>
      <x:c r="AQ65" s="7" t="str">
        <x:v>Accident &amp; Health or Sickness / Active / 01/27/2020 / 01/27/2020 / 11/30/2026
Life / Active / 11/28/2016 / 11/28/2016 / 11/30/2026
Var Life and Var Annuity / Active / 11/28/2016 / 11/28/2016 / 11/30/2026</x:v>
      </x:c>
      <x:c r="AR65" s="7" t="str">
        <x:v>Active</x:v>
      </x:c>
      <x:c r="AS65" s="7" t="str">
        <x:v>Current detail page</x:v>
      </x:c>
    </x:row>
    <x:row r="66" ht="52" customHeight="1">
      <x:c r="A66" s="7" t="str">
        <x:v>AGUILAR JACOB ANTHONY</x:v>
      </x:c>
      <x:c r="B66" s="14" t="str">
        <x:f>"0K98497"</x:f>
        <x:v>0K98497</x:v>
      </x:c>
      <x:c r="C66" s="7" t="str">
        <x:v>Omitted</x:v>
      </x:c>
      <x:c r="D66" s="7" t="str">
        <x:v>REVIEW</x:v>
      </x:c>
      <x:c r="E66" s="13" t="str">
        <x:v>Pending</x:v>
      </x:c>
      <x:c r="F66" s="13" t="str"/>
      <x:c r="G66" s="13" t="str"/>
      <x:c r="H66" s="13" t="str"/>
      <x:c r="I66" s="7" t="str">
        <x:v>Was this person reviewed? If rejected, give the actual rule and evidence. If acceptable, correct the omission. Resolve: Bank/securities role and outside contracting.</x:v>
      </x:c>
      <x:c r="J66" s="7" t="str">
        <x:v>R1</x:v>
      </x:c>
      <x:c r="K66" s="7" t="str">
        <x:v>Requires verification: Bank/securities role and outside contracting. These facts do not establish the original reviewer’s motive.</x:v>
      </x:c>
      <x:c r="L66" s="7" t="str">
        <x:v>Not supplied; membership is known, motive is not</x:v>
      </x:c>
      <x:c r="M66" s="7" t="n">
        <x:v>3</x:v>
      </x:c>
      <x:c r="N66" s="7" t="str">
        <x:v>Verify distribution channel</x:v>
      </x:c>
      <x:c r="O66" s="7" t="str">
        <x:v>Active</x:v>
      </x:c>
      <x:c r="P66" s="7" t="str">
        <x:v>07/07/2016</x:v>
      </x:c>
      <x:c r="Q66" s="7" t="str">
        <x:v>07/31/2028</x:v>
      </x:c>
      <x:c r="R66" s="7" t="str">
        <x:v>Life; Var Life and Var Annuity</x:v>
      </x:c>
      <x:c r="S66" s="15" t="str">
        <x:v>559-582-7790</x:v>
      </x:c>
      <x:c r="T66" s="7" t="str">
        <x:v>Current CDI</x:v>
      </x:c>
      <x:c r="U66" s="7" t="str">
        <x:v>421 N DOUTY ST HANFORD CA, 93230-3908</x:v>
      </x:c>
      <x:c r="V66" s="7" t="str">
        <x:v>Resident</x:v>
      </x:c>
      <x:c r="W66" s="7" t="str">
        <x:v>CA</x:v>
      </x:c>
      <x:c r="X66" s="7" t="str">
        <x:v>CHASE INSURANCE AGENCY, INC. / Life / 08/09/2018
CHASE INSURANCE AGENCY, INC. / Var Life and Var Annuity / 08/09/2018</x:v>
      </x:c>
      <x:c r="Y66" s="7" t="str"/>
      <x:c r="Z66" s="7" t="str"/>
      <x:c r="AA66" s="7" t="str"/>
      <x:c r="AB66" s="7" t="str"/>
      <x:c r="AC66" s="7" t="str"/>
      <x:c r="AD66" s="7" t="str">
        <x:v>Active general Life authority</x:v>
      </x:c>
      <x:c r="AE66" s="7" t="str">
        <x:v>Bank/securities agency channel: CHASE INSURANCE AGENCY, INC. | Variable authority: financial-advice/variable-product capability; not needed for fixed annuities and not an automatic exclusion</x:v>
      </x:c>
      <x:c r="AF66" s="16" t="n">
        <x:v>10.3</x:v>
      </x:c>
      <x:c r="AG66" s="17" t="n">
        <x:v>662</x:v>
      </x:c>
      <x:c r="AH66" s="7" t="str"/>
      <x:c r="AI66" s="7" t="str">
        <x:v>English</x:v>
      </x:c>
      <x:c r="AJ66" s="7" t="str"/>
      <x:c r="AK66" s="15" t="str"/>
      <x:c r="AL66" s="7" t="str"/>
      <x:c r="AM66" s="7" t="str">
        <x:v>AGUILAR ANTHONY JACOB</x:v>
      </x:c>
      <x:c r="AN66" s="7" t="str">
        <x:v>https://cdicloud.insurance.ca.gov/cal/LicenseDetail?SearchType=IND&amp;SearchLicNbr=0K98497&amp;SearchIndvId=1846424</x:v>
      </x:c>
      <x:c r="AO66" s="7" t="str">
        <x:v>2026-10-08</x:v>
      </x:c>
      <x:c r="AP66" s="7" t="str">
        <x:v>d68082804eef68ff2f814ad3772fb82a63577694a462f6480c73d5e02cc7fec0</x:v>
      </x:c>
      <x:c r="AQ66" s="7" t="str">
        <x:v>Life / Active / 07/07/2016 / 08/08/2018 / 07/31/2028
Var Life and Var Annuity / Active / 07/07/2016 / 08/08/2018 / 07/31/2028</x:v>
      </x:c>
      <x:c r="AR66" s="7" t="str">
        <x:v>Active</x:v>
      </x:c>
      <x:c r="AS66" s="7" t="str">
        <x:v>Current detail page</x:v>
      </x:c>
    </x:row>
    <x:row r="67" ht="52" customHeight="1">
      <x:c r="A67" s="7" t="str">
        <x:v>AGUILAR JORGE ALVAREZ</x:v>
      </x:c>
      <x:c r="B67" s="14" t="str">
        <x:f>"0I08810"</x:f>
        <x:v>0I08810</x:v>
      </x:c>
      <x:c r="C67" s="7" t="str">
        <x:v>Omitted</x:v>
      </x:c>
      <x:c r="D67" s="7" t="str">
        <x:v>REVIEW</x:v>
      </x:c>
      <x:c r="E67" s="13" t="str">
        <x:v>Pending</x:v>
      </x:c>
      <x:c r="F67" s="13" t="str"/>
      <x:c r="G67" s="13" t="str"/>
      <x:c r="H67" s="13" t="str"/>
      <x:c r="I67" s="7" t="str">
        <x:v>Was this person reviewed? If rejected, give the actual rule and evidence. If acceptable, correct the omission. Resolve: Bank/securities role and outside contracting.</x:v>
      </x:c>
      <x:c r="J67" s="7" t="str">
        <x:v>R1</x:v>
      </x:c>
      <x:c r="K67" s="7" t="str">
        <x:v>Requires verification: Bank/securities role and outside contracting. These facts do not establish the original reviewer’s motive.</x:v>
      </x:c>
      <x:c r="L67" s="7" t="str">
        <x:v>Not supplied; membership is known, motive is not</x:v>
      </x:c>
      <x:c r="M67" s="7" t="n">
        <x:v>3</x:v>
      </x:c>
      <x:c r="N67" s="7" t="str">
        <x:v>Verify distribution channel</x:v>
      </x:c>
      <x:c r="O67" s="7" t="str">
        <x:v>Active</x:v>
      </x:c>
      <x:c r="P67" s="7" t="str">
        <x:v>10/16/2012</x:v>
      </x:c>
      <x:c r="Q67" s="7" t="str">
        <x:v>10/31/2028</x:v>
      </x:c>
      <x:c r="R67" s="7" t="str">
        <x:v>Accident &amp; Health or Sickness; Life; Var Life and Var Annuity</x:v>
      </x:c>
      <x:c r="S67" s="15" t="str">
        <x:v>714-596-6792</x:v>
      </x:c>
      <x:c r="T67" s="7" t="str">
        <x:v>Current CDI</x:v>
      </x:c>
      <x:c r="U67" s="7" t="str">
        <x:v>7830 EDINGER AVE HUNTINGTON BEACH CA, 92647</x:v>
      </x:c>
      <x:c r="V67" s="7" t="str">
        <x:v>Resident</x:v>
      </x:c>
      <x:c r="W67" s="7" t="str">
        <x:v>CA</x:v>
      </x:c>
      <x:c r="X67" s="7" t="str">
        <x:v>CHASE INSURANCE AGENCY, INC. / Life / 05/02/2016
CHASE INSURANCE AGENCY, INC. / Var Life and Var Annuity / 05/02/2016
CHASE INSURANCE AGENCY, INC. / Accident &amp; Health or Sickness / 06/01/2022</x:v>
      </x:c>
      <x:c r="Y67" s="7" t="str">
        <x:v>ALLIANZ LIFE INSURANCE COMPANY OF NORTH AMERICA / Life / 11/16/2023
ALLIANZ LIFE INSURANCE COMPANY OF NORTH AMERICA / Var Life and Var Annuity / 11/16/2023
AMERICAN GENERAL LIFE INSURANCE COMPANY / Life / 02/13/2024
AMERICAN GENERAL LIFE INSURANCE COMPANY / Var Life and Var Annuity / 02/13/2024
ATHENE ANNUITY AND LIFE COMPANY / Life / 08/05/2023
ATHENE ANNUITY AND LIFE COMPANY / Var Life and Var Annuity / 08/05/2023
EQUITABLE FINANCIAL LIFE INSURANCE COMPANY / Var Life and Var Annuity / 09/30/2022
EQUITABLE FINANCIAL LIFE INSURANCE COMPANY OF AMERICA / Var Life and Var Annuity / 09/30/2022
FORETHOUGHT LIFE INSURANCE COMPANY / Accident &amp; Health or Sickness / 01/30/2024
FORETHOUGHT LIFE INSURANCE COMPANY / Life / 01/29/2024
FORETHOUGHT LIFE INSURANCE COMPANY / Var Life and Var Annuity / 01/30/2024
MASSACHUSETTS MUTUAL LIFE INSURANCE COMPANY / Accident &amp; Health or Sickness / 04/14/2025
MASSACHUSETTS MUTUAL LIFE INSURANCE COMPANY / Life / 04/14/2025
MASSACHUSETTS MUTUAL LIFE INSURANCE COMPANY / Var Life and Var Annuity / 04/14/2025
NEW YORK LIFE INSURANCE AND ANNUITY CORPORATION / Life / 09/12/2022
NEW YORK LIFE INSURANCE AND ANNUITY CORPORATION / Var Life and Var Annuity / 09/12/2022
PACIFIC LIFE INSURANCE COMPANY / Life / 08/13/2024
PACIFIC LIFE INSURANCE COMPANY / Var Life and Var Annuity / 08/13/2024
PRUCO LIFE INSURANCE COMPANY / Life / 08/29/2024
PRUCO LIFE INSURANCE COMPANY / Var Life and Var Annuity / 08/29/2024
PRUDENTIAL INSURANCE COMPANY OF AMERICA (THE) / Life / 02/14/2024
PRUDENTIAL INSURANCE COMPANY OF AMERICA (THE) / Var Life and Var Annuity / 02/14/2024
SYMETRA LIFE INSURANCE COMPANY / Accident &amp; Health or Sickness / 07/21/2023
SYMETRA LIFE INSURANCE COMPANY / Life / 07/21/2023
SYMETRA LIFE INSURANCE COMPANY / Var Life and Var Annuity / 07/21/2023
WESTERN-SOUTHERN LIFE ASSURANCE COMPANY / Life / 03/16/2023</x:v>
      </x:c>
      <x:c r="Z67" s="7" t="str"/>
      <x:c r="AA67" s="7" t="str"/>
      <x:c r="AB67" s="7" t="str"/>
      <x:c r="AC67" s="7" t="str"/>
      <x:c r="AD67" s="7" t="str">
        <x:v>Active general Life authority | Direct Life appointments outside the selected health-carrier set: ALLIANZ LIFE INSURANCE COMPANY OF NORTH AMERICA, AMERICAN GENERAL LIFE INSURANCE COMPANY, ATHENE ANNUITY AND LIFE COMPANY, FORETHOUGHT LIFE INSURANCE COMPANY, MASSACHUSETTS MUTUAL LIFE INSURANCE COMPANY, NEW YORK LIFE INSURANCE AND ANNUITY CORPORATION, PACIFIC LIFE INSURANCE COMPANY, PRUCO LIFE INSURANCE COMPANY, PRUDENTIAL INSURANCE COMPANY OF AMERICA (THE), SYMETRA LIFE INSURANCE COMPANY, WESTERN-SOUTHERN LIFE ASSURANCE COMPANY | Active A&amp;H supports optional cross-selling; not necessary for target products</x:v>
      </x:c>
      <x:c r="AE67" s="7" t="str">
        <x:v>Bank/securities agency channel: CHASE INSURANCE AGENCY, INC. | Variable authority: financial-advice/variable-product capability; not needed for fixed annuities and not an automatic exclusion</x:v>
      </x:c>
      <x:c r="AF67" s="16" t="n">
        <x:v>14</x:v>
      </x:c>
      <x:c r="AG67" s="17" t="n">
        <x:v>754</x:v>
      </x:c>
      <x:c r="AH67" s="7" t="str">
        <x:v>2025-04-14</x:v>
      </x:c>
      <x:c r="AI67" s="7" t="str">
        <x:v>English</x:v>
      </x:c>
      <x:c r="AJ67" s="7" t="str"/>
      <x:c r="AK67" s="15" t="str"/>
      <x:c r="AL67" s="7" t="str"/>
      <x:c r="AM67" s="7" t="str">
        <x:v>AGUILAR  GEORGE | AGUILAR  JORGE | AGUILAR A JORGE | Aguilar ALVAREZ Jorge | AGUILAR ALVAREZ JORGE</x:v>
      </x:c>
      <x:c r="AN67" s="7" t="str">
        <x:v>https://cdicloud.insurance.ca.gov/cal/LicenseDetail?SearchType=IND&amp;SearchLicNbr=0I08810&amp;SearchIndvId=1534774</x:v>
      </x:c>
      <x:c r="AO67" s="7" t="str">
        <x:v>2026-10-08</x:v>
      </x:c>
      <x:c r="AP67" s="7" t="str">
        <x:v>6e61a75c25b2ece44487f7f64f8823e39d38d81481ee6888bd3d19ea4153020e</x:v>
      </x:c>
      <x:c r="AQ67" s="7" t="str">
        <x:v>Accident &amp; Health or Sickness / Active / 05/16/2022 / 05/16/2022 / 10/31/2028
Life / Active / 10/16/2012 / 10/16/2012 / 10/31/2028
Var Life and Var Annuity / Active / 10/16/2012 / 10/16/2012 / 10/31/2028</x:v>
      </x:c>
      <x:c r="AR67" s="7" t="str">
        <x:v>Active</x:v>
      </x:c>
      <x:c r="AS67" s="7" t="str">
        <x:v>Current detail page</x:v>
      </x:c>
    </x:row>
    <x:row r="68" ht="52" customHeight="1">
      <x:c r="A68" s="7" t="str">
        <x:v>AGUILAR JULIAN MARIA DE JESUS</x:v>
      </x:c>
      <x:c r="B68" s="14" t="str">
        <x:f>"0E08239"</x:f>
        <x:v>0E08239</x:v>
      </x:c>
      <x:c r="C68" s="7" t="str">
        <x:v>Omitted</x:v>
      </x:c>
      <x:c r="D68" s="7" t="str">
        <x:v>REVIEW</x:v>
      </x:c>
      <x:c r="E68" s="13" t="str">
        <x:v>Pending</x:v>
      </x:c>
      <x:c r="F68" s="13" t="str"/>
      <x:c r="G68" s="13" t="str"/>
      <x:c r="H68" s="13" t="str"/>
      <x:c r="I68" s="7" t="str">
        <x:v>Was this person reviewed? If rejected, give the actual rule and evidence. If acceptable, correct the omission. Resolve: Bank/securities role and outside contracting.</x:v>
      </x:c>
      <x:c r="J68" s="7" t="str">
        <x:v>R1</x:v>
      </x:c>
      <x:c r="K68" s="7" t="str">
        <x:v>Requires verification: Bank/securities role and outside contracting. These facts do not establish the original reviewer’s motive.</x:v>
      </x:c>
      <x:c r="L68" s="7" t="str">
        <x:v>Not supplied; membership is known, motive is not</x:v>
      </x:c>
      <x:c r="M68" s="7" t="n">
        <x:v>3</x:v>
      </x:c>
      <x:c r="N68" s="7" t="str">
        <x:v>Verify distribution channel</x:v>
      </x:c>
      <x:c r="O68" s="7" t="str">
        <x:v>Active</x:v>
      </x:c>
      <x:c r="P68" s="7" t="str">
        <x:v>07/12/2003</x:v>
      </x:c>
      <x:c r="Q68" s="7" t="str">
        <x:v>07/31/2027</x:v>
      </x:c>
      <x:c r="R68" s="7" t="str">
        <x:v>Accident &amp; Health or Sickness; Life; Var Life and Var Annuity</x:v>
      </x:c>
      <x:c r="S68" s="15" t="str">
        <x:v>619-699-3710</x:v>
      </x:c>
      <x:c r="T68" s="7" t="str">
        <x:v>Current CDI</x:v>
      </x:c>
      <x:c r="U68" s="7" t="str">
        <x:v>701 B ST STE 2400 SAN DIEGO CA, 92101--8100</x:v>
      </x:c>
      <x:c r="V68" s="7" t="str">
        <x:v>Resident</x:v>
      </x:c>
      <x:c r="W68" s="7" t="str">
        <x:v>CA</x:v>
      </x:c>
      <x:c r="X68" s="7" t="str">
        <x:v>MERRILL LYNCH LIFE AGENCY, INC. / Var Life and Var Annuity / 03/05/2011
MERRILL LYNCH LIFE AGENCY, INC. / Accident &amp; Health or Sickness / 03/05/2011
MERRILL LYNCH LIFE AGENCY, INC. / Life / 03/05/2011</x:v>
      </x:c>
      <x:c r="Y68" s="7" t="str">
        <x:v>ALLIANZ LIFE INSURANCE COMPANY OF NORTH AMERICA / Accident &amp; Health or Sickness / 11/27/2006
ALLIANZ LIFE INSURANCE COMPANY OF NORTH AMERICA / Life / 11/27/2006
AMERICAN GENERAL LIFE INSURANCE COMPANY / Accident &amp; Health or Sickness / 03/17/2015
AMERICAN GENERAL LIFE INSURANCE COMPANY / Life / 03/17/2015
AMERICAN GENERAL LIFE INSURANCE COMPANY / Var Life and Var Annuity / 03/17/2015
ATHENE ANNUITY AND LIFE COMPANY / Life / 12/06/2024
BRIGHTHOUSE LIFE INSURANCE COMPANY / Accident &amp; Health or Sickness / 12/31/2025
BRIGHTHOUSE LIFE INSURANCE COMPANY / Life / 12/31/2025
BRIGHTHOUSE LIFE INSURANCE COMPANY / Var Life and Var Annuity / 12/31/2025
EQUITABLE FINANCIAL LIFE INSURANCE COMPANY / Var Life and Var Annuity / 05/09/2016
JOHN HANCOCK LIFE INSURANCE COMPANY (U.S.A.) / Accident &amp; Health or Sickness / 07/21/2005
JOHN HANCOCK LIFE INSURANCE COMPANY (U.S.A.) / Life / 07/21/2005
LINCOLN NATIONAL LIFE INSURANCE COMPANY (THE) / Accident &amp; Health or Sickness / 05/19/2005
LINCOLN NATIONAL LIFE INSURANCE COMPANY (THE) / Life / 05/19/2005
LINCOLN NATIONAL LIFE INSURANCE COMPANY (THE) / Var Life and Var Annuity / 05/19/2005
NATIONWIDE LIFE AND ANNUITY INSURANCE COMPANY / Life / 12/15/2008
NATIONWIDE LIFE INSURANCE COMPANY / Accident &amp; Health or Sickness / 11/10/2006
NATIONWIDE LIFE INSURANCE COMPANY / Life / 11/10/2006
NEW YORK LIFE INSURANCE AND ANNUITY CORPORATION / Life / 10/25/2004
NEW YORK LIFE INSURANCE AND ANNUITY CORPORATION / Var Life and Var Annuity / 02/28/2018
PACIFIC LIFE INSURANCE COMPANY / Accident &amp; Health or Sickness / 12/09/2004
PACIFIC LIFE INSURANCE COMPANY / Life / 02/02/2015
PRINCIPAL LIFE INSURANCE COMPANY / Accident &amp; Health or Sickness / 11/26/2008
PRINCIPAL LIFE INSURANCE COMPANY / Life / 11/26/2008
PRUCO LIFE INSURANCE COMPANY / Accident &amp; Health or Sickness / 07/17/2009
PRUCO LIFE INSURANCE COMPANY / Life / 07/17/2009
PRUCO LIFE INSURANCE COMPANY / Var Life and Var Annuity / 07/17/2009
RIVERSOURCE LIFE INSURANCE COMPANY / Accident &amp; Health or Sickness / 12/18/2007
RIVERSOURCE LIFE INSURANCE COMPANY / Life / 12/18/2007
SYMETRA LIFE INSURANCE COMPANY / Accident &amp; Health or Sickness / 09/18/2015
SYMETRA LIFE INSURANCE COMPANY / Life / 09/18/2015
TRANSAMERICA LIFE INSURANCE COMPANY / Life / 11/21/2008</x:v>
      </x:c>
      <x:c r="Z68" s="7" t="str"/>
      <x:c r="AA68" s="7" t="str"/>
      <x:c r="AB68" s="7" t="str"/>
      <x:c r="AC68" s="7" t="str"/>
      <x:c r="AD68" s="7" t="str">
        <x:v>Active general Life authority | Direct Life appointments outside the selected health-carrier set: ALLIANZ LIFE INSURANCE COMPANY OF NORTH AMERICA, AMERICAN GENERAL LIFE INSURANCE COMPANY, ATHENE ANNUITY AND LIFE COMPANY, BRIGHTHOUSE LIFE INSURANCE COMPANY, JOHN HANCOCK LIFE INSURANCE COMPANY (U.S.A.), LINCOLN NATIONAL LIFE INSURANCE COMPANY (THE), NATIONWIDE LIFE AND ANNUITY INSURANCE COMPANY, NATIONWIDE LIFE INSURANCE COMPANY, NEW YORK LIFE INSURANCE AND ANNUITY CORPORATION, PACIFIC LIFE INSURANCE COMPANY, PRINCIPAL LIFE INSURANCE COMPANY, PRUCO LIFE INSURANCE COMPANY, RIVERSOURCE LIFE INSURANCE COMPANY, SYMETRA LIFE INSURANCE COMPANY, TRANSAMERICA LIFE INSURANCE COMPANY | Active A&amp;H supports optional cross-selling; not necessary for target products</x:v>
      </x:c>
      <x:c r="AE68" s="7" t="str">
        <x:v>Bank/securities agency channel: MERRILL LYNCH LIFE AGENCY, INC. | Variable authority: financial-advice/variable-product capability; not needed for fixed annuities and not an automatic exclusion</x:v>
      </x:c>
      <x:c r="AF68" s="16" t="n">
        <x:v>23.2</x:v>
      </x:c>
      <x:c r="AG68" s="17" t="n">
        <x:v>296</x:v>
      </x:c>
      <x:c r="AH68" s="7" t="str">
        <x:v>2025-12-31</x:v>
      </x:c>
      <x:c r="AI68" s="7" t="str">
        <x:v>English, Spanish, Spanish</x:v>
      </x:c>
      <x:c r="AJ68" s="7" t="str"/>
      <x:c r="AK68" s="15" t="str"/>
      <x:c r="AL68" s="7" t="str"/>
      <x:c r="AM68" s="7" t="str">
        <x:v>AGUILAR JULIAN  MARIA DE JESUS | AGUILAR-GONZALEZ DE JESUS MARIA</x:v>
      </x:c>
      <x:c r="AN68" s="7" t="str">
        <x:v>https://cdicloud.insurance.ca.gov/cal/LicenseDetail?SearchType=IND&amp;SearchLicNbr=0E08239&amp;SearchIndvId=853135</x:v>
      </x:c>
      <x:c r="AO68" s="7" t="str">
        <x:v>2026-10-08</x:v>
      </x:c>
      <x:c r="AP68" s="7" t="str">
        <x:v>d3eb97388aa04bd83b4d47fcf913f97b621a443ff1d01ca42237fe18bac5b498</x:v>
      </x:c>
      <x:c r="AQ68" s="7" t="str">
        <x:v>Accident &amp; Health or Sickness / Active / 07/12/2003 / 07/12/2003 / 07/31/2027
Life / Active / 07/12/2003 / 07/12/2003 / 07/31/2027
Var Life and Var Annuity / Active / 07/12/2003 / 07/12/2003 / 07/31/2027</x:v>
      </x:c>
      <x:c r="AR68" s="7" t="str">
        <x:v>Active</x:v>
      </x:c>
      <x:c r="AS68" s="7" t="str">
        <x:v>Current detail page</x:v>
      </x:c>
    </x:row>
    <x:row r="69" ht="52" customHeight="1">
      <x:c r="A69" s="7" t="str">
        <x:v>AGUILAR KRISTEN DANIELLE</x:v>
      </x:c>
      <x:c r="B69" s="14" t="str">
        <x:f>"4520633"</x:f>
        <x:v>4520633</x:v>
      </x:c>
      <x:c r="C69" s="7" t="str">
        <x:v>Omitted</x:v>
      </x:c>
      <x:c r="D69" s="7" t="str">
        <x:v>REVIEW</x:v>
      </x:c>
      <x:c r="E69" s="13" t="str">
        <x:v>Pending</x:v>
      </x:c>
      <x:c r="F69" s="13" t="str"/>
      <x:c r="G69" s="13" t="str"/>
      <x:c r="H69" s="13" t="str"/>
      <x:c r="I69" s="7" t="str">
        <x:v>Was this person reviewed? If rejected, give the actual rule and evidence. If acceptable, correct the omission. Resolve: Career/member channel and portability.</x:v>
      </x:c>
      <x:c r="J69" s="7" t="str">
        <x:v>R2</x:v>
      </x:c>
      <x:c r="K69" s="7" t="str">
        <x:v>Requires verification: Career/member channel and portability. These facts do not establish the original reviewer’s motive.</x:v>
      </x:c>
      <x:c r="L69" s="7" t="str">
        <x:v>Not supplied; membership is known, motive is not</x:v>
      </x:c>
      <x:c r="M69" s="7" t="n">
        <x:v>3</x:v>
      </x:c>
      <x:c r="N69" s="7" t="str">
        <x:v>Verify distribution channel</x:v>
      </x:c>
      <x:c r="O69" s="7" t="str">
        <x:v>Active</x:v>
      </x:c>
      <x:c r="P69" s="7" t="str">
        <x:v>01/14/2026</x:v>
      </x:c>
      <x:c r="Q69" s="7" t="str">
        <x:v>01/31/2028</x:v>
      </x:c>
      <x:c r="R69" s="7" t="str">
        <x:v>Accident &amp; Health or Sickness; Life</x:v>
      </x:c>
      <x:c r="S69" s="15" t="str">
        <x:v>626-201-0076</x:v>
      </x:c>
      <x:c r="T69" s="7" t="str">
        <x:v>Current CDI</x:v>
      </x:c>
      <x:c r="U69" s="7" t="str">
        <x:v>2101 MCPHERSON PL LOS ANGELES CA, 90032</x:v>
      </x:c>
      <x:c r="V69" s="7" t="str">
        <x:v>Resident</x:v>
      </x:c>
      <x:c r="W69" s="7" t="str">
        <x:v>CA</x:v>
      </x:c>
      <x:c r="X69" s="7" t="str"/>
      <x:c r="Y69" s="7" t="str">
        <x:v>NEW YORK LIFE INSURANCE AND ANNUITY CORPORATION / Accident &amp; Health or Sickness / 01/15/2026
NEW YORK LIFE INSURANCE AND ANNUITY CORPORATION / Life / 01/15/2026
NEW YORK LIFE INSURANCE COMPANY / Accident &amp; Health or Sickness / 01/15/2026
NEW YORK LIFE INSURANCE COMPANY / Life / 01/15/2026
NYLIFE INSURANCE COMPANY OF ARIZONA / Life / 01/15/2026</x:v>
      </x:c>
      <x:c r="Z69" s="7" t="str"/>
      <x:c r="AA69" s="7" t="str"/>
      <x:c r="AB69" s="7" t="str"/>
      <x:c r="AC69" s="7" t="str"/>
      <x:c r="AD69" s="7" t="str">
        <x:v>Active general Life authority | Direct Life appointments outside the selected health-carrier set: NEW YORK LIFE INSURANCE AND ANNUITY CORPORATION, NEW YORK LIFE INSURANCE COMPANY, NYLIFE INSURANCE COMPANY OF ARIZONA | Active A&amp;H supports optional cross-selling; not necessary for target products</x:v>
      </x:c>
      <x:c r="AE69" s="7" t="str">
        <x:v>Career/member-channel signal: NEW YORK LIFE INSURANCE COMPANY, NYLIFE INSURANCE COMPANY OF ARIZONA</x:v>
      </x:c>
      <x:c r="AF69" s="16" t="n">
        <x:v>0.7</x:v>
      </x:c>
      <x:c r="AG69" s="17" t="n">
        <x:v>480</x:v>
      </x:c>
      <x:c r="AH69" s="7" t="str">
        <x:v>2026-01-15</x:v>
      </x:c>
      <x:c r="AI69" s="7" t="str">
        <x:v>English</x:v>
      </x:c>
      <x:c r="AJ69" s="7" t="str"/>
      <x:c r="AK69" s="15" t="str"/>
      <x:c r="AL69" s="7" t="str"/>
      <x:c r="AM69" s="7" t="str">
        <x:v>AGUILAR DANIELLE KRISTEN</x:v>
      </x:c>
      <x:c r="AN69" s="7" t="str">
        <x:v>https://cdicloud.insurance.ca.gov/cal/LicenseDetail?SearchType=IND&amp;SearchLicNbr=4520633&amp;SearchIndvId=4520633</x:v>
      </x:c>
      <x:c r="AO69" s="7" t="str">
        <x:v>2026-10-08</x:v>
      </x:c>
      <x:c r="AP69" s="7" t="str">
        <x:v>e20df172132f449a350bbbb9df853153a5dc9ff1124b08fd4eca81474841782d</x:v>
      </x:c>
      <x:c r="AQ69" s="7" t="str">
        <x:v>Accident &amp; Health or Sickness / Active / 01/14/2026 / 01/14/2026 / 01/31/2028
Life / Active / 01/14/2026 / 01/14/2026 / 01/31/2028</x:v>
      </x:c>
      <x:c r="AR69" s="7" t="str">
        <x:v>Active</x:v>
      </x:c>
      <x:c r="AS69" s="7" t="str">
        <x:v>Current detail page</x:v>
      </x:c>
    </x:row>
    <x:row r="70" ht="52" customHeight="1">
      <x:c r="A70" s="7" t="str">
        <x:v>AGUILAR LEONARDO</x:v>
      </x:c>
      <x:c r="B70" s="14" t="str">
        <x:f>"0A56469"</x:f>
        <x:v>0A56469</x:v>
      </x:c>
      <x:c r="C70" s="7" t="str">
        <x:v>Omitted</x:v>
      </x:c>
      <x:c r="D70" s="7" t="str">
        <x:v>REVIEW</x:v>
      </x:c>
      <x:c r="E70" s="13" t="str">
        <x:v>Pending</x:v>
      </x:c>
      <x:c r="F70" s="13" t="str"/>
      <x:c r="G70" s="13" t="str"/>
      <x:c r="H70" s="13" t="str"/>
      <x:c r="I70" s="7" t="str">
        <x:v>Was this person reviewed? If rejected, give the actual rule and evidence. If acceptable, correct the omission. Resolve: Bank/securities role and outside contracting.</x:v>
      </x:c>
      <x:c r="J70" s="7" t="str">
        <x:v>R1</x:v>
      </x:c>
      <x:c r="K70" s="7" t="str">
        <x:v>Requires verification: Bank/securities role and outside contracting. These facts do not establish the original reviewer’s motive.</x:v>
      </x:c>
      <x:c r="L70" s="7" t="str">
        <x:v>Not supplied; membership is known, motive is not</x:v>
      </x:c>
      <x:c r="M70" s="7" t="n">
        <x:v>3</x:v>
      </x:c>
      <x:c r="N70" s="7" t="str">
        <x:v>Verify distribution channel</x:v>
      </x:c>
      <x:c r="O70" s="7" t="str">
        <x:v>Active</x:v>
      </x:c>
      <x:c r="P70" s="7" t="str">
        <x:v>05/07/1990</x:v>
      </x:c>
      <x:c r="Q70" s="7" t="str">
        <x:v>08/31/2028</x:v>
      </x:c>
      <x:c r="R70" s="7" t="str">
        <x:v>Accident &amp; Health or Sickness; Life; Var Life and Var Annuity</x:v>
      </x:c>
      <x:c r="S70" s="15" t="str">
        <x:v>818-572-0990</x:v>
      </x:c>
      <x:c r="T70" s="7" t="str">
        <x:v>Current CDI</x:v>
      </x:c>
      <x:c r="U70" s="7" t="str">
        <x:v>330 N BRAND BLVD SUITE 180 GLENDALE CA, 91203</x:v>
      </x:c>
      <x:c r="V70" s="7" t="str">
        <x:v>Resident</x:v>
      </x:c>
      <x:c r="W70" s="7" t="str">
        <x:v>CA</x:v>
      </x:c>
      <x:c r="X70" s="7" t="str">
        <x:v>WELLS FARGO WEALTH BROKERAGE INSURANCE AGENCY LLC / Life / 05/21/2014
LPL FINANCIAL LLC / Life / 06/07/2022
LPL FINANCIAL LLC / Var Life and Var Annuity / 06/07/2022
WELLS FARGO WEALTH BROKERAGE INSURANCE AGENCY LLC / Var Life and Var Annuity / 05/21/2014
LPL FINANCIAL LLC / Accident &amp; Health or Sickness / 06/07/2022
WELLS FARGO WEALTH BROKERAGE INSURANCE AGENCY LLC / Accident &amp; Health or Sickness / 05/21/2014</x:v>
      </x:c>
      <x:c r="Y70" s="7" t="str">
        <x:v>ALLIANZ LIFE INSURANCE COMPANY OF NORTH AMERICA / Accident &amp; Health or Sickness / 10/08/2012
ALLIANZ LIFE INSURANCE COMPANY OF NORTH AMERICA / Life / 10/08/2012
ALLIANZ LIFE INSURANCE COMPANY OF NORTH AMERICA / Var Life and Var Annuity / 08/11/2025
AMERICAN GENERAL LIFE INSURANCE COMPANY / Accident &amp; Health or Sickness / 10/04/2012
AMERICAN GENERAL LIFE INSURANCE COMPANY / Life / 10/04/2012
ATHENE ANNUITY AND LIFE COMPANY / Life / 06/08/2022
CMFG LIFE INSURANCE COMPANY / Accident &amp; Health or Sickness / 06/10/2022
CMFG LIFE INSURANCE COMPANY / Life / 06/10/2022
CMFG LIFE INSURANCE COMPANY / Var Life and Var Annuity / 06/10/2022
EAGLE LIFE INSURANCE COMPANY / Life / 06/09/2022
EQUITABLE FINANCIAL LIFE INSURANCE COMPANY / Accident &amp; Health or Sickness / 10/05/2012
EQUITABLE FINANCIAL LIFE INSURANCE COMPANY / Life / 10/05/2012
EQUITABLE FINANCIAL LIFE INSURANCE COMPANY / Var Life and Var Annuity / 06/21/2018
EQUITABLE FINANCIAL LIFE INSURANCE COMPANY OF AMERICA / Accident &amp; Health or Sickness / 06/21/2018
EQUITABLE FINANCIAL LIFE INSURANCE COMPANY OF AMERICA / Life / 06/21/2018
EQUITABLE FINANCIAL LIFE INSURANCE COMPANY OF AMERICA / Var Life and Var Annuity / 06/21/2018
FORTITUDE LIFE INSURANCE &amp; ANNUITY COMPANY / Life / 10/11/2012
FORTITUDE LIFE INSURANCE &amp; ANNUITY COMPANY / Var Life and Var Annuity / 10/11/2012
GENWORTH LIFE INSURANCE COMPANY / Accident &amp; Health or Sickness / 10/08/2012
GENWORTH LIFE INSURANCE COMPANY / Life / 10/08/2012
JACKSON NATIONAL LIFE INSURANCE COMPANY / Life / 05/02/2014
JACKSON NATIONAL LIFE INSURANCE COMPANY / Var Life and Var Annuity / 05/02/2014
JOHN HANCOCK LIFE INSURANCE COMPANY (U.S.A.) / Life / 10/23/2015
LINCOLN NATIONAL LIFE INSURANCE COMPANY (THE) / Accident &amp; Health or Sickness / 09/18/2012
LINCOLN NATIONAL LIFE INSURANCE COMPANY (THE) / Life / 09/18/2012
LINCOLN NATIONAL LIFE INSURANCE COMPANY (THE) / Var Life and Var Annuity / 09/18/2012
MASSMUTUAL ASCEND LIFE INSURANCE COMPANY / Life / 02/26/2014
MEMBERS LIFE INSURANCE COMPANY / Accident &amp; Health or Sickness / 06/10/2022
MEMBERS LIFE INSURANCE COMPANY / Life / 06/10/2022
MEMBERS LIFE INSURANCE COMPANY / Var Life and Var Annuity / 06/10/2022
MINNESOTA LIFE INSURANCE COMPANY / Accident &amp; Health or Sickness / 06/07/2022
MINNESOTA LIFE INSURANCE COMPANY / Life / 06/07/2022
MINNESOTA LIFE INSURANCE COMPANY / Var Life and Var Annuity / 06/07/2022
NATIONWIDE LIFE AND ANNUITY INSURANCE COMPANY / Accident &amp; Health or Sickness / 02/25/2019
NATIONWIDE LIFE AND ANNUITY INSURANCE COMPANY / Life / 02/25/2019
NATIONWIDE LIFE INSURANCE COMPANY / Accident &amp; Health or Sickness / 05/09/2013
NATIONWIDE LIFE INSURANCE COMPANY / Life / 05/09/2013
NEW YORK LIFE INSURANCE AND ANNUITY CORPORATION / Life / 10/10/2012
NEW YORK LIFE INSURANCE AND ANNUITY CORPORATION / Var Life and Var Annuity / 06/20/2022
PACIFIC LIFE INSURANCE COMPANY / Accident &amp; Health or Sickness / 12/04/2012
PACIFIC LIFE INSURANCE COMPANY / Life / 12/04/2012
PRINCIPAL LIFE INSURANCE COMPANY / Accident &amp; Health or Sickness / 12/18/2019
PRINCIPAL LIFE INSURANCE COMPANY / Life / 12/18/2019
PRINCIPAL NATIONAL LIFE INSURANCE COMPANY / Accident &amp; Health or Sickness / 02/04/2020
PRINCIPAL NATIONAL LIFE INSURANCE COMPANY / Life / 02/04/2020
PROTECTIVE LIFE INSURANCE COMPANY / Accident &amp; Health or Sickness / 07/31/2015
PROTECTIVE LIFE INSURANCE COMPANY / Life / 07/31/2015
PROTECTIVE LIFE INSURANCE COMPANY / Var Life and Var Annuity / 07/31/2015
PRUCO LIFE INSURANCE COMPANY / Life / 10/03/2012
PRUCO LIFE INSURANCE COMPANY / Var Life and Var Annuity / 10/03/2012
PRUDENTIAL INSURANCE COMPANY OF AMERICA (THE) / Life / 10/03/2012
PRUDENTIAL INSURANCE COMPANY OF AMERICA (THE) / Var Life and Var Annuity / 10/03/2012
S.USA LIFE INSURANCE COMPANY, INC. / Life / 10/18/2022</x:v>
      </x:c>
      <x:c r="Z70" s="7" t="str"/>
      <x:c r="AA70" s="7" t="str"/>
      <x:c r="AB70" s="7" t="str"/>
      <x:c r="AC70" s="7" t="str"/>
      <x:c r="AD70" s="7" t="str">
        <x:v>Active general Life authority | Direct Life appointments outside the selected health-carrier set: ALLIANZ LIFE INSURANCE COMPANY OF NORTH AMERICA, AMERICAN GENERAL LIFE INSURANCE COMPANY, ATHENE ANNUITY AND LIFE COMPANY, CMFG LIFE INSURANCE COMPANY, EAGLE LIFE INSURANCE COMPANY, EQUITABLE FINANCIAL LIFE INSURANCE COMPANY, EQUITABLE FINANCIAL LIFE INSURANCE COMPANY OF AMERICA, FORTITUDE LIFE INSURANCE &amp; ANNUITY COMPANY, GENWORTH LIFE INSURANCE COMPANY, JACKSON NATIONAL LIFE INSURANCE COMPANY, JOHN HANCOCK LIFE INSURANCE COMPANY (U.S.A.), LINCOLN NATIONAL LIFE INSURANCE COMPANY (THE), MASSMUTUAL ASCEND LIFE INSURANCE COMPANY, MEMBERS LIFE INSURANCE COMPANY, MINNESOTA LIFE INSURANCE COMPANY, NATIONWIDE LIFE AND ANNUITY INSURANCE COMPANY, NATIONWIDE LIFE INSURANCE COMPANY, NEW YORK LIFE INSURANCE AND ANNUITY CORPORATION, PACIFIC LIFE INSURANCE COMPANY, PRINCIPAL LIFE INSURANCE COMPANY, PRINCIPAL NATIONAL LIFE INSURANCE COMPANY, PROTECTIVE LIFE INSURANCE COMPANY, PRUCO LIFE INSURANCE COMPANY, PRUDENTIAL INSURANCE COMPANY OF AMERICA (THE), S.USA LIFE INSURANCE COMPANY, INC. | Active A&amp;H supports optional cross-selling; not necessary for target products</x:v>
      </x:c>
      <x:c r="AE70" s="7" t="str">
        <x:v>Bank/securities agency channel: LPL FINANCIAL LLC, WELLS FARGO WEALTH BROKERAGE INSURANCE AGENCY LLC | Variable authority: financial-advice/variable-product capability; not needed for fixed annuities and not an automatic exclusion</x:v>
      </x:c>
      <x:c r="AF70" s="16" t="n">
        <x:v>36.4</x:v>
      </x:c>
      <x:c r="AG70" s="17" t="n">
        <x:v>693</x:v>
      </x:c>
      <x:c r="AH70" s="7" t="str">
        <x:v>2022-10-18</x:v>
      </x:c>
      <x:c r="AI70" s="7" t="str">
        <x:v>English</x:v>
      </x:c>
      <x:c r="AJ70" s="7" t="str"/>
      <x:c r="AK70" s="15" t="str"/>
      <x:c r="AL70" s="7" t="str"/>
      <x:c r="AM70" s="7" t="str">
        <x:v>AGUILAR  LEONARDO</x:v>
      </x:c>
      <x:c r="AN70" s="7" t="str">
        <x:v>https://cdicloud.insurance.ca.gov/cal/LicenseDetail?SearchType=IND&amp;SearchLicNbr=0A56469&amp;SearchIndvId=163444</x:v>
      </x:c>
      <x:c r="AO70" s="7" t="str">
        <x:v>2026-10-08</x:v>
      </x:c>
      <x:c r="AP70" s="7" t="str">
        <x:v>312e415f6967a92694a02e70f74423d33681cbdfba7c798ce7a17124f42e3ab7</x:v>
      </x:c>
      <x:c r="AQ70" s="7" t="str">
        <x:v>Accident &amp; Health or Sickness / Active / 05/07/1990 / 09/18/2012 / 08/31/2028
Life / Active / 05/07/1990 / 09/18/2012 / 08/31/2028
Var Life and Var Annuity / Active / 05/07/1990 / 09/18/2012 / 08/31/2028</x:v>
      </x:c>
      <x:c r="AR70" s="7" t="str">
        <x:v>Active</x:v>
      </x:c>
      <x:c r="AS70" s="7" t="str">
        <x:v>Current detail page</x:v>
      </x:c>
    </x:row>
    <x:row r="71" ht="52" customHeight="1">
      <x:c r="A71" s="7" t="str">
        <x:v>AGUILAR LETICIA</x:v>
      </x:c>
      <x:c r="B71" s="14" t="str">
        <x:f>"4477815"</x:f>
        <x:v>4477815</x:v>
      </x:c>
      <x:c r="C71" s="7" t="str">
        <x:v>Omitted</x:v>
      </x:c>
      <x:c r="D71" s="7" t="str">
        <x:v>REVIEW</x:v>
      </x:c>
      <x:c r="E71" s="13" t="str">
        <x:v>Pending</x:v>
      </x:c>
      <x:c r="F71" s="13" t="str"/>
      <x:c r="G71" s="13" t="str"/>
      <x:c r="H71" s="13" t="str"/>
      <x:c r="I71" s="7" t="str">
        <x:v>Was this person reviewed? If rejected, give the actual rule and evidence. If acceptable, correct the omission. Resolve: Career/member channel and portability.</x:v>
      </x:c>
      <x:c r="J71" s="7" t="str">
        <x:v>R2</x:v>
      </x:c>
      <x:c r="K71" s="7" t="str">
        <x:v>Requires verification: Career/member channel and portability. These facts do not establish the original reviewer’s motive.</x:v>
      </x:c>
      <x:c r="L71" s="7" t="str">
        <x:v>Not supplied; membership is known, motive is not</x:v>
      </x:c>
      <x:c r="M71" s="7" t="n">
        <x:v>3</x:v>
      </x:c>
      <x:c r="N71" s="7" t="str">
        <x:v>Verify distribution channel</x:v>
      </x:c>
      <x:c r="O71" s="7" t="str">
        <x:v>Active</x:v>
      </x:c>
      <x:c r="P71" s="7" t="str">
        <x:v>08/05/2025</x:v>
      </x:c>
      <x:c r="Q71" s="7" t="str">
        <x:v>08/31/2027</x:v>
      </x:c>
      <x:c r="R71" s="7" t="str">
        <x:v>Accident &amp; Health or Sickness; Life; Var Life and Var Annuity</x:v>
      </x:c>
      <x:c r="S71" s="15" t="str">
        <x:v>773-964-7931</x:v>
      </x:c>
      <x:c r="T71" s="7" t="str">
        <x:v>Current CDI</x:v>
      </x:c>
      <x:c r="U71" s="7" t="str">
        <x:v>18575 JAMBOREE RD SUITE 200 IRVINE CA, 92612</x:v>
      </x:c>
      <x:c r="V71" s="7" t="str">
        <x:v>Resident</x:v>
      </x:c>
      <x:c r="W71" s="7" t="str">
        <x:v>CA</x:v>
      </x:c>
      <x:c r="X71" s="7" t="str"/>
      <x:c r="Y71" s="7" t="str">
        <x:v>NORTHWESTERN LONG TERM CARE INSURANCE COMPANY / Accident &amp; Health or Sickness / 10/06/2025
NORTHWESTERN MUTUAL LIFE INSURANCE COMPANY (THE) / Accident &amp; Health or Sickness / 09/02/2025
NORTHWESTERN MUTUAL LIFE INSURANCE COMPANY (THE) / Life / 09/02/2025
NORTHWESTERN MUTUAL LIFE INSURANCE COMPANY (THE) / Var Life and Var Annuity / 09/16/2026</x:v>
      </x:c>
      <x:c r="Z71" s="7" t="str"/>
      <x:c r="AA71" s="7" t="str"/>
      <x:c r="AB71" s="7" t="str"/>
      <x:c r="AC71" s="7" t="str"/>
      <x:c r="AD71" s="7" t="str">
        <x:v>Active general Life authority | Direct Life appointments outside the selected health-carrier set: NORTHWESTERN MUTUAL LIFE INSURANCE COMPANY (THE) | Active A&amp;H supports optional cross-selling; not necessary for target products</x:v>
      </x:c>
      <x:c r="AE71" s="7" t="str">
        <x:v>Career/member-channel signal: NORTHWESTERN MUTUAL LIFE INSURANCE COMPANY (THE) | Variable authority: financial-advice/variable-product capability; not needed for fixed annuities and not an automatic exclusion</x:v>
      </x:c>
      <x:c r="AF71" s="16" t="n">
        <x:v>1.2</x:v>
      </x:c>
      <x:c r="AG71" s="17" t="n">
        <x:v>327</x:v>
      </x:c>
      <x:c r="AH71" s="7" t="str">
        <x:v>2025-09-02</x:v>
      </x:c>
      <x:c r="AI71" s="7" t="str">
        <x:v>English</x:v>
      </x:c>
      <x:c r="AJ71" s="7" t="str"/>
      <x:c r="AK71" s="15" t="str"/>
      <x:c r="AL71" s="7" t="str"/>
      <x:c r="AM71" s="7" t="str">
        <x:v>AGUILAR  LETICIA</x:v>
      </x:c>
      <x:c r="AN71" s="7" t="str">
        <x:v>https://cdicloud.insurance.ca.gov/cal/LicenseDetail?SearchType=IND&amp;SearchLicNbr=4477815&amp;SearchIndvId=4477815</x:v>
      </x:c>
      <x:c r="AO71" s="7" t="str">
        <x:v>2026-10-08</x:v>
      </x:c>
      <x:c r="AP71" s="7" t="str">
        <x:v>77208c6bb8776be7fbdc7e5432586907e899eda542d9b06c0195c0e93b08f20f</x:v>
      </x:c>
      <x:c r="AQ71" s="7" t="str">
        <x:v>Accident &amp; Health or Sickness / Active / 08/05/2025 / 08/05/2025 / 08/31/2027
Life / Active / 08/05/2025 / 08/05/2025 / 08/31/2027
Var Life and Var Annuity / Active / 09/15/2026 / 09/15/2026 / 08/31/2027</x:v>
      </x:c>
      <x:c r="AR71" s="7" t="str">
        <x:v>Active</x:v>
      </x:c>
      <x:c r="AS71" s="7" t="str">
        <x:v>Current detail page</x:v>
      </x:c>
    </x:row>
    <x:row r="72" ht="52" customHeight="1">
      <x:c r="A72" s="7" t="str">
        <x:v>AGUILAR LETICIA RIOS</x:v>
      </x:c>
      <x:c r="B72" s="14" t="str">
        <x:f>"4357005"</x:f>
        <x:v>4357005</x:v>
      </x:c>
      <x:c r="C72" s="7" t="str">
        <x:v>Omitted</x:v>
      </x:c>
      <x:c r="D72" s="7" t="str">
        <x:v>REVIEW</x:v>
      </x:c>
      <x:c r="E72" s="13" t="str">
        <x:v>Pending</x:v>
      </x:c>
      <x:c r="F72" s="13" t="str"/>
      <x:c r="G72" s="13" t="str"/>
      <x:c r="H72" s="13" t="str"/>
      <x:c r="I72" s="7" t="str">
        <x:v>Was this person reviewed? If rejected, give the actual rule and evidence. If acceptable, correct the omission. Resolve: Actual order terms and carrier contracting.</x:v>
      </x:c>
      <x:c r="J72" s="7" t="str">
        <x:v>R7</x:v>
      </x:c>
      <x:c r="K72" s="7" t="str">
        <x:v>Requires verification: Actual order terms and carrier contracting. These facts do not establish the original reviewer’s motive.</x:v>
      </x:c>
      <x:c r="L72" s="7" t="str">
        <x:v>Not supplied; membership is known, motive is not</x:v>
      </x:c>
      <x:c r="M72" s="7" t="n">
        <x:v>3</x:v>
      </x:c>
      <x:c r="N72" s="7" t="str">
        <x:v>Review order and contracting</x:v>
      </x:c>
      <x:c r="O72" s="7" t="str">
        <x:v>Active</x:v>
      </x:c>
      <x:c r="P72" s="7" t="str">
        <x:v>02/11/2025</x:v>
      </x:c>
      <x:c r="Q72" s="7" t="str">
        <x:v>02/28/2027</x:v>
      </x:c>
      <x:c r="R72" s="7" t="str">
        <x:v>Life</x:v>
      </x:c>
      <x:c r="S72" s="15" t="str">
        <x:v>909-401-0853</x:v>
      </x:c>
      <x:c r="T72" s="7" t="str">
        <x:v>Current CDI</x:v>
      </x:c>
      <x:c r="U72" s="7" t="str">
        <x:v>22324 TEMESCAL CANYON ROAD SUITE 200 CORONA CA, 92883</x:v>
      </x:c>
      <x:c r="V72" s="7" t="str">
        <x:v>Resident</x:v>
      </x:c>
      <x:c r="W72" s="7" t="str">
        <x:v>CA</x:v>
      </x:c>
      <x:c r="X72" s="7" t="str"/>
      <x:c r="Y72" s="7" t="str"/>
      <x:c r="Z72" s="7" t="str">
        <x:v>ORDER ID: &lt;LIC2400459&gt; A: APPLICATION FOR LICENSE TO ACT AS AN INSURANCE PRODUCER IS HEREBY DENIED; ISSUE IN LIEU THEREOF A RESTRICTED LICENSE. / 02/11/2025</x:v>
      </x:c>
      <x:c r="AA72" s="7" t="str"/>
      <x:c r="AB72" s="7" t="str"/>
      <x:c r="AC72" s="7" t="str"/>
      <x:c r="AD72" s="7" t="str">
        <x:v>Active general Life authority | No agency or insurer displayed: onboarding opportunity possible; existing business unknown</x:v>
      </x:c>
      <x:c r="AE72" s="7" t="str">
        <x:v>Enforcement order requires direct review; latest displayed order is not a removal order</x:v>
      </x:c>
      <x:c r="AF72" s="16" t="n">
        <x:v>1.7</x:v>
      </x:c>
      <x:c r="AG72" s="17" t="n">
        <x:v>143</x:v>
      </x:c>
      <x:c r="AH72" s="7" t="str"/>
      <x:c r="AI72" s="7" t="str">
        <x:v>English</x:v>
      </x:c>
      <x:c r="AJ72" s="7" t="str"/>
      <x:c r="AK72" s="15" t="str"/>
      <x:c r="AL72" s="7" t="str"/>
      <x:c r="AM72" s="7" t="str">
        <x:v>AGUILAR RIOS LETICIA</x:v>
      </x:c>
      <x:c r="AN72" s="7" t="str">
        <x:v>https://cdicloud.insurance.ca.gov/cal/LicenseDetail?SearchType=IND&amp;SearchLicNbr=4357005&amp;SearchIndvId=4357005</x:v>
      </x:c>
      <x:c r="AO72" s="7" t="str">
        <x:v>2026-10-08</x:v>
      </x:c>
      <x:c r="AP72" s="7" t="str">
        <x:v>1368c2bc6d6456c2f4da9d5ccf7a883efd3a6df4cdfe4e7db294845a8ec23137</x:v>
      </x:c>
      <x:c r="AQ72" s="7" t="str">
        <x:v>Life / Active / 02/11/2025 / 02/11/2025 / 02/28/2027</x:v>
      </x:c>
      <x:c r="AR72" s="7" t="str">
        <x:v>Active</x:v>
      </x:c>
      <x:c r="AS72" s="7" t="str">
        <x:v>Current detail page</x:v>
      </x:c>
    </x:row>
    <x:row r="73" ht="52" customHeight="1">
      <x:c r="A73" s="7" t="str">
        <x:v>AGUILAR LOUISA IRENE</x:v>
      </x:c>
      <x:c r="B73" s="14" t="str">
        <x:f>"4304193"</x:f>
        <x:v>4304193</x:v>
      </x:c>
      <x:c r="C73" s="7" t="str">
        <x:v>Omitted</x:v>
      </x:c>
      <x:c r="D73" s="7" t="str">
        <x:v>REVIEW</x:v>
      </x:c>
      <x:c r="E73" s="13" t="str">
        <x:v>Pending</x:v>
      </x:c>
      <x:c r="F73" s="13" t="str"/>
      <x:c r="G73" s="13" t="str"/>
      <x:c r="H73" s="13" t="str"/>
      <x:c r="I73" s="7" t="str">
        <x:v>Was this person reviewed? If rejected, give the actual rule and evidence. If acceptable, correct the omission. Resolve: Benefits-broker role and target-product activity.</x:v>
      </x:c>
      <x:c r="J73" s="7" t="str">
        <x:v>R3</x:v>
      </x:c>
      <x:c r="K73" s="7" t="str">
        <x:v>Requires verification: Benefits-broker role and target-product activity. These facts do not establish the original reviewer’s motive.</x:v>
      </x:c>
      <x:c r="L73" s="7" t="str">
        <x:v>Not supplied; membership is known, motive is not</x:v>
      </x:c>
      <x:c r="M73" s="7" t="n">
        <x:v>3</x:v>
      </x:c>
      <x:c r="N73" s="7" t="str">
        <x:v>Verify distribution channel</x:v>
      </x:c>
      <x:c r="O73" s="7" t="str">
        <x:v>Active</x:v>
      </x:c>
      <x:c r="P73" s="7" t="str">
        <x:v>06/28/2023</x:v>
      </x:c>
      <x:c r="Q73" s="7" t="str">
        <x:v>06/30/2027</x:v>
      </x:c>
      <x:c r="R73" s="7" t="str">
        <x:v>Accident &amp; Health or Sickness; Life</x:v>
      </x:c>
      <x:c r="S73" s="15" t="str">
        <x:v>949-349-9809</x:v>
      </x:c>
      <x:c r="T73" s="7" t="str">
        <x:v>Current CDI</x:v>
      </x:c>
      <x:c r="U73" s="7" t="str">
        <x:v>ARTHUR J. GALLAGHER SERVICES COMPANY 2 PARK PLZ STE 500 IRVINE CA, 92614-2565</x:v>
      </x:c>
      <x:c r="V73" s="7" t="str">
        <x:v>Resident</x:v>
      </x:c>
      <x:c r="W73" s="7" t="str">
        <x:v>CA</x:v>
      </x:c>
      <x:c r="X73" s="7" t="str">
        <x:v>GALLAGHER BENEFIT SERVICES, INC. / Life / 07/20/2026
GALLAGHER BENEFIT SERVICES, INC. / Accident &amp; Health or Sickness / 07/20/2026</x:v>
      </x:c>
      <x:c r="Y73" s="7" t="str"/>
      <x:c r="Z73" s="7" t="str"/>
      <x:c r="AA73" s="7" t="str"/>
      <x:c r="AB73" s="7" t="str"/>
      <x:c r="AC73" s="7" t="str"/>
      <x:c r="AD73" s="7" t="str">
        <x:v>Active general Life authority | Active A&amp;H supports optional cross-selling; not necessary for target products</x:v>
      </x:c>
      <x:c r="AE73" s="7" t="str">
        <x:v>Benefits/large-broker agency signal: GALLAGHER BENEFIT SERVICES, INC.</x:v>
      </x:c>
      <x:c r="AF73" s="16" t="n">
        <x:v>3.3</x:v>
      </x:c>
      <x:c r="AG73" s="17" t="n">
        <x:v>265</x:v>
      </x:c>
      <x:c r="AH73" s="7" t="str"/>
      <x:c r="AI73" s="7" t="str">
        <x:v>English</x:v>
      </x:c>
      <x:c r="AJ73" s="7" t="str"/>
      <x:c r="AK73" s="15" t="str"/>
      <x:c r="AL73" s="7" t="str"/>
      <x:c r="AM73" s="7" t="str">
        <x:v>AGUILAR IRENE LOUISA</x:v>
      </x:c>
      <x:c r="AN73" s="7" t="str">
        <x:v>https://cdicloud.insurance.ca.gov/cal/LicenseDetail?SearchType=IND&amp;SearchLicNbr=4304193&amp;SearchIndvId=4304193</x:v>
      </x:c>
      <x:c r="AO73" s="7" t="str">
        <x:v>2026-10-08</x:v>
      </x:c>
      <x:c r="AP73" s="7" t="str">
        <x:v>0bb79a3b5f7881721e75a570821929be2f0d60be49a2023847909bda39b88b19</x:v>
      </x:c>
      <x:c r="AQ73" s="7" t="str">
        <x:v>Accident &amp; Health or Sickness / Active / 06/28/2023 / 06/28/2023 / 06/30/2027
Life / Active / 06/28/2023 / 06/28/2023 / 06/30/2027</x:v>
      </x:c>
      <x:c r="AR73" s="7" t="str">
        <x:v>Active</x:v>
      </x:c>
      <x:c r="AS73" s="7" t="str">
        <x:v>Current detail page</x:v>
      </x:c>
    </x:row>
    <x:row r="74" ht="52" customHeight="1">
      <x:c r="A74" s="7" t="str">
        <x:v>AGUILAR MARIA G</x:v>
      </x:c>
      <x:c r="B74" s="14" t="str">
        <x:f>"4197081"</x:f>
        <x:v>4197081</x:v>
      </x:c>
      <x:c r="C74" s="7" t="str">
        <x:v>Omitted</x:v>
      </x:c>
      <x:c r="D74" s="7" t="str">
        <x:v>REVIEW</x:v>
      </x:c>
      <x:c r="E74" s="13" t="str">
        <x:v>Pending</x:v>
      </x:c>
      <x:c r="F74" s="13" t="str"/>
      <x:c r="G74" s="13" t="str"/>
      <x:c r="H74" s="13" t="str"/>
      <x:c r="I74" s="7" t="str">
        <x:v>Was this person reviewed? If rejected, give the actual rule and evidence. If acceptable, correct the omission. Resolve: Bank/securities role and outside contracting.</x:v>
      </x:c>
      <x:c r="J74" s="7" t="str">
        <x:v>R1</x:v>
      </x:c>
      <x:c r="K74" s="7" t="str">
        <x:v>Requires verification: Bank/securities role and outside contracting. These facts do not establish the original reviewer’s motive.</x:v>
      </x:c>
      <x:c r="L74" s="7" t="str">
        <x:v>Not supplied; membership is known, motive is not</x:v>
      </x:c>
      <x:c r="M74" s="7" t="n">
        <x:v>3</x:v>
      </x:c>
      <x:c r="N74" s="7" t="str">
        <x:v>Verify distribution channel</x:v>
      </x:c>
      <x:c r="O74" s="7" t="str">
        <x:v>Active</x:v>
      </x:c>
      <x:c r="P74" s="7" t="str">
        <x:v>03/11/2022</x:v>
      </x:c>
      <x:c r="Q74" s="7" t="str">
        <x:v>03/31/2028</x:v>
      </x:c>
      <x:c r="R74" s="7" t="str">
        <x:v>Life; Var Life and Var Annuity</x:v>
      </x:c>
      <x:c r="S74" s="15" t="str">
        <x:v>408-863-0428</x:v>
      </x:c>
      <x:c r="T74" s="7" t="str">
        <x:v>Current CDI</x:v>
      </x:c>
      <x:c r="U74" s="7" t="str">
        <x:v>1725 SARATOGA AVE SAN JOSE CA, 95129</x:v>
      </x:c>
      <x:c r="V74" s="7" t="str">
        <x:v>Resident</x:v>
      </x:c>
      <x:c r="W74" s="7" t="str">
        <x:v>CA</x:v>
      </x:c>
      <x:c r="X74" s="7" t="str">
        <x:v>CHASE INSURANCE AGENCY, INC. / Life / 04/14/2022
CHASE INSURANCE AGENCY, INC. / Var Life and Var Annuity / 04/14/2022</x:v>
      </x:c>
      <x:c r="Y74" s="7" t="str"/>
      <x:c r="Z74" s="7" t="str"/>
      <x:c r="AA74" s="7" t="str"/>
      <x:c r="AB74" s="7" t="str"/>
      <x:c r="AC74" s="7" t="str"/>
      <x:c r="AD74" s="7" t="str">
        <x:v>Active general Life authority</x:v>
      </x:c>
      <x:c r="AE74" s="7" t="str">
        <x:v>Bank/securities agency channel: CHASE INSURANCE AGENCY, INC. | Variable authority: financial-advice/variable-product capability; not needed for fixed annuities and not an automatic exclusion</x:v>
      </x:c>
      <x:c r="AF74" s="16" t="n">
        <x:v>4.6</x:v>
      </x:c>
      <x:c r="AG74" s="17" t="n">
        <x:v>540</x:v>
      </x:c>
      <x:c r="AH74" s="7" t="str"/>
      <x:c r="AI74" s="7" t="str">
        <x:v>English</x:v>
      </x:c>
      <x:c r="AJ74" s="7" t="str"/>
      <x:c r="AK74" s="15" t="str"/>
      <x:c r="AL74" s="7" t="str"/>
      <x:c r="AM74" s="7" t="str">
        <x:v>Aguilar  Maria | AGUILAR G MARIA</x:v>
      </x:c>
      <x:c r="AN74" s="7" t="str">
        <x:v>https://cdicloud.insurance.ca.gov/cal/LicenseDetail?SearchType=IND&amp;SearchLicNbr=4197081&amp;SearchIndvId=4197081</x:v>
      </x:c>
      <x:c r="AO74" s="7" t="str">
        <x:v>2026-10-08</x:v>
      </x:c>
      <x:c r="AP74" s="7" t="str">
        <x:v>b2376a54fe479a3b841dca5e038da49a18619cdeb954aae78f2df49c2eab1f5b</x:v>
      </x:c>
      <x:c r="AQ74" s="7" t="str">
        <x:v>Life / Active / 03/11/2022 / 03/11/2022 / 03/31/2028
Var Life and Var Annuity / Active / 04/08/2022 / 04/08/2022 / 03/31/2028</x:v>
      </x:c>
      <x:c r="AR74" s="7" t="str">
        <x:v>Active</x:v>
      </x:c>
      <x:c r="AS74" s="7" t="str">
        <x:v>Current detail page</x:v>
      </x:c>
    </x:row>
    <x:row r="75" ht="52" customHeight="1">
      <x:c r="A75" s="7" t="str">
        <x:v>AGUILAR MYA YASMINE</x:v>
      </x:c>
      <x:c r="B75" s="14" t="str">
        <x:f>"4436456"</x:f>
        <x:v>4436456</x:v>
      </x:c>
      <x:c r="C75" s="7" t="str">
        <x:v>Omitted</x:v>
      </x:c>
      <x:c r="D75" s="7" t="str">
        <x:v>REVIEW</x:v>
      </x:c>
      <x:c r="E75" s="13" t="str">
        <x:v>Pending</x:v>
      </x:c>
      <x:c r="F75" s="13" t="str"/>
      <x:c r="G75" s="13" t="str"/>
      <x:c r="H75" s="13" t="str"/>
      <x:c r="I75" s="7" t="str">
        <x:v>Was this person reviewed? If rejected, give the actual rule and evidence. If acceptable, correct the omission. Resolve: Bank/securities role and outside contracting.</x:v>
      </x:c>
      <x:c r="J75" s="7" t="str">
        <x:v>R1</x:v>
      </x:c>
      <x:c r="K75" s="7" t="str">
        <x:v>Requires verification: Bank/securities role and outside contracting. These facts do not establish the original reviewer’s motive.</x:v>
      </x:c>
      <x:c r="L75" s="7" t="str">
        <x:v>Not supplied; membership is known, motive is not</x:v>
      </x:c>
      <x:c r="M75" s="7" t="n">
        <x:v>3</x:v>
      </x:c>
      <x:c r="N75" s="7" t="str">
        <x:v>Verify distribution channel</x:v>
      </x:c>
      <x:c r="O75" s="7" t="str">
        <x:v>Active</x:v>
      </x:c>
      <x:c r="P75" s="7" t="str">
        <x:v>01/02/2025</x:v>
      </x:c>
      <x:c r="Q75" s="7" t="str">
        <x:v>01/31/2027</x:v>
      </x:c>
      <x:c r="R75" s="7" t="str">
        <x:v>Life; Var Life and Var Annuity</x:v>
      </x:c>
      <x:c r="S75" s="15" t="str">
        <x:v>805-644-1885</x:v>
      </x:c>
      <x:c r="T75" s="7" t="str">
        <x:v>Current CDI</x:v>
      </x:c>
      <x:c r="U75" s="7" t="str">
        <x:v>3498 TELEGRAPH RD VENTURA CA, 93003</x:v>
      </x:c>
      <x:c r="V75" s="7" t="str">
        <x:v>Resident</x:v>
      </x:c>
      <x:c r="W75" s="7" t="str">
        <x:v>CA</x:v>
      </x:c>
      <x:c r="X75" s="7" t="str">
        <x:v>CHASE INSURANCE AGENCY, INC. / Var Life and Var Annuity / 01/03/2025
CHASE INSURANCE AGENCY, INC. / Life / 01/03/2025</x:v>
      </x:c>
      <x:c r="Y75" s="7" t="str"/>
      <x:c r="Z75" s="7" t="str"/>
      <x:c r="AA75" s="7" t="str"/>
      <x:c r="AB75" s="7" t="str"/>
      <x:c r="AC75" s="7" t="str"/>
      <x:c r="AD75" s="7" t="str">
        <x:v>Active general Life authority</x:v>
      </x:c>
      <x:c r="AE75" s="7" t="str">
        <x:v>Bank/securities agency channel: CHASE INSURANCE AGENCY, INC. | Variable authority: financial-advice/variable-product capability; not needed for fixed annuities and not an automatic exclusion</x:v>
      </x:c>
      <x:c r="AF75" s="16" t="n">
        <x:v>1.8</x:v>
      </x:c>
      <x:c r="AG75" s="17" t="n">
        <x:v>115</x:v>
      </x:c>
      <x:c r="AH75" s="7" t="str"/>
      <x:c r="AI75" s="7" t="str">
        <x:v>English</x:v>
      </x:c>
      <x:c r="AJ75" s="7" t="str"/>
      <x:c r="AK75" s="15" t="str"/>
      <x:c r="AL75" s="7" t="str"/>
      <x:c r="AM75" s="7" t="str">
        <x:v>Aguilar  Mya | Aguilar Yasmine Mya</x:v>
      </x:c>
      <x:c r="AN75" s="7" t="str">
        <x:v>https://cdicloud.insurance.ca.gov/cal/LicenseDetail?SearchType=IND&amp;SearchLicNbr=4436456&amp;SearchIndvId=4436456</x:v>
      </x:c>
      <x:c r="AO75" s="7" t="str">
        <x:v>2026-10-08</x:v>
      </x:c>
      <x:c r="AP75" s="7" t="str">
        <x:v>4a3ac597803e7190e3082b878ac606e7257db1edc700d9a9364e09f6bbc34eab</x:v>
      </x:c>
      <x:c r="AQ75" s="7" t="str">
        <x:v>Life / Active / 01/02/2025 / 01/02/2025 / 01/31/2027
Var Life and Var Annuity / Active / 01/02/2025 / 01/02/2025 / 01/31/2027</x:v>
      </x:c>
      <x:c r="AR75" s="7" t="str">
        <x:v>Active</x:v>
      </x:c>
      <x:c r="AS75" s="7" t="str">
        <x:v>Current detail page</x:v>
      </x:c>
    </x:row>
    <x:row r="76" ht="52" customHeight="1">
      <x:c r="A76" s="7" t="str">
        <x:v>AGUILAR RAUL</x:v>
      </x:c>
      <x:c r="B76" s="14" t="str">
        <x:f>"4402537"</x:f>
        <x:v>4402537</x:v>
      </x:c>
      <x:c r="C76" s="7" t="str">
        <x:v>Omitted</x:v>
      </x:c>
      <x:c r="D76" s="7" t="str">
        <x:v>REVIEW</x:v>
      </x:c>
      <x:c r="E76" s="13" t="str">
        <x:v>Pending</x:v>
      </x:c>
      <x:c r="F76" s="13" t="str"/>
      <x:c r="G76" s="13" t="str"/>
      <x:c r="H76" s="13" t="str"/>
      <x:c r="I76" s="7" t="str">
        <x:v>Was this person reviewed? If rejected, give the actual rule and evidence. If acceptable, correct the omission. Resolve: Bank/securities role and outside contracting.</x:v>
      </x:c>
      <x:c r="J76" s="7" t="str">
        <x:v>R1</x:v>
      </x:c>
      <x:c r="K76" s="7" t="str">
        <x:v>Requires verification: Bank/securities role and outside contracting. These facts do not establish the original reviewer’s motive.</x:v>
      </x:c>
      <x:c r="L76" s="7" t="str">
        <x:v>Not supplied; membership is known, motive is not</x:v>
      </x:c>
      <x:c r="M76" s="7" t="n">
        <x:v>3</x:v>
      </x:c>
      <x:c r="N76" s="7" t="str">
        <x:v>Verify distribution channel</x:v>
      </x:c>
      <x:c r="O76" s="7" t="str">
        <x:v>Active</x:v>
      </x:c>
      <x:c r="P76" s="7" t="str">
        <x:v>08/22/2024</x:v>
      </x:c>
      <x:c r="Q76" s="7" t="str">
        <x:v>08/31/2028</x:v>
      </x:c>
      <x:c r="R76" s="7" t="str">
        <x:v>Life; Var Life and Var Annuity</x:v>
      </x:c>
      <x:c r="S76" s="15" t="str">
        <x:v>661-833-2942</x:v>
      </x:c>
      <x:c r="T76" s="7" t="str">
        <x:v>Current CDI</x:v>
      </x:c>
      <x:c r="U76" s="7" t="str">
        <x:v>3401 PANAMA LANE SUITE 230 BAKERSFIELD CA, 93313</x:v>
      </x:c>
      <x:c r="V76" s="7" t="str">
        <x:v>Resident</x:v>
      </x:c>
      <x:c r="W76" s="7" t="str">
        <x:v>CA</x:v>
      </x:c>
      <x:c r="X76" s="7" t="str">
        <x:v>WELLS FARGO WEALTH BROKERAGE INSURANCE AGENCY LLC / Var Life and Var Annuity / 09/16/2024
WELLS FARGO WEALTH BROKERAGE INSURANCE AGENCY LLC / Life / 09/16/2024</x:v>
      </x:c>
      <x:c r="Y76" s="7" t="str"/>
      <x:c r="Z76" s="7" t="str"/>
      <x:c r="AA76" s="7" t="str"/>
      <x:c r="AB76" s="7" t="str"/>
      <x:c r="AC76" s="7" t="str"/>
      <x:c r="AD76" s="7" t="str">
        <x:v>Active general Life authority</x:v>
      </x:c>
      <x:c r="AE76" s="7" t="str">
        <x:v>Bank/securities agency channel: WELLS FARGO WEALTH BROKERAGE INSURANCE AGENCY LLC | Variable authority: financial-advice/variable-product capability; not needed for fixed annuities and not an automatic exclusion</x:v>
      </x:c>
      <x:c r="AF76" s="16" t="n">
        <x:v>2.1</x:v>
      </x:c>
      <x:c r="AG76" s="17" t="n">
        <x:v>693</x:v>
      </x:c>
      <x:c r="AH76" s="7" t="str"/>
      <x:c r="AI76" s="7" t="str">
        <x:v>English</x:v>
      </x:c>
      <x:c r="AJ76" s="7" t="str"/>
      <x:c r="AK76" s="15" t="str"/>
      <x:c r="AL76" s="7" t="str"/>
      <x:c r="AM76" s="7" t="str">
        <x:v>AGUILAR  RAUL</x:v>
      </x:c>
      <x:c r="AN76" s="7" t="str">
        <x:v>https://cdicloud.insurance.ca.gov/cal/LicenseDetail?SearchType=IND&amp;SearchLicNbr=4402537&amp;SearchIndvId=4402537</x:v>
      </x:c>
      <x:c r="AO76" s="7" t="str">
        <x:v>2026-10-08</x:v>
      </x:c>
      <x:c r="AP76" s="7" t="str">
        <x:v>9b8280ee4366a0ca72b5089b99c2f2cc512898e01f5743053b7a674ed6e17788</x:v>
      </x:c>
      <x:c r="AQ76" s="7" t="str">
        <x:v>Life / Active / 08/22/2024 / 08/22/2024 / 08/31/2028
Var Life and Var Annuity / Active / 08/22/2024 / 08/22/2024 / 08/31/2028</x:v>
      </x:c>
      <x:c r="AR76" s="7" t="str">
        <x:v>Active</x:v>
      </x:c>
      <x:c r="AS76" s="7" t="str">
        <x:v>Current detail page</x:v>
      </x:c>
    </x:row>
    <x:row r="77" ht="52" customHeight="1">
      <x:c r="A77" s="7" t="str">
        <x:v>AGUILAR RAUL ANTONIO JR</x:v>
      </x:c>
      <x:c r="B77" s="14" t="str">
        <x:f>"0M25896"</x:f>
        <x:v>0M25896</x:v>
      </x:c>
      <x:c r="C77" s="7" t="str">
        <x:v>Omitted</x:v>
      </x:c>
      <x:c r="D77" s="7" t="str">
        <x:v>REVIEW</x:v>
      </x:c>
      <x:c r="E77" s="13" t="str">
        <x:v>Pending</x:v>
      </x:c>
      <x:c r="F77" s="13" t="str"/>
      <x:c r="G77" s="13" t="str"/>
      <x:c r="H77" s="13" t="str"/>
      <x:c r="I77" s="7" t="str">
        <x:v>Was this person reviewed? If rejected, give the actual rule and evidence. If acceptable, correct the omission. Resolve: Bank/securities role and outside contracting.</x:v>
      </x:c>
      <x:c r="J77" s="7" t="str">
        <x:v>R1</x:v>
      </x:c>
      <x:c r="K77" s="7" t="str">
        <x:v>Requires verification: Bank/securities role and outside contracting. These facts do not establish the original reviewer’s motive.</x:v>
      </x:c>
      <x:c r="L77" s="7" t="str">
        <x:v>Not supplied; membership is known, motive is not</x:v>
      </x:c>
      <x:c r="M77" s="7" t="n">
        <x:v>3</x:v>
      </x:c>
      <x:c r="N77" s="7" t="str">
        <x:v>Verify distribution channel</x:v>
      </x:c>
      <x:c r="O77" s="7" t="str">
        <x:v>Active</x:v>
      </x:c>
      <x:c r="P77" s="7" t="str">
        <x:v>03/23/2018</x:v>
      </x:c>
      <x:c r="Q77" s="7" t="str">
        <x:v>03/31/2028</x:v>
      </x:c>
      <x:c r="R77" s="7" t="str">
        <x:v>Accident &amp; Health or Sickness; Life; Var Life and Var Annuity</x:v>
      </x:c>
      <x:c r="S77" s="15" t="str">
        <x:v>925-240-7257</x:v>
      </x:c>
      <x:c r="T77" s="7" t="str">
        <x:v>Current CDI</x:v>
      </x:c>
      <x:c r="U77" s="7" t="str">
        <x:v>100 CORTONA WAY STE 240 BRENTWOOD CA, 94513-7160</x:v>
      </x:c>
      <x:c r="V77" s="7" t="str">
        <x:v>Resident</x:v>
      </x:c>
      <x:c r="W77" s="7" t="str">
        <x:v>CA</x:v>
      </x:c>
      <x:c r="X77" s="7" t="str">
        <x:v>EDWARD JONES INSURANCE AGENCY OF CALIFORNIA, LLC / Accident &amp; Health or Sickness / 09/21/2022
EDWARD JONES INSURANCE AGENCY OF CALIFORNIA, LLC / Var Life and Var Annuity / 09/21/2022
EDWARD JONES INSURANCE AGENCY OF CALIFORNIA, LLC / Life / 09/21/2022</x:v>
      </x:c>
      <x:c r="Y77" s="7" t="str">
        <x:v>AMERICAN GENERAL LIFE INSURANCE COMPANY / Accident &amp; Health or Sickness / 01/11/2023
AMERICAN GENERAL LIFE INSURANCE COMPANY / Life / 01/11/2023
AMERICAN GENERAL LIFE INSURANCE COMPANY / Var Life and Var Annuity / 01/11/2023
BANNER LIFE INSURANCE COMPANY / Life / 09/21/2022
BRIGHTHOUSE LIFE INSURANCE COMPANY / Accident &amp; Health or Sickness / 01/13/2023
BRIGHTHOUSE LIFE INSURANCE COMPANY / Life / 01/13/2023
BRIGHTHOUSE LIFE INSURANCE COMPANY / Var Life and Var Annuity / 01/13/2023
LINCOLN NATIONAL LIFE INSURANCE COMPANY (THE) / Accident &amp; Health or Sickness / 09/07/2022
LINCOLN NATIONAL LIFE INSURANCE COMPANY (THE) / Life / 09/07/2022
LINCOLN NATIONAL LIFE INSURANCE COMPANY (THE) / Var Life and Var Annuity / 09/07/2022
NATIONWIDE LIFE INSURANCE COMPANY / Accident &amp; Health or Sickness / 02/05/2024
NATIONWIDE LIFE INSURANCE COMPANY / Life / 02/05/2024
NATIONWIDE LIFE INSURANCE COMPANY / Var Life and Var Annuity / 02/05/2024
PACIFIC LIFE INSURANCE COMPANY / Accident &amp; Health or Sickness / 11/23/2022
PACIFIC LIFE INSURANCE COMPANY / Life / 11/23/2022</x:v>
      </x:c>
      <x:c r="Z77" s="7" t="str"/>
      <x:c r="AA77" s="7" t="str"/>
      <x:c r="AB77" s="7" t="str"/>
      <x:c r="AC77" s="7" t="str"/>
      <x:c r="AD77" s="7" t="str">
        <x:v>Active general Life authority | Direct Life appointments outside the selected health-carrier set: AMERICAN GENERAL LIFE INSURANCE COMPANY, BANNER LIFE INSURANCE COMPANY, BRIGHTHOUSE LIFE INSURANCE COMPANY, LINCOLN NATIONAL LIFE INSURANCE COMPANY (THE), NATIONWIDE LIFE INSURANCE COMPANY, PACIFIC LIFE INSURANCE COMPANY | Active A&amp;H supports optional cross-selling; not necessary for target products</x:v>
      </x:c>
      <x:c r="AE77" s="7" t="str">
        <x:v>Bank/securities agency channel: EDWARD JONES INSURANCE AGENCY OF CALIFORNIA, LLC | Variable authority: financial-advice/variable-product capability; not needed for fixed annuities and not an automatic exclusion</x:v>
      </x:c>
      <x:c r="AF77" s="16" t="n">
        <x:v>8.5</x:v>
      </x:c>
      <x:c r="AG77" s="17" t="n">
        <x:v>540</x:v>
      </x:c>
      <x:c r="AH77" s="7" t="str">
        <x:v>2024-02-05</x:v>
      </x:c>
      <x:c r="AI77" s="7" t="str">
        <x:v>English</x:v>
      </x:c>
      <x:c r="AJ77" s="7" t="str"/>
      <x:c r="AK77" s="15" t="str"/>
      <x:c r="AL77" s="7" t="str"/>
      <x:c r="AM77" s="7" t="str">
        <x:v>Aguilar A Raul | AGUILAR ANTONIO RAUL</x:v>
      </x:c>
      <x:c r="AN77" s="7" t="str">
        <x:v>https://cdicloud.insurance.ca.gov/cal/LicenseDetail?SearchType=IND&amp;SearchLicNbr=0M25896&amp;SearchIndvId=2009552</x:v>
      </x:c>
      <x:c r="AO77" s="7" t="str">
        <x:v>2026-10-08</x:v>
      </x:c>
      <x:c r="AP77" s="7" t="str">
        <x:v>4eed1b5158eea735a5276c16f714c6ad3f202b6a55cf4594bafdd2f63e95fc23</x:v>
      </x:c>
      <x:c r="AQ77" s="7" t="str">
        <x:v>Accident &amp; Health or Sickness / Active / 09/24/2021 / 08/24/2022 / 03/31/2028
Life / Active / 03/23/2018 / 08/24/2022 / 03/31/2028
Var Life and Var Annuity / Active / 05/25/2018 / 08/24/2022 / 03/31/2028</x:v>
      </x:c>
      <x:c r="AR77" s="7" t="str">
        <x:v>Active</x:v>
      </x:c>
      <x:c r="AS77" s="7" t="str">
        <x:v>Current detail page</x:v>
      </x:c>
    </x:row>
    <x:row r="78" ht="52" customHeight="1">
      <x:c r="A78" s="7" t="str">
        <x:v>AGUILAR VEGA ILIANA JOCELYNE</x:v>
      </x:c>
      <x:c r="B78" s="14" t="str">
        <x:f>"4017112"</x:f>
        <x:v>4017112</x:v>
      </x:c>
      <x:c r="C78" s="7" t="str">
        <x:v>Omitted</x:v>
      </x:c>
      <x:c r="D78" s="7" t="str">
        <x:v>REVIEW</x:v>
      </x:c>
      <x:c r="E78" s="13" t="str">
        <x:v>Pending</x:v>
      </x:c>
      <x:c r="F78" s="13" t="str"/>
      <x:c r="G78" s="13" t="str"/>
      <x:c r="H78" s="13" t="str"/>
      <x:c r="I78" s="7" t="str">
        <x:v>Was this person reviewed? If rejected, give the actual rule and evidence. If acceptable, correct the omission. Resolve: Bank/securities role and outside contracting.</x:v>
      </x:c>
      <x:c r="J78" s="7" t="str">
        <x:v>R1</x:v>
      </x:c>
      <x:c r="K78" s="7" t="str">
        <x:v>Requires verification: Bank/securities role and outside contracting. These facts do not establish the original reviewer’s motive.</x:v>
      </x:c>
      <x:c r="L78" s="7" t="str">
        <x:v>Not supplied; membership is known, motive is not</x:v>
      </x:c>
      <x:c r="M78" s="7" t="n">
        <x:v>3</x:v>
      </x:c>
      <x:c r="N78" s="7" t="str">
        <x:v>Verify distribution channel</x:v>
      </x:c>
      <x:c r="O78" s="7" t="str">
        <x:v>Active</x:v>
      </x:c>
      <x:c r="P78" s="7" t="str">
        <x:v>11/13/2019</x:v>
      </x:c>
      <x:c r="Q78" s="7" t="str">
        <x:v>11/30/2027</x:v>
      </x:c>
      <x:c r="R78" s="7" t="str">
        <x:v>Life; Var Life and Var Annuity</x:v>
      </x:c>
      <x:c r="S78" s="15" t="str">
        <x:v>619-849-5805</x:v>
      </x:c>
      <x:c r="T78" s="7" t="str">
        <x:v>Current CDI</x:v>
      </x:c>
      <x:c r="U78" s="7" t="str">
        <x:v>4078 ADAMS AVE SAN DIEGO CA, 92116-2504</x:v>
      </x:c>
      <x:c r="V78" s="7" t="str">
        <x:v>Resident</x:v>
      </x:c>
      <x:c r="W78" s="7" t="str">
        <x:v>CA</x:v>
      </x:c>
      <x:c r="X78" s="7" t="str">
        <x:v>CHASE INSURANCE AGENCY, INC. / Var Life and Var Annuity / 11/18/2019
CHASE INSURANCE AGENCY, INC. / Life / 11/18/2019</x:v>
      </x:c>
      <x:c r="Y78" s="7" t="str"/>
      <x:c r="Z78" s="7" t="str"/>
      <x:c r="AA78" s="7" t="str"/>
      <x:c r="AB78" s="7" t="str"/>
      <x:c r="AC78" s="7" t="str"/>
      <x:c r="AD78" s="7" t="str">
        <x:v>Active general Life authority</x:v>
      </x:c>
      <x:c r="AE78" s="7" t="str">
        <x:v>Bank/securities agency channel: CHASE INSURANCE AGENCY, INC. | Variable authority: financial-advice/variable-product capability; not needed for fixed annuities and not an automatic exclusion</x:v>
      </x:c>
      <x:c r="AF78" s="16" t="n">
        <x:v>6.9</x:v>
      </x:c>
      <x:c r="AG78" s="17" t="n">
        <x:v>418</x:v>
      </x:c>
      <x:c r="AH78" s="7" t="str"/>
      <x:c r="AI78" s="7" t="str">
        <x:v>English</x:v>
      </x:c>
      <x:c r="AJ78" s="7" t="str"/>
      <x:c r="AK78" s="15" t="str"/>
      <x:c r="AL78" s="7" t="str"/>
      <x:c r="AM78" s="7" t="str">
        <x:v>Aguilar J Iliana | Aguilar Jocelyne Iliana | Aguilar Vega Jocelyne Iliana | AGUILAR VEGA JOCELYNE ILIANA | AGUILARVEGA AGUILAR ILIANA</x:v>
      </x:c>
      <x:c r="AN78" s="7" t="str">
        <x:v>https://cdicloud.insurance.ca.gov/cal/LicenseDetail?SearchType=IND&amp;SearchLicNbr=4017112&amp;SearchIndvId=4017112</x:v>
      </x:c>
      <x:c r="AO78" s="7" t="str">
        <x:v>2026-10-08</x:v>
      </x:c>
      <x:c r="AP78" s="7" t="str">
        <x:v>29f86e5716c44b5ad70e73bba8374bd2335f5ea2d2d2102f67f660da36644dcb</x:v>
      </x:c>
      <x:c r="AQ78" s="7" t="str">
        <x:v>Life / Active / 11/13/2019 / 11/13/2019 / 11/30/2027
Var Life and Var Annuity / Active / 11/13/2019 / 11/13/2019 / 11/30/2027</x:v>
      </x:c>
      <x:c r="AR78" s="7" t="str">
        <x:v>Active</x:v>
      </x:c>
      <x:c r="AS78" s="7" t="str">
        <x:v>Current detail page</x:v>
      </x:c>
    </x:row>
    <x:row r="79" ht="52" customHeight="1">
      <x:c r="A79" s="7" t="str">
        <x:v>AGUILAR-BOURDETT EDWIN C</x:v>
      </x:c>
      <x:c r="B79" s="14" t="str">
        <x:f>"0M16581"</x:f>
        <x:v>0M16581</x:v>
      </x:c>
      <x:c r="C79" s="7" t="str">
        <x:v>Omitted</x:v>
      </x:c>
      <x:c r="D79" s="7" t="str">
        <x:v>REVIEW</x:v>
      </x:c>
      <x:c r="E79" s="13" t="str">
        <x:v>Pending</x:v>
      </x:c>
      <x:c r="F79" s="13" t="str"/>
      <x:c r="G79" s="13" t="str"/>
      <x:c r="H79" s="13" t="str"/>
      <x:c r="I79" s="7" t="str">
        <x:v>Was this person reviewed? If rejected, give the actual rule and evidence. If acceptable, correct the omission. Resolve: Career/member channel and portability.</x:v>
      </x:c>
      <x:c r="J79" s="7" t="str">
        <x:v>R2</x:v>
      </x:c>
      <x:c r="K79" s="7" t="str">
        <x:v>Requires verification: Career/member channel and portability. These facts do not establish the original reviewer’s motive.</x:v>
      </x:c>
      <x:c r="L79" s="7" t="str">
        <x:v>Not supplied; membership is known, motive is not</x:v>
      </x:c>
      <x:c r="M79" s="7" t="n">
        <x:v>3</x:v>
      </x:c>
      <x:c r="N79" s="7" t="str">
        <x:v>Verify distribution channel</x:v>
      </x:c>
      <x:c r="O79" s="7" t="str">
        <x:v>Active</x:v>
      </x:c>
      <x:c r="P79" s="7" t="str">
        <x:v>11/30/2022</x:v>
      </x:c>
      <x:c r="Q79" s="7" t="str">
        <x:v>11/30/2026</x:v>
      </x:c>
      <x:c r="R79" s="7" t="str">
        <x:v>Accident &amp; Health or Sickness; Life</x:v>
      </x:c>
      <x:c r="S79" s="15" t="str">
        <x:v>626-274-8672</x:v>
      </x:c>
      <x:c r="T79" s="7" t="str">
        <x:v>Current CDI</x:v>
      </x:c>
      <x:c r="U79" s="7" t="str">
        <x:v>2400 E KATELLA AVE STE 800 ANAHEIM CA, 92806-5955</x:v>
      </x:c>
      <x:c r="V79" s="7" t="str">
        <x:v>Resident</x:v>
      </x:c>
      <x:c r="W79" s="7" t="str">
        <x:v>CA</x:v>
      </x:c>
      <x:c r="X79" s="7" t="str"/>
      <x:c r="Y79" s="7" t="str">
        <x:v>NEW YORK LIFE INSURANCE AND ANNUITY CORPORATION / Accident &amp; Health or Sickness / 12/06/2022
NEW YORK LIFE INSURANCE AND ANNUITY CORPORATION / Life / 12/06/2022
NEW YORK LIFE INSURANCE COMPANY / Accident &amp; Health or Sickness / 12/06/2022
NEW YORK LIFE INSURANCE COMPANY / Life / 12/06/2022
NYLIFE INSURANCE COMPANY OF ARIZONA / Accident &amp; Health or Sickness / 04/14/2023
NYLIFE INSURANCE COMPANY OF ARIZONA / Life / 04/14/2023</x:v>
      </x:c>
      <x:c r="Z79" s="7" t="str"/>
      <x:c r="AA79" s="7" t="str"/>
      <x:c r="AB79" s="7" t="str"/>
      <x:c r="AC79" s="7" t="str"/>
      <x:c r="AD79" s="7" t="str">
        <x:v>Active general Life authority | Direct Life appointments outside the selected health-carrier set: NEW YORK LIFE INSURANCE AND ANNUITY CORPORATION, NEW YORK LIFE INSURANCE COMPANY, NYLIFE INSURANCE COMPANY OF ARIZONA | Active A&amp;H supports optional cross-selling; not necessary for target products</x:v>
      </x:c>
      <x:c r="AE79" s="7" t="str">
        <x:v>Career/member-channel signal: NEW YORK LIFE INSURANCE COMPANY, NYLIFE INSURANCE COMPANY OF ARIZONA | Life expiration in 53 days: confirm renewal during onboarding</x:v>
      </x:c>
      <x:c r="AF79" s="16" t="n">
        <x:v>3.9</x:v>
      </x:c>
      <x:c r="AG79" s="17" t="n">
        <x:v>53</x:v>
      </x:c>
      <x:c r="AH79" s="7" t="str">
        <x:v>2023-04-14</x:v>
      </x:c>
      <x:c r="AI79" s="7" t="str">
        <x:v>English</x:v>
      </x:c>
      <x:c r="AJ79" s="7" t="str"/>
      <x:c r="AK79" s="15" t="str"/>
      <x:c r="AL79" s="7" t="str"/>
      <x:c r="AM79" s="7" t="str">
        <x:v>AGUILAR-BOURDETT C EDWIN | AGUILAR-BOURDETT  EDWIN C</x:v>
      </x:c>
      <x:c r="AN79" s="7" t="str">
        <x:v>https://cdicloud.insurance.ca.gov/cal/LicenseDetail?SearchType=IND&amp;SearchLicNbr=0M16581&amp;SearchIndvId=1995366</x:v>
      </x:c>
      <x:c r="AO79" s="7" t="str">
        <x:v>2026-10-08</x:v>
      </x:c>
      <x:c r="AP79" s="7" t="str">
        <x:v>f54fd3e4c814396c8567582b95408f6854d1ec7ef6482380ab579b7153297cc9</x:v>
      </x:c>
      <x:c r="AQ79" s="7" t="str">
        <x:v>Accident &amp; Health or Sickness / Active / 11/30/2022 / 11/30/2022 / 11/30/2026
Life / Active / 11/30/2022 / 11/30/2022 / 11/30/2026</x:v>
      </x:c>
      <x:c r="AR79" s="7" t="str">
        <x:v>Active</x:v>
      </x:c>
      <x:c r="AS79" s="7" t="str">
        <x:v>Current detail page</x:v>
      </x:c>
    </x:row>
    <x:row r="80" ht="52" customHeight="1">
      <x:c r="A80" s="7" t="str">
        <x:v>AGUILAR-PARRA JESSICA DESSIREE</x:v>
      </x:c>
      <x:c r="B80" s="14" t="str">
        <x:f>"0M22329"</x:f>
        <x:v>0M22329</x:v>
      </x:c>
      <x:c r="C80" s="7" t="str">
        <x:v>Omitted</x:v>
      </x:c>
      <x:c r="D80" s="7" t="str">
        <x:v>REVIEW</x:v>
      </x:c>
      <x:c r="E80" s="13" t="str">
        <x:v>Pending</x:v>
      </x:c>
      <x:c r="F80" s="13" t="str"/>
      <x:c r="G80" s="13" t="str"/>
      <x:c r="H80" s="13" t="str"/>
      <x:c r="I80" s="7" t="str">
        <x:v>Was this person reviewed? If rejected, give the actual rule and evidence. If acceptable, correct the omission. Resolve: P&amp;C emphasis without separate core-Life signal; Allstate distribution role.</x:v>
      </x:c>
      <x:c r="J80" s="7" t="str">
        <x:v>R4, R3</x:v>
      </x:c>
      <x:c r="K80" s="7" t="str">
        <x:v>Requires verification: P&amp;C emphasis without separate core-Life signal; Allstate distribution role. These facts do not establish the original reviewer’s motive.</x:v>
      </x:c>
      <x:c r="L80" s="7" t="str">
        <x:v>Not supplied; membership is known, motive is not</x:v>
      </x:c>
      <x:c r="M80" s="7" t="n">
        <x:v>3</x:v>
      </x:c>
      <x:c r="N80" s="7" t="str">
        <x:v>Verify distribution channel</x:v>
      </x:c>
      <x:c r="O80" s="7" t="str">
        <x:v>Active</x:v>
      </x:c>
      <x:c r="P80" s="7" t="str">
        <x:v>08/08/2018</x:v>
      </x:c>
      <x:c r="Q80" s="7" t="str">
        <x:v>03/31/2028</x:v>
      </x:c>
      <x:c r="R80" s="7" t="str">
        <x:v>Life; Personal Lines</x:v>
      </x:c>
      <x:c r="S80" s="15" t="str">
        <x:v>562-696-1700</x:v>
      </x:c>
      <x:c r="T80" s="7" t="str">
        <x:v>Current CDI</x:v>
      </x:c>
      <x:c r="U80" s="7" t="str">
        <x:v>14834 WHITTIER BLVD WHITTIER CA, 90605</x:v>
      </x:c>
      <x:c r="V80" s="7" t="str">
        <x:v>Resident</x:v>
      </x:c>
      <x:c r="W80" s="7" t="str">
        <x:v>CA</x:v>
      </x:c>
      <x:c r="X80" s="7" t="str"/>
      <x:c r="Y80" s="7" t="str">
        <x:v>ALLSTATE INDEMNITY COMPANY / Personal Lines / 03/03/2022
ALLSTATE INSURANCE COMPANY / Personal Lines / 03/03/2022
ALLSTATE NORTHBROOK INDEMNITY COMPANY / Personal Lines / 03/03/2022
ALLSTATE PROPERTY AND CASUALTY INSURANCE COMPANY / Personal Lines / 03/03/2022
FOREMOST INSURANCE COMPANY GRAND RAPIDS, MICHIGAN / Personal Lines / 08/28/2026
INTEGON NATIONAL INSURANCE COMPANY / Personal Lines / 12/13/2023
INTEGON PREFERRED INSURANCE COMPANY / Personal Lines / 04/16/2025
NATIONAL GENERAL ASSURANCE COMPANY / Personal Lines / 12/13/2023</x:v>
      </x:c>
      <x:c r="Z80" s="7" t="str"/>
      <x:c r="AA80" s="7" t="str"/>
      <x:c r="AB80" s="7" t="str"/>
      <x:c r="AC80" s="7" t="str"/>
      <x:c r="AD80" s="7" t="str">
        <x:v>Active general Life authority</x:v>
      </x:c>
      <x:c r="AE80" s="7" t="str">
        <x:v>Allstate P&amp;C appointments: verify distribution relationship; do not assume exclusivity | P&amp;C/Personal Lines authority without displayed core Life appointments; mixed profile requires review</x:v>
      </x:c>
      <x:c r="AF80" s="16" t="n">
        <x:v>8.2</x:v>
      </x:c>
      <x:c r="AG80" s="17" t="n">
        <x:v>540</x:v>
      </x:c>
      <x:c r="AH80" s="7" t="str"/>
      <x:c r="AI80" s="7" t="str">
        <x:v>English</x:v>
      </x:c>
      <x:c r="AJ80" s="7" t="str"/>
      <x:c r="AK80" s="15" t="str"/>
      <x:c r="AL80" s="7" t="str"/>
      <x:c r="AM80" s="7" t="str">
        <x:v>Aguilar Parra D Jessica | AGUILAR-PARRA DESSIREE JESSICA</x:v>
      </x:c>
      <x:c r="AN80" s="7" t="str">
        <x:v>https://cdicloud.insurance.ca.gov/cal/LicenseDetail?SearchType=IND&amp;SearchLicNbr=0M22329&amp;SearchIndvId=2000282</x:v>
      </x:c>
      <x:c r="AO80" s="7" t="str">
        <x:v>2026-10-08</x:v>
      </x:c>
      <x:c r="AP80" s="7" t="str">
        <x:v>26dd7a6ee7cc25f6c0acceb5b35ebf87232d26d6f0433bd46e40519297cf2168</x:v>
      </x:c>
      <x:c r="AQ80" s="7" t="str">
        <x:v>Life / Active / 08/08/2018 / 04/14/2020 / 03/31/2028
Personal Lines / Active / 03/02/2018 / 04/14/2020 / 03/31/2028</x:v>
      </x:c>
      <x:c r="AR80" s="7" t="str">
        <x:v>Active</x:v>
      </x:c>
      <x:c r="AS80" s="7" t="str">
        <x:v>Current detail page</x:v>
      </x:c>
    </x:row>
    <x:row r="81" ht="52" customHeight="1">
      <x:c r="A81" s="7" t="str">
        <x:v>AGUILAR-TORRES MIGUEL ANGEL</x:v>
      </x:c>
      <x:c r="B81" s="14" t="str">
        <x:f>"4427637"</x:f>
        <x:v>4427637</x:v>
      </x:c>
      <x:c r="C81" s="7" t="str">
        <x:v>Omitted</x:v>
      </x:c>
      <x:c r="D81" s="7" t="str">
        <x:v>REVIEW</x:v>
      </x:c>
      <x:c r="E81" s="13" t="str">
        <x:v>Pending</x:v>
      </x:c>
      <x:c r="F81" s="13" t="str"/>
      <x:c r="G81" s="13" t="str"/>
      <x:c r="H81" s="13" t="str"/>
      <x:c r="I81" s="7" t="str">
        <x:v>Was this person reviewed? If rejected, give the actual rule and evidence. If acceptable, correct the omission. Resolve: Career/member channel and portability.</x:v>
      </x:c>
      <x:c r="J81" s="7" t="str">
        <x:v>R2</x:v>
      </x:c>
      <x:c r="K81" s="7" t="str">
        <x:v>Requires verification: Career/member channel and portability. These facts do not establish the original reviewer’s motive.</x:v>
      </x:c>
      <x:c r="L81" s="7" t="str">
        <x:v>Not supplied; membership is known, motive is not</x:v>
      </x:c>
      <x:c r="M81" s="7" t="n">
        <x:v>3</x:v>
      </x:c>
      <x:c r="N81" s="7" t="str">
        <x:v>Verify distribution channel</x:v>
      </x:c>
      <x:c r="O81" s="7" t="str">
        <x:v>Active</x:v>
      </x:c>
      <x:c r="P81" s="7" t="str">
        <x:v>12/23/2024</x:v>
      </x:c>
      <x:c r="Q81" s="7" t="str">
        <x:v>12/31/2026</x:v>
      </x:c>
      <x:c r="R81" s="7" t="str">
        <x:v>Accident &amp; Health or Sickness; Life</x:v>
      </x:c>
      <x:c r="S81" s="15" t="str">
        <x:v>818-926-3017</x:v>
      </x:c>
      <x:c r="T81" s="7" t="str">
        <x:v>Current CDI</x:v>
      </x:c>
      <x:c r="U81" s="7" t="str">
        <x:v>801 N. BRAND BLVD SUITE 1400 GLENDALE CA, 91203</x:v>
      </x:c>
      <x:c r="V81" s="7" t="str">
        <x:v>Resident</x:v>
      </x:c>
      <x:c r="W81" s="7" t="str">
        <x:v>CA</x:v>
      </x:c>
      <x:c r="X81" s="7" t="str"/>
      <x:c r="Y81" s="7" t="str">
        <x:v>NEW YORK LIFE INSURANCE AND ANNUITY CORPORATION / Accident &amp; Health or Sickness / 12/24/2024
NEW YORK LIFE INSURANCE AND ANNUITY CORPORATION / Life / 12/24/2024
NEW YORK LIFE INSURANCE COMPANY / Accident &amp; Health or Sickness / 12/24/2024
NEW YORK LIFE INSURANCE COMPANY / Life / 12/24/2024
NYLIFE INSURANCE COMPANY OF ARIZONA / Life / 12/24/2024</x:v>
      </x:c>
      <x:c r="Z81" s="7" t="str"/>
      <x:c r="AA81" s="7" t="str"/>
      <x:c r="AB81" s="7" t="str"/>
      <x:c r="AC81" s="7" t="str"/>
      <x:c r="AD81" s="7" t="str">
        <x:v>Active general Life authority | Direct Life appointments outside the selected health-carrier set: NEW YORK LIFE INSURANCE AND ANNUITY CORPORATION, NEW YORK LIFE INSURANCE COMPANY, NYLIFE INSURANCE COMPANY OF ARIZONA | Active A&amp;H supports optional cross-selling; not necessary for target products</x:v>
      </x:c>
      <x:c r="AE81" s="7" t="str">
        <x:v>Career/member-channel signal: NEW YORK LIFE INSURANCE COMPANY, NYLIFE INSURANCE COMPANY OF ARIZONA</x:v>
      </x:c>
      <x:c r="AF81" s="16" t="n">
        <x:v>1.8</x:v>
      </x:c>
      <x:c r="AG81" s="17" t="n">
        <x:v>84</x:v>
      </x:c>
      <x:c r="AH81" s="7" t="str">
        <x:v>2024-12-24</x:v>
      </x:c>
      <x:c r="AI81" s="7" t="str">
        <x:v>English</x:v>
      </x:c>
      <x:c r="AJ81" s="7" t="str"/>
      <x:c r="AK81" s="15" t="str"/>
      <x:c r="AL81" s="7" t="str"/>
      <x:c r="AM81" s="7" t="str">
        <x:v>AGUILAR-TORRES ANGEL MIGUEL | AguilarTorres A Miguel</x:v>
      </x:c>
      <x:c r="AN81" s="7" t="str">
        <x:v>https://cdicloud.insurance.ca.gov/cal/LicenseDetail?SearchType=IND&amp;SearchLicNbr=4427637&amp;SearchIndvId=4427637</x:v>
      </x:c>
      <x:c r="AO81" s="7" t="str">
        <x:v>2026-10-08</x:v>
      </x:c>
      <x:c r="AP81" s="7" t="str">
        <x:v>9bc82f654f97f90d38674678af1ff58d7a2f3a10c5c7546d00ef76df434920c3</x:v>
      </x:c>
      <x:c r="AQ81" s="7" t="str">
        <x:v>Accident &amp; Health or Sickness / Active / 12/23/2024 / 12/23/2024 / 12/31/2026
Life / Active / 12/23/2024 / 12/23/2024 / 12/31/2026</x:v>
      </x:c>
      <x:c r="AR81" s="7" t="str">
        <x:v>Active</x:v>
      </x:c>
      <x:c r="AS81" s="7" t="str">
        <x:v>Current detail page</x:v>
      </x:c>
    </x:row>
    <x:row r="82" ht="52" customHeight="1">
      <x:c r="A82" s="7" t="str">
        <x:v>BARD ROSALEE ANN</x:v>
      </x:c>
      <x:c r="B82" s="14" t="str">
        <x:f>"0G07537"</x:f>
        <x:v>0G07537</x:v>
      </x:c>
      <x:c r="C82" s="7" t="str">
        <x:v>Omitted</x:v>
      </x:c>
      <x:c r="D82" s="7" t="str">
        <x:v>REVIEW</x:v>
      </x:c>
      <x:c r="E82" s="13" t="str">
        <x:v>Pending</x:v>
      </x:c>
      <x:c r="F82" s="13" t="str"/>
      <x:c r="G82" s="13" t="str"/>
      <x:c r="H82" s="13" t="str"/>
      <x:c r="I82" s="7" t="str">
        <x:v>Was this person reviewed? If rejected, give the actual rule and evidence. If acceptable, correct the omission. Resolve: Benefits-broker role and target-product activity.</x:v>
      </x:c>
      <x:c r="J82" s="7" t="str">
        <x:v>R3</x:v>
      </x:c>
      <x:c r="K82" s="7" t="str">
        <x:v>Requires verification: Benefits-broker role and target-product activity. These facts do not establish the original reviewer’s motive.</x:v>
      </x:c>
      <x:c r="L82" s="7" t="str">
        <x:v>Not supplied; membership is known, motive is not</x:v>
      </x:c>
      <x:c r="M82" s="7" t="n">
        <x:v>3</x:v>
      </x:c>
      <x:c r="N82" s="7" t="str">
        <x:v>Verify distribution channel</x:v>
      </x:c>
      <x:c r="O82" s="7" t="str">
        <x:v>Active</x:v>
      </x:c>
      <x:c r="P82" s="7" t="str">
        <x:v>03/26/2008</x:v>
      </x:c>
      <x:c r="Q82" s="7" t="str">
        <x:v>03/31/2028</x:v>
      </x:c>
      <x:c r="R82" s="7" t="str">
        <x:v>Accident &amp; Health or Sickness; Life</x:v>
      </x:c>
      <x:c r="S82" s="15" t="str">
        <x:v>818-439-0735</x:v>
      </x:c>
      <x:c r="T82" s="7" t="str">
        <x:v>Current CDI</x:v>
      </x:c>
      <x:c r="U82" s="7" t="str">
        <x:v>ARTHUR J GALLAGHER SERVICES COMPANY 21820 BURBANK BLVD STE 301 WOODLAND HILLS CA, 91367-7404</x:v>
      </x:c>
      <x:c r="V82" s="7" t="str">
        <x:v>Resident</x:v>
      </x:c>
      <x:c r="W82" s="7" t="str">
        <x:v>CA</x:v>
      </x:c>
      <x:c r="X82" s="7" t="str">
        <x:v>GALLAGHER BENEFIT SERVICES, INC. / Accident &amp; Health or Sickness / 10/11/2023
GALLAGHER BENEFIT SERVICES, INC. / Life / 10/11/2023</x:v>
      </x:c>
      <x:c r="Y82" s="7" t="str"/>
      <x:c r="Z82" s="7" t="str"/>
      <x:c r="AA82" s="7" t="str"/>
      <x:c r="AB82" s="7" t="str"/>
      <x:c r="AC82" s="7" t="str"/>
      <x:c r="AD82" s="7" t="str">
        <x:v>Active general Life authority | Active A&amp;H supports optional cross-selling; not necessary for target products</x:v>
      </x:c>
      <x:c r="AE82" s="7" t="str">
        <x:v>Benefits/large-broker agency signal: GALLAGHER BENEFIT SERVICES, INC.</x:v>
      </x:c>
      <x:c r="AF82" s="16" t="n">
        <x:v>18.5</x:v>
      </x:c>
      <x:c r="AG82" s="17" t="n">
        <x:v>540</x:v>
      </x:c>
      <x:c r="AH82" s="7" t="str"/>
      <x:c r="AI82" s="7" t="str">
        <x:v>English</x:v>
      </x:c>
      <x:c r="AJ82" s="7" t="str"/>
      <x:c r="AK82" s="15" t="str"/>
      <x:c r="AL82" s="7" t="str"/>
      <x:c r="AM82" s="7" t="str">
        <x:v>AGUILAR ANN ROSALEE</x:v>
      </x:c>
      <x:c r="AN82" s="7" t="str">
        <x:v>https://cdicloud.insurance.ca.gov/cal/LicenseDetail?SearchType=IND&amp;SearchLicNbr=0G07537&amp;SearchIndvId=1130613</x:v>
      </x:c>
      <x:c r="AO82" s="7" t="str">
        <x:v>2026-10-08</x:v>
      </x:c>
      <x:c r="AP82" s="7" t="str">
        <x:v>0c92ba5042c113d09ec207da70b18917804afe90f2aeb38418ce750839ee0b55</x:v>
      </x:c>
      <x:c r="AQ82" s="7" t="str">
        <x:v>Accident &amp; Health or Sickness / Active / 03/26/2008 / 03/26/2008 / 03/31/2028
Life / Active / 03/26/2008 / 03/26/2008 / 03/31/2028</x:v>
      </x:c>
      <x:c r="AR82" s="7" t="str">
        <x:v>Active</x:v>
      </x:c>
      <x:c r="AS82" s="7" t="str">
        <x:v>Current detail page</x:v>
      </x:c>
    </x:row>
    <x:row r="83" ht="52" customHeight="1">
      <x:c r="A83" s="7" t="str">
        <x:v>BIDDICK NOEMI AGUILAR</x:v>
      </x:c>
      <x:c r="B83" s="14" t="str">
        <x:f>"0I77078"</x:f>
        <x:v>0I77078</x:v>
      </x:c>
      <x:c r="C83" s="7" t="str">
        <x:v>Omitted</x:v>
      </x:c>
      <x:c r="D83" s="7" t="str">
        <x:v>REVIEW</x:v>
      </x:c>
      <x:c r="E83" s="13" t="str">
        <x:v>Pending</x:v>
      </x:c>
      <x:c r="F83" s="13" t="str"/>
      <x:c r="G83" s="13" t="str"/>
      <x:c r="H83" s="13" t="str"/>
      <x:c r="I83" s="7" t="str">
        <x:v>Was this person reviewed? If rejected, give the actual rule and evidence. If acceptable, correct the omission. Resolve: Bank/securities role and outside contracting.</x:v>
      </x:c>
      <x:c r="J83" s="7" t="str">
        <x:v>R1</x:v>
      </x:c>
      <x:c r="K83" s="7" t="str">
        <x:v>Requires verification: Bank/securities role and outside contracting. These facts do not establish the original reviewer’s motive.</x:v>
      </x:c>
      <x:c r="L83" s="7" t="str">
        <x:v>Not supplied; membership is known, motive is not</x:v>
      </x:c>
      <x:c r="M83" s="7" t="n">
        <x:v>3</x:v>
      </x:c>
      <x:c r="N83" s="7" t="str">
        <x:v>Verify distribution channel</x:v>
      </x:c>
      <x:c r="O83" s="7" t="str">
        <x:v>Active</x:v>
      </x:c>
      <x:c r="P83" s="7" t="str">
        <x:v>02/19/2014</x:v>
      </x:c>
      <x:c r="Q83" s="7" t="str">
        <x:v>02/29/2028</x:v>
      </x:c>
      <x:c r="R83" s="7" t="str">
        <x:v>Accident &amp; Health or Sickness; Life; Var Life and Var Annuity</x:v>
      </x:c>
      <x:c r="S83" s="15" t="str">
        <x:v>619-475-8410</x:v>
      </x:c>
      <x:c r="T83" s="7" t="str">
        <x:v>Current CDI</x:v>
      </x:c>
      <x:c r="U83" s="7" t="str">
        <x:v>5111 MISSION CENTER RD SAN DIEGO CA, 92108-3212</x:v>
      </x:c>
      <x:c r="V83" s="7" t="str">
        <x:v>Resident</x:v>
      </x:c>
      <x:c r="W83" s="7" t="str">
        <x:v>CA</x:v>
      </x:c>
      <x:c r="X83" s="7" t="str">
        <x:v>CHASE INSURANCE AGENCY, INC. / Accident &amp; Health or Sickness / 08/24/2020
CHASE INSURANCE AGENCY, INC. / Life / 03/27/2014
CHASE INSURANCE AGENCY, INC. / Var Life and Var Annuity / 03/27/2014</x:v>
      </x:c>
      <x:c r="Y83" s="7" t="str">
        <x:v>ATHENE ANNUITY AND LIFE COMPANY / Life / 08/04/2023
ATHENE ANNUITY AND LIFE COMPANY / Var Life and Var Annuity / 08/04/2023
BRIGHTHOUSE LIFE INSURANCE COMPANY / Life / 12/09/2020
LINCOLN NATIONAL LIFE INSURANCE COMPANY (THE) / Life / 09/17/2026
LINCOLN NATIONAL LIFE INSURANCE COMPANY (THE) / Var Life and Var Annuity / 09/17/2026
NATIONWIDE LIFE INSURANCE COMPANY / Life / 09/23/2020
NEW YORK LIFE INSURANCE AND ANNUITY CORPORATION / Life / 05/26/2022
NEW YORK LIFE INSURANCE AND ANNUITY CORPORATION / Var Life and Var Annuity / 05/26/2022
PRINCIPAL LIFE INSURANCE COMPANY / Life / 03/01/2022
PROTECTIVE LIFE INSURANCE COMPANY / Life / 03/20/2022
PRUCO LIFE INSURANCE COMPANY / Life / 12/08/2020
PRUCO LIFE INSURANCE COMPANY / Var Life and Var Annuity / 12/08/2020
SYMETRA LIFE INSURANCE COMPANY / Accident &amp; Health or Sickness / 06/01/2026
SYMETRA LIFE INSURANCE COMPANY / Life / 12/09/2020
SYMETRA LIFE INSURANCE COMPANY / Var Life and Var Annuity / 06/01/2026
WESTERN-SOUTHERN LIFE ASSURANCE COMPANY / Life / 03/12/2023</x:v>
      </x:c>
      <x:c r="Z83" s="7" t="str"/>
      <x:c r="AA83" s="7" t="str"/>
      <x:c r="AB83" s="7" t="str"/>
      <x:c r="AC83" s="7" t="str"/>
      <x:c r="AD83" s="7" t="str">
        <x:v>Active general Life authority | Direct Life appointments outside the selected health-carrier set: ATHENE ANNUITY AND LIFE COMPANY, BRIGHTHOUSE LIFE INSURANCE COMPANY, LINCOLN NATIONAL LIFE INSURANCE COMPANY (THE), NATIONWIDE LIFE INSURANCE COMPANY, NEW YORK LIFE INSURANCE AND ANNUITY CORPORATION, PRINCIPAL LIFE INSURANCE COMPANY, PROTECTIVE LIFE INSURANCE COMPANY, PRUCO LIFE INSURANCE COMPANY, SYMETRA LIFE INSURANCE COMPANY, WESTERN-SOUTHERN LIFE ASSURANCE COMPANY | Active A&amp;H supports optional cross-selling; not necessary for target products</x:v>
      </x:c>
      <x:c r="AE83" s="7" t="str">
        <x:v>Bank/securities agency channel: CHASE INSURANCE AGENCY, INC. | Variable authority: financial-advice/variable-product capability; not needed for fixed annuities and not an automatic exclusion</x:v>
      </x:c>
      <x:c r="AF83" s="16" t="n">
        <x:v>12.6</x:v>
      </x:c>
      <x:c r="AG83" s="17" t="n">
        <x:v>509</x:v>
      </x:c>
      <x:c r="AH83" s="7" t="str">
        <x:v>2026-09-17</x:v>
      </x:c>
      <x:c r="AI83" s="7" t="str">
        <x:v>English</x:v>
      </x:c>
      <x:c r="AJ83" s="7" t="str"/>
      <x:c r="AK83" s="15" t="str"/>
      <x:c r="AL83" s="7" t="str"/>
      <x:c r="AM83" s="7" t="str">
        <x:v>AGUILAR  NOEMI</x:v>
      </x:c>
      <x:c r="AN83" s="7" t="str">
        <x:v>https://cdicloud.insurance.ca.gov/cal/LicenseDetail?SearchType=IND&amp;SearchLicNbr=0I77078&amp;SearchIndvId=1654659</x:v>
      </x:c>
      <x:c r="AO83" s="7" t="str">
        <x:v>2026-10-08</x:v>
      </x:c>
      <x:c r="AP83" s="7" t="str">
        <x:v>dc66957fcbe99b47671041a6eec595f8f3c9b6e5afa1bcadaa9f7e14fb679b6c</x:v>
      </x:c>
      <x:c r="AQ83" s="7" t="str">
        <x:v>Accident &amp; Health or Sickness / Active / 08/21/2020 / 04/07/2022 / 02/29/2028
Life / Active / 02/19/2014 / 02/19/2014 / 02/29/2028
Var Life and Var Annuity / Active / 02/19/2014 / 02/19/2014 / 02/29/2028</x:v>
      </x:c>
      <x:c r="AR83" s="7" t="str">
        <x:v>Active</x:v>
      </x:c>
      <x:c r="AS83" s="7" t="str">
        <x:v>Current detail page</x:v>
      </x:c>
    </x:row>
    <x:row r="84" ht="52" customHeight="1">
      <x:c r="A84" s="7" t="str">
        <x:v>BRAVO YESICA</x:v>
      </x:c>
      <x:c r="B84" s="14" t="str">
        <x:f>"0D36104"</x:f>
        <x:v>0D36104</x:v>
      </x:c>
      <x:c r="C84" s="7" t="str">
        <x:v>Omitted</x:v>
      </x:c>
      <x:c r="D84" s="7" t="str">
        <x:v>REVIEW</x:v>
      </x:c>
      <x:c r="E84" s="13" t="str">
        <x:v>Pending</x:v>
      </x:c>
      <x:c r="F84" s="13" t="str"/>
      <x:c r="G84" s="13" t="str"/>
      <x:c r="H84" s="13" t="str"/>
      <x:c r="I84" s="7" t="str">
        <x:v>Was this person reviewed? If rejected, give the actual rule and evidence. If acceptable, correct the omission. Resolve: Benefits-broker role and target-product activity; P&amp;C emphasis without separate core-Life signal.</x:v>
      </x:c>
      <x:c r="J84" s="7" t="str">
        <x:v>R3, R4</x:v>
      </x:c>
      <x:c r="K84" s="7" t="str">
        <x:v>Requires verification: Benefits-broker role and target-product activity; P&amp;C emphasis without separate core-Life signal. These facts do not establish the original reviewer’s motive.</x:v>
      </x:c>
      <x:c r="L84" s="7" t="str">
        <x:v>Not supplied; membership is known, motive is not</x:v>
      </x:c>
      <x:c r="M84" s="7" t="n">
        <x:v>3</x:v>
      </x:c>
      <x:c r="N84" s="7" t="str">
        <x:v>Verify distribution channel</x:v>
      </x:c>
      <x:c r="O84" s="7" t="str">
        <x:v>Active</x:v>
      </x:c>
      <x:c r="P84" s="7" t="str">
        <x:v>04/05/2016</x:v>
      </x:c>
      <x:c r="Q84" s="7" t="str">
        <x:v>06/30/2027</x:v>
      </x:c>
      <x:c r="R84" s="7" t="str">
        <x:v>Casualty; Life; Property</x:v>
      </x:c>
      <x:c r="S84" s="15" t="str">
        <x:v>858-457-3414</x:v>
      </x:c>
      <x:c r="T84" s="7" t="str">
        <x:v>Current CDI</x:v>
      </x:c>
      <x:c r="U84" s="7" t="str">
        <x:v>1428 BURGUNDY DR CHULA VISTA CA, 91913-3902</x:v>
      </x:c>
      <x:c r="V84" s="7" t="str">
        <x:v>Resident</x:v>
      </x:c>
      <x:c r="W84" s="7" t="str">
        <x:v>CA</x:v>
      </x:c>
      <x:c r="X84" s="7" t="str">
        <x:v>HUB INTERNATIONAL INSURANCE SERVICES INC. / Life / 12/16/2025
HUB INTERNATIONAL INSURANCE SERVICES INC. / Property / 12/16/2025
HUB INTERNATIONAL INSURANCE SERVICES INC. / Casualty / 12/16/2025</x:v>
      </x:c>
      <x:c r="Y84" s="7" t="str">
        <x:v>BCS INSURANCE COMPANY / Casualty / 02/26/2008
BCS INSURANCE COMPANY / Property / 02/26/2008
JEFFERSON INSURANCE COMPANY / Casualty / 02/26/2008
JEFFERSON INSURANCE COMPANY / Property / 02/26/2008</x:v>
      </x:c>
      <x:c r="Z84" s="7" t="str"/>
      <x:c r="AA84" s="7" t="str"/>
      <x:c r="AB84" s="7" t="str"/>
      <x:c r="AC84" s="7" t="str"/>
      <x:c r="AD84" s="7" t="str">
        <x:v>Active general Life authority</x:v>
      </x:c>
      <x:c r="AE84" s="7" t="str">
        <x:v>Benefits/large-broker agency signal: HUB INTERNATIONAL INSURANCE SERVICES INC. | P&amp;C/Personal Lines authority without displayed core Life appointments; mixed profile requires review</x:v>
      </x:c>
      <x:c r="AF84" s="16" t="n">
        <x:v>10.5</x:v>
      </x:c>
      <x:c r="AG84" s="17" t="n">
        <x:v>265</x:v>
      </x:c>
      <x:c r="AH84" s="7" t="str"/>
      <x:c r="AI84" s="7" t="str">
        <x:v>English</x:v>
      </x:c>
      <x:c r="AJ84" s="7" t="str"/>
      <x:c r="AK84" s="15" t="str"/>
      <x:c r="AL84" s="7" t="str"/>
      <x:c r="AM84" s="7" t="str">
        <x:v>AGUILAR  YESICA</x:v>
      </x:c>
      <x:c r="AN84" s="7" t="str">
        <x:v>https://cdicloud.insurance.ca.gov/cal/LicenseDetail?SearchType=IND&amp;SearchLicNbr=0D36104&amp;SearchIndvId=567577</x:v>
      </x:c>
      <x:c r="AO84" s="7" t="str">
        <x:v>2026-10-08</x:v>
      </x:c>
      <x:c r="AP84" s="7" t="str">
        <x:v>97ea045239d81ca0b78f9785bbfa3563cb64f4a50cb17e525297a25890b30bd3</x:v>
      </x:c>
      <x:c r="AQ84" s="7" t="str">
        <x:v>Casualty / Active / 06/28/2001 / 07/20/2007 / 06/30/2027
Life / Active / 04/05/2016 / 04/05/2016 / 06/30/2027
Property / Active / 06/28/2001 / 07/20/2007 / 06/30/2027</x:v>
      </x:c>
      <x:c r="AR84" s="7" t="str">
        <x:v>Active</x:v>
      </x:c>
      <x:c r="AS84" s="7" t="str">
        <x:v>Current detail page</x:v>
      </x:c>
    </x:row>
    <x:row r="85" ht="52" customHeight="1">
      <x:c r="A85" s="7" t="str">
        <x:v>GARCIA NELLY AGUILAR</x:v>
      </x:c>
      <x:c r="B85" s="14" t="str">
        <x:f>"0G83417"</x:f>
        <x:v>0G83417</x:v>
      </x:c>
      <x:c r="C85" s="7" t="str">
        <x:v>Omitted</x:v>
      </x:c>
      <x:c r="D85" s="7" t="str">
        <x:v>REVIEW</x:v>
      </x:c>
      <x:c r="E85" s="13" t="str">
        <x:v>Pending</x:v>
      </x:c>
      <x:c r="F85" s="13" t="str"/>
      <x:c r="G85" s="13" t="str"/>
      <x:c r="H85" s="13" t="str"/>
      <x:c r="I85" s="7" t="str">
        <x:v>Was this person reviewed? If rejected, give the actual rule and evidence. If acceptable, correct the omission. Resolve: Bank/securities role and outside contracting.</x:v>
      </x:c>
      <x:c r="J85" s="7" t="str">
        <x:v>R1</x:v>
      </x:c>
      <x:c r="K85" s="7" t="str">
        <x:v>Requires verification: Bank/securities role and outside contracting. These facts do not establish the original reviewer’s motive.</x:v>
      </x:c>
      <x:c r="L85" s="7" t="str">
        <x:v>Not supplied; membership is known, motive is not</x:v>
      </x:c>
      <x:c r="M85" s="7" t="n">
        <x:v>3</x:v>
      </x:c>
      <x:c r="N85" s="7" t="str">
        <x:v>Verify distribution channel</x:v>
      </x:c>
      <x:c r="O85" s="7" t="str">
        <x:v>Active</x:v>
      </x:c>
      <x:c r="P85" s="7" t="str">
        <x:v>12/08/2009</x:v>
      </x:c>
      <x:c r="Q85" s="7" t="str">
        <x:v>12/31/2027</x:v>
      </x:c>
      <x:c r="R85" s="7" t="str">
        <x:v>Accident &amp; Health or Sickness; Life; Var Life and Var Annuity</x:v>
      </x:c>
      <x:c r="S85" s="15" t="str">
        <x:v>310-656-3547</x:v>
      </x:c>
      <x:c r="T85" s="7" t="str">
        <x:v>Current CDI</x:v>
      </x:c>
      <x:c r="U85" s="7" t="str">
        <x:v>100 WILSHIRE BLVD FLOOR 3 SANTA MONICA CA, 90401</x:v>
      </x:c>
      <x:c r="V85" s="7" t="str">
        <x:v>Resident</x:v>
      </x:c>
      <x:c r="W85" s="7" t="str">
        <x:v>CA</x:v>
      </x:c>
      <x:c r="X85" s="7" t="str">
        <x:v>MERRILL LYNCH LIFE AGENCY, INC. / Accident &amp; Health or Sickness / 07/05/2017
MERRILL LYNCH LIFE AGENCY, INC. / Var Life and Var Annuity / 05/07/2020
MERRILL LYNCH LIFE AGENCY, INC. / Life / 07/05/2017</x:v>
      </x:c>
      <x:c r="Y85" s="7" t="str">
        <x:v>AMERICAN GENERAL LIFE INSURANCE COMPANY / Life / 10/22/2015
LINCOLN NATIONAL LIFE INSURANCE COMPANY (THE) / Accident &amp; Health or Sickness / 01/31/2022
LINCOLN NATIONAL LIFE INSURANCE COMPANY (THE) / Life / 01/31/2022
LINCOLN NATIONAL LIFE INSURANCE COMPANY (THE) / Var Life and Var Annuity / 01/31/2022
NEW YORK LIFE INSURANCE AND ANNUITY CORPORATION / Life / 01/29/2010
PRUCO LIFE INSURANCE COMPANY / Life / 04/23/2024
PRUCO LIFE INSURANCE COMPANY / Var Life and Var Annuity / 04/23/2024
TRANSAMERICA LIFE INSURANCE COMPANY / Accident &amp; Health or Sickness / 12/21/2015
TRANSAMERICA LIFE INSURANCE COMPANY / Life / 12/21/2015</x:v>
      </x:c>
      <x:c r="Z85" s="7" t="str">
        <x:v>ORDER ID: &lt;LBB004932&gt; BP IT IS HEREBY ORDERED, THAT THE CONDITIONS AND RESTRICTIONS ON RESPONDENT'S LICENSE AND LICENSING RIGHTS ARE REMOVED; ISSUE UNRESTRICTED LICENSE. / 07/07/2015
ORDER ID: &lt;LBB004932&gt; A APPLICATION FOR LICENSE TO ACT AS A LIFE-ONLY AGENT AND ACCIDENT AND HEALTH AGENT IS HEREBY DENIED; ISSUE IN LIEU THEREOF A RESTRICTED LICENSE. / 12/08/2009</x:v>
      </x:c>
      <x:c r="AA85" s="7" t="str"/>
      <x:c r="AB85" s="7" t="str"/>
      <x:c r="AC85" s="7" t="str"/>
      <x:c r="AD85" s="7" t="str">
        <x:v>Active general Life authority | Direct Life appointments outside the selected health-carrier set: AMERICAN GENERAL LIFE INSURANCE COMPANY, LINCOLN NATIONAL LIFE INSURANCE COMPANY (THE), NEW YORK LIFE INSURANCE AND ANNUITY CORPORATION, PRUCO LIFE INSURANCE COMPANY, TRANSAMERICA LIFE INSURANCE COMPANY | Active A&amp;H supports optional cross-selling; not necessary for target products</x:v>
      </x:c>
      <x:c r="AE85" s="7" t="str">
        <x:v>Bank/securities agency channel: MERRILL LYNCH LIFE AGENCY, INC. | Variable authority: financial-advice/variable-product capability; not needed for fixed annuities and not an automatic exclusion | Historical enforcement with later removal/unrestricted wording; not treated as a current restriction</x:v>
      </x:c>
      <x:c r="AF85" s="16" t="n">
        <x:v>16.8</x:v>
      </x:c>
      <x:c r="AG85" s="17" t="n">
        <x:v>449</x:v>
      </x:c>
      <x:c r="AH85" s="7" t="str">
        <x:v>2024-04-23</x:v>
      </x:c>
      <x:c r="AI85" s="7" t="str">
        <x:v>English</x:v>
      </x:c>
      <x:c r="AJ85" s="7" t="str"/>
      <x:c r="AK85" s="15" t="str"/>
      <x:c r="AL85" s="7" t="str"/>
      <x:c r="AM85" s="7" t="str">
        <x:v>AGUILAR E NELLY</x:v>
      </x:c>
      <x:c r="AN85" s="7" t="str">
        <x:v>https://cdicloud.insurance.ca.gov/cal/LicenseDetail?SearchType=IND&amp;SearchLicNbr=0G83417&amp;SearchIndvId=1151239</x:v>
      </x:c>
      <x:c r="AO85" s="7" t="str">
        <x:v>2026-10-08</x:v>
      </x:c>
      <x:c r="AP85" s="7" t="str">
        <x:v>8f0012f730d49f1a55c16bf211cb51ef0033adceee54c89d978170c832bec58a</x:v>
      </x:c>
      <x:c r="AQ85" s="7" t="str">
        <x:v>Accident &amp; Health or Sickness / Active / 12/08/2009 / 12/08/2009 / 12/31/2027
Life / Active / 12/08/2009 / 12/08/2009 / 12/31/2027
Var Life and Var Annuity / Active / 02/19/2010 / 05/01/2020 / 12/31/2027</x:v>
      </x:c>
      <x:c r="AR85" s="7" t="str">
        <x:v>Active</x:v>
      </x:c>
      <x:c r="AS85" s="7" t="str">
        <x:v>Current detail page</x:v>
      </x:c>
    </x:row>
    <x:row r="86" ht="52" customHeight="1">
      <x:c r="A86" s="7" t="str">
        <x:v>GONZALEZ TANIA VALESKA</x:v>
      </x:c>
      <x:c r="B86" s="14" t="str">
        <x:f>"4214516"</x:f>
        <x:v>4214516</x:v>
      </x:c>
      <x:c r="C86" s="7" t="str">
        <x:v>Omitted</x:v>
      </x:c>
      <x:c r="D86" s="7" t="str">
        <x:v>REVIEW</x:v>
      </x:c>
      <x:c r="E86" s="13" t="str">
        <x:v>Pending</x:v>
      </x:c>
      <x:c r="F86" s="13" t="str"/>
      <x:c r="G86" s="13" t="str"/>
      <x:c r="H86" s="13" t="str"/>
      <x:c r="I86" s="7" t="str">
        <x:v>Was this person reviewed? If rejected, give the actual rule and evidence. If acceptable, correct the omission. Resolve: Bank/securities role and outside contracting.</x:v>
      </x:c>
      <x:c r="J86" s="7" t="str">
        <x:v>R1</x:v>
      </x:c>
      <x:c r="K86" s="7" t="str">
        <x:v>Requires verification: Bank/securities role and outside contracting. These facts do not establish the original reviewer’s motive.</x:v>
      </x:c>
      <x:c r="L86" s="7" t="str">
        <x:v>Not supplied; membership is known, motive is not</x:v>
      </x:c>
      <x:c r="M86" s="7" t="n">
        <x:v>3</x:v>
      </x:c>
      <x:c r="N86" s="7" t="str">
        <x:v>Verify distribution channel</x:v>
      </x:c>
      <x:c r="O86" s="7" t="str">
        <x:v>Active</x:v>
      </x:c>
      <x:c r="P86" s="7" t="str">
        <x:v>06/08/2022</x:v>
      </x:c>
      <x:c r="Q86" s="7" t="str">
        <x:v>06/30/2028</x:v>
      </x:c>
      <x:c r="R86" s="7" t="str">
        <x:v>Life; Var Life and Var Annuity</x:v>
      </x:c>
      <x:c r="S86" s="15" t="str">
        <x:v>805-659-2620</x:v>
      </x:c>
      <x:c r="T86" s="7" t="str">
        <x:v>Current CDI</x:v>
      </x:c>
      <x:c r="U86" s="7" t="str">
        <x:v>7730 TELEGRAPH RD VENTURA CA, 93004-1569</x:v>
      </x:c>
      <x:c r="V86" s="7" t="str">
        <x:v>Resident</x:v>
      </x:c>
      <x:c r="W86" s="7" t="str">
        <x:v>CA</x:v>
      </x:c>
      <x:c r="X86" s="7" t="str">
        <x:v>CHASE INSURANCE AGENCY, INC. / Life / 06/15/2022
CHASE INSURANCE AGENCY, INC. / Var Life and Var Annuity / 06/15/2022</x:v>
      </x:c>
      <x:c r="Y86" s="7" t="str"/>
      <x:c r="Z86" s="7" t="str"/>
      <x:c r="AA86" s="7" t="str"/>
      <x:c r="AB86" s="7" t="str"/>
      <x:c r="AC86" s="7" t="str"/>
      <x:c r="AD86" s="7" t="str">
        <x:v>Active general Life authority</x:v>
      </x:c>
      <x:c r="AE86" s="7" t="str">
        <x:v>Bank/securities agency channel: CHASE INSURANCE AGENCY, INC. | Variable authority: financial-advice/variable-product capability; not needed for fixed annuities and not an automatic exclusion</x:v>
      </x:c>
      <x:c r="AF86" s="16" t="n">
        <x:v>4.3</x:v>
      </x:c>
      <x:c r="AG86" s="17" t="n">
        <x:v>631</x:v>
      </x:c>
      <x:c r="AH86" s="7" t="str"/>
      <x:c r="AI86" s="7" t="str">
        <x:v>English</x:v>
      </x:c>
      <x:c r="AJ86" s="7" t="str"/>
      <x:c r="AK86" s="15" t="str"/>
      <x:c r="AL86" s="7" t="str"/>
      <x:c r="AM86" s="7" t="str">
        <x:v>Aguilar  Tania | Aguilar Valeska Tania</x:v>
      </x:c>
      <x:c r="AN86" s="7" t="str">
        <x:v>https://cdicloud.insurance.ca.gov/cal/LicenseDetail?SearchType=IND&amp;SearchLicNbr=4214516&amp;SearchIndvId=4214516</x:v>
      </x:c>
      <x:c r="AO86" s="7" t="str">
        <x:v>2026-10-08</x:v>
      </x:c>
      <x:c r="AP86" s="7" t="str">
        <x:v>e6906009a74685e199d50dc0ed6b035acc807f7a2269d683ced59dd458d34082</x:v>
      </x:c>
      <x:c r="AQ86" s="7" t="str">
        <x:v>Life / Active / 06/08/2022 / 06/08/2022 / 06/30/2028
Var Life and Var Annuity / Active / 06/08/2022 / 06/08/2022 / 06/30/2028</x:v>
      </x:c>
      <x:c r="AR86" s="7" t="str">
        <x:v>Active</x:v>
      </x:c>
      <x:c r="AS86" s="7" t="str">
        <x:v>Current detail page</x:v>
      </x:c>
    </x:row>
    <x:row r="87" ht="52" customHeight="1">
      <x:c r="A87" s="7" t="str">
        <x:v>AGUILAR IRMA</x:v>
      </x:c>
      <x:c r="B87" s="14" t="str">
        <x:f>"4500444"</x:f>
        <x:v>4500444</x:v>
      </x:c>
      <x:c r="C87" s="7" t="str">
        <x:v>Omitted</x:v>
      </x:c>
      <x:c r="D87" s="7" t="str">
        <x:v>REVIEW</x:v>
      </x:c>
      <x:c r="E87" s="13" t="str">
        <x:v>Pending</x:v>
      </x:c>
      <x:c r="F87" s="13" t="str"/>
      <x:c r="G87" s="13" t="str"/>
      <x:c r="H87" s="13" t="str"/>
      <x:c r="I87" s="7" t="str">
        <x:v>Was this person reviewed? If rejected, give the actual rule and evidence. If acceptable, correct the omission. Resolve: Geographic scope.</x:v>
      </x:c>
      <x:c r="J87" s="7" t="str">
        <x:v>R6</x:v>
      </x:c>
      <x:c r="K87" s="7" t="str">
        <x:v>Requires verification: Geographic scope. These facts do not establish the original reviewer’s motive.</x:v>
      </x:c>
      <x:c r="L87" s="7" t="str">
        <x:v>Not supplied; membership is known, motive is not</x:v>
      </x:c>
      <x:c r="M87" s="7" t="n">
        <x:v>4</x:v>
      </x:c>
      <x:c r="N87" s="7" t="str">
        <x:v>Geographic scope review</x:v>
      </x:c>
      <x:c r="O87" s="7" t="str">
        <x:v>Active</x:v>
      </x:c>
      <x:c r="P87" s="7" t="str">
        <x:v>10/15/2025</x:v>
      </x:c>
      <x:c r="Q87" s="7" t="str">
        <x:v>10/31/2027</x:v>
      </x:c>
      <x:c r="R87" s="7" t="str">
        <x:v>Life</x:v>
      </x:c>
      <x:c r="S87" s="15" t="str">
        <x:v>972-589-7954</x:v>
      </x:c>
      <x:c r="T87" s="7" t="str">
        <x:v>Current CDI</x:v>
      </x:c>
      <x:c r="U87" s="7" t="str">
        <x:v>2693 N HWY 77 SUITE 1100 WAXAHACHIE TX, 75165</x:v>
      </x:c>
      <x:c r="V87" s="7" t="str">
        <x:v>Resident</x:v>
      </x:c>
      <x:c r="W87" s="7" t="str">
        <x:v>TX</x:v>
      </x:c>
      <x:c r="X87" s="7" t="str"/>
      <x:c r="Y87" s="7" t="str">
        <x:v>PRIMERICA LIFE INSURANCE COMPANY / Life / 10/21/2025</x:v>
      </x:c>
      <x:c r="Z87" s="7" t="str"/>
      <x:c r="AA87" s="7" t="str"/>
      <x:c r="AB87" s="7" t="str"/>
      <x:c r="AC87" s="7" t="str"/>
      <x:c r="AD87" s="7" t="str">
        <x:v>Active general Life authority | Primerica relationship: matches an explicitly targeted recruiting segment | Direct Life appointments outside the selected health-carrier set: PRIMERICA LIFE INSURANCE COMPANY</x:v>
      </x:c>
      <x:c r="AE87" s="7" t="str">
        <x:v>Nonresident or address state outside CA; confirm geographic recruiting scope</x:v>
      </x:c>
      <x:c r="AF87" s="16" t="n">
        <x:v>1</x:v>
      </x:c>
      <x:c r="AG87" s="17" t="n">
        <x:v>388</x:v>
      </x:c>
      <x:c r="AH87" s="7" t="str">
        <x:v>2025-10-21</x:v>
      </x:c>
      <x:c r="AI87" s="7" t="str">
        <x:v>English</x:v>
      </x:c>
      <x:c r="AJ87" s="7" t="str"/>
      <x:c r="AK87" s="15" t="str"/>
      <x:c r="AL87" s="7" t="str"/>
      <x:c r="AM87" s="7" t="str">
        <x:v>AGUILAR  IRMA</x:v>
      </x:c>
      <x:c r="AN87" s="7" t="str">
        <x:v>https://cdicloud.insurance.ca.gov/cal/LicenseDetail?SearchType=IND&amp;SearchLicNbr=4500444&amp;SearchIndvId=4500444</x:v>
      </x:c>
      <x:c r="AO87" s="7" t="str">
        <x:v>2026-10-08</x:v>
      </x:c>
      <x:c r="AP87" s="7" t="str">
        <x:v>1b6baf1d42262ffcd691653701743ad2750d5b47beb6268630eac8a672e7e45d</x:v>
      </x:c>
      <x:c r="AQ87" s="7" t="str">
        <x:v>Life / Active / 10/15/2025 / 10/15/2025 / 10/31/2027</x:v>
      </x:c>
      <x:c r="AR87" s="7" t="str">
        <x:v>Active</x:v>
      </x:c>
      <x:c r="AS87" s="7" t="str">
        <x:v>Current detail page</x:v>
      </x:c>
    </x:row>
    <x:row r="88" ht="52" customHeight="1">
      <x:c r="A88" s="7" t="str">
        <x:v>AGUILAR MARTHA O</x:v>
      </x:c>
      <x:c r="B88" s="14" t="str">
        <x:f>"4132043"</x:f>
        <x:v>4132043</x:v>
      </x:c>
      <x:c r="C88" s="7" t="str">
        <x:v>Omitted</x:v>
      </x:c>
      <x:c r="D88" s="7" t="str">
        <x:v>REVIEW</x:v>
      </x:c>
      <x:c r="E88" s="13" t="str">
        <x:v>Pending</x:v>
      </x:c>
      <x:c r="F88" s="13" t="str"/>
      <x:c r="G88" s="13" t="str"/>
      <x:c r="H88" s="13" t="str"/>
      <x:c r="I88" s="7" t="str">
        <x:v>Was this person reviewed? If rejected, give the actual rule and evidence. If acceptable, correct the omission. Resolve: Geographic scope.</x:v>
      </x:c>
      <x:c r="J88" s="7" t="str">
        <x:v>R6</x:v>
      </x:c>
      <x:c r="K88" s="7" t="str">
        <x:v>Requires verification: Geographic scope. These facts do not establish the original reviewer’s motive.</x:v>
      </x:c>
      <x:c r="L88" s="7" t="str">
        <x:v>Not supplied; membership is known, motive is not</x:v>
      </x:c>
      <x:c r="M88" s="7" t="n">
        <x:v>4</x:v>
      </x:c>
      <x:c r="N88" s="7" t="str">
        <x:v>Geographic scope review</x:v>
      </x:c>
      <x:c r="O88" s="7" t="str">
        <x:v>Active</x:v>
      </x:c>
      <x:c r="P88" s="7" t="str">
        <x:v>07/08/2021</x:v>
      </x:c>
      <x:c r="Q88" s="7" t="str">
        <x:v>07/31/2027</x:v>
      </x:c>
      <x:c r="R88" s="7" t="str">
        <x:v>Life</x:v>
      </x:c>
      <x:c r="S88" s="15" t="str">
        <x:v>630-326-5010</x:v>
      </x:c>
      <x:c r="T88" s="7" t="str">
        <x:v>Current CDI</x:v>
      </x:c>
      <x:c r="U88" s="7" t="str">
        <x:v>ONE TRANS AM PLAZA SUITE 500 OAKBROOK IL, 60181</x:v>
      </x:c>
      <x:c r="V88" s="7" t="str">
        <x:v>Resident</x:v>
      </x:c>
      <x:c r="W88" s="7" t="str">
        <x:v>IL</x:v>
      </x:c>
      <x:c r="X88" s="7" t="str">
        <x:v>WORLD FINANCIAL GROUP INSURANCE AGENCY, LLC / Life / 07/21/2021</x:v>
      </x:c>
      <x:c r="Y88" s="7" t="str">
        <x:v>IA AMERICAN LIFE INSURANCE COMPANY / Life / 08/13/2024
LIFE INSURANCE COMPANY OF THE SOUTHWEST / Life / 01/31/2024
NATIONWIDE LIFE AND ANNUITY INSURANCE COMPANY / Life / 11/04/2022</x:v>
      </x:c>
      <x:c r="Z88" s="7" t="str"/>
      <x:c r="AA88" s="7" t="str"/>
      <x:c r="AB88" s="7" t="str"/>
      <x:c r="AC88" s="7" t="str"/>
      <x:c r="AD88" s="7" t="str">
        <x:v>Active general Life authority | WFG relationship: matches an explicitly targeted recruiting segment | Direct Life appointments outside the selected health-carrier set: IA AMERICAN LIFE INSURANCE COMPANY, LIFE INSURANCE COMPANY OF THE SOUTHWEST, NATIONWIDE LIFE AND ANNUITY INSURANCE COMPANY</x:v>
      </x:c>
      <x:c r="AE88" s="7" t="str">
        <x:v>Nonresident or address state outside CA; confirm geographic recruiting scope</x:v>
      </x:c>
      <x:c r="AF88" s="16" t="n">
        <x:v>5.3</x:v>
      </x:c>
      <x:c r="AG88" s="17" t="n">
        <x:v>296</x:v>
      </x:c>
      <x:c r="AH88" s="7" t="str">
        <x:v>2024-08-13</x:v>
      </x:c>
      <x:c r="AI88" s="7" t="str">
        <x:v>English</x:v>
      </x:c>
      <x:c r="AJ88" s="7" t="str"/>
      <x:c r="AK88" s="15" t="str"/>
      <x:c r="AL88" s="7" t="str"/>
      <x:c r="AM88" s="7" t="str">
        <x:v>AGUILAR O MARTHA</x:v>
      </x:c>
      <x:c r="AN88" s="7" t="str">
        <x:v>https://cdicloud.insurance.ca.gov/cal/LicenseDetail?SearchType=IND&amp;SearchLicNbr=4132043&amp;SearchIndvId=4132043</x:v>
      </x:c>
      <x:c r="AO88" s="7" t="str">
        <x:v>2026-10-08</x:v>
      </x:c>
      <x:c r="AP88" s="7" t="str">
        <x:v>ae63ba095ba9b1b35b4b69cfefc4406c1a050700d980ddef2498d501caf036ef</x:v>
      </x:c>
      <x:c r="AQ88" s="7" t="str">
        <x:v>Life / Active / 07/08/2021 / 07/08/2021 / 07/31/2027</x:v>
      </x:c>
      <x:c r="AR88" s="7" t="str">
        <x:v>Active</x:v>
      </x:c>
      <x:c r="AS88" s="7" t="str">
        <x:v>Current detail page</x:v>
      </x:c>
    </x:row>
    <x:row r="89" ht="52" customHeight="1">
      <x:c r="A89" s="7" t="str">
        <x:v>AGUILAR SHAUN</x:v>
      </x:c>
      <x:c r="B89" s="14" t="str">
        <x:f>"0K88951"</x:f>
        <x:v>0K88951</x:v>
      </x:c>
      <x:c r="C89" s="7" t="str">
        <x:v>Omitted</x:v>
      </x:c>
      <x:c r="D89" s="7" t="str">
        <x:v>REVIEW</x:v>
      </x:c>
      <x:c r="E89" s="13" t="str">
        <x:v>Pending</x:v>
      </x:c>
      <x:c r="F89" s="13" t="str"/>
      <x:c r="G89" s="13" t="str"/>
      <x:c r="H89" s="13" t="str"/>
      <x:c r="I89" s="7" t="str">
        <x:v>Was this person reviewed? If rejected, give the actual rule and evidence. If acceptable, correct the omission. Resolve: Geographic scope.</x:v>
      </x:c>
      <x:c r="J89" s="7" t="str">
        <x:v>R6</x:v>
      </x:c>
      <x:c r="K89" s="7" t="str">
        <x:v>Requires verification: Geographic scope. These facts do not establish the original reviewer’s motive.</x:v>
      </x:c>
      <x:c r="L89" s="7" t="str">
        <x:v>Not supplied; membership is known, motive is not</x:v>
      </x:c>
      <x:c r="M89" s="7" t="n">
        <x:v>4</x:v>
      </x:c>
      <x:c r="N89" s="7" t="str">
        <x:v>Geographic scope review</x:v>
      </x:c>
      <x:c r="O89" s="7" t="str">
        <x:v>Active</x:v>
      </x:c>
      <x:c r="P89" s="7" t="str">
        <x:v>03/03/2022</x:v>
      </x:c>
      <x:c r="Q89" s="7" t="str">
        <x:v>05/31/2028</x:v>
      </x:c>
      <x:c r="R89" s="7" t="str">
        <x:v>Accident &amp; Health or Sickness; Life; Var Life and Var Annuity</x:v>
      </x:c>
      <x:c r="S89" s="15" t="str">
        <x:v>972-516-1061</x:v>
      </x:c>
      <x:c r="T89" s="7" t="str">
        <x:v>Current CDI</x:v>
      </x:c>
      <x:c r="U89" s="7" t="str">
        <x:v>730 E PARK BLVD STE 104 PLANO TX, 75074-8845</x:v>
      </x:c>
      <x:c r="V89" s="7" t="str">
        <x:v>Non-resident</x:v>
      </x:c>
      <x:c r="W89" s="7" t="str">
        <x:v>TX</x:v>
      </x:c>
      <x:c r="X89" s="7" t="str"/>
      <x:c r="Y89" s="7" t="str">
        <x:v>AMERICAN GENERAL LIFE INSURANCE COMPANY / Accident &amp; Health or Sickness / 01/10/2025
AMERICAN GENERAL LIFE INSURANCE COMPANY / Life / 01/10/2025
AMERICAN GENERAL LIFE INSURANCE COMPANY / Var Life and Var Annuity / 01/10/2025
AMERICAN NATIONAL INSURANCE COMPANY / Life / 01/05/2025
FIDELITY &amp; GUARANTY LIFE INSURANCE COMPANY / Life / 07/29/2025
NORTH AMERICAN COMPANY FOR LIFE AND HEALTH INSURANCE / Life / 01/08/2025</x:v>
      </x:c>
      <x:c r="Z89" s="7" t="str"/>
      <x:c r="AA89" s="7" t="str"/>
      <x:c r="AB89" s="7" t="str"/>
      <x:c r="AC89" s="7" t="str"/>
      <x:c r="AD89" s="7" t="str">
        <x:v>Active general Life authority | Direct Life appointments outside the selected health-carrier set: AMERICAN GENERAL LIFE INSURANCE COMPANY, AMERICAN NATIONAL INSURANCE COMPANY, FIDELITY &amp; GUARANTY LIFE INSURANCE COMPANY, NORTH AMERICAN COMPANY FOR LIFE AND HEALTH INSURANCE | Active A&amp;H supports optional cross-selling; not necessary for target products</x:v>
      </x:c>
      <x:c r="AE89" s="7" t="str">
        <x:v>Variable authority: financial-advice/variable-product capability; not needed for fixed annuities and not an automatic exclusion | Nonresident or address state outside CA; confirm geographic recruiting scope</x:v>
      </x:c>
      <x:c r="AF89" s="16" t="n">
        <x:v>4.6</x:v>
      </x:c>
      <x:c r="AG89" s="17" t="n">
        <x:v>601</x:v>
      </x:c>
      <x:c r="AH89" s="7" t="str">
        <x:v>2025-07-29</x:v>
      </x:c>
      <x:c r="AI89" s="7" t="str">
        <x:v>English</x:v>
      </x:c>
      <x:c r="AJ89" s="7" t="str"/>
      <x:c r="AK89" s="15" t="str"/>
      <x:c r="AL89" s="7" t="str"/>
      <x:c r="AM89" s="7" t="str">
        <x:v>AGUILAR  SHAUN</x:v>
      </x:c>
      <x:c r="AN89" s="7" t="str">
        <x:v>https://cdicloud.insurance.ca.gov/cal/LicenseDetail?SearchType=IND&amp;SearchLicNbr=0K88951&amp;SearchIndvId=1835685</x:v>
      </x:c>
      <x:c r="AO89" s="7" t="str">
        <x:v>2026-10-08</x:v>
      </x:c>
      <x:c r="AP89" s="7" t="str">
        <x:v>51a1fcd076301e5c1950ae79c1cde4bfc230b874b8fb8368b37f4ec01f38665e</x:v>
      </x:c>
      <x:c r="AQ89" s="7" t="str">
        <x:v>Accident &amp; Health or Sickness / Active / 03/03/2022 / 12/10/2024 / 05/31/2028
Life / Active / 03/03/2022 / 12/10/2024 / 05/31/2028
Var Life and Var Annuity / Active / 03/03/2022 / 12/10/2024 / 05/31/2028</x:v>
      </x:c>
      <x:c r="AR89" s="7" t="str">
        <x:v>Active</x:v>
      </x:c>
      <x:c r="AS89" s="7" t="str">
        <x:v>Current detail page</x:v>
      </x:c>
    </x:row>
    <x:row r="90" ht="52" customHeight="1">
      <x:c r="A90" s="7" t="str">
        <x:v>AGUILAR UMANA DAVID ARMANDO</x:v>
      </x:c>
      <x:c r="B90" s="14" t="str">
        <x:f>"4480790"</x:f>
        <x:v>4480790</x:v>
      </x:c>
      <x:c r="C90" s="7" t="str">
        <x:v>Omitted</x:v>
      </x:c>
      <x:c r="D90" s="7" t="str">
        <x:v>REVIEW</x:v>
      </x:c>
      <x:c r="E90" s="13" t="str">
        <x:v>Pending</x:v>
      </x:c>
      <x:c r="F90" s="13" t="str"/>
      <x:c r="G90" s="13" t="str"/>
      <x:c r="H90" s="13" t="str"/>
      <x:c r="I90" s="7" t="str">
        <x:v>Was this person reviewed? If rejected, give the actual rule and evidence. If acceptable, correct the omission. Resolve: Geographic scope.</x:v>
      </x:c>
      <x:c r="J90" s="7" t="str">
        <x:v>R6</x:v>
      </x:c>
      <x:c r="K90" s="7" t="str">
        <x:v>Requires verification: Geographic scope. These facts do not establish the original reviewer’s motive.</x:v>
      </x:c>
      <x:c r="L90" s="7" t="str">
        <x:v>Not supplied; membership is known, motive is not</x:v>
      </x:c>
      <x:c r="M90" s="7" t="n">
        <x:v>4</x:v>
      </x:c>
      <x:c r="N90" s="7" t="str">
        <x:v>Geographic scope review</x:v>
      </x:c>
      <x:c r="O90" s="7" t="str">
        <x:v>Active</x:v>
      </x:c>
      <x:c r="P90" s="7" t="str">
        <x:v>08/08/2025</x:v>
      </x:c>
      <x:c r="Q90" s="7" t="str">
        <x:v>08/31/2027</x:v>
      </x:c>
      <x:c r="R90" s="7" t="str">
        <x:v>Life</x:v>
      </x:c>
      <x:c r="S90" s="15" t="str">
        <x:v>678-310-9495</x:v>
      </x:c>
      <x:c r="T90" s="7" t="str">
        <x:v>Current CDI</x:v>
      </x:c>
      <x:c r="U90" s="7" t="str">
        <x:v>3075 BRECKINRIDGE BLVD SUITE 4420 UNIT A DULUTH GA, 30096</x:v>
      </x:c>
      <x:c r="V90" s="7" t="str">
        <x:v>Resident</x:v>
      </x:c>
      <x:c r="W90" s="7" t="str">
        <x:v>GA</x:v>
      </x:c>
      <x:c r="X90" s="7" t="str"/>
      <x:c r="Y90" s="7" t="str">
        <x:v>AMERICAN GENERAL LIFE INSURANCE COMPANY / Life / 09/23/2025
FIDELITY &amp; GUARANTY LIFE INSURANCE COMPANY / Life / 09/03/2025
LIFE INSURANCE COMPANY OF THE SOUTHWEST / Life / 09/18/2025
LINCOLN HERITAGE LIFE INSURANCE COMPANY / Life / 05/18/2026
PRIMERICA LIFE INSURANCE COMPANY / Life / 08/11/2025
SAVINGS BANK MUTUAL LIFE INSURANCE COMPANY OF MASSACHUSETTS (THE) / Life / 01/07/2026
TRANSAMERICA LIFE INSURANCE COMPANY / Life / 01/29/2026</x:v>
      </x:c>
      <x:c r="Z90" s="7" t="str"/>
      <x:c r="AA90" s="7" t="str"/>
      <x:c r="AB90" s="7" t="str"/>
      <x:c r="AC90" s="7" t="str"/>
      <x:c r="AD90" s="7" t="str">
        <x:v>Active general Life authority | Primerica relationship: matches an explicitly targeted recruiting segment | Direct Life appointments outside the selected health-carrier set: AMERICAN GENERAL LIFE INSURANCE COMPANY, FIDELITY &amp; GUARANTY LIFE INSURANCE COMPANY, LIFE INSURANCE COMPANY OF THE SOUTHWEST, LINCOLN HERITAGE LIFE INSURANCE COMPANY, PRIMERICA LIFE INSURANCE COMPANY, SAVINGS BANK MUTUAL LIFE INSURANCE COMPANY OF MASSACHUSETTS (THE), TRANSAMERICA LIFE INSURANCE COMPANY</x:v>
      </x:c>
      <x:c r="AE90" s="7" t="str">
        <x:v>Nonresident or address state outside CA; confirm geographic recruiting scope</x:v>
      </x:c>
      <x:c r="AF90" s="16" t="n">
        <x:v>1.2</x:v>
      </x:c>
      <x:c r="AG90" s="17" t="n">
        <x:v>327</x:v>
      </x:c>
      <x:c r="AH90" s="7" t="str">
        <x:v>2026-05-18</x:v>
      </x:c>
      <x:c r="AI90" s="7" t="str">
        <x:v>English</x:v>
      </x:c>
      <x:c r="AJ90" s="7" t="str"/>
      <x:c r="AK90" s="15" t="str"/>
      <x:c r="AL90" s="7" t="str"/>
      <x:c r="AM90" s="7" t="str">
        <x:v>AGUILAR UMANA ARMANDO DAVID</x:v>
      </x:c>
      <x:c r="AN90" s="7" t="str">
        <x:v>https://cdicloud.insurance.ca.gov/cal/LicenseDetail?SearchType=IND&amp;SearchLicNbr=4480790&amp;SearchIndvId=4480790</x:v>
      </x:c>
      <x:c r="AO90" s="7" t="str">
        <x:v>2026-10-08</x:v>
      </x:c>
      <x:c r="AP90" s="7" t="str">
        <x:v>819b47cd2c0435e5947fe8bafc2ac3ab8ab63c1bf1934e454e399b52df00fd0a</x:v>
      </x:c>
      <x:c r="AQ90" s="7" t="str">
        <x:v>Life / Active / 08/08/2025 / 08/08/2025 / 08/31/2027</x:v>
      </x:c>
      <x:c r="AR90" s="7" t="str">
        <x:v>Active</x:v>
      </x:c>
      <x:c r="AS90" s="7" t="str">
        <x:v>Current detail page</x:v>
      </x:c>
    </x:row>
    <x:row r="91" ht="52" customHeight="1">
      <x:c r="A91" s="7" t="str">
        <x:v>CARRILLO DIANA Y</x:v>
      </x:c>
      <x:c r="B91" s="14" t="str">
        <x:f>"4098729"</x:f>
        <x:v>4098729</x:v>
      </x:c>
      <x:c r="C91" s="7" t="str">
        <x:v>Omitted</x:v>
      </x:c>
      <x:c r="D91" s="7" t="str">
        <x:v>REVIEW</x:v>
      </x:c>
      <x:c r="E91" s="13" t="str">
        <x:v>Pending</x:v>
      </x:c>
      <x:c r="F91" s="13" t="str"/>
      <x:c r="G91" s="13" t="str"/>
      <x:c r="H91" s="13" t="str"/>
      <x:c r="I91" s="7" t="str">
        <x:v>Was this person reviewed? If rejected, give the actual rule and evidence. If acceptable, correct the omission. Resolve: Bank/securities role and outside contracting; Geographic scope.</x:v>
      </x:c>
      <x:c r="J91" s="7" t="str">
        <x:v>R1, R6</x:v>
      </x:c>
      <x:c r="K91" s="7" t="str">
        <x:v>Requires verification: Bank/securities role and outside contracting; Geographic scope. These facts do not establish the original reviewer’s motive.</x:v>
      </x:c>
      <x:c r="L91" s="7" t="str">
        <x:v>Not supplied; membership is known, motive is not</x:v>
      </x:c>
      <x:c r="M91" s="7" t="n">
        <x:v>4</x:v>
      </x:c>
      <x:c r="N91" s="7" t="str">
        <x:v>Geographic scope review</x:v>
      </x:c>
      <x:c r="O91" s="7" t="str">
        <x:v>Active</x:v>
      </x:c>
      <x:c r="P91" s="7" t="str">
        <x:v>02/02/2021</x:v>
      </x:c>
      <x:c r="Q91" s="7" t="str">
        <x:v>01/31/2027</x:v>
      </x:c>
      <x:c r="R91" s="7" t="str">
        <x:v>Accident &amp; Health or Sickness; Life; Var Life and Var Annuity</x:v>
      </x:c>
      <x:c r="S91" s="15" t="str">
        <x:v>480-970-1257</x:v>
      </x:c>
      <x:c r="T91" s="7" t="str">
        <x:v>Current CDI</x:v>
      </x:c>
      <x:c r="U91" s="7" t="str">
        <x:v>12240 N TATUM BLVD PHOENIX AZ, 85032</x:v>
      </x:c>
      <x:c r="V91" s="7" t="str">
        <x:v>Non-resident</x:v>
      </x:c>
      <x:c r="W91" s="7" t="str">
        <x:v>AZ</x:v>
      </x:c>
      <x:c r="X91" s="7" t="str">
        <x:v>CHASE INSURANCE AGENCY, INC. / Accident &amp; Health or Sickness / 04/06/2023
CHASE INSURANCE AGENCY, INC. / Life / 04/06/2023
CHASE INSURANCE AGENCY, INC. / Var Life and Var Annuity / 04/06/2023</x:v>
      </x:c>
      <x:c r="Y91" s="7" t="str">
        <x:v>ALLIANZ LIFE INSURANCE COMPANY OF NORTH AMERICA / Life / 09/23/2024
ALLIANZ LIFE INSURANCE COMPANY OF NORTH AMERICA / Var Life and Var Annuity / 09/23/2024
AMERICAN GENERAL LIFE INSURANCE COMPANY / Life / 08/29/2022
ATHENE ANNUITY AND LIFE COMPANY / Life / 08/10/2023
ATHENE ANNUITY AND LIFE COMPANY / Var Life and Var Annuity / 08/10/2023
EQUITABLE FINANCIAL LIFE INSURANCE COMPANY / Var Life and Var Annuity / 08/29/2022
EQUITABLE FINANCIAL LIFE INSURANCE COMPANY OF AMERICA / Var Life and Var Annuity / 04/10/2023
LINCOLN NATIONAL LIFE INSURANCE COMPANY (THE) / Life / 09/13/2022
LINCOLN NATIONAL LIFE INSURANCE COMPANY (THE) / Var Life and Var Annuity / 09/13/2022
MASSACHUSETTS MUTUAL LIFE INSURANCE COMPANY / Accident &amp; Health or Sickness / 04/14/2025
MASSACHUSETTS MUTUAL LIFE INSURANCE COMPANY / Life / 04/14/2025
MASSACHUSETTS MUTUAL LIFE INSURANCE COMPANY / Var Life and Var Annuity / 04/14/2025
NATIONWIDE LIFE AND ANNUITY INSURANCE COMPANY / Accident &amp; Health or Sickness / 08/29/2022
NATIONWIDE LIFE AND ANNUITY INSURANCE COMPANY / Life / 08/29/2022
NATIONWIDE LIFE INSURANCE COMPANY / Accident &amp; Health or Sickness / 08/29/2022
NATIONWIDE LIFE INSURANCE COMPANY / Life / 08/29/2022
NEW YORK LIFE INSURANCE AND ANNUITY CORPORATION / Life / 08/29/2022
NEW YORK LIFE INSURANCE AND ANNUITY CORPORATION / Var Life and Var Annuity / 08/29/2022
PACIFIC LIFE INSURANCE COMPANY / Accident &amp; Health or Sickness / 08/29/2022
PACIFIC LIFE INSURANCE COMPANY / Life / 08/29/2022
SYMETRA LIFE INSURANCE COMPANY / Accident &amp; Health or Sickness / 08/29/2022
SYMETRA LIFE INSURANCE COMPANY / Life / 08/29/2022
SYMETRA LIFE INSURANCE COMPANY / Var Life and Var Annuity / 09/28/2022</x:v>
      </x:c>
      <x:c r="Z91" s="7" t="str"/>
      <x:c r="AA91" s="7" t="str"/>
      <x:c r="AB91" s="7" t="str"/>
      <x:c r="AC91" s="7" t="str"/>
      <x:c r="AD91" s="7" t="str">
        <x:v>Active general Life authority | Direct Life appointments outside the selected health-carrier set: ALLIANZ LIFE INSURANCE COMPANY OF NORTH AMERICA, AMERICAN GENERAL LIFE INSURANCE COMPANY, ATHENE ANNUITY AND LIFE COMPANY, LINCOLN NATIONAL LIFE INSURANCE COMPANY (THE), MASSACHUSETTS MUTUAL LIFE INSURANCE COMPANY, NATIONWIDE LIFE AND ANNUITY INSURANCE COMPANY, NATIONWIDE LIFE INSURANCE COMPANY, NEW YORK LIFE INSURANCE AND ANNUITY CORPORATION, PACIFIC LIFE INSURANCE COMPANY, SYMETRA LIFE INSURANCE COMPANY | Active A&amp;H supports optional cross-selling; not necessary for target products</x:v>
      </x:c>
      <x:c r="AE91" s="7" t="str">
        <x:v>Bank/securities agency channel: CHASE INSURANCE AGENCY, INC. | Variable authority: financial-advice/variable-product capability; not needed for fixed annuities and not an automatic exclusion | Nonresident or address state outside CA; confirm geographic recruiting scope</x:v>
      </x:c>
      <x:c r="AF91" s="16" t="n">
        <x:v>5.7</x:v>
      </x:c>
      <x:c r="AG91" s="17" t="n">
        <x:v>115</x:v>
      </x:c>
      <x:c r="AH91" s="7" t="str">
        <x:v>2025-04-14</x:v>
      </x:c>
      <x:c r="AI91" s="7" t="str">
        <x:v>English</x:v>
      </x:c>
      <x:c r="AJ91" s="7" t="str"/>
      <x:c r="AK91" s="15" t="str"/>
      <x:c r="AL91" s="7" t="str"/>
      <x:c r="AM91" s="7" t="str">
        <x:v>Aguilar Yvette Diana | AGUILAR YVETTE DIANA</x:v>
      </x:c>
      <x:c r="AN91" s="7" t="str">
        <x:v>https://cdicloud.insurance.ca.gov/cal/LicenseDetail?SearchType=IND&amp;SearchLicNbr=4098729&amp;SearchIndvId=4098729</x:v>
      </x:c>
      <x:c r="AO91" s="7" t="str">
        <x:v>2026-10-08</x:v>
      </x:c>
      <x:c r="AP91" s="7" t="str">
        <x:v>22b23bf9fe0c731e72e7c4387fdf4b0e4f02edf6a38e5195297f3338a3e3f3b8</x:v>
      </x:c>
      <x:c r="AQ91" s="7" t="str">
        <x:v>Accident &amp; Health or Sickness / Active / 01/21/2021 / 08/29/2022 / 01/31/2027
Life / Active / 02/02/2021 / 08/29/2022 / 01/31/2027
Var Life and Var Annuity / Active / 02/02/2021 / 08/29/2022 / 01/31/2027</x:v>
      </x:c>
      <x:c r="AR91" s="7" t="str">
        <x:v>Active</x:v>
      </x:c>
      <x:c r="AS91" s="7" t="str">
        <x:v>Current detail page</x:v>
      </x:c>
    </x:row>
    <x:row r="92" ht="52" customHeight="1">
      <x:c r="A92" s="7" t="str">
        <x:v>AGUILAR ALBERT JR</x:v>
      </x:c>
      <x:c r="B92" s="14" t="str">
        <x:f>"4231111"</x:f>
        <x:v>4231111</x:v>
      </x:c>
      <x:c r="C92" s="7" t="str">
        <x:v>Omitted</x:v>
      </x:c>
      <x:c r="D92" s="7" t="str">
        <x:v>REVIEW</x:v>
      </x:c>
      <x:c r="E92" s="13" t="str">
        <x:v>Pending</x:v>
      </x:c>
      <x:c r="F92" s="13" t="str"/>
      <x:c r="G92" s="13" t="str"/>
      <x:c r="H92" s="13" t="str"/>
      <x:c r="I92" s="7" t="str">
        <x:v>Was this person reviewed? If rejected, give the actual rule and evidence. If acceptable, correct the omission. Resolve: No collected public business phone.</x:v>
      </x:c>
      <x:c r="J92" s="7" t="str">
        <x:v>R5</x:v>
      </x:c>
      <x:c r="K92" s="7" t="str">
        <x:v>Requires verification: No collected public business phone. These facts do not establish the original reviewer’s motive.</x:v>
      </x:c>
      <x:c r="L92" s="7" t="str">
        <x:v>Not supplied; membership is known, motive is not</x:v>
      </x:c>
      <x:c r="M92" s="7" t="n">
        <x:v>5</x:v>
      </x:c>
      <x:c r="N92" s="7" t="str">
        <x:v>Find contact information first</x:v>
      </x:c>
      <x:c r="O92" s="7" t="str">
        <x:v>Active</x:v>
      </x:c>
      <x:c r="P92" s="7" t="str">
        <x:v>08/31/2022</x:v>
      </x:c>
      <x:c r="Q92" s="7" t="str">
        <x:v>08/31/2028</x:v>
      </x:c>
      <x:c r="R92" s="7" t="str">
        <x:v>Accident &amp; Health or Sickness; Life; Var Life and Var Annuity</x:v>
      </x:c>
      <x:c r="S92" s="15" t="str"/>
      <x:c r="T92" s="7" t="str">
        <x:v>No public business phone in collected record</x:v>
      </x:c>
      <x:c r="U92" s="7" t="str">
        <x:v>CAPITAL CLIENT GROUP, INC./ AJAA 333 S HOPE ST FL 55 LOS ANGELES CA, 90071-3061</x:v>
      </x:c>
      <x:c r="V92" s="7" t="str">
        <x:v>Resident</x:v>
      </x:c>
      <x:c r="W92" s="7" t="str">
        <x:v>CA</x:v>
      </x:c>
      <x:c r="X92" s="7" t="str">
        <x:v>CAPITAL CLIENT GROUP, INC. / Life / 09/14/2024
CAPITAL CLIENT GROUP, INC. / Var Life and Var Annuity / 09/14/2024
CAPITAL CLIENT GROUP, INC. / Accident &amp; Health or Sickness / 09/14/2024</x:v>
      </x:c>
      <x:c r="Y92" s="7" t="str"/>
      <x:c r="Z92" s="7" t="str"/>
      <x:c r="AA92" s="7" t="str"/>
      <x:c r="AB92" s="7" t="str"/>
      <x:c r="AC92" s="7" t="str"/>
      <x:c r="AD92" s="7" t="str">
        <x:v>Active general Life authority | Active A&amp;H supports optional cross-selling; not necessary for target products</x:v>
      </x:c>
      <x:c r="AE92" s="7" t="str">
        <x:v>Variable authority: financial-advice/variable-product capability; not needed for fixed annuities and not an automatic exclusion | No public business phone: contact enrichment needed, not proof of poor recruiting fit</x:v>
      </x:c>
      <x:c r="AF92" s="16" t="n">
        <x:v>4.1</x:v>
      </x:c>
      <x:c r="AG92" s="17" t="n">
        <x:v>693</x:v>
      </x:c>
      <x:c r="AH92" s="7" t="str"/>
      <x:c r="AI92" s="7" t="str">
        <x:v>English</x:v>
      </x:c>
      <x:c r="AJ92" s="7" t="str"/>
      <x:c r="AK92" s="15" t="str"/>
      <x:c r="AL92" s="7" t="str"/>
      <x:c r="AM92" s="7" t="str">
        <x:v>AGUILAR  ALBERT</x:v>
      </x:c>
      <x:c r="AN92" s="7" t="str">
        <x:v>https://cdicloud.insurance.ca.gov/cal/LicenseDetail?SearchType=IND&amp;SearchLicNbr=4231111&amp;SearchIndvId=4231111</x:v>
      </x:c>
      <x:c r="AO92" s="7" t="str">
        <x:v>2026-10-08</x:v>
      </x:c>
      <x:c r="AP92" s="7" t="str">
        <x:v>8482acaf81263d47ff8d15acd7fa6d9b49a256c0b9f31b69d717e7c7a0003b49</x:v>
      </x:c>
      <x:c r="AQ92" s="7" t="str">
        <x:v>Accident &amp; Health or Sickness / Active / 08/31/2022 / 09/03/2024 / 08/31/2028
Life / Active / 08/31/2022 / 09/03/2024 / 08/31/2028
Var Life and Var Annuity / Active / 08/31/2022 / 09/03/2024 / 08/31/2028</x:v>
      </x:c>
      <x:c r="AR92" s="7" t="str">
        <x:v>Active</x:v>
      </x:c>
      <x:c r="AS92" s="7" t="str">
        <x:v>Current detail page</x:v>
      </x:c>
    </x:row>
    <x:row r="93" ht="52" customHeight="1">
      <x:c r="A93" s="7" t="str">
        <x:v>AGUILAR ALDRETE SILVIA</x:v>
      </x:c>
      <x:c r="B93" s="14" t="str">
        <x:f>"4031484"</x:f>
        <x:v>4031484</x:v>
      </x:c>
      <x:c r="C93" s="7" t="str">
        <x:v>Omitted</x:v>
      </x:c>
      <x:c r="D93" s="7" t="str">
        <x:v>REVIEW</x:v>
      </x:c>
      <x:c r="E93" s="13" t="str">
        <x:v>Pending</x:v>
      </x:c>
      <x:c r="F93" s="13" t="str"/>
      <x:c r="G93" s="13" t="str"/>
      <x:c r="H93" s="13" t="str"/>
      <x:c r="I93" s="7" t="str">
        <x:v>Was this person reviewed? If rejected, give the actual rule and evidence. If acceptable, correct the omission. Resolve: No collected public business phone.</x:v>
      </x:c>
      <x:c r="J93" s="7" t="str">
        <x:v>R5</x:v>
      </x:c>
      <x:c r="K93" s="7" t="str">
        <x:v>Requires verification: No collected public business phone. These facts do not establish the original reviewer’s motive.</x:v>
      </x:c>
      <x:c r="L93" s="7" t="str">
        <x:v>Not supplied; membership is known, motive is not</x:v>
      </x:c>
      <x:c r="M93" s="7" t="n">
        <x:v>5</x:v>
      </x:c>
      <x:c r="N93" s="7" t="str">
        <x:v>Find contact information first</x:v>
      </x:c>
      <x:c r="O93" s="7" t="str">
        <x:v>Active</x:v>
      </x:c>
      <x:c r="P93" s="7" t="str">
        <x:v>04/24/2020</x:v>
      </x:c>
      <x:c r="Q93" s="7" t="str">
        <x:v>04/30/2028</x:v>
      </x:c>
      <x:c r="R93" s="7" t="str">
        <x:v>Life</x:v>
      </x:c>
      <x:c r="S93" s="15" t="str"/>
      <x:c r="T93" s="7" t="str">
        <x:v>No public business phone in collected record</x:v>
      </x:c>
      <x:c r="U93" s="7" t="str">
        <x:v>17057 BELLFLOWER BLVD 202 202 BELLFLOWER CA, 90706</x:v>
      </x:c>
      <x:c r="V93" s="7" t="str">
        <x:v>Resident</x:v>
      </x:c>
      <x:c r="W93" s="7" t="str">
        <x:v>CA</x:v>
      </x:c>
      <x:c r="X93" s="7" t="str"/>
      <x:c r="Y93" s="7" t="str">
        <x:v>NATIONAL GUARDIAN LIFE INSURANCE COMPANY / Life / 04/16/2021</x:v>
      </x:c>
      <x:c r="Z93" s="7" t="str"/>
      <x:c r="AA93" s="7" t="str"/>
      <x:c r="AB93" s="7" t="str"/>
      <x:c r="AC93" s="7" t="str"/>
      <x:c r="AD93" s="7" t="str">
        <x:v>Active general Life authority | Direct Life appointments outside the selected health-carrier set: NATIONAL GUARDIAN LIFE INSURANCE COMPANY</x:v>
      </x:c>
      <x:c r="AE93" s="7" t="str">
        <x:v>No public business phone: contact enrichment needed, not proof of poor recruiting fit</x:v>
      </x:c>
      <x:c r="AF93" s="16" t="n">
        <x:v>6.5</x:v>
      </x:c>
      <x:c r="AG93" s="17" t="n">
        <x:v>570</x:v>
      </x:c>
      <x:c r="AH93" s="7" t="str">
        <x:v>2021-04-16</x:v>
      </x:c>
      <x:c r="AI93" s="7" t="str">
        <x:v>English</x:v>
      </x:c>
      <x:c r="AJ93" s="7" t="str"/>
      <x:c r="AK93" s="15" t="str"/>
      <x:c r="AL93" s="7" t="str"/>
      <x:c r="AM93" s="7" t="str">
        <x:v>AGUILAR ALDRETE  SILVIA | aguilar aldrete  silvia</x:v>
      </x:c>
      <x:c r="AN93" s="7" t="str">
        <x:v>https://cdicloud.insurance.ca.gov/cal/LicenseDetail?SearchType=IND&amp;SearchLicNbr=4031484&amp;SearchIndvId=4031484</x:v>
      </x:c>
      <x:c r="AO93" s="7" t="str">
        <x:v>2026-10-08</x:v>
      </x:c>
      <x:c r="AP93" s="7" t="str">
        <x:v>9d86f5a81a70a6c855834a20e7dda48047be6105057aa5a2e76b7ed20d52d528</x:v>
      </x:c>
      <x:c r="AQ93" s="7" t="str">
        <x:v>Life / Active / 04/24/2020 / 04/24/2020 / 04/30/2028</x:v>
      </x:c>
      <x:c r="AR93" s="7" t="str">
        <x:v>Active</x:v>
      </x:c>
      <x:c r="AS93" s="7" t="str">
        <x:v>Current detail page</x:v>
      </x:c>
    </x:row>
    <x:row r="94" ht="52" customHeight="1">
      <x:c r="A94" s="7" t="str">
        <x:v>AGUILAR ALEJANDRO</x:v>
      </x:c>
      <x:c r="B94" s="14" t="str">
        <x:f>"0I87729"</x:f>
        <x:v>0I87729</x:v>
      </x:c>
      <x:c r="C94" s="7" t="str">
        <x:v>Omitted</x:v>
      </x:c>
      <x:c r="D94" s="7" t="str">
        <x:v>REVIEW</x:v>
      </x:c>
      <x:c r="E94" s="13" t="str">
        <x:v>Pending</x:v>
      </x:c>
      <x:c r="F94" s="13" t="str"/>
      <x:c r="G94" s="13" t="str"/>
      <x:c r="H94" s="13" t="str"/>
      <x:c r="I94" s="7" t="str">
        <x:v>Was this person reviewed? If rejected, give the actual rule and evidence. If acceptable, correct the omission. Resolve: No collected public business phone.</x:v>
      </x:c>
      <x:c r="J94" s="7" t="str">
        <x:v>R5</x:v>
      </x:c>
      <x:c r="K94" s="7" t="str">
        <x:v>Requires verification: No collected public business phone. These facts do not establish the original reviewer’s motive.</x:v>
      </x:c>
      <x:c r="L94" s="7" t="str">
        <x:v>Not supplied; membership is known, motive is not</x:v>
      </x:c>
      <x:c r="M94" s="7" t="n">
        <x:v>5</x:v>
      </x:c>
      <x:c r="N94" s="7" t="str">
        <x:v>Find contact information first</x:v>
      </x:c>
      <x:c r="O94" s="7" t="str">
        <x:v>Active</x:v>
      </x:c>
      <x:c r="P94" s="7" t="str">
        <x:v>06/18/2014</x:v>
      </x:c>
      <x:c r="Q94" s="7" t="str">
        <x:v>06/30/2028</x:v>
      </x:c>
      <x:c r="R94" s="7" t="str">
        <x:v>Accident &amp; Health or Sickness; Life</x:v>
      </x:c>
      <x:c r="S94" s="15" t="str"/>
      <x:c r="T94" s="7" t="str">
        <x:v>No public business phone in collected record</x:v>
      </x:c>
      <x:c r="U94" s="7" t="str">
        <x:v>5201 CALIFORNIA AVE STE 320 BAKERSFIELD CA, 93309-1672</x:v>
      </x:c>
      <x:c r="V94" s="7" t="str">
        <x:v>Resident</x:v>
      </x:c>
      <x:c r="W94" s="7" t="str">
        <x:v>CA</x:v>
      </x:c>
      <x:c r="X94" s="7" t="str"/>
      <x:c r="Y94" s="7" t="str">
        <x:v>AMERICAN GENERAL LIFE INSURANCE COMPANY / Accident &amp; Health or Sickness / 07/05/2016
AMERICAN GENERAL LIFE INSURANCE COMPANY / Life / 07/05/2016
AMERICAN NATIONAL INSURANCE COMPANY / Life / 01/11/2018
FIDELITY &amp; GUARANTY LIFE INSURANCE COMPANY / Life / 06/29/2022
INDEPENDENT ORDER OF FORESTERS (THE) / Life / 10/30/2024
LIFE INSURANCE COMPANY OF THE SOUTHWEST / Accident &amp; Health or Sickness / 01/24/2017
LIFE INSURANCE COMPANY OF THE SOUTHWEST / Life / 01/24/2017
NATIONWIDE LIFE AND ANNUITY INSURANCE COMPANY / Accident &amp; Health or Sickness / 08/23/2016
NATIONWIDE LIFE AND ANNUITY INSURANCE COMPANY / Life / 08/23/2016
NORTH AMERICAN COMPANY FOR LIFE AND HEALTH INSURANCE / Life / 01/17/2022</x:v>
      </x:c>
      <x:c r="Z94" s="7" t="str"/>
      <x:c r="AA94" s="7" t="str"/>
      <x:c r="AB94" s="7" t="str"/>
      <x:c r="AC94" s="7" t="str"/>
      <x:c r="AD94" s="7" t="str">
        <x:v>Active general Life authority | Direct Life appointments outside the selected health-carrier set: AMERICAN GENERAL LIFE INSURANCE COMPANY, AMERICAN NATIONAL INSURANCE COMPANY, FIDELITY &amp; GUARANTY LIFE INSURANCE COMPANY, INDEPENDENT ORDER OF FORESTERS (THE), LIFE INSURANCE COMPANY OF THE SOUTHWEST, NATIONWIDE LIFE AND ANNUITY INSURANCE COMPANY, NORTH AMERICAN COMPANY FOR LIFE AND HEALTH INSURANCE | Active A&amp;H supports optional cross-selling; not necessary for target products</x:v>
      </x:c>
      <x:c r="AE94" s="7" t="str">
        <x:v>No public business phone: contact enrichment needed, not proof of poor recruiting fit</x:v>
      </x:c>
      <x:c r="AF94" s="16" t="n">
        <x:v>12.3</x:v>
      </x:c>
      <x:c r="AG94" s="17" t="n">
        <x:v>631</x:v>
      </x:c>
      <x:c r="AH94" s="7" t="str">
        <x:v>2024-10-30</x:v>
      </x:c>
      <x:c r="AI94" s="7" t="str">
        <x:v>English</x:v>
      </x:c>
      <x:c r="AJ94" s="7" t="str"/>
      <x:c r="AK94" s="15" t="str"/>
      <x:c r="AL94" s="7" t="str"/>
      <x:c r="AM94" s="7" t="str">
        <x:v>AGUILAR  ALEJANDRO</x:v>
      </x:c>
      <x:c r="AN94" s="7" t="str">
        <x:v>https://cdicloud.insurance.ca.gov/cal/LicenseDetail?SearchType=IND&amp;SearchLicNbr=0I87729&amp;SearchIndvId=1669781</x:v>
      </x:c>
      <x:c r="AO94" s="7" t="str">
        <x:v>2026-10-08</x:v>
      </x:c>
      <x:c r="AP94" s="7" t="str">
        <x:v>3d77928f71845fb31b3b11f253f318864daf539129ed4b8efcd3f32c89e75eb6</x:v>
      </x:c>
      <x:c r="AQ94" s="7" t="str">
        <x:v>Accident &amp; Health or Sickness / Active / 06/18/2014 / 07/05/2016 / 06/30/2028
Life / Active / 06/18/2014 / 07/05/2016 / 06/30/2028</x:v>
      </x:c>
      <x:c r="AR94" s="7" t="str">
        <x:v>Active</x:v>
      </x:c>
      <x:c r="AS94" s="7" t="str">
        <x:v>Current detail page</x:v>
      </x:c>
    </x:row>
    <x:row r="95" ht="52" customHeight="1">
      <x:c r="A95" s="7" t="str">
        <x:v>AGUILAR ALEX</x:v>
      </x:c>
      <x:c r="B95" s="14" t="str">
        <x:f>"4438783"</x:f>
        <x:v>4438783</x:v>
      </x:c>
      <x:c r="C95" s="7" t="str">
        <x:v>Omitted</x:v>
      </x:c>
      <x:c r="D95" s="7" t="str">
        <x:v>REVIEW</x:v>
      </x:c>
      <x:c r="E95" s="13" t="str">
        <x:v>Pending</x:v>
      </x:c>
      <x:c r="F95" s="13" t="str"/>
      <x:c r="G95" s="13" t="str"/>
      <x:c r="H95" s="13" t="str"/>
      <x:c r="I95" s="7" t="str">
        <x:v>Was this person reviewed? If rejected, give the actual rule and evidence. If acceptable, correct the omission. Resolve: No collected public business phone; Geographic scope.</x:v>
      </x:c>
      <x:c r="J95" s="7" t="str">
        <x:v>R5, R6</x:v>
      </x:c>
      <x:c r="K95" s="7" t="str">
        <x:v>Requires verification: No collected public business phone; Geographic scope. These facts do not establish the original reviewer’s motive.</x:v>
      </x:c>
      <x:c r="L95" s="7" t="str">
        <x:v>Not supplied; membership is known, motive is not</x:v>
      </x:c>
      <x:c r="M95" s="7" t="n">
        <x:v>5</x:v>
      </x:c>
      <x:c r="N95" s="7" t="str">
        <x:v>Find contact information first</x:v>
      </x:c>
      <x:c r="O95" s="7" t="str">
        <x:v>Active</x:v>
      </x:c>
      <x:c r="P95" s="7" t="str">
        <x:v>01/17/2025</x:v>
      </x:c>
      <x:c r="Q95" s="7" t="str">
        <x:v>01/31/2027</x:v>
      </x:c>
      <x:c r="R95" s="7" t="str">
        <x:v>Accident &amp; Health or Sickness; Life</x:v>
      </x:c>
      <x:c r="S95" s="15" t="str"/>
      <x:c r="T95" s="7" t="str">
        <x:v>No public business phone in collected record</x:v>
      </x:c>
      <x:c r="U95" s="7" t="str">
        <x:v>555 W. WARNER RD #18 CHANDLER AZ, 85225</x:v>
      </x:c>
      <x:c r="V95" s="7" t="str">
        <x:v>Non-resident</x:v>
      </x:c>
      <x:c r="W95" s="7" t="str">
        <x:v>AZ</x:v>
      </x:c>
      <x:c r="X95" s="7" t="str"/>
      <x:c r="Y95" s="7" t="str"/>
      <x:c r="Z95" s="7" t="str"/>
      <x:c r="AA95" s="7" t="str"/>
      <x:c r="AB95" s="7" t="str"/>
      <x:c r="AC95" s="7" t="str"/>
      <x:c r="AD95" s="7" t="str">
        <x:v>Active general Life authority | No agency or insurer displayed: onboarding opportunity possible; existing business unknown | Active A&amp;H supports optional cross-selling; not necessary for target products</x:v>
      </x:c>
      <x:c r="AE95" s="7" t="str">
        <x:v>Nonresident or address state outside CA; confirm geographic recruiting scope | No public business phone: contact enrichment needed, not proof of poor recruiting fit</x:v>
      </x:c>
      <x:c r="AF95" s="16" t="n">
        <x:v>1.7</x:v>
      </x:c>
      <x:c r="AG95" s="17" t="n">
        <x:v>115</x:v>
      </x:c>
      <x:c r="AH95" s="7" t="str"/>
      <x:c r="AI95" s="7" t="str"/>
      <x:c r="AJ95" s="7" t="str"/>
      <x:c r="AK95" s="15" t="str"/>
      <x:c r="AL95" s="7" t="str"/>
      <x:c r="AM95" s="7" t="str">
        <x:v>AGUILAR  ALEX</x:v>
      </x:c>
      <x:c r="AN95" s="7" t="str">
        <x:v>https://cdicloud.insurance.ca.gov/cal/LicenseDetail?SearchType=IND&amp;SearchLicNbr=4438783&amp;SearchIndvId=4438783</x:v>
      </x:c>
      <x:c r="AO95" s="7" t="str">
        <x:v>2026-10-08</x:v>
      </x:c>
      <x:c r="AP95" s="7" t="str">
        <x:v>5392973a4bf5f15aa7f3de9776c1b840f2c3df6c77825b7dfdf586bb7819744b</x:v>
      </x:c>
      <x:c r="AQ95" s="7" t="str">
        <x:v>Accident &amp; Health or Sickness / Active / 01/17/2025 / 01/17/2025 / 01/31/2027
Life / Active / 01/17/2025 / 01/17/2025 / 01/31/2027</x:v>
      </x:c>
      <x:c r="AR95" s="7" t="str">
        <x:v>Active</x:v>
      </x:c>
      <x:c r="AS95" s="7" t="str">
        <x:v>Current detail page</x:v>
      </x:c>
    </x:row>
    <x:row r="96" ht="52" customHeight="1">
      <x:c r="A96" s="7" t="str">
        <x:v>AGUILAR ALICIA</x:v>
      </x:c>
      <x:c r="B96" s="14" t="str">
        <x:f>"0F53766"</x:f>
        <x:v>0F53766</x:v>
      </x:c>
      <x:c r="C96" s="7" t="str">
        <x:v>Omitted</x:v>
      </x:c>
      <x:c r="D96" s="7" t="str">
        <x:v>REVIEW</x:v>
      </x:c>
      <x:c r="E96" s="13" t="str">
        <x:v>Pending</x:v>
      </x:c>
      <x:c r="F96" s="13" t="str"/>
      <x:c r="G96" s="13" t="str"/>
      <x:c r="H96" s="13" t="str"/>
      <x:c r="I96" s="7" t="str">
        <x:v>Was this person reviewed? If rejected, give the actual rule and evidence. If acceptable, correct the omission. Resolve: No collected public business phone.</x:v>
      </x:c>
      <x:c r="J96" s="7" t="str">
        <x:v>R5</x:v>
      </x:c>
      <x:c r="K96" s="7" t="str">
        <x:v>Requires verification: No collected public business phone. These facts do not establish the original reviewer’s motive.</x:v>
      </x:c>
      <x:c r="L96" s="7" t="str">
        <x:v>Not supplied; membership is known, motive is not</x:v>
      </x:c>
      <x:c r="M96" s="7" t="n">
        <x:v>5</x:v>
      </x:c>
      <x:c r="N96" s="7" t="str">
        <x:v>Find contact information first</x:v>
      </x:c>
      <x:c r="O96" s="7" t="str">
        <x:v>Active</x:v>
      </x:c>
      <x:c r="P96" s="7" t="str">
        <x:v>02/07/2007</x:v>
      </x:c>
      <x:c r="Q96" s="7" t="str">
        <x:v>02/28/2027</x:v>
      </x:c>
      <x:c r="R96" s="7" t="str">
        <x:v>Accident &amp; Health or Sickness; Life</x:v>
      </x:c>
      <x:c r="S96" s="15" t="str"/>
      <x:c r="T96" s="7" t="str">
        <x:v>No public business phone in collected record</x:v>
      </x:c>
      <x:c r="U96" s="7" t="str">
        <x:v>7625 ROSECRANS AVE. STE. 41 PARAMOUNT CA, 90723</x:v>
      </x:c>
      <x:c r="V96" s="7" t="str">
        <x:v>Resident</x:v>
      </x:c>
      <x:c r="W96" s="7" t="str">
        <x:v>CA</x:v>
      </x:c>
      <x:c r="X96" s="7" t="str">
        <x:v>PRIMERICA FINANCIAL SERVICES INSURANCE MARKETING, INC. / Life / 09/18/2017
PRIMERICA FINANCIAL SERVICES INSURANCE MARKETING, INC. / Accident &amp; Health or Sickness / 09/18/2017</x:v>
      </x:c>
      <x:c r="Y96" s="7" t="str">
        <x:v>NATIONAL GUARDIAN LIFE INSURANCE COMPANY / Life / 02/18/2026</x:v>
      </x:c>
      <x:c r="Z96" s="7" t="str"/>
      <x:c r="AA96" s="7" t="str"/>
      <x:c r="AB96" s="7" t="str"/>
      <x:c r="AC96" s="7" t="str"/>
      <x:c r="AD96" s="7" t="str">
        <x:v>Active general Life authority | Primerica relationship: matches an explicitly targeted recruiting segment | Direct Life appointments outside the selected health-carrier set: NATIONAL GUARDIAN LIFE INSURANCE COMPANY | Active A&amp;H supports optional cross-selling; not necessary for target products</x:v>
      </x:c>
      <x:c r="AE96" s="7" t="str">
        <x:v>No public business phone: contact enrichment needed, not proof of poor recruiting fit</x:v>
      </x:c>
      <x:c r="AF96" s="16" t="n">
        <x:v>19.7</x:v>
      </x:c>
      <x:c r="AG96" s="17" t="n">
        <x:v>143</x:v>
      </x:c>
      <x:c r="AH96" s="7" t="str">
        <x:v>2026-02-18</x:v>
      </x:c>
      <x:c r="AI96" s="7" t="str">
        <x:v>English</x:v>
      </x:c>
      <x:c r="AJ96" s="7" t="str"/>
      <x:c r="AK96" s="15" t="str"/>
      <x:c r="AL96" s="7" t="str"/>
      <x:c r="AM96" s="7" t="str">
        <x:v>AGUILAR  ALICIA</x:v>
      </x:c>
      <x:c r="AN96" s="7" t="str">
        <x:v>https://cdicloud.insurance.ca.gov/cal/LicenseDetail?SearchType=IND&amp;SearchLicNbr=0F53766&amp;SearchIndvId=463559</x:v>
      </x:c>
      <x:c r="AO96" s="7" t="str">
        <x:v>2026-10-08</x:v>
      </x:c>
      <x:c r="AP96" s="7" t="str">
        <x:v>1680c34e389ef3316e847157b01a8b58071f6f5502955e44600cc335cd4cf232</x:v>
      </x:c>
      <x:c r="AQ96" s="7" t="str">
        <x:v>Accident &amp; Health or Sickness / Active / 02/07/2007 / 02/07/2007 / 02/28/2027
Life / Active / 02/07/2007 / 02/07/2007 / 02/28/2027</x:v>
      </x:c>
      <x:c r="AR96" s="7" t="str">
        <x:v>Active</x:v>
      </x:c>
      <x:c r="AS96" s="7" t="str">
        <x:v>Current detail page</x:v>
      </x:c>
    </x:row>
    <x:row r="97" ht="52" customHeight="1">
      <x:c r="A97" s="7" t="str">
        <x:v>AGUILAR ALMA ROSA</x:v>
      </x:c>
      <x:c r="B97" s="14" t="str">
        <x:f>"4443915"</x:f>
        <x:v>4443915</x:v>
      </x:c>
      <x:c r="C97" s="7" t="str">
        <x:v>Omitted</x:v>
      </x:c>
      <x:c r="D97" s="7" t="str">
        <x:v>REVIEW</x:v>
      </x:c>
      <x:c r="E97" s="13" t="str">
        <x:v>Pending</x:v>
      </x:c>
      <x:c r="F97" s="13" t="str"/>
      <x:c r="G97" s="13" t="str"/>
      <x:c r="H97" s="13" t="str"/>
      <x:c r="I97" s="7" t="str">
        <x:v>Was this person reviewed? If rejected, give the actual rule and evidence. If acceptable, correct the omission. Resolve: No collected public business phone.</x:v>
      </x:c>
      <x:c r="J97" s="7" t="str">
        <x:v>R5</x:v>
      </x:c>
      <x:c r="K97" s="7" t="str">
        <x:v>Requires verification: No collected public business phone. These facts do not establish the original reviewer’s motive.</x:v>
      </x:c>
      <x:c r="L97" s="7" t="str">
        <x:v>Not supplied; membership is known, motive is not</x:v>
      </x:c>
      <x:c r="M97" s="7" t="n">
        <x:v>5</x:v>
      </x:c>
      <x:c r="N97" s="7" t="str">
        <x:v>Find contact information first</x:v>
      </x:c>
      <x:c r="O97" s="7" t="str">
        <x:v>Active</x:v>
      </x:c>
      <x:c r="P97" s="7" t="str">
        <x:v>02/25/2025</x:v>
      </x:c>
      <x:c r="Q97" s="7" t="str">
        <x:v>02/28/2027</x:v>
      </x:c>
      <x:c r="R97" s="7" t="str">
        <x:v>Accident &amp; Health or Sickness; Life</x:v>
      </x:c>
      <x:c r="S97" s="15" t="str"/>
      <x:c r="T97" s="7" t="str">
        <x:v>No public business phone in collected record</x:v>
      </x:c>
      <x:c r="U97" s="7" t="str">
        <x:v>1331 ESSEX DR. LA HABRA CA, 90631</x:v>
      </x:c>
      <x:c r="V97" s="7" t="str">
        <x:v>Resident</x:v>
      </x:c>
      <x:c r="W97" s="7" t="str">
        <x:v>CA</x:v>
      </x:c>
      <x:c r="X97" s="7" t="str">
        <x:v>WORLD FINANCIAL GROUP INSURANCE AGENCY, LLC / Life / 03/07/2025
WORLD FINANCIAL GROUP INSURANCE AGENCY, LLC / Accident &amp; Health or Sickness / 03/07/2025</x:v>
      </x:c>
      <x:c r="Y97" s="7" t="str"/>
      <x:c r="Z97" s="7" t="str"/>
      <x:c r="AA97" s="7" t="str"/>
      <x:c r="AB97" s="7" t="str"/>
      <x:c r="AC97" s="7" t="str"/>
      <x:c r="AD97" s="7" t="str">
        <x:v>Active general Life authority | WFG relationship: matches an explicitly targeted recruiting segment | Active A&amp;H supports optional cross-selling; not necessary for target products</x:v>
      </x:c>
      <x:c r="AE97" s="7" t="str">
        <x:v>No public business phone: contact enrichment needed, not proof of poor recruiting fit</x:v>
      </x:c>
      <x:c r="AF97" s="16" t="n">
        <x:v>1.6</x:v>
      </x:c>
      <x:c r="AG97" s="17" t="n">
        <x:v>143</x:v>
      </x:c>
      <x:c r="AH97" s="7" t="str"/>
      <x:c r="AI97" s="7" t="str">
        <x:v>English</x:v>
      </x:c>
      <x:c r="AJ97" s="7" t="str"/>
      <x:c r="AK97" s="15" t="str"/>
      <x:c r="AL97" s="7" t="str"/>
      <x:c r="AM97" s="7" t="str">
        <x:v>AGUILAR ROSA ALMA</x:v>
      </x:c>
      <x:c r="AN97" s="7" t="str">
        <x:v>https://cdicloud.insurance.ca.gov/cal/LicenseDetail?SearchType=IND&amp;SearchLicNbr=4443915&amp;SearchIndvId=4443915</x:v>
      </x:c>
      <x:c r="AO97" s="7" t="str">
        <x:v>2026-10-08</x:v>
      </x:c>
      <x:c r="AP97" s="7" t="str">
        <x:v>3327b304e311c0244b1e8ec6a09936c206c1edbd824412b3279ecad3b370038b</x:v>
      </x:c>
      <x:c r="AQ97" s="7" t="str">
        <x:v>Accident &amp; Health or Sickness / Active / 02/25/2025 / 02/25/2025 / 02/28/2027
Life / Active / 02/25/2025 / 02/25/2025 / 02/28/2027</x:v>
      </x:c>
      <x:c r="AR97" s="7" t="str">
        <x:v>Active</x:v>
      </x:c>
      <x:c r="AS97" s="7" t="str">
        <x:v>Current detail page</x:v>
      </x:c>
    </x:row>
    <x:row r="98" ht="52" customHeight="1">
      <x:c r="A98" s="7" t="str">
        <x:v>AGUILAR ALONSO</x:v>
      </x:c>
      <x:c r="B98" s="14" t="str">
        <x:f>"0L44578"</x:f>
        <x:v>0L44578</x:v>
      </x:c>
      <x:c r="C98" s="7" t="str">
        <x:v>Omitted</x:v>
      </x:c>
      <x:c r="D98" s="7" t="str">
        <x:v>REVIEW</x:v>
      </x:c>
      <x:c r="E98" s="13" t="str">
        <x:v>Pending</x:v>
      </x:c>
      <x:c r="F98" s="13" t="str"/>
      <x:c r="G98" s="13" t="str"/>
      <x:c r="H98" s="13" t="str"/>
      <x:c r="I98" s="7" t="str">
        <x:v>Was this person reviewed? If rejected, give the actual rule and evidence. If acceptable, correct the omission. Resolve: No collected public business phone.</x:v>
      </x:c>
      <x:c r="J98" s="7" t="str">
        <x:v>R5</x:v>
      </x:c>
      <x:c r="K98" s="7" t="str">
        <x:v>Requires verification: No collected public business phone. These facts do not establish the original reviewer’s motive.</x:v>
      </x:c>
      <x:c r="L98" s="7" t="str">
        <x:v>Not supplied; membership is known, motive is not</x:v>
      </x:c>
      <x:c r="M98" s="7" t="n">
        <x:v>5</x:v>
      </x:c>
      <x:c r="N98" s="7" t="str">
        <x:v>Find contact information first</x:v>
      </x:c>
      <x:c r="O98" s="7" t="str">
        <x:v>Active</x:v>
      </x:c>
      <x:c r="P98" s="7" t="str">
        <x:v>12/13/2016</x:v>
      </x:c>
      <x:c r="Q98" s="7" t="str">
        <x:v>12/31/2026</x:v>
      </x:c>
      <x:c r="R98" s="7" t="str">
        <x:v>Accident &amp; Health or Sickness; Life</x:v>
      </x:c>
      <x:c r="S98" s="15" t="str"/>
      <x:c r="T98" s="7" t="str">
        <x:v>No public business phone in collected record</x:v>
      </x:c>
      <x:c r="U98" s="7" t="str">
        <x:v>1101 SYLVAN AVE SUITE A25A MODESTO CA, 95350</x:v>
      </x:c>
      <x:c r="V98" s="7" t="str">
        <x:v>Resident</x:v>
      </x:c>
      <x:c r="W98" s="7" t="str">
        <x:v>CA</x:v>
      </x:c>
      <x:c r="X98" s="7" t="str"/>
      <x:c r="Y98" s="7" t="str">
        <x:v>ACCENDO INSURANCE COMPANY / Life / 03/31/2026
AMERICAN GENERAL LIFE INSURANCE COMPANY / Accident &amp; Health or Sickness / 03/14/2017
AMERICAN GENERAL LIFE INSURANCE COMPANY / Life / 03/14/2017
AMERICAN NATIONAL INSURANCE COMPANY / Accident &amp; Health or Sickness / 06/04/2018
AMERICAN NATIONAL INSURANCE COMPANY / Life / 06/04/2018
COLUMBUS LIFE INSURANCE COMPANY / Life / 04/02/2019
FIDELITY &amp; GUARANTY LIFE INSURANCE COMPANY / Life / 04/16/2024
INDEPENDENT ORDER OF FORESTERS (THE) / Accident &amp; Health or Sickness / 07/15/2022
INDEPENDENT ORDER OF FORESTERS (THE) / Life / 07/15/2022
LIFE INSURANCE COMPANY OF THE SOUTHWEST / Accident &amp; Health or Sickness / 03/24/2017
LIFE INSURANCE COMPANY OF THE SOUTHWEST / Life / 03/24/2017
NATIONAL LIFE INSURANCE COMPANY / Accident &amp; Health or Sickness / 11/14/2018
NATIONAL LIFE INSURANCE COMPANY / Life / 11/14/2018
NATIONWIDE LIFE AND ANNUITY INSURANCE COMPANY / Accident &amp; Health or Sickness / 05/29/2026
NATIONWIDE LIFE AND ANNUITY INSURANCE COMPANY / Life / 05/29/2026
NORTH AMERICAN COMPANY FOR LIFE AND HEALTH INSURANCE / Life / 12/30/2025
UNITED OF OMAHA LIFE INSURANCE COMPANY / Accident &amp; Health or Sickness / 08/04/2018
UNITED OF OMAHA LIFE INSURANCE COMPANY / Life / 08/04/2018</x:v>
      </x:c>
      <x:c r="Z98" s="7" t="str"/>
      <x:c r="AA98" s="7" t="str"/>
      <x:c r="AB98" s="7" t="str"/>
      <x:c r="AC98" s="7" t="str"/>
      <x:c r="AD98" s="7" t="str">
        <x:v>Active general Life authority | Direct Life appointments outside the selected health-carrier set: ACCENDO INSURANCE COMPANY, AMERICAN GENERAL LIFE INSURANCE COMPANY, AMERICAN NATIONAL INSURANCE COMPANY, COLUMBUS LIFE INSURANCE COMPANY, FIDELITY &amp; GUARANTY LIFE INSURANCE COMPANY, INDEPENDENT ORDER OF FORESTERS (THE), LIFE INSURANCE COMPANY OF THE SOUTHWEST, NATIONAL LIFE INSURANCE COMPANY, NATIONWIDE LIFE AND ANNUITY INSURANCE COMPANY, NORTH AMERICAN COMPANY FOR LIFE AND HEALTH INSURANCE, UNITED OF OMAHA LIFE INSURANCE COMPANY | Active A&amp;H supports optional cross-selling; not necessary for target products</x:v>
      </x:c>
      <x:c r="AE98" s="7" t="str">
        <x:v>No public business phone: contact enrichment needed, not proof of poor recruiting fit</x:v>
      </x:c>
      <x:c r="AF98" s="16" t="n">
        <x:v>9.8</x:v>
      </x:c>
      <x:c r="AG98" s="17" t="n">
        <x:v>84</x:v>
      </x:c>
      <x:c r="AH98" s="7" t="str">
        <x:v>2026-05-29</x:v>
      </x:c>
      <x:c r="AI98" s="7" t="str">
        <x:v>English</x:v>
      </x:c>
      <x:c r="AJ98" s="7" t="str"/>
      <x:c r="AK98" s="15" t="str"/>
      <x:c r="AL98" s="7" t="str"/>
      <x:c r="AM98" s="7" t="str">
        <x:v>AGUILAR  ALONSO</x:v>
      </x:c>
      <x:c r="AN98" s="7" t="str">
        <x:v>https://cdicloud.insurance.ca.gov/cal/LicenseDetail?SearchType=IND&amp;SearchLicNbr=0L44578&amp;SearchIndvId=1877960</x:v>
      </x:c>
      <x:c r="AO98" s="7" t="str">
        <x:v>2026-10-08</x:v>
      </x:c>
      <x:c r="AP98" s="7" t="str">
        <x:v>8a40d8c523a2af3514e7e5f62d9ac646a13e4e5ad8f20df57e056984235e3904</x:v>
      </x:c>
      <x:c r="AQ98" s="7" t="str">
        <x:v>Accident &amp; Health or Sickness / Active / 12/13/2016 / 12/13/2016 / 12/31/2026
Life / Active / 12/13/2016 / 12/13/2016 / 12/31/2026</x:v>
      </x:c>
      <x:c r="AR98" s="7" t="str">
        <x:v>Active</x:v>
      </x:c>
      <x:c r="AS98" s="7" t="str">
        <x:v>Current detail page</x:v>
      </x:c>
    </x:row>
    <x:row r="99" ht="52" customHeight="1">
      <x:c r="A99" s="7" t="str">
        <x:v>AGUILAR ANABELLA CAROLINA</x:v>
      </x:c>
      <x:c r="B99" s="14" t="str">
        <x:f>"4049413"</x:f>
        <x:v>4049413</x:v>
      </x:c>
      <x:c r="C99" s="7" t="str">
        <x:v>Omitted</x:v>
      </x:c>
      <x:c r="D99" s="7" t="str">
        <x:v>REVIEW</x:v>
      </x:c>
      <x:c r="E99" s="13" t="str">
        <x:v>Pending</x:v>
      </x:c>
      <x:c r="F99" s="13" t="str"/>
      <x:c r="G99" s="13" t="str"/>
      <x:c r="H99" s="13" t="str"/>
      <x:c r="I99" s="7" t="str">
        <x:v>Was this person reviewed? If rejected, give the actual rule and evidence. If acceptable, correct the omission. Resolve: No collected public business phone; Geographic scope.</x:v>
      </x:c>
      <x:c r="J99" s="7" t="str">
        <x:v>R5, R6</x:v>
      </x:c>
      <x:c r="K99" s="7" t="str">
        <x:v>Requires verification: No collected public business phone; Geographic scope. These facts do not establish the original reviewer’s motive.</x:v>
      </x:c>
      <x:c r="L99" s="7" t="str">
        <x:v>Not supplied; membership is known, motive is not</x:v>
      </x:c>
      <x:c r="M99" s="7" t="n">
        <x:v>5</x:v>
      </x:c>
      <x:c r="N99" s="7" t="str">
        <x:v>Find contact information first</x:v>
      </x:c>
      <x:c r="O99" s="7" t="str">
        <x:v>Active</x:v>
      </x:c>
      <x:c r="P99" s="7" t="str">
        <x:v>06/04/2020</x:v>
      </x:c>
      <x:c r="Q99" s="7" t="str">
        <x:v>06/30/2028</x:v>
      </x:c>
      <x:c r="R99" s="7" t="str">
        <x:v>Life</x:v>
      </x:c>
      <x:c r="S99" s="15" t="str"/>
      <x:c r="T99" s="7" t="str">
        <x:v>No public business phone in collected record</x:v>
      </x:c>
      <x:c r="U99" s="7" t="str">
        <x:v>5555 N OCEAN BLVD UNIT 13 LAUDERDALE BY THE SEA FL, 33308-2352</x:v>
      </x:c>
      <x:c r="V99" s="7" t="str">
        <x:v>Non-resident</x:v>
      </x:c>
      <x:c r="W99" s="7" t="str">
        <x:v>FL</x:v>
      </x:c>
      <x:c r="X99" s="7" t="str"/>
      <x:c r="Y99" s="7" t="str">
        <x:v>AMERICAN NATIONAL INSURANCE COMPANY / Life / 02/22/2021
AMERITAS LIFE INSURANCE CORP. / Life / 10/10/2023
FIDELITY &amp; GUARANTY LIFE INSURANCE COMPANY / Life / 06/10/2021
LIFE INSURANCE COMPANY OF THE SOUTHWEST / Life / 09/25/2023
SILAC INSURANCE COMPANY / Life / 04/06/2025</x:v>
      </x:c>
      <x:c r="Z99" s="7" t="str"/>
      <x:c r="AA99" s="7" t="str"/>
      <x:c r="AB99" s="7" t="str"/>
      <x:c r="AC99" s="7" t="str"/>
      <x:c r="AD99" s="7" t="str">
        <x:v>Active general Life authority | Direct Life appointments outside the selected health-carrier set: AMERICAN NATIONAL INSURANCE COMPANY, AMERITAS LIFE INSURANCE CORP., FIDELITY &amp; GUARANTY LIFE INSURANCE COMPANY, LIFE INSURANCE COMPANY OF THE SOUTHWEST, SILAC INSURANCE COMPANY</x:v>
      </x:c>
      <x:c r="AE99" s="7" t="str">
        <x:v>Nonresident or address state outside CA; confirm geographic recruiting scope | No public business phone: contact enrichment needed, not proof of poor recruiting fit</x:v>
      </x:c>
      <x:c r="AF99" s="16" t="n">
        <x:v>6.3</x:v>
      </x:c>
      <x:c r="AG99" s="17" t="n">
        <x:v>631</x:v>
      </x:c>
      <x:c r="AH99" s="7" t="str">
        <x:v>2025-04-06</x:v>
      </x:c>
      <x:c r="AI99" s="7" t="str"/>
      <x:c r="AJ99" s="7" t="str"/>
      <x:c r="AK99" s="15" t="str"/>
      <x:c r="AL99" s="7" t="str"/>
      <x:c r="AM99" s="7" t="str">
        <x:v>AGUILAR CAROLINA ANABELLA</x:v>
      </x:c>
      <x:c r="AN99" s="7" t="str">
        <x:v>https://cdicloud.insurance.ca.gov/cal/LicenseDetail?SearchType=IND&amp;SearchLicNbr=4049413&amp;SearchIndvId=4049413</x:v>
      </x:c>
      <x:c r="AO99" s="7" t="str">
        <x:v>2026-10-08</x:v>
      </x:c>
      <x:c r="AP99" s="7" t="str">
        <x:v>41008f5b4271507a4f468875be57af98cead9b8fcd0051f8bfa53ae90de5bb19</x:v>
      </x:c>
      <x:c r="AQ99" s="7" t="str">
        <x:v>Life / Active / 06/04/2020 / 06/04/2020 / 06/30/2028</x:v>
      </x:c>
      <x:c r="AR99" s="7" t="str">
        <x:v>Active</x:v>
      </x:c>
      <x:c r="AS99" s="7" t="str">
        <x:v>Current detail page</x:v>
      </x:c>
    </x:row>
    <x:row r="100" ht="52" customHeight="1">
      <x:c r="A100" s="7" t="str">
        <x:v>AGUILAR ANDREA MEGAN</x:v>
      </x:c>
      <x:c r="B100" s="14" t="str">
        <x:f>"4490409"</x:f>
        <x:v>4490409</x:v>
      </x:c>
      <x:c r="C100" s="7" t="str">
        <x:v>Omitted</x:v>
      </x:c>
      <x:c r="D100" s="7" t="str">
        <x:v>REVIEW</x:v>
      </x:c>
      <x:c r="E100" s="13" t="str">
        <x:v>Pending</x:v>
      </x:c>
      <x:c r="F100" s="13" t="str"/>
      <x:c r="G100" s="13" t="str"/>
      <x:c r="H100" s="13" t="str"/>
      <x:c r="I100" s="7" t="str">
        <x:v>Was this person reviewed? If rejected, give the actual rule and evidence. If acceptable, correct the omission. Resolve: No collected public business phone.</x:v>
      </x:c>
      <x:c r="J100" s="7" t="str">
        <x:v>R5</x:v>
      </x:c>
      <x:c r="K100" s="7" t="str">
        <x:v>Requires verification: No collected public business phone. These facts do not establish the original reviewer’s motive.</x:v>
      </x:c>
      <x:c r="L100" s="7" t="str">
        <x:v>Not supplied; membership is known, motive is not</x:v>
      </x:c>
      <x:c r="M100" s="7" t="n">
        <x:v>5</x:v>
      </x:c>
      <x:c r="N100" s="7" t="str">
        <x:v>Find contact information first</x:v>
      </x:c>
      <x:c r="O100" s="7" t="str">
        <x:v>Active</x:v>
      </x:c>
      <x:c r="P100" s="7" t="str">
        <x:v>09/09/2025</x:v>
      </x:c>
      <x:c r="Q100" s="7" t="str">
        <x:v>09/30/2027</x:v>
      </x:c>
      <x:c r="R100" s="7" t="str">
        <x:v>Life; Var Life and Var Annuity</x:v>
      </x:c>
      <x:c r="S100" s="15" t="str"/>
      <x:c r="T100" s="7" t="str">
        <x:v>No public business phone in collected record</x:v>
      </x:c>
      <x:c r="U100" s="7" t="str">
        <x:v>7181 REGIONAL ST DUBLIN CA, 94568</x:v>
      </x:c>
      <x:c r="V100" s="7" t="str">
        <x:v>Resident</x:v>
      </x:c>
      <x:c r="W100" s="7" t="str">
        <x:v>CA</x:v>
      </x:c>
      <x:c r="X100" s="7" t="str"/>
      <x:c r="Y100" s="7" t="str"/>
      <x:c r="Z100" s="7" t="str"/>
      <x:c r="AA100" s="7" t="str"/>
      <x:c r="AB100" s="7" t="str"/>
      <x:c r="AC100" s="7" t="str"/>
      <x:c r="AD100" s="7" t="str">
        <x:v>Active general Life authority | No agency or insurer displayed: onboarding opportunity possible; existing business unknown</x:v>
      </x:c>
      <x:c r="AE100" s="7" t="str">
        <x:v>Variable authority: financial-advice/variable-product capability; not needed for fixed annuities and not an automatic exclusion | No public business phone: contact enrichment needed, not proof of poor recruiting fit</x:v>
      </x:c>
      <x:c r="AF100" s="16" t="n">
        <x:v>1.1</x:v>
      </x:c>
      <x:c r="AG100" s="17" t="n">
        <x:v>357</x:v>
      </x:c>
      <x:c r="AH100" s="7" t="str"/>
      <x:c r="AI100" s="7" t="str">
        <x:v>English</x:v>
      </x:c>
      <x:c r="AJ100" s="7" t="str"/>
      <x:c r="AK100" s="15" t="str"/>
      <x:c r="AL100" s="7" t="str"/>
      <x:c r="AM100" s="7" t="str">
        <x:v>AGUILAR MEGAN ANDREA</x:v>
      </x:c>
      <x:c r="AN100" s="7" t="str">
        <x:v>https://cdicloud.insurance.ca.gov/cal/LicenseDetail?SearchType=IND&amp;SearchLicNbr=4490409&amp;SearchIndvId=4490409</x:v>
      </x:c>
      <x:c r="AO100" s="7" t="str">
        <x:v>2026-10-08</x:v>
      </x:c>
      <x:c r="AP100" s="7" t="str">
        <x:v>20d61a3bcfbe6f8aca5f31d5f5a5e86ea2dcafe0c9705782eadf8190e208776c</x:v>
      </x:c>
      <x:c r="AQ100" s="7" t="str">
        <x:v>Life / Active / 09/09/2025 / 09/09/2025 / 09/30/2027
Var Life and Var Annuity / Active / 09/16/2025 / 09/16/2025 / 09/30/2027</x:v>
      </x:c>
      <x:c r="AR100" s="7" t="str">
        <x:v>Active</x:v>
      </x:c>
      <x:c r="AS100" s="7" t="str">
        <x:v>Current detail page</x:v>
      </x:c>
    </x:row>
    <x:row r="101" ht="52" customHeight="1">
      <x:c r="A101" s="7" t="str">
        <x:v>AGUILAR ANDRES ENRIQUE</x:v>
      </x:c>
      <x:c r="B101" s="14" t="str">
        <x:f>"4456006"</x:f>
        <x:v>4456006</x:v>
      </x:c>
      <x:c r="C101" s="7" t="str">
        <x:v>Omitted</x:v>
      </x:c>
      <x:c r="D101" s="7" t="str">
        <x:v>REVIEW</x:v>
      </x:c>
      <x:c r="E101" s="13" t="str">
        <x:v>Pending</x:v>
      </x:c>
      <x:c r="F101" s="13" t="str"/>
      <x:c r="G101" s="13" t="str"/>
      <x:c r="H101" s="13" t="str"/>
      <x:c r="I101" s="7" t="str">
        <x:v>Was this person reviewed? If rejected, give the actual rule and evidence. If acceptable, correct the omission. Resolve: No collected public business phone.</x:v>
      </x:c>
      <x:c r="J101" s="7" t="str">
        <x:v>R5</x:v>
      </x:c>
      <x:c r="K101" s="7" t="str">
        <x:v>Requires verification: No collected public business phone. These facts do not establish the original reviewer’s motive.</x:v>
      </x:c>
      <x:c r="L101" s="7" t="str">
        <x:v>Not supplied; membership is known, motive is not</x:v>
      </x:c>
      <x:c r="M101" s="7" t="n">
        <x:v>5</x:v>
      </x:c>
      <x:c r="N101" s="7" t="str">
        <x:v>Find contact information first</x:v>
      </x:c>
      <x:c r="O101" s="7" t="str">
        <x:v>Active</x:v>
      </x:c>
      <x:c r="P101" s="7" t="str">
        <x:v>08/14/2025</x:v>
      </x:c>
      <x:c r="Q101" s="7" t="str">
        <x:v>08/31/2027</x:v>
      </x:c>
      <x:c r="R101" s="7" t="str">
        <x:v>Accident &amp; Health or Sickness; Life; Var Life and Var Annuity</x:v>
      </x:c>
      <x:c r="S101" s="15" t="str"/>
      <x:c r="T101" s="7" t="str">
        <x:v>No public business phone in collected record</x:v>
      </x:c>
      <x:c r="U101" s="7" t="str">
        <x:v>5796 ARMADA DRIVE CARLSBAD CA, 92078</x:v>
      </x:c>
      <x:c r="V101" s="7" t="str">
        <x:v>Resident</x:v>
      </x:c>
      <x:c r="W101" s="7" t="str">
        <x:v>CA</x:v>
      </x:c>
      <x:c r="X101" s="7" t="str"/>
      <x:c r="Y101" s="7" t="str"/>
      <x:c r="Z101" s="7" t="str"/>
      <x:c r="AA101" s="7" t="str"/>
      <x:c r="AB101" s="7" t="str"/>
      <x:c r="AC101" s="7" t="str"/>
      <x:c r="AD101" s="7" t="str">
        <x:v>Active general Life authority | No agency or insurer displayed: onboarding opportunity possible; existing business unknown | Active A&amp;H supports optional cross-selling; not necessary for target products</x:v>
      </x:c>
      <x:c r="AE101" s="7" t="str">
        <x:v>Variable authority: financial-advice/variable-product capability; not needed for fixed annuities and not an automatic exclusion | No public business phone: contact enrichment needed, not proof of poor recruiting fit</x:v>
      </x:c>
      <x:c r="AF101" s="16" t="n">
        <x:v>1.1</x:v>
      </x:c>
      <x:c r="AG101" s="17" t="n">
        <x:v>327</x:v>
      </x:c>
      <x:c r="AH101" s="7" t="str"/>
      <x:c r="AI101" s="7" t="str">
        <x:v>English</x:v>
      </x:c>
      <x:c r="AJ101" s="7" t="str"/>
      <x:c r="AK101" s="15" t="str"/>
      <x:c r="AL101" s="7" t="str"/>
      <x:c r="AM101" s="7" t="str">
        <x:v>AGUILAR ENRIQUE ANDRES</x:v>
      </x:c>
      <x:c r="AN101" s="7" t="str">
        <x:v>https://cdicloud.insurance.ca.gov/cal/LicenseDetail?SearchType=IND&amp;SearchLicNbr=4456006&amp;SearchIndvId=4456006</x:v>
      </x:c>
      <x:c r="AO101" s="7" t="str">
        <x:v>2026-10-08</x:v>
      </x:c>
      <x:c r="AP101" s="7" t="str">
        <x:v>06b9a6efd6bcae58645887eb3938e5603eec0da8950ef1006ebc511a06376118</x:v>
      </x:c>
      <x:c r="AQ101" s="7" t="str">
        <x:v>Accident &amp; Health or Sickness / Active / 08/14/2025 / 08/14/2025 / 08/31/2027
Life / Active / 08/14/2025 / 08/14/2025 / 08/31/2027
Var Life and Var Annuity / Active / 08/14/2025 / 08/14/2025 / 08/31/2027</x:v>
      </x:c>
      <x:c r="AR101" s="7" t="str">
        <x:v>Active</x:v>
      </x:c>
      <x:c r="AS101" s="7" t="str">
        <x:v>Current detail page</x:v>
      </x:c>
    </x:row>
    <x:row r="102" ht="52" customHeight="1">
      <x:c r="A102" s="7" t="str">
        <x:v>AGUILAR ANGELA CORINNA</x:v>
      </x:c>
      <x:c r="B102" s="14" t="str">
        <x:f>"0I46780"</x:f>
        <x:v>0I46780</x:v>
      </x:c>
      <x:c r="C102" s="7" t="str">
        <x:v>Omitted</x:v>
      </x:c>
      <x:c r="D102" s="7" t="str">
        <x:v>REVIEW</x:v>
      </x:c>
      <x:c r="E102" s="13" t="str">
        <x:v>Pending</x:v>
      </x:c>
      <x:c r="F102" s="13" t="str"/>
      <x:c r="G102" s="13" t="str"/>
      <x:c r="H102" s="13" t="str"/>
      <x:c r="I102" s="7" t="str">
        <x:v>Was this person reviewed? If rejected, give the actual rule and evidence. If acceptable, correct the omission. Resolve: No collected public business phone.</x:v>
      </x:c>
      <x:c r="J102" s="7" t="str">
        <x:v>R5</x:v>
      </x:c>
      <x:c r="K102" s="7" t="str">
        <x:v>Requires verification: No collected public business phone. These facts do not establish the original reviewer’s motive.</x:v>
      </x:c>
      <x:c r="L102" s="7" t="str">
        <x:v>Not supplied; membership is known, motive is not</x:v>
      </x:c>
      <x:c r="M102" s="7" t="n">
        <x:v>5</x:v>
      </x:c>
      <x:c r="N102" s="7" t="str">
        <x:v>Find contact information first</x:v>
      </x:c>
      <x:c r="O102" s="7" t="str">
        <x:v>Active</x:v>
      </x:c>
      <x:c r="P102" s="7" t="str">
        <x:v>08/06/2013</x:v>
      </x:c>
      <x:c r="Q102" s="7" t="str">
        <x:v>08/31/2027</x:v>
      </x:c>
      <x:c r="R102" s="7" t="str">
        <x:v>Life; Var Life and Var Annuity</x:v>
      </x:c>
      <x:c r="S102" s="15" t="str"/>
      <x:c r="T102" s="7" t="str">
        <x:v>No public business phone in collected record</x:v>
      </x:c>
      <x:c r="U102" s="7" t="str">
        <x:v>721 NEVADA ST 301 REDLANDS CA, 92373</x:v>
      </x:c>
      <x:c r="V102" s="7" t="str">
        <x:v>Resident</x:v>
      </x:c>
      <x:c r="W102" s="7" t="str">
        <x:v>CA</x:v>
      </x:c>
      <x:c r="X102" s="7" t="str">
        <x:v>PRIMERICA FINANCIAL SERVICES INSURANCE MARKETING, INC. / Life / 08/06/2013
PRIMERICA FINANCIAL SERVICES INSURANCE MARKETING, INC. / Var Life and Var Annuity / 12/16/2014</x:v>
      </x:c>
      <x:c r="Y102" s="7" t="str">
        <x:v>AMERICAN GENERAL LIFE INSURANCE COMPANY / Life / 03/16/2022
CMFG LIFE INSURANCE COMPANY / Life / 05/17/2019
CMFG LIFE INSURANCE COMPANY / Var Life and Var Annuity / 07/25/2025
EQUITABLE FINANCIAL LIFE INSURANCE COMPANY / Life / 01/26/2015
EQUITABLE FINANCIAL LIFE INSURANCE COMPANY / Var Life and Var Annuity / 01/26/2015
LINCOLN NATIONAL LIFE INSURANCE COMPANY (THE) / Life / 08/06/2013</x:v>
      </x:c>
      <x:c r="Z102" s="7" t="str"/>
      <x:c r="AA102" s="7" t="str"/>
      <x:c r="AB102" s="7" t="str"/>
      <x:c r="AC102" s="7" t="str"/>
      <x:c r="AD102" s="7" t="str">
        <x:v>Active general Life authority | Primerica relationship: matches an explicitly targeted recruiting segment | Direct Life appointments outside the selected health-carrier set: AMERICAN GENERAL LIFE INSURANCE COMPANY, CMFG LIFE INSURANCE COMPANY, EQUITABLE FINANCIAL LIFE INSURANCE COMPANY, LINCOLN NATIONAL LIFE INSURANCE COMPANY (THE)</x:v>
      </x:c>
      <x:c r="AE102" s="7" t="str">
        <x:v>Variable authority: financial-advice/variable-product capability; not needed for fixed annuities and not an automatic exclusion | No public business phone: contact enrichment needed, not proof of poor recruiting fit</x:v>
      </x:c>
      <x:c r="AF102" s="16" t="n">
        <x:v>13.2</x:v>
      </x:c>
      <x:c r="AG102" s="17" t="n">
        <x:v>327</x:v>
      </x:c>
      <x:c r="AH102" s="7" t="str">
        <x:v>2022-03-16</x:v>
      </x:c>
      <x:c r="AI102" s="7" t="str">
        <x:v>English</x:v>
      </x:c>
      <x:c r="AJ102" s="7" t="str"/>
      <x:c r="AK102" s="15" t="str"/>
      <x:c r="AL102" s="7" t="str"/>
      <x:c r="AM102" s="7" t="str">
        <x:v>aguilar c angela | AGUILAR CORINNA ANGELA</x:v>
      </x:c>
      <x:c r="AN102" s="7" t="str">
        <x:v>https://cdicloud.insurance.ca.gov/cal/LicenseDetail?SearchType=IND&amp;SearchLicNbr=0I46780&amp;SearchIndvId=1593718</x:v>
      </x:c>
      <x:c r="AO102" s="7" t="str">
        <x:v>2026-10-08</x:v>
      </x:c>
      <x:c r="AP102" s="7" t="str">
        <x:v>ee8fee3fc9a7098cb9c7b77af3710f433739157b7fa1dc03a7dd98ca465161f7</x:v>
      </x:c>
      <x:c r="AQ102" s="7" t="str">
        <x:v>Life / Active / 08/06/2013 / 08/06/2013 / 08/31/2027
Var Life and Var Annuity / Active / 12/16/2014 / 12/16/2014 / 08/31/2027</x:v>
      </x:c>
      <x:c r="AR102" s="7" t="str">
        <x:v>Active</x:v>
      </x:c>
      <x:c r="AS102" s="7" t="str">
        <x:v>Current detail page</x:v>
      </x:c>
    </x:row>
    <x:row r="103" ht="52" customHeight="1">
      <x:c r="A103" s="7" t="str">
        <x:v>AGUILAR ARMANDO CARLOS JR</x:v>
      </x:c>
      <x:c r="B103" s="14" t="str">
        <x:f>"0H33548"</x:f>
        <x:v>0H33548</x:v>
      </x:c>
      <x:c r="C103" s="7" t="str">
        <x:v>Omitted</x:v>
      </x:c>
      <x:c r="D103" s="7" t="str">
        <x:v>REVIEW</x:v>
      </x:c>
      <x:c r="E103" s="13" t="str">
        <x:v>Pending</x:v>
      </x:c>
      <x:c r="F103" s="13" t="str"/>
      <x:c r="G103" s="13" t="str"/>
      <x:c r="H103" s="13" t="str"/>
      <x:c r="I103" s="7" t="str">
        <x:v>Was this person reviewed? If rejected, give the actual rule and evidence. If acceptable, correct the omission. Resolve: Selected health-carrier Life mix; P&amp;C emphasis without separate core-Life signal; No collected public business phone.</x:v>
      </x:c>
      <x:c r="J103" s="7" t="str">
        <x:v>R4, R5</x:v>
      </x:c>
      <x:c r="K103" s="7" t="str">
        <x:v>Requires verification: Selected health-carrier Life mix; P&amp;C emphasis without separate core-Life signal; No collected public business phone. These facts do not establish the original reviewer’s motive.</x:v>
      </x:c>
      <x:c r="L103" s="7" t="str">
        <x:v>Not supplied; membership is known, motive is not</x:v>
      </x:c>
      <x:c r="M103" s="7" t="n">
        <x:v>5</x:v>
      </x:c>
      <x:c r="N103" s="7" t="str">
        <x:v>Find contact information first</x:v>
      </x:c>
      <x:c r="O103" s="7" t="str">
        <x:v>Active</x:v>
      </x:c>
      <x:c r="P103" s="7" t="str">
        <x:v>03/06/2025</x:v>
      </x:c>
      <x:c r="Q103" s="7" t="str">
        <x:v>07/31/2028</x:v>
      </x:c>
      <x:c r="R103" s="7" t="str">
        <x:v>Accident &amp; Health or Sickness; Casualty; Life; Property</x:v>
      </x:c>
      <x:c r="S103" s="15" t="str"/>
      <x:c r="T103" s="7" t="str">
        <x:v>No public business phone in collected record</x:v>
      </x:c>
      <x:c r="U103" s="7" t="str">
        <x:v>835 FIFTH AVE. 307 SAN DIEGO CA, 92101</x:v>
      </x:c>
      <x:c r="V103" s="7" t="str">
        <x:v>Resident</x:v>
      </x:c>
      <x:c r="W103" s="7" t="str">
        <x:v>CA</x:v>
      </x:c>
      <x:c r="X103" s="7" t="str"/>
      <x:c r="Y103" s="7" t="str">
        <x:v>AETNA LIFE INSURANCE COMPANY / Accident &amp; Health or Sickness / 11/22/2025
ANTHEM BLUE CROSS LIFE AND HEALTH INSURANCE COMPANY / Accident &amp; Health or Sickness / 09/04/2025
ANTHEM BLUE CROSS LIFE AND HEALTH INSURANCE COMPANY / Life / 09/04/2025
BLUE SHIELD OF CALIFORNIA LIFE &amp; HEALTH INSURANCE COMPANY / Accident &amp; Health or Sickness / 03/28/2025
BLUE SHIELD OF CALIFORNIA LIFE &amp; HEALTH INSURANCE COMPANY / Life / 03/28/2025
HUMANA BENEFIT PLAN OF ILLINOIS, INC. / Accident &amp; Health or Sickness / 11/03/2025
UNITEDHEALTHCARE INSURANCE COMPANY / Accident &amp; Health or Sickness / 08/22/2025</x:v>
      </x:c>
      <x:c r="Z103" s="7" t="str"/>
      <x:c r="AA103" s="7" t="str"/>
      <x:c r="AB103" s="7" t="str"/>
      <x:c r="AC103" s="7" t="str"/>
      <x:c r="AD103" s="7" t="str">
        <x:v>Active general Life authority | Active A&amp;H supports optional cross-selling; not necessary for target products</x:v>
      </x:c>
      <x:c r="AE103" s="7" t="str">
        <x:v>Life appointments shown only at selected health-oriented carriers; core Life activity unestablished | P&amp;C/Personal Lines authority without displayed core Life appointments; mixed profile requires review | No public business phone: contact enrichment needed, not proof of poor recruiting fit</x:v>
      </x:c>
      <x:c r="AF103" s="16" t="n">
        <x:v>1.6</x:v>
      </x:c>
      <x:c r="AG103" s="17" t="n">
        <x:v>662</x:v>
      </x:c>
      <x:c r="AH103" s="7" t="str">
        <x:v>2025-09-04</x:v>
      </x:c>
      <x:c r="AI103" s="7" t="str">
        <x:v>English</x:v>
      </x:c>
      <x:c r="AJ103" s="7" t="str"/>
      <x:c r="AK103" s="15" t="str"/>
      <x:c r="AL103" s="7" t="str"/>
      <x:c r="AM103" s="7" t="str">
        <x:v>AGUILAR CARLOS ARMANDO</x:v>
      </x:c>
      <x:c r="AN103" s="7" t="str">
        <x:v>https://cdicloud.insurance.ca.gov/cal/LicenseDetail?SearchType=IND&amp;SearchLicNbr=0H33548&amp;SearchIndvId=1421150</x:v>
      </x:c>
      <x:c r="AO103" s="7" t="str">
        <x:v>2026-10-08</x:v>
      </x:c>
      <x:c r="AP103" s="7" t="str">
        <x:v>a436786400008a32caa28086238d97e8ab7d5d01cad04594cfcdc3367db9b537</x:v>
      </x:c>
      <x:c r="AQ103" s="7" t="str">
        <x:v>Accident &amp; Health or Sickness / Active / 03/06/2025 / 03/06/2025 / 07/31/2028
Casualty / Active / 07/03/2024 / 07/03/2024 / 07/31/2028
Life / Active / 03/06/2025 / 03/06/2025 / 07/31/2028
Property / Active / 07/03/2024 / 07/03/2024 / 07/31/2028</x:v>
      </x:c>
      <x:c r="AR103" s="7" t="str">
        <x:v>Active</x:v>
      </x:c>
      <x:c r="AS103" s="7" t="str">
        <x:v>Current detail page</x:v>
      </x:c>
    </x:row>
    <x:row r="104" ht="52" customHeight="1">
      <x:c r="A104" s="7" t="str">
        <x:v>AGUILAR ARTURO</x:v>
      </x:c>
      <x:c r="B104" s="14" t="str">
        <x:f>"0H77149"</x:f>
        <x:v>0H77149</x:v>
      </x:c>
      <x:c r="C104" s="7" t="str">
        <x:v>Omitted</x:v>
      </x:c>
      <x:c r="D104" s="7" t="str">
        <x:v>REVIEW</x:v>
      </x:c>
      <x:c r="E104" s="13" t="str">
        <x:v>Pending</x:v>
      </x:c>
      <x:c r="F104" s="13" t="str"/>
      <x:c r="G104" s="13" t="str"/>
      <x:c r="H104" s="13" t="str"/>
      <x:c r="I104" s="7" t="str">
        <x:v>Was this person reviewed? If rejected, give the actual rule and evidence. If acceptable, correct the omission. Resolve: No collected public business phone.</x:v>
      </x:c>
      <x:c r="J104" s="7" t="str">
        <x:v>R5</x:v>
      </x:c>
      <x:c r="K104" s="7" t="str">
        <x:v>Requires verification: No collected public business phone. These facts do not establish the original reviewer’s motive.</x:v>
      </x:c>
      <x:c r="L104" s="7" t="str">
        <x:v>Not supplied; membership is known, motive is not</x:v>
      </x:c>
      <x:c r="M104" s="7" t="n">
        <x:v>5</x:v>
      </x:c>
      <x:c r="N104" s="7" t="str">
        <x:v>Find contact information first</x:v>
      </x:c>
      <x:c r="O104" s="7" t="str">
        <x:v>Active</x:v>
      </x:c>
      <x:c r="P104" s="7" t="str">
        <x:v>07/12/2012</x:v>
      </x:c>
      <x:c r="Q104" s="7" t="str">
        <x:v>07/31/2028</x:v>
      </x:c>
      <x:c r="R104" s="7" t="str">
        <x:v>Life; Var Life and Var Annuity</x:v>
      </x:c>
      <x:c r="S104" s="15" t="str"/>
      <x:c r="T104" s="7" t="str">
        <x:v>No public business phone in collected record</x:v>
      </x:c>
      <x:c r="U104" s="7" t="str">
        <x:v>29430 SIDERITE CIR MENIFEE CA, 92584-8239</x:v>
      </x:c>
      <x:c r="V104" s="7" t="str">
        <x:v>Resident</x:v>
      </x:c>
      <x:c r="W104" s="7" t="str">
        <x:v>CA</x:v>
      </x:c>
      <x:c r="X104" s="7" t="str"/>
      <x:c r="Y104" s="7" t="str">
        <x:v>EMPOWER ANNUITY INSURANCE COMPANY / Life / 09/29/2025
EMPOWER ANNUITY INSURANCE COMPANY / Var Life and Var Annuity / 09/29/2025</x:v>
      </x:c>
      <x:c r="Z104" s="7" t="str"/>
      <x:c r="AA104" s="7" t="str"/>
      <x:c r="AB104" s="7" t="str"/>
      <x:c r="AC104" s="7" t="str"/>
      <x:c r="AD104" s="7" t="str">
        <x:v>Active general Life authority | Direct Life appointments outside the selected health-carrier set: EMPOWER ANNUITY INSURANCE COMPANY</x:v>
      </x:c>
      <x:c r="AE104" s="7" t="str">
        <x:v>Variable authority: financial-advice/variable-product capability; not needed for fixed annuities and not an automatic exclusion | No public business phone: contact enrichment needed, not proof of poor recruiting fit</x:v>
      </x:c>
      <x:c r="AF104" s="16" t="n">
        <x:v>14.2</x:v>
      </x:c>
      <x:c r="AG104" s="17" t="n">
        <x:v>662</x:v>
      </x:c>
      <x:c r="AH104" s="7" t="str">
        <x:v>2025-09-29</x:v>
      </x:c>
      <x:c r="AI104" s="7" t="str">
        <x:v>English, Spanish, Spanish</x:v>
      </x:c>
      <x:c r="AJ104" s="7" t="str"/>
      <x:c r="AK104" s="15" t="str"/>
      <x:c r="AL104" s="7" t="str"/>
      <x:c r="AM104" s="7" t="str">
        <x:v>AGUILAR  ARTURO</x:v>
      </x:c>
      <x:c r="AN104" s="7" t="str">
        <x:v>https://cdicloud.insurance.ca.gov/cal/LicenseDetail?SearchType=IND&amp;SearchLicNbr=0H77149&amp;SearchIndvId=1520581</x:v>
      </x:c>
      <x:c r="AO104" s="7" t="str">
        <x:v>2026-10-08</x:v>
      </x:c>
      <x:c r="AP104" s="7" t="str">
        <x:v>a8d8557c89d0256444c8d9af2396321a350cd756b21767ba57547924585acc90</x:v>
      </x:c>
      <x:c r="AQ104" s="7" t="str">
        <x:v>Life / Active / 07/12/2012 / 08/04/2020 / 07/31/2028
Var Life and Var Annuity / Active / 07/12/2012 / 08/04/2020 / 07/31/2028</x:v>
      </x:c>
      <x:c r="AR104" s="7" t="str">
        <x:v>Active</x:v>
      </x:c>
      <x:c r="AS104" s="7" t="str">
        <x:v>Current detail page</x:v>
      </x:c>
    </x:row>
    <x:row r="105" ht="52" customHeight="1">
      <x:c r="A105" s="7" t="str">
        <x:v>AGUILAR BERNARD JR</x:v>
      </x:c>
      <x:c r="B105" s="14" t="str">
        <x:f>"4058378"</x:f>
        <x:v>4058378</x:v>
      </x:c>
      <x:c r="C105" s="7" t="str">
        <x:v>Omitted</x:v>
      </x:c>
      <x:c r="D105" s="7" t="str">
        <x:v>REVIEW</x:v>
      </x:c>
      <x:c r="E105" s="13" t="str">
        <x:v>Pending</x:v>
      </x:c>
      <x:c r="F105" s="13" t="str"/>
      <x:c r="G105" s="13" t="str"/>
      <x:c r="H105" s="13" t="str"/>
      <x:c r="I105" s="7" t="str">
        <x:v>Was this person reviewed? If rejected, give the actual rule and evidence. If acceptable, correct the omission. Resolve: No collected public business phone.</x:v>
      </x:c>
      <x:c r="J105" s="7" t="str">
        <x:v>R5</x:v>
      </x:c>
      <x:c r="K105" s="7" t="str">
        <x:v>Requires verification: No collected public business phone. These facts do not establish the original reviewer’s motive.</x:v>
      </x:c>
      <x:c r="L105" s="7" t="str">
        <x:v>Not supplied; membership is known, motive is not</x:v>
      </x:c>
      <x:c r="M105" s="7" t="n">
        <x:v>5</x:v>
      </x:c>
      <x:c r="N105" s="7" t="str">
        <x:v>Find contact information first</x:v>
      </x:c>
      <x:c r="O105" s="7" t="str">
        <x:v>Active</x:v>
      </x:c>
      <x:c r="P105" s="7" t="str">
        <x:v>08/04/2020</x:v>
      </x:c>
      <x:c r="Q105" s="7" t="str">
        <x:v>08/31/2028</x:v>
      </x:c>
      <x:c r="R105" s="7" t="str">
        <x:v>Life</x:v>
      </x:c>
      <x:c r="S105" s="15" t="str"/>
      <x:c r="T105" s="7" t="str">
        <x:v>No public business phone in collected record</x:v>
      </x:c>
      <x:c r="U105" s="7" t="str">
        <x:v>2000 E FULLERTON AV #205 FULLERTON CA, 92831</x:v>
      </x:c>
      <x:c r="V105" s="7" t="str">
        <x:v>Resident</x:v>
      </x:c>
      <x:c r="W105" s="7" t="str">
        <x:v>CA</x:v>
      </x:c>
      <x:c r="X105" s="7" t="str"/>
      <x:c r="Y105" s="7" t="str">
        <x:v>GREAT WESTERN INSURANCE COMPANY / Life / 08/19/2020</x:v>
      </x:c>
      <x:c r="Z105" s="7" t="str"/>
      <x:c r="AA105" s="7" t="str"/>
      <x:c r="AB105" s="7" t="str"/>
      <x:c r="AC105" s="7" t="str"/>
      <x:c r="AD105" s="7" t="str">
        <x:v>Active general Life authority | Direct Life appointments outside the selected health-carrier set: GREAT WESTERN INSURANCE COMPANY</x:v>
      </x:c>
      <x:c r="AE105" s="7" t="str">
        <x:v>No public business phone: contact enrichment needed, not proof of poor recruiting fit</x:v>
      </x:c>
      <x:c r="AF105" s="16" t="n">
        <x:v>6.2</x:v>
      </x:c>
      <x:c r="AG105" s="17" t="n">
        <x:v>693</x:v>
      </x:c>
      <x:c r="AH105" s="7" t="str">
        <x:v>2020-08-19</x:v>
      </x:c>
      <x:c r="AI105" s="7" t="str">
        <x:v>English</x:v>
      </x:c>
      <x:c r="AJ105" s="7" t="str"/>
      <x:c r="AK105" s="15" t="str"/>
      <x:c r="AL105" s="7" t="str"/>
      <x:c r="AM105" s="7" t="str">
        <x:v>AGUILAR  BERNARD</x:v>
      </x:c>
      <x:c r="AN105" s="7" t="str">
        <x:v>https://cdicloud.insurance.ca.gov/cal/LicenseDetail?SearchType=IND&amp;SearchLicNbr=4058378&amp;SearchIndvId=4058378</x:v>
      </x:c>
      <x:c r="AO105" s="7" t="str">
        <x:v>2026-10-08</x:v>
      </x:c>
      <x:c r="AP105" s="7" t="str">
        <x:v>d8bab127001096e986329411c7919eac1a7eddcc9b663551234940036419d3ed</x:v>
      </x:c>
      <x:c r="AQ105" s="7" t="str">
        <x:v>Life / Active / 08/04/2020 / 08/04/2020 / 08/31/2028</x:v>
      </x:c>
      <x:c r="AR105" s="7" t="str">
        <x:v>Active</x:v>
      </x:c>
      <x:c r="AS105" s="7" t="str">
        <x:v>Current detail page</x:v>
      </x:c>
    </x:row>
    <x:row r="106" ht="52" customHeight="1">
      <x:c r="A106" s="7" t="str">
        <x:v>AGUILAR BRIANNA</x:v>
      </x:c>
      <x:c r="B106" s="14" t="str">
        <x:f>"4511559"</x:f>
        <x:v>4511559</x:v>
      </x:c>
      <x:c r="C106" s="7" t="str">
        <x:v>Omitted</x:v>
      </x:c>
      <x:c r="D106" s="7" t="str">
        <x:v>REVIEW</x:v>
      </x:c>
      <x:c r="E106" s="13" t="str">
        <x:v>Pending</x:v>
      </x:c>
      <x:c r="F106" s="13" t="str"/>
      <x:c r="G106" s="13" t="str"/>
      <x:c r="H106" s="13" t="str"/>
      <x:c r="I106" s="7" t="str">
        <x:v>Was this person reviewed? If rejected, give the actual rule and evidence. If acceptable, correct the omission. Resolve: Career/member channel and portability; No collected public business phone; Geographic scope.</x:v>
      </x:c>
      <x:c r="J106" s="7" t="str">
        <x:v>R2, R5, R6</x:v>
      </x:c>
      <x:c r="K106" s="7" t="str">
        <x:v>Requires verification: Career/member channel and portability; No collected public business phone; Geographic scope. These facts do not establish the original reviewer’s motive.</x:v>
      </x:c>
      <x:c r="L106" s="7" t="str">
        <x:v>Not supplied; membership is known, motive is not</x:v>
      </x:c>
      <x:c r="M106" s="7" t="n">
        <x:v>5</x:v>
      </x:c>
      <x:c r="N106" s="7" t="str">
        <x:v>Find contact information first</x:v>
      </x:c>
      <x:c r="O106" s="7" t="str">
        <x:v>Active</x:v>
      </x:c>
      <x:c r="P106" s="7" t="str">
        <x:v>11/21/2025</x:v>
      </x:c>
      <x:c r="Q106" s="7" t="str">
        <x:v>11/30/2027</x:v>
      </x:c>
      <x:c r="R106" s="7" t="str">
        <x:v>Life</x:v>
      </x:c>
      <x:c r="S106" s="15" t="str"/>
      <x:c r="T106" s="7" t="str">
        <x:v>No public business phone in collected record</x:v>
      </x:c>
      <x:c r="U106" s="7" t="str">
        <x:v>8940 FOURWINDS DR STE 312 WINDCREST TX, 78239</x:v>
      </x:c>
      <x:c r="V106" s="7" t="str">
        <x:v>Non-resident</x:v>
      </x:c>
      <x:c r="W106" s="7" t="str">
        <x:v>TX</x:v>
      </x:c>
      <x:c r="X106" s="7" t="str"/>
      <x:c r="Y106" s="7" t="str">
        <x:v>NORTHWESTERN MUTUAL LIFE INSURANCE COMPANY (THE) / Life / 11/23/2025</x:v>
      </x:c>
      <x:c r="Z106" s="7" t="str"/>
      <x:c r="AA106" s="7" t="str"/>
      <x:c r="AB106" s="7" t="str"/>
      <x:c r="AC106" s="7" t="str"/>
      <x:c r="AD106" s="7" t="str">
        <x:v>Active general Life authority | Direct Life appointments outside the selected health-carrier set: NORTHWESTERN MUTUAL LIFE INSURANCE COMPANY (THE)</x:v>
      </x:c>
      <x:c r="AE106" s="7" t="str">
        <x:v>Career/member-channel signal: NORTHWESTERN MUTUAL LIFE INSURANCE COMPANY (THE) | Nonresident or address state outside CA; confirm geographic recruiting scope | No public business phone: contact enrichment needed, not proof of poor recruiting fit</x:v>
      </x:c>
      <x:c r="AF106" s="16" t="n">
        <x:v>0.9</x:v>
      </x:c>
      <x:c r="AG106" s="17" t="n">
        <x:v>418</x:v>
      </x:c>
      <x:c r="AH106" s="7" t="str">
        <x:v>2025-11-23</x:v>
      </x:c>
      <x:c r="AI106" s="7" t="str"/>
      <x:c r="AJ106" s="7" t="str"/>
      <x:c r="AK106" s="15" t="str"/>
      <x:c r="AL106" s="7" t="str"/>
      <x:c r="AM106" s="7" t="str">
        <x:v>AGUILAR  BRIANNA</x:v>
      </x:c>
      <x:c r="AN106" s="7" t="str">
        <x:v>https://cdicloud.insurance.ca.gov/cal/LicenseDetail?SearchType=IND&amp;SearchLicNbr=4511559&amp;SearchIndvId=4511559</x:v>
      </x:c>
      <x:c r="AO106" s="7" t="str">
        <x:v>2026-10-08</x:v>
      </x:c>
      <x:c r="AP106" s="7" t="str">
        <x:v>b6a2709824bac8a7d38e87cae803009b6f60e288734a3d6a1557c4f4e4668ba3</x:v>
      </x:c>
      <x:c r="AQ106" s="7" t="str">
        <x:v>Life / Active / 11/21/2025 / 11/21/2025 / 11/30/2027</x:v>
      </x:c>
      <x:c r="AR106" s="7" t="str">
        <x:v>Active</x:v>
      </x:c>
      <x:c r="AS106" s="7" t="str">
        <x:v>Current detail page</x:v>
      </x:c>
    </x:row>
    <x:row r="107" ht="52" customHeight="1">
      <x:c r="A107" s="7" t="str">
        <x:v>AGUILAR CARLOS DANIEL</x:v>
      </x:c>
      <x:c r="B107" s="14" t="str">
        <x:f>"0M50710"</x:f>
        <x:v>0M50710</x:v>
      </x:c>
      <x:c r="C107" s="7" t="str">
        <x:v>Omitted</x:v>
      </x:c>
      <x:c r="D107" s="7" t="str">
        <x:v>REVIEW</x:v>
      </x:c>
      <x:c r="E107" s="13" t="str">
        <x:v>Pending</x:v>
      </x:c>
      <x:c r="F107" s="13" t="str"/>
      <x:c r="G107" s="13" t="str"/>
      <x:c r="H107" s="13" t="str"/>
      <x:c r="I107" s="7" t="str">
        <x:v>Was this person reviewed? If rejected, give the actual rule and evidence. If acceptable, correct the omission. Resolve: No collected public business phone.</x:v>
      </x:c>
      <x:c r="J107" s="7" t="str">
        <x:v>R5</x:v>
      </x:c>
      <x:c r="K107" s="7" t="str">
        <x:v>Requires verification: No collected public business phone. These facts do not establish the original reviewer’s motive.</x:v>
      </x:c>
      <x:c r="L107" s="7" t="str">
        <x:v>Not supplied; membership is known, motive is not</x:v>
      </x:c>
      <x:c r="M107" s="7" t="n">
        <x:v>5</x:v>
      </x:c>
      <x:c r="N107" s="7" t="str">
        <x:v>Find contact information first</x:v>
      </x:c>
      <x:c r="O107" s="7" t="str">
        <x:v>Active</x:v>
      </x:c>
      <x:c r="P107" s="7" t="str">
        <x:v>09/25/2019</x:v>
      </x:c>
      <x:c r="Q107" s="7" t="str">
        <x:v>08/31/2028</x:v>
      </x:c>
      <x:c r="R107" s="7" t="str">
        <x:v>Casualty; Life; Property</x:v>
      </x:c>
      <x:c r="S107" s="15" t="str"/>
      <x:c r="T107" s="7" t="str">
        <x:v>No public business phone in collected record</x:v>
      </x:c>
      <x:c r="U107" s="7" t="str">
        <x:v>309 MAIN ST SEAL BEACH CA, 90740</x:v>
      </x:c>
      <x:c r="V107" s="7" t="str">
        <x:v>Resident</x:v>
      </x:c>
      <x:c r="W107" s="7" t="str">
        <x:v>CA</x:v>
      </x:c>
      <x:c r="X107" s="7" t="str"/>
      <x:c r="Y107" s="7" t="str">
        <x:v>PROTECTIVE LIFE INSURANCE COMPANY / Life / 12/21/2021</x:v>
      </x:c>
      <x:c r="Z107" s="7" t="str"/>
      <x:c r="AA107" s="7" t="str"/>
      <x:c r="AB107" s="7" t="str"/>
      <x:c r="AC107" s="7" t="str"/>
      <x:c r="AD107" s="7" t="str">
        <x:v>Active general Life authority | Direct Life appointments outside the selected health-carrier set: PROTECTIVE LIFE INSURANCE COMPANY</x:v>
      </x:c>
      <x:c r="AE107" s="7" t="str">
        <x:v>Mixed P&amp;C/Life qualifications; not an exclusion because approved examples have both | No public business phone: contact enrichment needed, not proof of poor recruiting fit</x:v>
      </x:c>
      <x:c r="AF107" s="16" t="n">
        <x:v>7</x:v>
      </x:c>
      <x:c r="AG107" s="17" t="n">
        <x:v>693</x:v>
      </x:c>
      <x:c r="AH107" s="7" t="str">
        <x:v>2021-12-21</x:v>
      </x:c>
      <x:c r="AI107" s="7" t="str">
        <x:v>English</x:v>
      </x:c>
      <x:c r="AJ107" s="7" t="str"/>
      <x:c r="AK107" s="15" t="str"/>
      <x:c r="AL107" s="7" t="str"/>
      <x:c r="AM107" s="7" t="str">
        <x:v>AGUILAR DANIEL CARLOS | Aguilar Flores D Carlos</x:v>
      </x:c>
      <x:c r="AN107" s="7" t="str">
        <x:v>https://cdicloud.insurance.ca.gov/cal/LicenseDetail?SearchType=IND&amp;SearchLicNbr=0M50710&amp;SearchIndvId=2043365</x:v>
      </x:c>
      <x:c r="AO107" s="7" t="str">
        <x:v>2026-10-08</x:v>
      </x:c>
      <x:c r="AP107" s="7" t="str">
        <x:v>aa88edeb43d844810f6ad1cb2a7e91b674b27a513358e41f54d08f1ed223ab1b</x:v>
      </x:c>
      <x:c r="AQ107" s="7" t="str">
        <x:v>Casualty / Active / 08/15/2018 / 08/15/2018 / 08/31/2028
Life / Active / 09/25/2019 / 09/25/2019 / 08/31/2028
Property / Active / 08/15/2018 / 08/15/2018 / 08/31/2028</x:v>
      </x:c>
      <x:c r="AR107" s="7" t="str">
        <x:v>Active</x:v>
      </x:c>
      <x:c r="AS107" s="7" t="str">
        <x:v>Current detail page</x:v>
      </x:c>
    </x:row>
    <x:row r="108" ht="52" customHeight="1">
      <x:c r="A108" s="7" t="str">
        <x:v>AGUILAR CARRIE</x:v>
      </x:c>
      <x:c r="B108" s="14" t="str">
        <x:f>"0I29585"</x:f>
        <x:v>0I29585</x:v>
      </x:c>
      <x:c r="C108" s="7" t="str">
        <x:v>Omitted</x:v>
      </x:c>
      <x:c r="D108" s="7" t="str">
        <x:v>REVIEW</x:v>
      </x:c>
      <x:c r="E108" s="13" t="str">
        <x:v>Pending</x:v>
      </x:c>
      <x:c r="F108" s="13" t="str"/>
      <x:c r="G108" s="13" t="str"/>
      <x:c r="H108" s="13" t="str"/>
      <x:c r="I108" s="7" t="str">
        <x:v>Was this person reviewed? If rejected, give the actual rule and evidence. If acceptable, correct the omission. Resolve: No collected public business phone.</x:v>
      </x:c>
      <x:c r="J108" s="7" t="str">
        <x:v>R5</x:v>
      </x:c>
      <x:c r="K108" s="7" t="str">
        <x:v>Requires verification: No collected public business phone. These facts do not establish the original reviewer’s motive.</x:v>
      </x:c>
      <x:c r="L108" s="7" t="str">
        <x:v>Not supplied; membership is known, motive is not</x:v>
      </x:c>
      <x:c r="M108" s="7" t="n">
        <x:v>5</x:v>
      </x:c>
      <x:c r="N108" s="7" t="str">
        <x:v>Find contact information first</x:v>
      </x:c>
      <x:c r="O108" s="7" t="str">
        <x:v>Active</x:v>
      </x:c>
      <x:c r="P108" s="7" t="str">
        <x:v>04/05/2013</x:v>
      </x:c>
      <x:c r="Q108" s="7" t="str">
        <x:v>04/30/2027</x:v>
      </x:c>
      <x:c r="R108" s="7" t="str">
        <x:v>Accident &amp; Health or Sickness; Life</x:v>
      </x:c>
      <x:c r="S108" s="15" t="str"/>
      <x:c r="T108" s="7" t="str">
        <x:v>No public business phone in collected record</x:v>
      </x:c>
      <x:c r="U108" s="7" t="str">
        <x:v>1146 E LEXINGTON DR, 102 102 GLENDALE CA, 91206</x:v>
      </x:c>
      <x:c r="V108" s="7" t="str">
        <x:v>Resident</x:v>
      </x:c>
      <x:c r="W108" s="7" t="str">
        <x:v>CA</x:v>
      </x:c>
      <x:c r="X108" s="7" t="str"/>
      <x:c r="Y108" s="7" t="str">
        <x:v>AMERICAN EQUITY INVESTMENT LIFE INSURANCE COMPANY / Life / 02/22/2021
AMERICAN GENERAL LIFE INSURANCE COMPANY / Accident &amp; Health or Sickness / 04/16/2019
AMERICAN GENERAL LIFE INSURANCE COMPANY / Life / 04/16/2019
AMERICAN-AMICABLE LIFE INSURANCE COMPANY OF TEXAS / Life / 07/31/2019
AMERICO FINANCIAL LIFE AND ANNUITY INSURANCE COMPANY / Life / 05/17/2019
ATHENE ANNUITY AND LIFE COMPANY / Life / 06/29/2018
BANNER LIFE INSURANCE COMPANY / Life / 02/07/2023
FIDELITY &amp; GUARANTY LIFE INSURANCE COMPANY / Life / 10/18/2019
GERBER LIFE INSURANCE COMPANY / Accident &amp; Health or Sickness / 10/07/2021
GERBER LIFE INSURANCE COMPANY / Life / 10/07/2021
IA AMERICAN LIFE INSURANCE COMPANY / Life / 10/25/2016
INDEPENDENT ORDER OF FORESTERS (THE) / Life / 06/12/2019
LAFAYETTE LIFE INSURANCE COMPANY (THE) / Disability Only / 09/04/2019
LAFAYETTE LIFE INSURANCE COMPANY (THE) / Life / 09/04/2019
LIFE INSURANCE COMPANY OF THE SOUTHWEST / Accident &amp; Health or Sickness / 03/14/2019
LIFE INSURANCE COMPANY OF THE SOUTHWEST / Life / 03/14/2019
MUTUAL OF OMAHA INSURANCE COMPANY / Accident &amp; Health or Sickness / 08/16/2018
NATIONWIDE LIFE AND ANNUITY INSURANCE COMPANY / Accident &amp; Health or Sickness / 05/08/2015
NATIONWIDE LIFE AND ANNUITY INSURANCE COMPANY / Life / 05/08/2015
PRUCO LIFE INSURANCE COMPANY / Life / 06/13/2017
ROYAL NEIGHBORS OF AMERICA / Life / 02/12/2021
SAVINGS BANK MUTUAL LIFE INSURANCE COMPANY OF MASSACHUSETTS (THE) / Life / 09/21/2021
TRANSAMERICA LIFE INSURANCE COMPANY / Accident &amp; Health or Sickness / 02/12/2020
TRANSAMERICA LIFE INSURANCE COMPANY / Life / 02/12/2020
UNITED HOME LIFE INSURANCE COMPANY / Life / 01/01/2026
UNITED OF OMAHA LIFE INSURANCE COMPANY / Accident &amp; Health or Sickness / 03/05/2019
UNITED OF OMAHA LIFE INSURANCE COMPANY / Life / 03/05/2019</x:v>
      </x:c>
      <x:c r="Z108" s="7" t="str"/>
      <x:c r="AA108" s="7" t="str"/>
      <x:c r="AB108" s="7" t="str"/>
      <x:c r="AC108" s="7" t="str"/>
      <x:c r="AD108" s="7" t="str">
        <x:v>Active general Life authority | Direct Life appointments outside the selected health-carrier set: AMERICAN EQUITY INVESTMENT LIFE INSURANCE COMPANY, AMERICAN GENERAL LIFE INSURANCE COMPANY, AMERICAN-AMICABLE LIFE INSURANCE COMPANY OF TEXAS, AMERICO FINANCIAL LIFE AND ANNUITY INSURANCE COMPANY, ATHENE ANNUITY AND LIFE COMPANY, BANNER LIFE INSURANCE COMPANY, FIDELITY &amp; GUARANTY LIFE INSURANCE COMPANY, GERBER LIFE INSURANCE COMPANY, IA AMERICAN LIFE INSURANCE COMPANY, INDEPENDENT ORDER OF FORESTERS (THE), LAFAYETTE LIFE INSURANCE COMPANY (THE), LIFE INSURANCE COMPANY OF THE SOUTHWEST, NATIONWIDE LIFE AND ANNUITY INSURANCE COMPANY, PRUCO LIFE INSURANCE COMPANY, ROYAL NEIGHBORS OF AMERICA, SAVINGS BANK MUTUAL LIFE INSURANCE COMPANY OF MASSACHUSETTS (THE), TRANSAMERICA LIFE INSURANCE COMPANY, UNITED HOME LIFE INSURANCE COMPANY, UNITED OF OMAHA LIFE INSURANCE COMPANY | Active A&amp;H supports optional cross-selling; not necessary for target products</x:v>
      </x:c>
      <x:c r="AE108" s="7" t="str">
        <x:v>No public business phone: contact enrichment needed, not proof of poor recruiting fit</x:v>
      </x:c>
      <x:c r="AF108" s="16" t="n">
        <x:v>13.5</x:v>
      </x:c>
      <x:c r="AG108" s="17" t="n">
        <x:v>204</x:v>
      </x:c>
      <x:c r="AH108" s="7" t="str">
        <x:v>2026-01-01</x:v>
      </x:c>
      <x:c r="AI108" s="7" t="str">
        <x:v>English</x:v>
      </x:c>
      <x:c r="AJ108" s="7" t="str"/>
      <x:c r="AK108" s="15" t="str"/>
      <x:c r="AL108" s="7" t="str"/>
      <x:c r="AM108" s="7" t="str">
        <x:v>AGUILAR  CARRIE</x:v>
      </x:c>
      <x:c r="AN108" s="7" t="str">
        <x:v>https://cdicloud.insurance.ca.gov/cal/LicenseDetail?SearchType=IND&amp;SearchLicNbr=0I29585&amp;SearchIndvId=1568598</x:v>
      </x:c>
      <x:c r="AO108" s="7" t="str">
        <x:v>2026-10-08</x:v>
      </x:c>
      <x:c r="AP108" s="7" t="str">
        <x:v>0f4175ac00fffc2460feffe258d79a4585d7793c0568d07824538d3414f81a31</x:v>
      </x:c>
      <x:c r="AQ108" s="7" t="str">
        <x:v>Accident &amp; Health or Sickness / Active / 04/05/2013 / 04/05/2013 / 04/30/2027
Life / Active / 04/05/2013 / 04/05/2013 / 04/30/2027
Var Life and Var Annuity / Inactive / 06/10/2016 / 04/30/2025 / 04/30/2025</x:v>
      </x:c>
      <x:c r="AR108" s="7" t="str">
        <x:v>Active</x:v>
      </x:c>
      <x:c r="AS108" s="7" t="str">
        <x:v>Current detail page</x:v>
      </x:c>
    </x:row>
    <x:row r="109" ht="52" customHeight="1">
      <x:c r="A109" s="7" t="str">
        <x:v>AGUILAR CHRISTIAN V</x:v>
      </x:c>
      <x:c r="B109" s="14" t="str">
        <x:f>"4345031"</x:f>
        <x:v>4345031</x:v>
      </x:c>
      <x:c r="C109" s="7" t="str">
        <x:v>Omitted</x:v>
      </x:c>
      <x:c r="D109" s="7" t="str">
        <x:v>REVIEW</x:v>
      </x:c>
      <x:c r="E109" s="13" t="str">
        <x:v>Pending</x:v>
      </x:c>
      <x:c r="F109" s="13" t="str"/>
      <x:c r="G109" s="13" t="str"/>
      <x:c r="H109" s="13" t="str"/>
      <x:c r="I109" s="7" t="str">
        <x:v>Was this person reviewed? If rejected, give the actual rule and evidence. If acceptable, correct the omission. Resolve: No collected public business phone.</x:v>
      </x:c>
      <x:c r="J109" s="7" t="str">
        <x:v>R5</x:v>
      </x:c>
      <x:c r="K109" s="7" t="str">
        <x:v>Requires verification: No collected public business phone. These facts do not establish the original reviewer’s motive.</x:v>
      </x:c>
      <x:c r="L109" s="7" t="str">
        <x:v>Not supplied; membership is known, motive is not</x:v>
      </x:c>
      <x:c r="M109" s="7" t="n">
        <x:v>5</x:v>
      </x:c>
      <x:c r="N109" s="7" t="str">
        <x:v>Find contact information first</x:v>
      </x:c>
      <x:c r="O109" s="7" t="str">
        <x:v>Active</x:v>
      </x:c>
      <x:c r="P109" s="7" t="str">
        <x:v>12/05/2023</x:v>
      </x:c>
      <x:c r="Q109" s="7" t="str">
        <x:v>12/31/2027</x:v>
      </x:c>
      <x:c r="R109" s="7" t="str">
        <x:v>Life</x:v>
      </x:c>
      <x:c r="S109" s="15" t="str"/>
      <x:c r="T109" s="7" t="str">
        <x:v>No public business phone in collected record</x:v>
      </x:c>
      <x:c r="U109" s="7" t="str">
        <x:v>7179 WESTPORT ST RIVERSIDE CA, 92506</x:v>
      </x:c>
      <x:c r="V109" s="7" t="str">
        <x:v>Resident</x:v>
      </x:c>
      <x:c r="W109" s="7" t="str">
        <x:v>CA</x:v>
      </x:c>
      <x:c r="X109" s="7" t="str"/>
      <x:c r="Y109" s="7" t="str">
        <x:v>AMERICAN GENERAL LIFE INSURANCE COMPANY / Life / 07/17/2024
AMERICAN NATIONAL INSURANCE COMPANY / Life / 01/10/2024</x:v>
      </x:c>
      <x:c r="Z109" s="7" t="str"/>
      <x:c r="AA109" s="7" t="str"/>
      <x:c r="AB109" s="7" t="str"/>
      <x:c r="AC109" s="7" t="str"/>
      <x:c r="AD109" s="7" t="str">
        <x:v>Active general Life authority | Direct Life appointments outside the selected health-carrier set: AMERICAN GENERAL LIFE INSURANCE COMPANY, AMERICAN NATIONAL INSURANCE COMPANY</x:v>
      </x:c>
      <x:c r="AE109" s="7" t="str">
        <x:v>No public business phone: contact enrichment needed, not proof of poor recruiting fit</x:v>
      </x:c>
      <x:c r="AF109" s="16" t="n">
        <x:v>2.8</x:v>
      </x:c>
      <x:c r="AG109" s="17" t="n">
        <x:v>449</x:v>
      </x:c>
      <x:c r="AH109" s="7" t="str">
        <x:v>2024-07-17</x:v>
      </x:c>
      <x:c r="AI109" s="7" t="str">
        <x:v>English</x:v>
      </x:c>
      <x:c r="AJ109" s="7" t="str"/>
      <x:c r="AK109" s="15" t="str"/>
      <x:c r="AL109" s="7" t="str"/>
      <x:c r="AM109" s="7" t="str">
        <x:v>AGUILAR V CHRISTIAN</x:v>
      </x:c>
      <x:c r="AN109" s="7" t="str">
        <x:v>https://cdicloud.insurance.ca.gov/cal/LicenseDetail?SearchType=IND&amp;SearchLicNbr=4345031&amp;SearchIndvId=4345031</x:v>
      </x:c>
      <x:c r="AO109" s="7" t="str">
        <x:v>2026-10-08</x:v>
      </x:c>
      <x:c r="AP109" s="7" t="str">
        <x:v>173b114bf846e987fa367586887499ff93208a729499cc1e183b68122ed107a7</x:v>
      </x:c>
      <x:c r="AQ109" s="7" t="str">
        <x:v>Life / Active / 12/05/2023 / 12/05/2023 / 12/31/2027</x:v>
      </x:c>
      <x:c r="AR109" s="7" t="str">
        <x:v>Active</x:v>
      </x:c>
      <x:c r="AS109" s="7" t="str">
        <x:v>Current detail page</x:v>
      </x:c>
    </x:row>
    <x:row r="110" ht="52" customHeight="1">
      <x:c r="A110" s="7" t="str">
        <x:v>AGUILAR CONTRERAS YOSELIN MARLEY</x:v>
      </x:c>
      <x:c r="B110" s="14" t="str">
        <x:f>"4562680"</x:f>
        <x:v>4562680</x:v>
      </x:c>
      <x:c r="C110" s="7" t="str">
        <x:v>Omitted</x:v>
      </x:c>
      <x:c r="D110" s="7" t="str">
        <x:v>REVIEW</x:v>
      </x:c>
      <x:c r="E110" s="13" t="str">
        <x:v>Pending</x:v>
      </x:c>
      <x:c r="F110" s="13" t="str"/>
      <x:c r="G110" s="13" t="str"/>
      <x:c r="H110" s="13" t="str"/>
      <x:c r="I110" s="7" t="str">
        <x:v>Was this person reviewed? If rejected, give the actual rule and evidence. If acceptable, correct the omission. Resolve: No collected public business phone; Geographic scope.</x:v>
      </x:c>
      <x:c r="J110" s="7" t="str">
        <x:v>R5, R6</x:v>
      </x:c>
      <x:c r="K110" s="7" t="str">
        <x:v>Requires verification: No collected public business phone; Geographic scope. These facts do not establish the original reviewer’s motive.</x:v>
      </x:c>
      <x:c r="L110" s="7" t="str">
        <x:v>Not supplied; membership is known, motive is not</x:v>
      </x:c>
      <x:c r="M110" s="7" t="n">
        <x:v>5</x:v>
      </x:c>
      <x:c r="N110" s="7" t="str">
        <x:v>Find contact information first</x:v>
      </x:c>
      <x:c r="O110" s="7" t="str">
        <x:v>Active</x:v>
      </x:c>
      <x:c r="P110" s="7" t="str">
        <x:v>07/06/2026</x:v>
      </x:c>
      <x:c r="Q110" s="7" t="str">
        <x:v>07/31/2028</x:v>
      </x:c>
      <x:c r="R110" s="7" t="str">
        <x:v>Accident &amp; Health or Sickness; Life</x:v>
      </x:c>
      <x:c r="S110" s="15" t="str"/>
      <x:c r="T110" s="7" t="str">
        <x:v>No public business phone in collected record</x:v>
      </x:c>
      <x:c r="U110" s="7" t="str">
        <x:v>2000 WESTBOROUG DR KATY TX, 77449</x:v>
      </x:c>
      <x:c r="V110" s="7" t="str">
        <x:v>Non-resident</x:v>
      </x:c>
      <x:c r="W110" s="7" t="str">
        <x:v>TX</x:v>
      </x:c>
      <x:c r="X110" s="7" t="str"/>
      <x:c r="Y110" s="7" t="str">
        <x:v>AMERICAN INCOME LIFE INSURANCE COMPANY / Accident &amp; Health or Sickness / 07/10/2026
AMERICAN INCOME LIFE INSURANCE COMPANY / Life / 07/10/2026</x:v>
      </x:c>
      <x:c r="Z110" s="7" t="str"/>
      <x:c r="AA110" s="7" t="str"/>
      <x:c r="AB110" s="7" t="str"/>
      <x:c r="AC110" s="7" t="str"/>
      <x:c r="AD110" s="7" t="str">
        <x:v>Active general Life authority | Direct Life appointments outside the selected health-carrier set: AMERICAN INCOME LIFE INSURANCE COMPANY | Active A&amp;H supports optional cross-selling; not necessary for target products</x:v>
      </x:c>
      <x:c r="AE110" s="7" t="str">
        <x:v>Nonresident or address state outside CA; confirm geographic recruiting scope | No public business phone: contact enrichment needed, not proof of poor recruiting fit</x:v>
      </x:c>
      <x:c r="AF110" s="16" t="n">
        <x:v>0.3</x:v>
      </x:c>
      <x:c r="AG110" s="17" t="n">
        <x:v>662</x:v>
      </x:c>
      <x:c r="AH110" s="7" t="str">
        <x:v>2026-07-10</x:v>
      </x:c>
      <x:c r="AI110" s="7" t="str"/>
      <x:c r="AJ110" s="7" t="str"/>
      <x:c r="AK110" s="15" t="str"/>
      <x:c r="AL110" s="7" t="str"/>
      <x:c r="AM110" s="7" t="str">
        <x:v>AGUILAR CONTRERAS MARLEY YOSELIN</x:v>
      </x:c>
      <x:c r="AN110" s="7" t="str">
        <x:v>https://cdicloud.insurance.ca.gov/cal/LicenseDetail?SearchType=IND&amp;SearchLicNbr=4562680&amp;SearchIndvId=4562680</x:v>
      </x:c>
      <x:c r="AO110" s="7" t="str">
        <x:v>2026-10-08</x:v>
      </x:c>
      <x:c r="AP110" s="7" t="str">
        <x:v>17ac4dfe3953747a8bdae99564a7b34b9ed5ca42540b4e499a2766b2f101d95b</x:v>
      </x:c>
      <x:c r="AQ110" s="7" t="str">
        <x:v>Accident &amp; Health or Sickness / Active / 07/06/2026 / 07/06/2026 / 07/31/2028
Life / Active / 07/06/2026 / 07/06/2026 / 07/31/2028</x:v>
      </x:c>
      <x:c r="AR110" s="7" t="str">
        <x:v>Active</x:v>
      </x:c>
      <x:c r="AS110" s="7" t="str">
        <x:v>Current detail page</x:v>
      </x:c>
    </x:row>
    <x:row r="111" ht="52" customHeight="1">
      <x:c r="A111" s="7" t="str">
        <x:v>AGUILAR CRISTIAN B</x:v>
      </x:c>
      <x:c r="B111" s="14" t="str">
        <x:f>"4039329"</x:f>
        <x:v>4039329</x:v>
      </x:c>
      <x:c r="C111" s="7" t="str">
        <x:v>Omitted</x:v>
      </x:c>
      <x:c r="D111" s="7" t="str">
        <x:v>REVIEW</x:v>
      </x:c>
      <x:c r="E111" s="13" t="str">
        <x:v>Pending</x:v>
      </x:c>
      <x:c r="F111" s="13" t="str"/>
      <x:c r="G111" s="13" t="str"/>
      <x:c r="H111" s="13" t="str"/>
      <x:c r="I111" s="7" t="str">
        <x:v>Was this person reviewed? If rejected, give the actual rule and evidence. If acceptable, correct the omission. Resolve: Career/member channel and portability; No collected public business phone.</x:v>
      </x:c>
      <x:c r="J111" s="7" t="str">
        <x:v>R2, R5</x:v>
      </x:c>
      <x:c r="K111" s="7" t="str">
        <x:v>Requires verification: Career/member channel and portability; No collected public business phone. These facts do not establish the original reviewer’s motive.</x:v>
      </x:c>
      <x:c r="L111" s="7" t="str">
        <x:v>Not supplied; membership is known, motive is not</x:v>
      </x:c>
      <x:c r="M111" s="7" t="n">
        <x:v>5</x:v>
      </x:c>
      <x:c r="N111" s="7" t="str">
        <x:v>Find contact information first</x:v>
      </x:c>
      <x:c r="O111" s="7" t="str">
        <x:v>Active</x:v>
      </x:c>
      <x:c r="P111" s="7" t="str">
        <x:v>05/08/2020</x:v>
      </x:c>
      <x:c r="Q111" s="7" t="str">
        <x:v>01/31/2028</x:v>
      </x:c>
      <x:c r="R111" s="7" t="str">
        <x:v>Accident &amp; Health or Sickness; Life</x:v>
      </x:c>
      <x:c r="S111" s="15" t="str"/>
      <x:c r="T111" s="7" t="str">
        <x:v>No public business phone in collected record</x:v>
      </x:c>
      <x:c r="U111" s="7" t="str">
        <x:v>2020 MAIN STREET 10TH FLOOR IRVINE CA, 92614</x:v>
      </x:c>
      <x:c r="V111" s="7" t="str">
        <x:v>Resident</x:v>
      </x:c>
      <x:c r="W111" s="7" t="str">
        <x:v>CA</x:v>
      </x:c>
      <x:c r="X111" s="7" t="str"/>
      <x:c r="Y111" s="7" t="str">
        <x:v>NEW YORK LIFE INSURANCE AND ANNUITY CORPORATION / Accident &amp; Health or Sickness / 01/23/2024
NEW YORK LIFE INSURANCE AND ANNUITY CORPORATION / Life / 01/23/2024
NEW YORK LIFE INSURANCE COMPANY / Accident &amp; Health or Sickness / 01/23/2024
NEW YORK LIFE INSURANCE COMPANY / Life / 01/23/2024
NYLIFE INSURANCE COMPANY OF ARIZONA / Life / 01/23/2024</x:v>
      </x:c>
      <x:c r="Z111" s="7" t="str"/>
      <x:c r="AA111" s="7" t="str"/>
      <x:c r="AB111" s="7" t="str"/>
      <x:c r="AC111" s="7" t="str"/>
      <x:c r="AD111" s="7" t="str">
        <x:v>Active general Life authority | Direct Life appointments outside the selected health-carrier set: NEW YORK LIFE INSURANCE AND ANNUITY CORPORATION, NEW YORK LIFE INSURANCE COMPANY, NYLIFE INSURANCE COMPANY OF ARIZONA | Active A&amp;H supports optional cross-selling; not necessary for target products</x:v>
      </x:c>
      <x:c r="AE111" s="7" t="str">
        <x:v>Career/member-channel signal: NEW YORK LIFE INSURANCE COMPANY, NYLIFE INSURANCE COMPANY OF ARIZONA | No public business phone: contact enrichment needed, not proof of poor recruiting fit</x:v>
      </x:c>
      <x:c r="AF111" s="16" t="n">
        <x:v>6.4</x:v>
      </x:c>
      <x:c r="AG111" s="17" t="n">
        <x:v>480</x:v>
      </x:c>
      <x:c r="AH111" s="7" t="str">
        <x:v>2024-01-23</x:v>
      </x:c>
      <x:c r="AI111" s="7" t="str">
        <x:v>English</x:v>
      </x:c>
      <x:c r="AJ111" s="7" t="str"/>
      <x:c r="AK111" s="15" t="str"/>
      <x:c r="AL111" s="7" t="str"/>
      <x:c r="AM111" s="7" t="str">
        <x:v>AGUILAR B CRISTIAN</x:v>
      </x:c>
      <x:c r="AN111" s="7" t="str">
        <x:v>https://cdicloud.insurance.ca.gov/cal/LicenseDetail?SearchType=IND&amp;SearchLicNbr=4039329&amp;SearchIndvId=4039329</x:v>
      </x:c>
      <x:c r="AO111" s="7" t="str">
        <x:v>2026-10-08</x:v>
      </x:c>
      <x:c r="AP111" s="7" t="str">
        <x:v>57e19a5ee49c44dcffc0b98b6bb57ba987721075540afa9df66a45a61b550f79</x:v>
      </x:c>
      <x:c r="AQ111" s="7" t="str">
        <x:v>Accident &amp; Health or Sickness / Active / 01/09/2024 / 01/09/2024 / 01/31/2028
Life / Active / 05/08/2020 / 01/09/2024 / 01/31/2028</x:v>
      </x:c>
      <x:c r="AR111" s="7" t="str">
        <x:v>Active</x:v>
      </x:c>
      <x:c r="AS111" s="7" t="str">
        <x:v>Current detail page</x:v>
      </x:c>
    </x:row>
    <x:row r="112" ht="52" customHeight="1">
      <x:c r="A112" s="7" t="str">
        <x:v>AGUILAR CUMBRERA YODEISY</x:v>
      </x:c>
      <x:c r="B112" s="14" t="str">
        <x:f>"4580715"</x:f>
        <x:v>4580715</x:v>
      </x:c>
      <x:c r="C112" s="7" t="str">
        <x:v>Omitted</x:v>
      </x:c>
      <x:c r="D112" s="7" t="str">
        <x:v>REVIEW</x:v>
      </x:c>
      <x:c r="E112" s="13" t="str">
        <x:v>Pending</x:v>
      </x:c>
      <x:c r="F112" s="13" t="str"/>
      <x:c r="G112" s="13" t="str"/>
      <x:c r="H112" s="13" t="str"/>
      <x:c r="I112" s="7" t="str">
        <x:v>Was this person reviewed? If rejected, give the actual rule and evidence. If acceptable, correct the omission. Resolve: No collected public business phone; Geographic scope.</x:v>
      </x:c>
      <x:c r="J112" s="7" t="str">
        <x:v>R5, R6</x:v>
      </x:c>
      <x:c r="K112" s="7" t="str">
        <x:v>Requires verification: No collected public business phone; Geographic scope. These facts do not establish the original reviewer’s motive.</x:v>
      </x:c>
      <x:c r="L112" s="7" t="str">
        <x:v>Not supplied; membership is known, motive is not</x:v>
      </x:c>
      <x:c r="M112" s="7" t="n">
        <x:v>5</x:v>
      </x:c>
      <x:c r="N112" s="7" t="str">
        <x:v>Find contact information first</x:v>
      </x:c>
      <x:c r="O112" s="7" t="str">
        <x:v>Active</x:v>
      </x:c>
      <x:c r="P112" s="7" t="str">
        <x:v>09/10/2026</x:v>
      </x:c>
      <x:c r="Q112" s="7" t="str">
        <x:v>09/30/2028</x:v>
      </x:c>
      <x:c r="R112" s="7" t="str">
        <x:v>Accident &amp; Health or Sickness; Life</x:v>
      </x:c>
      <x:c r="S112" s="15" t="str"/>
      <x:c r="T112" s="7" t="str">
        <x:v>No public business phone in collected record</x:v>
      </x:c>
      <x:c r="U112" s="7" t="str">
        <x:v>9301 ASHFIELD CT TAMPA FL, 33615</x:v>
      </x:c>
      <x:c r="V112" s="7" t="str">
        <x:v>Non-resident</x:v>
      </x:c>
      <x:c r="W112" s="7" t="str">
        <x:v>FL</x:v>
      </x:c>
      <x:c r="X112" s="7" t="str"/>
      <x:c r="Y112" s="7" t="str"/>
      <x:c r="Z112" s="7" t="str"/>
      <x:c r="AA112" s="7" t="str"/>
      <x:c r="AB112" s="7" t="str"/>
      <x:c r="AC112" s="7" t="str"/>
      <x:c r="AD112" s="7" t="str">
        <x:v>Active general Life authority | No agency or insurer displayed: onboarding opportunity possible; existing business unknown | Active A&amp;H supports optional cross-selling; not necessary for target products</x:v>
      </x:c>
      <x:c r="AE112" s="7" t="str">
        <x:v>Nonresident or address state outside CA; confirm geographic recruiting scope | No public business phone: contact enrichment needed, not proof of poor recruiting fit</x:v>
      </x:c>
      <x:c r="AF112" s="16" t="n">
        <x:v>0.1</x:v>
      </x:c>
      <x:c r="AG112" s="17" t="n">
        <x:v>723</x:v>
      </x:c>
      <x:c r="AH112" s="7" t="str"/>
      <x:c r="AI112" s="7" t="str"/>
      <x:c r="AJ112" s="7" t="str"/>
      <x:c r="AK112" s="15" t="str"/>
      <x:c r="AL112" s="7" t="str"/>
      <x:c r="AM112" s="7" t="str">
        <x:v>AGUILAR CUMBRERA  YODEISY</x:v>
      </x:c>
      <x:c r="AN112" s="7" t="str">
        <x:v>https://cdicloud.insurance.ca.gov/cal/LicenseDetail?SearchType=IND&amp;SearchLicNbr=4580715&amp;SearchIndvId=4580715</x:v>
      </x:c>
      <x:c r="AO112" s="7" t="str">
        <x:v>2026-10-08</x:v>
      </x:c>
      <x:c r="AP112" s="7" t="str">
        <x:v>04b1067fcb8747b3c32ac47b567f0567047f4b63640781d8f2d5d8d990f2ce2e</x:v>
      </x:c>
      <x:c r="AQ112" s="7" t="str">
        <x:v>Accident &amp; Health or Sickness / Active / 09/10/2026 / 09/10/2026 / 09/30/2028
Life / Active / 09/10/2026 / 09/10/2026 / 09/30/2028</x:v>
      </x:c>
      <x:c r="AR112" s="7" t="str">
        <x:v>Active</x:v>
      </x:c>
      <x:c r="AS112" s="7" t="str">
        <x:v>Current detail page</x:v>
      </x:c>
    </x:row>
    <x:row r="113" ht="52" customHeight="1">
      <x:c r="A113" s="7" t="str">
        <x:v>AGUILAR DAGOBERTO CARLOS</x:v>
      </x:c>
      <x:c r="B113" s="14" t="str">
        <x:f>"0L47130"</x:f>
        <x:v>0L47130</x:v>
      </x:c>
      <x:c r="C113" s="7" t="str">
        <x:v>Omitted</x:v>
      </x:c>
      <x:c r="D113" s="7" t="str">
        <x:v>REVIEW</x:v>
      </x:c>
      <x:c r="E113" s="13" t="str">
        <x:v>Pending</x:v>
      </x:c>
      <x:c r="F113" s="13" t="str"/>
      <x:c r="G113" s="13" t="str"/>
      <x:c r="H113" s="13" t="str"/>
      <x:c r="I113" s="7" t="str">
        <x:v>Was this person reviewed? If rejected, give the actual rule and evidence. If acceptable, correct the omission. Resolve: No collected public business phone; Geographic scope.</x:v>
      </x:c>
      <x:c r="J113" s="7" t="str">
        <x:v>R5, R6</x:v>
      </x:c>
      <x:c r="K113" s="7" t="str">
        <x:v>Requires verification: No collected public business phone; Geographic scope. These facts do not establish the original reviewer’s motive.</x:v>
      </x:c>
      <x:c r="L113" s="7" t="str">
        <x:v>Not supplied; membership is known, motive is not</x:v>
      </x:c>
      <x:c r="M113" s="7" t="n">
        <x:v>5</x:v>
      </x:c>
      <x:c r="N113" s="7" t="str">
        <x:v>Find contact information first</x:v>
      </x:c>
      <x:c r="O113" s="7" t="str">
        <x:v>Active</x:v>
      </x:c>
      <x:c r="P113" s="7" t="str">
        <x:v>12/28/2016</x:v>
      </x:c>
      <x:c r="Q113" s="7" t="str">
        <x:v>12/31/2026</x:v>
      </x:c>
      <x:c r="R113" s="7" t="str">
        <x:v>Accident &amp; Health or Sickness; Life; Var Life and Var Annuity</x:v>
      </x:c>
      <x:c r="S113" s="15" t="str"/>
      <x:c r="T113" s="7" t="str">
        <x:v>No public business phone in collected record</x:v>
      </x:c>
      <x:c r="U113" s="7" t="str">
        <x:v>911 ISOM RD SAN ANTONIO TX, 78216-4136</x:v>
      </x:c>
      <x:c r="V113" s="7" t="str">
        <x:v>Non-resident</x:v>
      </x:c>
      <x:c r="W113" s="7" t="str">
        <x:v>TX</x:v>
      </x:c>
      <x:c r="X113" s="7" t="str"/>
      <x:c r="Y113" s="7" t="str">
        <x:v>PRIMERICA LIFE INSURANCE COMPANY / Accident &amp; Health or Sickness / 02/05/2025
PRIMERICA LIFE INSURANCE COMPANY / Life / 02/05/2025</x:v>
      </x:c>
      <x:c r="Z113" s="7" t="str"/>
      <x:c r="AA113" s="7" t="str"/>
      <x:c r="AB113" s="7" t="str"/>
      <x:c r="AC113" s="7" t="str"/>
      <x:c r="AD113" s="7" t="str">
        <x:v>Active general Life authority | Primerica relationship: matches an explicitly targeted recruiting segment | Direct Life appointments outside the selected health-carrier set: PRIMERICA LIFE INSURANCE COMPANY | Active A&amp;H supports optional cross-selling; not necessary for target products</x:v>
      </x:c>
      <x:c r="AE113" s="7" t="str">
        <x:v>Variable authority: financial-advice/variable-product capability; not needed for fixed annuities and not an automatic exclusion | Nonresident or address state outside CA; confirm geographic recruiting scope | No public business phone: contact enrichment needed, not proof of poor recruiting fit</x:v>
      </x:c>
      <x:c r="AF113" s="16" t="n">
        <x:v>9.8</x:v>
      </x:c>
      <x:c r="AG113" s="17" t="n">
        <x:v>84</x:v>
      </x:c>
      <x:c r="AH113" s="7" t="str">
        <x:v>2025-02-05</x:v>
      </x:c>
      <x:c r="AI113" s="7" t="str"/>
      <x:c r="AJ113" s="7" t="str"/>
      <x:c r="AK113" s="15" t="str"/>
      <x:c r="AL113" s="7" t="str"/>
      <x:c r="AM113" s="7" t="str">
        <x:v>AGUILAR CARLOS DAGOBERTO</x:v>
      </x:c>
      <x:c r="AN113" s="7" t="str">
        <x:v>https://cdicloud.insurance.ca.gov/cal/LicenseDetail?SearchType=IND&amp;SearchLicNbr=0L47130&amp;SearchIndvId=1903282</x:v>
      </x:c>
      <x:c r="AO113" s="7" t="str">
        <x:v>2026-10-08</x:v>
      </x:c>
      <x:c r="AP113" s="7" t="str">
        <x:v>b9fc5e6f0a0e7e51e74fc5aceca742bee918d19b0b8f178547bb45ac705517cb</x:v>
      </x:c>
      <x:c r="AQ113" s="7" t="str">
        <x:v>Accident &amp; Health or Sickness / Active / 12/28/2016 / 01/13/2025 / 12/31/2026
Life / Active / 12/28/2016 / 01/13/2025 / 12/31/2026
Var Life and Var Annuity / Active / 12/28/2016 / 01/13/2025 / 12/31/2026</x:v>
      </x:c>
      <x:c r="AR113" s="7" t="str">
        <x:v>Active</x:v>
      </x:c>
      <x:c r="AS113" s="7" t="str">
        <x:v>Current detail page</x:v>
      </x:c>
    </x:row>
    <x:row r="114" ht="52" customHeight="1">
      <x:c r="A114" s="7" t="str">
        <x:v>AGUILAR DAISY JASMIN</x:v>
      </x:c>
      <x:c r="B114" s="14" t="str">
        <x:f>"0L33734"</x:f>
        <x:v>0L33734</x:v>
      </x:c>
      <x:c r="C114" s="7" t="str">
        <x:v>Omitted</x:v>
      </x:c>
      <x:c r="D114" s="7" t="str">
        <x:v>REVIEW</x:v>
      </x:c>
      <x:c r="E114" s="13" t="str">
        <x:v>Pending</x:v>
      </x:c>
      <x:c r="F114" s="13" t="str"/>
      <x:c r="G114" s="13" t="str"/>
      <x:c r="H114" s="13" t="str"/>
      <x:c r="I114" s="7" t="str">
        <x:v>Was this person reviewed? If rejected, give the actual rule and evidence. If acceptable, correct the omission. Resolve: Selected health-carrier Life mix; P&amp;C emphasis without separate core-Life signal; No collected public business phone.</x:v>
      </x:c>
      <x:c r="J114" s="7" t="str">
        <x:v>R4, R5</x:v>
      </x:c>
      <x:c r="K114" s="7" t="str">
        <x:v>Requires verification: Selected health-carrier Life mix; P&amp;C emphasis without separate core-Life signal; No collected public business phone. These facts do not establish the original reviewer’s motive.</x:v>
      </x:c>
      <x:c r="L114" s="7" t="str">
        <x:v>Not supplied; membership is known, motive is not</x:v>
      </x:c>
      <x:c r="M114" s="7" t="n">
        <x:v>5</x:v>
      </x:c>
      <x:c r="N114" s="7" t="str">
        <x:v>Find contact information first</x:v>
      </x:c>
      <x:c r="O114" s="7" t="str">
        <x:v>Active</x:v>
      </x:c>
      <x:c r="P114" s="7" t="str">
        <x:v>07/09/2018</x:v>
      </x:c>
      <x:c r="Q114" s="7" t="str">
        <x:v>11/30/2026</x:v>
      </x:c>
      <x:c r="R114" s="7" t="str">
        <x:v>Accident &amp; Health or Sickness; Casualty; Life; Property</x:v>
      </x:c>
      <x:c r="S114" s="15" t="str"/>
      <x:c r="T114" s="7" t="str">
        <x:v>No public business phone in collected record</x:v>
      </x:c>
      <x:c r="U114" s="7" t="str">
        <x:v>1201 K ST 14TH FL SACRAMENTO CA, 95814</x:v>
      </x:c>
      <x:c r="V114" s="7" t="str">
        <x:v>Resident</x:v>
      </x:c>
      <x:c r="W114" s="7" t="str">
        <x:v>CA</x:v>
      </x:c>
      <x:c r="X114" s="7" t="str">
        <x:v>TDIC INSURANCE SOLUTIONS / Accident &amp; Health or Sickness / 06/15/2026
TDIC INSURANCE SOLUTIONS / Property / 06/15/2026
TDIC INSURANCE SOLUTIONS / Life / 06/15/2026
TDIC INSURANCE SOLUTIONS / Casualty / 06/15/2026
CALIFORNIA HEALTH BENEFIT EXCHANGE / Accident &amp; Health or Sickness / 02/15/2024</x:v>
      </x:c>
      <x:c r="Y114" s="7" t="str">
        <x:v>ALL SAVERS LIFE INSURANCE COMPANY OF CALIFORNIA / Accident &amp; Health or Sickness / 07/09/2024
ALL SAVERS LIFE INSURANCE COMPANY OF CALIFORNIA / Life / 07/09/2024
AMERICAN ZURICH INSURANCE COMPANY / Casualty / 10/17/2019
AMERICAN ZURICH INSURANCE COMPANY / Property / 10/17/2019
ANTHEM BLUE CROSS LIFE AND HEALTH INSURANCE COMPANY / Accident &amp; Health or Sickness / 09/13/2024
ANTHEM BLUE CROSS LIFE AND HEALTH INSURANCE COMPANY / Life / 09/13/2024
FARMINGTON CASUALTY COMPANY / Casualty / 04/10/2025
FARMINGTON CASUALTY COMPANY / Property / 04/10/2025
FIDELITY AND GUARANTY INSURANCE COMPANY / Casualty / 04/10/2025
FIDELITY AND GUARANTY INSURANCE COMPANY / Property / 04/10/2025
HARTFORD FIRE INSURANCE COMPANY / Casualty / 10/29/2018
HARTFORD FIRE INSURANCE COMPANY / Property / 10/29/2018
ST. PAUL FIRE AND MARINE INSURANCE COMPANY / Casualty / 10/15/2019
ST. PAUL FIRE AND MARINE INSURANCE COMPANY / Property / 10/15/2019
ST. PAUL GUARDIAN INSURANCE COMPANY / Casualty / 10/15/2019
ST. PAUL GUARDIAN INSURANCE COMPANY / Property / 10/15/2019
ST. PAUL MERCURY INSURANCE COMPANY / Casualty / 10/15/2019
ST. PAUL MERCURY INSURANCE COMPANY / Property / 10/15/2019
STANDARD FIRE INSURANCE COMPANY (THE) / Casualty / 04/10/2025
STANDARD FIRE INSURANCE COMPANY (THE) / Property / 04/10/2025
TRAVELERS CASUALTY COMPANY OF CONNECTICUT / Casualty / 07/31/2026
TRAVELERS CASUALTY COMPANY OF CONNECTICUT / Property / 07/31/2026
TRAVELERS CASUALTY INSURANCE COMPANY OF AMERICA / Casualty / 10/15/2019
TRAVELERS CASUALTY INSURANCE COMPANY OF AMERICA / Property / 10/15/2019
TRAVELERS INDEMNITY COMPANY OF CONNECTICUT (THE) / Casualty / 10/15/2019
TRAVELERS INDEMNITY COMPANY OF CONNECTICUT (THE) / Property / 10/15/2019
TRAVELERS PROPERTY CASUALTY COMPANY OF AMERICA / Casualty / 10/15/2019
TRAVELERS PROPERTY CASUALTY COMPANY OF AMERICA / Property / 10/15/2019
UNITEDHEALTHCARE INSURANCE COMPANY / Accident &amp; Health or Sickness / 07/09/2024
UNITEDHEALTHCARE INSURANCE COMPANY / Life / 07/09/2024</x:v>
      </x:c>
      <x:c r="Z114" s="7" t="str"/>
      <x:c r="AA114" s="7" t="str"/>
      <x:c r="AB114" s="7" t="str">
        <x:v>FOSDICK JAMES DARRELL / Casualty / 03/13/2018
FOSDICK JAMES DARRELL / Property / 03/13/2018</x:v>
      </x:c>
      <x:c r="AC114" s="7" t="str"/>
      <x:c r="AD114" s="7" t="str">
        <x:v>Active general Life authority | Active A&amp;H supports optional cross-selling; not necessary for target products</x:v>
      </x:c>
      <x:c r="AE114" s="7" t="str">
        <x:v>Life appointments shown only at selected health-oriented carriers; core Life activity unestablished | P&amp;C/Personal Lines authority without displayed core Life appointments; mixed profile requires review | Sponsor relationships displayed: FOSDICK JAMES DARRELL; inspect line-specific relationship, not a blanket employment inference | Life expiration in 53 days: confirm renewal during onboarding | No public business phone: contact enrichment needed, not proof of poor recruiting fit</x:v>
      </x:c>
      <x:c r="AF114" s="16" t="n">
        <x:v>8.2</x:v>
      </x:c>
      <x:c r="AG114" s="17" t="n">
        <x:v>53</x:v>
      </x:c>
      <x:c r="AH114" s="7" t="str">
        <x:v>2024-09-13</x:v>
      </x:c>
      <x:c r="AI114" s="7" t="str">
        <x:v>English, Spanish, Spanish</x:v>
      </x:c>
      <x:c r="AJ114" s="7" t="str"/>
      <x:c r="AK114" s="15" t="str"/>
      <x:c r="AL114" s="7" t="str"/>
      <x:c r="AM114" s="7" t="str">
        <x:v>AGUILAR JASMIN DAISY | Aguilar-Lopez J Daisy | AGUILAR-LOPEZ JASMIN DAISY</x:v>
      </x:c>
      <x:c r="AN114" s="7" t="str">
        <x:v>https://cdicloud.insurance.ca.gov/cal/LicenseDetail?SearchType=IND&amp;SearchLicNbr=0L33734&amp;SearchIndvId=1885923</x:v>
      </x:c>
      <x:c r="AO114" s="7" t="str">
        <x:v>2026-10-08</x:v>
      </x:c>
      <x:c r="AP114" s="7" t="str">
        <x:v>a52eca6cc226f7b7524c90fea17a4d0ec4c6414f5437c9c4570b962883e64d0c</x:v>
      </x:c>
      <x:c r="AQ114" s="7" t="str">
        <x:v>Accident &amp; Health or Sickness / Active / 07/09/2018 / 07/09/2018 / 11/30/2026
Casualty / Active / 03/13/2018 / 03/13/2018 / 11/30/2026
Life / Active / 07/09/2018 / 07/09/2018 / 11/30/2026
Property / Active / 03/13/2018 / 03/13/2018 / 11/30/2026</x:v>
      </x:c>
      <x:c r="AR114" s="7" t="str">
        <x:v>Active</x:v>
      </x:c>
      <x:c r="AS114" s="7" t="str">
        <x:v>Current detail page</x:v>
      </x:c>
    </x:row>
    <x:row r="115" ht="52" customHeight="1">
      <x:c r="A115" s="7" t="str">
        <x:v>AGUILAR DEAN NEFTALI</x:v>
      </x:c>
      <x:c r="B115" s="14" t="str">
        <x:f>"4175831"</x:f>
        <x:v>4175831</x:v>
      </x:c>
      <x:c r="C115" s="7" t="str">
        <x:v>Omitted</x:v>
      </x:c>
      <x:c r="D115" s="7" t="str">
        <x:v>REVIEW</x:v>
      </x:c>
      <x:c r="E115" s="13" t="str">
        <x:v>Pending</x:v>
      </x:c>
      <x:c r="F115" s="13" t="str"/>
      <x:c r="G115" s="13" t="str"/>
      <x:c r="H115" s="13" t="str"/>
      <x:c r="I115" s="7" t="str">
        <x:v>Was this person reviewed? If rejected, give the actual rule and evidence. If acceptable, correct the omission. Resolve: Selected health-carrier Life mix; No collected public business phone; Geographic scope.</x:v>
      </x:c>
      <x:c r="J115" s="7" t="str">
        <x:v>R4, R5, R6</x:v>
      </x:c>
      <x:c r="K115" s="7" t="str">
        <x:v>Requires verification: Selected health-carrier Life mix; No collected public business phone; Geographic scope. These facts do not establish the original reviewer’s motive.</x:v>
      </x:c>
      <x:c r="L115" s="7" t="str">
        <x:v>Not supplied; membership is known, motive is not</x:v>
      </x:c>
      <x:c r="M115" s="7" t="n">
        <x:v>5</x:v>
      </x:c>
      <x:c r="N115" s="7" t="str">
        <x:v>Find contact information first</x:v>
      </x:c>
      <x:c r="O115" s="7" t="str">
        <x:v>Active</x:v>
      </x:c>
      <x:c r="P115" s="7" t="str">
        <x:v>12/01/2021</x:v>
      </x:c>
      <x:c r="Q115" s="7" t="str">
        <x:v>12/31/2027</x:v>
      </x:c>
      <x:c r="R115" s="7" t="str">
        <x:v>Accident &amp; Health or Sickness; Life</x:v>
      </x:c>
      <x:c r="S115" s="15" t="str"/>
      <x:c r="T115" s="7" t="str">
        <x:v>No public business phone in collected record</x:v>
      </x:c>
      <x:c r="U115" s="7" t="str">
        <x:v>22028 E. 45TH PL AURORA CO, 80019</x:v>
      </x:c>
      <x:c r="V115" s="7" t="str">
        <x:v>Non-resident</x:v>
      </x:c>
      <x:c r="W115" s="7" t="str">
        <x:v>CO</x:v>
      </x:c>
      <x:c r="X115" s="7" t="str"/>
      <x:c r="Y115" s="7" t="str">
        <x:v>ANTHEM BLUE CROSS LIFE AND HEALTH INSURANCE COMPANY / Accident &amp; Health or Sickness / 04/27/2022
ANTHEM BLUE CROSS LIFE AND HEALTH INSURANCE COMPANY / Life / 04/27/2022
UNITEDHEALTHCARE INSURANCE COMPANY / Accident &amp; Health or Sickness / 01/30/2022</x:v>
      </x:c>
      <x:c r="Z115" s="7" t="str"/>
      <x:c r="AA115" s="7" t="str"/>
      <x:c r="AB115" s="7" t="str"/>
      <x:c r="AC115" s="7" t="str"/>
      <x:c r="AD115" s="7" t="str">
        <x:v>Active general Life authority | Active A&amp;H supports optional cross-selling; not necessary for target products</x:v>
      </x:c>
      <x:c r="AE115" s="7" t="str">
        <x:v>Life appointments shown only at selected health-oriented carriers; core Life activity unestablished | Nonresident or address state outside CA; confirm geographic recruiting scope | No public business phone: contact enrichment needed, not proof of poor recruiting fit</x:v>
      </x:c>
      <x:c r="AF115" s="16" t="n">
        <x:v>4.9</x:v>
      </x:c>
      <x:c r="AG115" s="17" t="n">
        <x:v>449</x:v>
      </x:c>
      <x:c r="AH115" s="7" t="str">
        <x:v>2022-04-27</x:v>
      </x:c>
      <x:c r="AI115" s="7" t="str"/>
      <x:c r="AJ115" s="7" t="str"/>
      <x:c r="AK115" s="15" t="str"/>
      <x:c r="AL115" s="7" t="str"/>
      <x:c r="AM115" s="7" t="str">
        <x:v>AGUILAR NEFTALI DEAN</x:v>
      </x:c>
      <x:c r="AN115" s="7" t="str">
        <x:v>https://cdicloud.insurance.ca.gov/cal/LicenseDetail?SearchType=IND&amp;SearchLicNbr=4175831&amp;SearchIndvId=4175831</x:v>
      </x:c>
      <x:c r="AO115" s="7" t="str">
        <x:v>2026-10-08</x:v>
      </x:c>
      <x:c r="AP115" s="7" t="str">
        <x:v>a792e9703645507b38d853999266f48fdd189ac8b5869075c1086c0c7bd60f09</x:v>
      </x:c>
      <x:c r="AQ115" s="7" t="str">
        <x:v>Accident &amp; Health or Sickness / Active / 12/01/2021 / 12/01/2021 / 12/31/2027
Life / Active / 12/01/2021 / 12/01/2021 / 12/31/2027</x:v>
      </x:c>
      <x:c r="AR115" s="7" t="str">
        <x:v>Active</x:v>
      </x:c>
      <x:c r="AS115" s="7" t="str">
        <x:v>Current detail page</x:v>
      </x:c>
    </x:row>
    <x:row r="116" ht="52" customHeight="1">
      <x:c r="A116" s="7" t="str">
        <x:v>AGUILAR DEBRA CORTEZ</x:v>
      </x:c>
      <x:c r="B116" s="14" t="str">
        <x:f>"0D26148"</x:f>
        <x:v>0D26148</x:v>
      </x:c>
      <x:c r="C116" s="7" t="str">
        <x:v>Omitted</x:v>
      </x:c>
      <x:c r="D116" s="7" t="str">
        <x:v>REVIEW</x:v>
      </x:c>
      <x:c r="E116" s="13" t="str">
        <x:v>Pending</x:v>
      </x:c>
      <x:c r="F116" s="13" t="str"/>
      <x:c r="G116" s="13" t="str"/>
      <x:c r="H116" s="13" t="str"/>
      <x:c r="I116" s="7" t="str">
        <x:v>Was this person reviewed? If rejected, give the actual rule and evidence. If acceptable, correct the omission. Resolve: No collected public business phone.</x:v>
      </x:c>
      <x:c r="J116" s="7" t="str">
        <x:v>R5</x:v>
      </x:c>
      <x:c r="K116" s="7" t="str">
        <x:v>Requires verification: No collected public business phone. These facts do not establish the original reviewer’s motive.</x:v>
      </x:c>
      <x:c r="L116" s="7" t="str">
        <x:v>Not supplied; membership is known, motive is not</x:v>
      </x:c>
      <x:c r="M116" s="7" t="n">
        <x:v>5</x:v>
      </x:c>
      <x:c r="N116" s="7" t="str">
        <x:v>Find contact information first</x:v>
      </x:c>
      <x:c r="O116" s="7" t="str">
        <x:v>Active</x:v>
      </x:c>
      <x:c r="P116" s="7" t="str">
        <x:v>04/11/2001</x:v>
      </x:c>
      <x:c r="Q116" s="7" t="str">
        <x:v>10/31/2027</x:v>
      </x:c>
      <x:c r="R116" s="7" t="str">
        <x:v>Life</x:v>
      </x:c>
      <x:c r="S116" s="15" t="str"/>
      <x:c r="T116" s="7" t="str">
        <x:v>No public business phone in collected record</x:v>
      </x:c>
      <x:c r="U116" s="7" t="str">
        <x:v>721 NEVADA ST. SUITE 301 REDLANDS CA, 92373</x:v>
      </x:c>
      <x:c r="V116" s="7" t="str">
        <x:v>Resident</x:v>
      </x:c>
      <x:c r="W116" s="7" t="str">
        <x:v>CA</x:v>
      </x:c>
      <x:c r="X116" s="7" t="str"/>
      <x:c r="Y116" s="7" t="str">
        <x:v>PRIMERICA LIFE INSURANCE COMPANY / Life / 11/09/2021</x:v>
      </x:c>
      <x:c r="Z116" s="7" t="str"/>
      <x:c r="AA116" s="7" t="str"/>
      <x:c r="AB116" s="7" t="str"/>
      <x:c r="AC116" s="7" t="str"/>
      <x:c r="AD116" s="7" t="str">
        <x:v>Active general Life authority | Primerica relationship: matches an explicitly targeted recruiting segment | Direct Life appointments outside the selected health-carrier set: PRIMERICA LIFE INSURANCE COMPANY</x:v>
      </x:c>
      <x:c r="AE116" s="7" t="str">
        <x:v>No public business phone: contact enrichment needed, not proof of poor recruiting fit</x:v>
      </x:c>
      <x:c r="AF116" s="16" t="n">
        <x:v>25.5</x:v>
      </x:c>
      <x:c r="AG116" s="17" t="n">
        <x:v>388</x:v>
      </x:c>
      <x:c r="AH116" s="7" t="str">
        <x:v>2021-11-09</x:v>
      </x:c>
      <x:c r="AI116" s="7" t="str">
        <x:v>English</x:v>
      </x:c>
      <x:c r="AJ116" s="7" t="str"/>
      <x:c r="AK116" s="15" t="str"/>
      <x:c r="AL116" s="7" t="str"/>
      <x:c r="AM116" s="7" t="str">
        <x:v>AGUILAR CORTEZ DEBRA</x:v>
      </x:c>
      <x:c r="AN116" s="7" t="str">
        <x:v>https://cdicloud.insurance.ca.gov/cal/LicenseDetail?SearchType=IND&amp;SearchLicNbr=0D26148&amp;SearchIndvId=525782</x:v>
      </x:c>
      <x:c r="AO116" s="7" t="str">
        <x:v>2026-10-08</x:v>
      </x:c>
      <x:c r="AP116" s="7" t="str">
        <x:v>f64d67031578967c963f5a1e67a9442f6918e2de6ceb23196c49b73ae1a2dc51</x:v>
      </x:c>
      <x:c r="AQ116" s="7" t="str">
        <x:v>Life / Active / 04/11/2001 / 11/01/2021 / 10/31/2027</x:v>
      </x:c>
      <x:c r="AR116" s="7" t="str">
        <x:v>Active</x:v>
      </x:c>
      <x:c r="AS116" s="7" t="str">
        <x:v>Current detail page</x:v>
      </x:c>
    </x:row>
    <x:row r="117" ht="52" customHeight="1">
      <x:c r="A117" s="7" t="str">
        <x:v>AGUILAR DEVIN LEANNE</x:v>
      </x:c>
      <x:c r="B117" s="14" t="str">
        <x:f>"4312082"</x:f>
        <x:v>4312082</x:v>
      </x:c>
      <x:c r="C117" s="7" t="str">
        <x:v>Omitted</x:v>
      </x:c>
      <x:c r="D117" s="7" t="str">
        <x:v>REVIEW</x:v>
      </x:c>
      <x:c r="E117" s="13" t="str">
        <x:v>Pending</x:v>
      </x:c>
      <x:c r="F117" s="13" t="str"/>
      <x:c r="G117" s="13" t="str"/>
      <x:c r="H117" s="13" t="str"/>
      <x:c r="I117" s="7" t="str">
        <x:v>Was this person reviewed? If rejected, give the actual rule and evidence. If acceptable, correct the omission. Resolve: A&amp;H/disability appointments only; No collected public business phone; Geographic scope.</x:v>
      </x:c>
      <x:c r="J117" s="7" t="str">
        <x:v>R4, R5, R6</x:v>
      </x:c>
      <x:c r="K117" s="7" t="str">
        <x:v>Requires verification: A&amp;H/disability appointments only; No collected public business phone; Geographic scope. These facts do not establish the original reviewer’s motive.</x:v>
      </x:c>
      <x:c r="L117" s="7" t="str">
        <x:v>Not supplied; membership is known, motive is not</x:v>
      </x:c>
      <x:c r="M117" s="7" t="n">
        <x:v>5</x:v>
      </x:c>
      <x:c r="N117" s="7" t="str">
        <x:v>Find contact information first</x:v>
      </x:c>
      <x:c r="O117" s="7" t="str">
        <x:v>Active</x:v>
      </x:c>
      <x:c r="P117" s="7" t="str">
        <x:v>07/31/2023</x:v>
      </x:c>
      <x:c r="Q117" s="7" t="str">
        <x:v>07/31/2027</x:v>
      </x:c>
      <x:c r="R117" s="7" t="str">
        <x:v>Accident &amp; Health or Sickness; Life</x:v>
      </x:c>
      <x:c r="S117" s="15" t="str"/>
      <x:c r="T117" s="7" t="str">
        <x:v>No public business phone in collected record</x:v>
      </x:c>
      <x:c r="U117" s="7" t="str">
        <x:v>6800 W 115TH ST OVERLAND PARK KS, 66211-2420</x:v>
      </x:c>
      <x:c r="V117" s="7" t="str">
        <x:v>Non-resident</x:v>
      </x:c>
      <x:c r="W117" s="7" t="str">
        <x:v>KS</x:v>
      </x:c>
      <x:c r="X117" s="7" t="str"/>
      <x:c r="Y117" s="7" t="str">
        <x:v>AETNA LIFE INSURANCE COMPANY / Accident &amp; Health or Sickness / 10/19/2023
HEALTH NET LIFE INSURANCE COMPANY / Accident &amp; Health or Sickness / 12/15/2023
UNITEDHEALTHCARE INSURANCE COMPANY / Accident &amp; Health or Sickness / 07/31/2023</x:v>
      </x:c>
      <x:c r="Z117" s="7" t="str"/>
      <x:c r="AA117" s="7" t="str"/>
      <x:c r="AB117" s="7" t="str"/>
      <x:c r="AC117" s="7" t="str"/>
      <x:c r="AD117" s="7" t="str">
        <x:v>Active general Life authority | Active A&amp;H supports optional cross-selling; not necessary for target products</x:v>
      </x:c>
      <x:c r="AE117" s="7" t="str">
        <x:v>Displayed insurer appointments are A&amp;H/disability only despite active Life authority | Nonresident or address state outside CA; confirm geographic recruiting scope | No public business phone: contact enrichment needed, not proof of poor recruiting fit</x:v>
      </x:c>
      <x:c r="AF117" s="16" t="n">
        <x:v>3.2</x:v>
      </x:c>
      <x:c r="AG117" s="17" t="n">
        <x:v>296</x:v>
      </x:c>
      <x:c r="AH117" s="7" t="str"/>
      <x:c r="AI117" s="7" t="str"/>
      <x:c r="AJ117" s="7" t="str"/>
      <x:c r="AK117" s="15" t="str"/>
      <x:c r="AL117" s="7" t="str"/>
      <x:c r="AM117" s="7" t="str">
        <x:v>Aguilar Leanne Devin</x:v>
      </x:c>
      <x:c r="AN117" s="7" t="str">
        <x:v>https://cdicloud.insurance.ca.gov/cal/LicenseDetail?SearchType=IND&amp;SearchLicNbr=4312082&amp;SearchIndvId=4312082</x:v>
      </x:c>
      <x:c r="AO117" s="7" t="str">
        <x:v>2026-10-08</x:v>
      </x:c>
      <x:c r="AP117" s="7" t="str">
        <x:v>fead780a7d83644278bde4de5b29d6eedac42657e6e97fbc8e41085bae088a0e</x:v>
      </x:c>
      <x:c r="AQ117" s="7" t="str">
        <x:v>Accident &amp; Health or Sickness / Active / 07/31/2023 / 07/31/2023 / 07/31/2027
Life / Active / 07/31/2023 / 07/31/2023 / 07/31/2027</x:v>
      </x:c>
      <x:c r="AR117" s="7" t="str">
        <x:v>Active</x:v>
      </x:c>
      <x:c r="AS117" s="7" t="str">
        <x:v>Current detail page</x:v>
      </x:c>
    </x:row>
    <x:row r="118" ht="52" customHeight="1">
      <x:c r="A118" s="7" t="str">
        <x:v>AGUILAR DIANA CHRISTINA</x:v>
      </x:c>
      <x:c r="B118" s="14" t="str">
        <x:f>"0G10062"</x:f>
        <x:v>0G10062</x:v>
      </x:c>
      <x:c r="C118" s="7" t="str">
        <x:v>Omitted</x:v>
      </x:c>
      <x:c r="D118" s="7" t="str">
        <x:v>REVIEW</x:v>
      </x:c>
      <x:c r="E118" s="13" t="str">
        <x:v>Pending</x:v>
      </x:c>
      <x:c r="F118" s="13" t="str"/>
      <x:c r="G118" s="13" t="str"/>
      <x:c r="H118" s="13" t="str"/>
      <x:c r="I118" s="7" t="str">
        <x:v>Was this person reviewed? If rejected, give the actual rule and evidence. If acceptable, correct the omission. Resolve: No collected public business phone.</x:v>
      </x:c>
      <x:c r="J118" s="7" t="str">
        <x:v>R5</x:v>
      </x:c>
      <x:c r="K118" s="7" t="str">
        <x:v>Requires verification: No collected public business phone. These facts do not establish the original reviewer’s motive.</x:v>
      </x:c>
      <x:c r="L118" s="7" t="str">
        <x:v>Not supplied; membership is known, motive is not</x:v>
      </x:c>
      <x:c r="M118" s="7" t="n">
        <x:v>5</x:v>
      </x:c>
      <x:c r="N118" s="7" t="str">
        <x:v>Find contact information first</x:v>
      </x:c>
      <x:c r="O118" s="7" t="str">
        <x:v>Active</x:v>
      </x:c>
      <x:c r="P118" s="7" t="str">
        <x:v>09/02/2026</x:v>
      </x:c>
      <x:c r="Q118" s="7" t="str">
        <x:v>09/30/2028</x:v>
      </x:c>
      <x:c r="R118" s="7" t="str">
        <x:v>Life</x:v>
      </x:c>
      <x:c r="S118" s="15" t="str"/>
      <x:c r="T118" s="7" t="str">
        <x:v>No public business phone in collected record</x:v>
      </x:c>
      <x:c r="U118" s="7" t="str">
        <x:v>41865 BOARDWALK, SUITE 106 PALM DESERT CA, 92211</x:v>
      </x:c>
      <x:c r="V118" s="7" t="str">
        <x:v>Resident</x:v>
      </x:c>
      <x:c r="W118" s="7" t="str">
        <x:v>CA</x:v>
      </x:c>
      <x:c r="X118" s="7" t="str"/>
      <x:c r="Y118" s="7" t="str">
        <x:v>FIDELITY &amp; GUARANTY LIFE INSURANCE COMPANY / Life / 09/23/2026
LIFE INSURANCE COMPANY OF THE SOUTHWEST / Life / 09/17/2026
UNITED OF OMAHA LIFE INSURANCE COMPANY / Life / 09/23/2026</x:v>
      </x:c>
      <x:c r="Z118" s="7" t="str"/>
      <x:c r="AA118" s="7" t="str"/>
      <x:c r="AB118" s="7" t="str"/>
      <x:c r="AC118" s="7" t="str"/>
      <x:c r="AD118" s="7" t="str">
        <x:v>Active general Life authority | Direct Life appointments outside the selected health-carrier set: FIDELITY &amp; GUARANTY LIFE INSURANCE COMPANY, LIFE INSURANCE COMPANY OF THE SOUTHWEST, UNITED OF OMAHA LIFE INSURANCE COMPANY</x:v>
      </x:c>
      <x:c r="AE118" s="7" t="str">
        <x:v>No public business phone: contact enrichment needed, not proof of poor recruiting fit</x:v>
      </x:c>
      <x:c r="AF118" s="16" t="n">
        <x:v>0.1</x:v>
      </x:c>
      <x:c r="AG118" s="17" t="n">
        <x:v>723</x:v>
      </x:c>
      <x:c r="AH118" s="7" t="str">
        <x:v>2026-09-23</x:v>
      </x:c>
      <x:c r="AI118" s="7" t="str">
        <x:v>English</x:v>
      </x:c>
      <x:c r="AJ118" s="7" t="str"/>
      <x:c r="AK118" s="15" t="str"/>
      <x:c r="AL118" s="7" t="str"/>
      <x:c r="AM118" s="7" t="str">
        <x:v>AGUILAR CHRISTINA DIANA</x:v>
      </x:c>
      <x:c r="AN118" s="7" t="str">
        <x:v>https://cdicloud.insurance.ca.gov/cal/LicenseDetail?SearchType=IND&amp;SearchLicNbr=0G10062&amp;SearchIndvId=1134490</x:v>
      </x:c>
      <x:c r="AO118" s="7" t="str">
        <x:v>2026-10-08</x:v>
      </x:c>
      <x:c r="AP118" s="7" t="str">
        <x:v>411653c33da171049838e9c0c466b1b8e4bce235b9730b1c1c697ad24cd92415</x:v>
      </x:c>
      <x:c r="AQ118" s="7" t="str">
        <x:v>Life / Active / 09/02/2026 / 09/02/2026 / 09/30/2028</x:v>
      </x:c>
      <x:c r="AR118" s="7" t="str">
        <x:v>Active</x:v>
      </x:c>
      <x:c r="AS118" s="7" t="str">
        <x:v>Current detail page</x:v>
      </x:c>
    </x:row>
    <x:row r="119" ht="52" customHeight="1">
      <x:c r="A119" s="7" t="str">
        <x:v>AGUILAR DIEGO</x:v>
      </x:c>
      <x:c r="B119" s="14" t="str">
        <x:f>"4262046"</x:f>
        <x:v>4262046</x:v>
      </x:c>
      <x:c r="C119" s="7" t="str">
        <x:v>Omitted</x:v>
      </x:c>
      <x:c r="D119" s="7" t="str">
        <x:v>REVIEW</x:v>
      </x:c>
      <x:c r="E119" s="13" t="str">
        <x:v>Pending</x:v>
      </x:c>
      <x:c r="F119" s="13" t="str"/>
      <x:c r="G119" s="13" t="str"/>
      <x:c r="H119" s="13" t="str"/>
      <x:c r="I119" s="7" t="str">
        <x:v>Was this person reviewed? If rejected, give the actual rule and evidence. If acceptable, correct the omission. Resolve: Selected health-carrier Life mix; No collected public business phone.</x:v>
      </x:c>
      <x:c r="J119" s="7" t="str">
        <x:v>R4, R5</x:v>
      </x:c>
      <x:c r="K119" s="7" t="str">
        <x:v>Requires verification: Selected health-carrier Life mix; No collected public business phone. These facts do not establish the original reviewer’s motive.</x:v>
      </x:c>
      <x:c r="L119" s="7" t="str">
        <x:v>Not supplied; membership is known, motive is not</x:v>
      </x:c>
      <x:c r="M119" s="7" t="n">
        <x:v>5</x:v>
      </x:c>
      <x:c r="N119" s="7" t="str">
        <x:v>Find contact information first</x:v>
      </x:c>
      <x:c r="O119" s="7" t="str">
        <x:v>Active</x:v>
      </x:c>
      <x:c r="P119" s="7" t="str">
        <x:v>03/28/2023</x:v>
      </x:c>
      <x:c r="Q119" s="7" t="str">
        <x:v>03/31/2027</x:v>
      </x:c>
      <x:c r="R119" s="7" t="str">
        <x:v>Accident &amp; Health or Sickness; Life</x:v>
      </x:c>
      <x:c r="S119" s="15" t="str"/>
      <x:c r="T119" s="7" t="str">
        <x:v>No public business phone in collected record</x:v>
      </x:c>
      <x:c r="U119" s="7" t="str">
        <x:v>1660 2ND ST DUARTE CA, 91010</x:v>
      </x:c>
      <x:c r="V119" s="7" t="str">
        <x:v>Resident</x:v>
      </x:c>
      <x:c r="W119" s="7" t="str">
        <x:v>CA</x:v>
      </x:c>
      <x:c r="X119" s="7" t="str">
        <x:v>CALIFORNIA HEALTH BENEFIT EXCHANGE / Accident &amp; Health or Sickness / 10/23/2023</x:v>
      </x:c>
      <x:c r="Y119" s="7" t="str">
        <x:v>ALL SAVERS LIFE INSURANCE COMPANY OF CALIFORNIA / Accident &amp; Health or Sickness / 08/07/2024
ALL SAVERS LIFE INSURANCE COMPANY OF CALIFORNIA / Life / 08/07/2024
ANTHEM BLUE CROSS LIFE AND HEALTH INSURANCE COMPANY / Accident &amp; Health or Sickness / 10/18/2023
ANTHEM BLUE CROSS LIFE AND HEALTH INSURANCE COMPANY / Life / 10/18/2023
ANTHEM INSURANCE COMPANIES, INC. / Accident &amp; Health or Sickness / 08/11/2026
BLUE SHIELD OF CALIFORNIA LIFE &amp; HEALTH INSURANCE COMPANY / Accident &amp; Health or Sickness / 06/08/2023
BLUE SHIELD OF CALIFORNIA LIFE &amp; HEALTH INSURANCE COMPANY / Life / 06/08/2023
KAISER PERMANENTE INSURANCE COMPANY / Accident &amp; Health or Sickness / 10/26/2023
UNITEDHEALTHCARE INSURANCE COMPANY / Accident &amp; Health or Sickness / 03/02/2024
UNITEDHEALTHCARE INSURANCE COMPANY / Life / 08/07/2024</x:v>
      </x:c>
      <x:c r="Z119" s="7" t="str"/>
      <x:c r="AA119" s="7" t="str"/>
      <x:c r="AB119" s="7" t="str"/>
      <x:c r="AC119" s="7" t="str"/>
      <x:c r="AD119" s="7" t="str">
        <x:v>Active general Life authority | Active A&amp;H supports optional cross-selling; not necessary for target products</x:v>
      </x:c>
      <x:c r="AE119" s="7" t="str">
        <x:v>Life appointments shown only at selected health-oriented carriers; core Life activity unestablished | No public business phone: contact enrichment needed, not proof of poor recruiting fit</x:v>
      </x:c>
      <x:c r="AF119" s="16" t="n">
        <x:v>3.5</x:v>
      </x:c>
      <x:c r="AG119" s="17" t="n">
        <x:v>174</x:v>
      </x:c>
      <x:c r="AH119" s="7" t="str">
        <x:v>2024-08-07</x:v>
      </x:c>
      <x:c r="AI119" s="7" t="str">
        <x:v>English</x:v>
      </x:c>
      <x:c r="AJ119" s="7" t="str"/>
      <x:c r="AK119" s="15" t="str"/>
      <x:c r="AL119" s="7" t="str"/>
      <x:c r="AM119" s="7" t="str">
        <x:v>AGUILAR  DIEGO</x:v>
      </x:c>
      <x:c r="AN119" s="7" t="str">
        <x:v>https://cdicloud.insurance.ca.gov/cal/LicenseDetail?SearchType=IND&amp;SearchLicNbr=4262046&amp;SearchIndvId=4262046</x:v>
      </x:c>
      <x:c r="AO119" s="7" t="str">
        <x:v>2026-10-08</x:v>
      </x:c>
      <x:c r="AP119" s="7" t="str">
        <x:v>469f1f3c534798f07856d04cf9cf561b15d38dab4b588f54060d2313ff95c04a</x:v>
      </x:c>
      <x:c r="AQ119" s="7" t="str">
        <x:v>Accident &amp; Health or Sickness / Active / 03/28/2023 / 03/28/2023 / 03/31/2027
Life / Active / 03/28/2023 / 03/28/2023 / 03/31/2027</x:v>
      </x:c>
      <x:c r="AR119" s="7" t="str">
        <x:v>Active</x:v>
      </x:c>
      <x:c r="AS119" s="7" t="str">
        <x:v>Current detail page</x:v>
      </x:c>
    </x:row>
    <x:row r="120" ht="52" customHeight="1">
      <x:c r="A120" s="7" t="str">
        <x:v>AGUILAR EMIL CHARLES DOLATRE</x:v>
      </x:c>
      <x:c r="B120" s="14" t="str">
        <x:f>"0H63353"</x:f>
        <x:v>0H63353</x:v>
      </x:c>
      <x:c r="C120" s="7" t="str">
        <x:v>Omitted</x:v>
      </x:c>
      <x:c r="D120" s="7" t="str">
        <x:v>REVIEW</x:v>
      </x:c>
      <x:c r="E120" s="13" t="str">
        <x:v>Pending</x:v>
      </x:c>
      <x:c r="F120" s="13" t="str"/>
      <x:c r="G120" s="13" t="str"/>
      <x:c r="H120" s="13" t="str"/>
      <x:c r="I120" s="7" t="str">
        <x:v>Was this person reviewed? If rejected, give the actual rule and evidence. If acceptable, correct the omission. Resolve: No collected public business phone; Geographic scope.</x:v>
      </x:c>
      <x:c r="J120" s="7" t="str">
        <x:v>R5, R6</x:v>
      </x:c>
      <x:c r="K120" s="7" t="str">
        <x:v>Requires verification: No collected public business phone; Geographic scope. These facts do not establish the original reviewer’s motive.</x:v>
      </x:c>
      <x:c r="L120" s="7" t="str">
        <x:v>Not supplied; membership is known, motive is not</x:v>
      </x:c>
      <x:c r="M120" s="7" t="n">
        <x:v>5</x:v>
      </x:c>
      <x:c r="N120" s="7" t="str">
        <x:v>Find contact information first</x:v>
      </x:c>
      <x:c r="O120" s="7" t="str">
        <x:v>Active</x:v>
      </x:c>
      <x:c r="P120" s="7" t="str">
        <x:v>10/28/2011</x:v>
      </x:c>
      <x:c r="Q120" s="7" t="str">
        <x:v>05/31/2028</x:v>
      </x:c>
      <x:c r="R120" s="7" t="str">
        <x:v>Accident &amp; Health or Sickness; Life</x:v>
      </x:c>
      <x:c r="S120" s="15" t="str"/>
      <x:c r="T120" s="7" t="str">
        <x:v>No public business phone in collected record</x:v>
      </x:c>
      <x:c r="U120" s="7" t="str">
        <x:v>1123 SONORAN HOPE CT HENDERSON NV, 89052</x:v>
      </x:c>
      <x:c r="V120" s="7" t="str">
        <x:v>Non-resident</x:v>
      </x:c>
      <x:c r="W120" s="7" t="str">
        <x:v>NV</x:v>
      </x:c>
      <x:c r="X120" s="7" t="str"/>
      <x:c r="Y120" s="7" t="str"/>
      <x:c r="Z120" s="7" t="str"/>
      <x:c r="AA120" s="7" t="str"/>
      <x:c r="AB120" s="7" t="str"/>
      <x:c r="AC120" s="7" t="str"/>
      <x:c r="AD120" s="7" t="str">
        <x:v>Active general Life authority | No agency or insurer displayed: onboarding opportunity possible; existing business unknown | Active A&amp;H supports optional cross-selling; not necessary for target products</x:v>
      </x:c>
      <x:c r="AE120" s="7" t="str">
        <x:v>Nonresident or address state outside CA; confirm geographic recruiting scope | No public business phone: contact enrichment needed, not proof of poor recruiting fit</x:v>
      </x:c>
      <x:c r="AF120" s="16" t="n">
        <x:v>14.9</x:v>
      </x:c>
      <x:c r="AG120" s="17" t="n">
        <x:v>601</x:v>
      </x:c>
      <x:c r="AH120" s="7" t="str"/>
      <x:c r="AI120" s="7" t="str"/>
      <x:c r="AJ120" s="7" t="str"/>
      <x:c r="AK120" s="15" t="str"/>
      <x:c r="AL120" s="7" t="str"/>
      <x:c r="AM120" s="7" t="str">
        <x:v>AGUILAR DOLATRE EMIL CHARLES</x:v>
      </x:c>
      <x:c r="AN120" s="7" t="str">
        <x:v>https://cdicloud.insurance.ca.gov/cal/LicenseDetail?SearchType=IND&amp;SearchLicNbr=0H63353&amp;SearchIndvId=1485278</x:v>
      </x:c>
      <x:c r="AO120" s="7" t="str">
        <x:v>2026-10-08</x:v>
      </x:c>
      <x:c r="AP120" s="7" t="str">
        <x:v>1f9a1f62aff0df3c023dba8758c2267b2bcba1fb09fbc2bbe00a324fb8c596a2</x:v>
      </x:c>
      <x:c r="AQ120" s="7" t="str">
        <x:v>Accident &amp; Health or Sickness / Active / 06/25/2021 / 05/22/2026 / 05/31/2028
Life / Active / 10/28/2011 / 05/22/2026 / 05/31/2028</x:v>
      </x:c>
      <x:c r="AR120" s="7" t="str">
        <x:v>Active</x:v>
      </x:c>
      <x:c r="AS120" s="7" t="str">
        <x:v>Current detail page</x:v>
      </x:c>
    </x:row>
    <x:row r="121" ht="52" customHeight="1">
      <x:c r="A121" s="7" t="str">
        <x:v>AGUILAR EMMA MORENA</x:v>
      </x:c>
      <x:c r="B121" s="14" t="str">
        <x:f>"4381172"</x:f>
        <x:v>4381172</x:v>
      </x:c>
      <x:c r="C121" s="7" t="str">
        <x:v>Omitted</x:v>
      </x:c>
      <x:c r="D121" s="7" t="str">
        <x:v>REVIEW</x:v>
      </x:c>
      <x:c r="E121" s="13" t="str">
        <x:v>Pending</x:v>
      </x:c>
      <x:c r="F121" s="13" t="str"/>
      <x:c r="G121" s="13" t="str"/>
      <x:c r="H121" s="13" t="str"/>
      <x:c r="I121" s="7" t="str">
        <x:v>Was this person reviewed? If rejected, give the actual rule and evidence. If acceptable, correct the omission. Resolve: No collected public business phone.</x:v>
      </x:c>
      <x:c r="J121" s="7" t="str">
        <x:v>R5</x:v>
      </x:c>
      <x:c r="K121" s="7" t="str">
        <x:v>Requires verification: No collected public business phone. These facts do not establish the original reviewer’s motive.</x:v>
      </x:c>
      <x:c r="L121" s="7" t="str">
        <x:v>Not supplied; membership is known, motive is not</x:v>
      </x:c>
      <x:c r="M121" s="7" t="n">
        <x:v>5</x:v>
      </x:c>
      <x:c r="N121" s="7" t="str">
        <x:v>Find contact information first</x:v>
      </x:c>
      <x:c r="O121" s="7" t="str">
        <x:v>Active</x:v>
      </x:c>
      <x:c r="P121" s="7" t="str">
        <x:v>05/15/2024</x:v>
      </x:c>
      <x:c r="Q121" s="7" t="str">
        <x:v>05/31/2028</x:v>
      </x:c>
      <x:c r="R121" s="7" t="str">
        <x:v>Life</x:v>
      </x:c>
      <x:c r="S121" s="15" t="str"/>
      <x:c r="T121" s="7" t="str">
        <x:v>No public business phone in collected record</x:v>
      </x:c>
      <x:c r="U121" s="7" t="str">
        <x:v>1150 MORTON AVENUE SUITE D PORTERVILLE CA, 93257</x:v>
      </x:c>
      <x:c r="V121" s="7" t="str">
        <x:v>Resident</x:v>
      </x:c>
      <x:c r="W121" s="7" t="str">
        <x:v>CA</x:v>
      </x:c>
      <x:c r="X121" s="7" t="str"/>
      <x:c r="Y121" s="7" t="str">
        <x:v>ACCENDO INSURANCE COMPANY / Life / 09/01/2025
AMERICAN NATIONAL INSURANCE COMPANY / Life / 06/05/2024
FIDELITY &amp; GUARANTY LIFE INSURANCE COMPANY / Life / 06/03/2024
INDEPENDENT ORDER OF FORESTERS (THE) / Life / 07/19/2024
LIFE INSURANCE COMPANY OF THE SOUTHWEST / Life / 07/08/2024
UNITED OF OMAHA LIFE INSURANCE COMPANY / Life / 08/20/2025</x:v>
      </x:c>
      <x:c r="Z121" s="7" t="str"/>
      <x:c r="AA121" s="7" t="str"/>
      <x:c r="AB121" s="7" t="str"/>
      <x:c r="AC121" s="7" t="str"/>
      <x:c r="AD121" s="7" t="str">
        <x:v>Active general Life authority | Direct Life appointments outside the selected health-carrier set: ACCENDO INSURANCE COMPANY, AMERICAN NATIONAL INSURANCE COMPANY, FIDELITY &amp; GUARANTY LIFE INSURANCE COMPANY, INDEPENDENT ORDER OF FORESTERS (THE), LIFE INSURANCE COMPANY OF THE SOUTHWEST, UNITED OF OMAHA LIFE INSURANCE COMPANY</x:v>
      </x:c>
      <x:c r="AE121" s="7" t="str">
        <x:v>No public business phone: contact enrichment needed, not proof of poor recruiting fit</x:v>
      </x:c>
      <x:c r="AF121" s="16" t="n">
        <x:v>2.4</x:v>
      </x:c>
      <x:c r="AG121" s="17" t="n">
        <x:v>601</x:v>
      </x:c>
      <x:c r="AH121" s="7" t="str">
        <x:v>2025-09-01</x:v>
      </x:c>
      <x:c r="AI121" s="7" t="str">
        <x:v>English</x:v>
      </x:c>
      <x:c r="AJ121" s="7" t="str"/>
      <x:c r="AK121" s="15" t="str"/>
      <x:c r="AL121" s="7" t="str"/>
      <x:c r="AM121" s="7" t="str">
        <x:v>AGUILAR MORENA EMMA</x:v>
      </x:c>
      <x:c r="AN121" s="7" t="str">
        <x:v>https://cdicloud.insurance.ca.gov/cal/LicenseDetail?SearchType=IND&amp;SearchLicNbr=4381172&amp;SearchIndvId=4381172</x:v>
      </x:c>
      <x:c r="AO121" s="7" t="str">
        <x:v>2026-10-08</x:v>
      </x:c>
      <x:c r="AP121" s="7" t="str">
        <x:v>b8fb5434d425870aba6e8a5dd2804a8d275d10a2b02ee7364e1c6942cb022295</x:v>
      </x:c>
      <x:c r="AQ121" s="7" t="str">
        <x:v>Life / Active / 05/15/2024 / 05/15/2024 / 05/31/2028</x:v>
      </x:c>
      <x:c r="AR121" s="7" t="str">
        <x:v>Active</x:v>
      </x:c>
      <x:c r="AS121" s="7" t="str">
        <x:v>Current detail page</x:v>
      </x:c>
    </x:row>
    <x:row r="122" ht="52" customHeight="1">
      <x:c r="A122" s="7" t="str">
        <x:v>AGUILAR ERIC GIOVANNI</x:v>
      </x:c>
      <x:c r="B122" s="14" t="str">
        <x:f>"0G44864"</x:f>
        <x:v>0G44864</x:v>
      </x:c>
      <x:c r="C122" s="7" t="str">
        <x:v>Omitted</x:v>
      </x:c>
      <x:c r="D122" s="7" t="str">
        <x:v>REVIEW</x:v>
      </x:c>
      <x:c r="E122" s="13" t="str">
        <x:v>Pending</x:v>
      </x:c>
      <x:c r="F122" s="13" t="str"/>
      <x:c r="G122" s="13" t="str"/>
      <x:c r="H122" s="13" t="str"/>
      <x:c r="I122" s="7" t="str">
        <x:v>Was this person reviewed? If rejected, give the actual rule and evidence. If acceptable, correct the omission. Resolve: No collected public business phone.</x:v>
      </x:c>
      <x:c r="J122" s="7" t="str">
        <x:v>R5</x:v>
      </x:c>
      <x:c r="K122" s="7" t="str">
        <x:v>Requires verification: No collected public business phone. These facts do not establish the original reviewer’s motive.</x:v>
      </x:c>
      <x:c r="L122" s="7" t="str">
        <x:v>Not supplied; membership is known, motive is not</x:v>
      </x:c>
      <x:c r="M122" s="7" t="n">
        <x:v>5</x:v>
      </x:c>
      <x:c r="N122" s="7" t="str">
        <x:v>Find contact information first</x:v>
      </x:c>
      <x:c r="O122" s="7" t="str">
        <x:v>Active</x:v>
      </x:c>
      <x:c r="P122" s="7" t="str">
        <x:v>10/09/2009</x:v>
      </x:c>
      <x:c r="Q122" s="7" t="str">
        <x:v>01/31/2027</x:v>
      </x:c>
      <x:c r="R122" s="7" t="str">
        <x:v>Accident &amp; Health or Sickness; Casualty; Life; Property</x:v>
      </x:c>
      <x:c r="S122" s="15" t="str"/>
      <x:c r="T122" s="7" t="str">
        <x:v>No public business phone in collected record</x:v>
      </x:c>
      <x:c r="U122" s="7" t="str">
        <x:v>14376 VALLEY BLVD STE 111 LA PUENTE CA, 91746</x:v>
      </x:c>
      <x:c r="V122" s="7" t="str">
        <x:v>Resident</x:v>
      </x:c>
      <x:c r="W122" s="7" t="str">
        <x:v>CA</x:v>
      </x:c>
      <x:c r="X122" s="7" t="str"/>
      <x:c r="Y122" s="7" t="str">
        <x:v>AMERICAN GENERAL LIFE INSURANCE COMPANY / Accident &amp; Health or Sickness / 07/23/2021
AMERICAN GENERAL LIFE INSURANCE COMPANY / Life / 07/23/2021
FOREMOST INSURANCE COMPANY GRAND RAPIDS, MICHIGAN / Casualty / 03/04/2021
FOREMOST INSURANCE COMPANY GRAND RAPIDS, MICHIGAN / Property / 03/04/2021
INTEGON NATIONAL INSURANCE COMPANY / Casualty / 11/24/2025
INTEGON NATIONAL INSURANCE COMPANY / Property / 11/24/2025
INTEGON PREFERRED INSURANCE COMPANY / Casualty / 11/24/2025
INTEGON PREFERRED INSURANCE COMPANY / Property / 11/24/2025
NATIONAL GENERAL ASSURANCE COMPANY / Casualty / 11/24/2025
NATIONAL GENERAL ASSURANCE COMPANY / Property / 11/24/2025</x:v>
      </x:c>
      <x:c r="Z122" s="7" t="str"/>
      <x:c r="AA122" s="7" t="str"/>
      <x:c r="AB122" s="7" t="str"/>
      <x:c r="AC122" s="7" t="str"/>
      <x:c r="AD122" s="7" t="str">
        <x:v>Active general Life authority | Direct Life appointments outside the selected health-carrier set: AMERICAN GENERAL LIFE INSURANCE COMPANY | Active A&amp;H supports optional cross-selling; not necessary for target products</x:v>
      </x:c>
      <x:c r="AE122" s="7" t="str">
        <x:v>Mixed P&amp;C/Life qualifications; not an exclusion because approved examples have both | No public business phone: contact enrichment needed, not proof of poor recruiting fit</x:v>
      </x:c>
      <x:c r="AF122" s="16" t="n">
        <x:v>17</x:v>
      </x:c>
      <x:c r="AG122" s="17" t="n">
        <x:v>115</x:v>
      </x:c>
      <x:c r="AH122" s="7" t="str">
        <x:v>2021-07-23</x:v>
      </x:c>
      <x:c r="AI122" s="7" t="str">
        <x:v>English</x:v>
      </x:c>
      <x:c r="AJ122" s="7" t="str"/>
      <x:c r="AK122" s="15" t="str"/>
      <x:c r="AL122" s="7" t="str"/>
      <x:c r="AM122" s="7" t="str">
        <x:v>AGUILAR GIOVANNI ERIC</x:v>
      </x:c>
      <x:c r="AN122" s="7" t="str">
        <x:v>https://cdicloud.insurance.ca.gov/cal/LicenseDetail?SearchType=IND&amp;SearchLicNbr=0G44864&amp;SearchIndvId=1220089</x:v>
      </x:c>
      <x:c r="AO122" s="7" t="str">
        <x:v>2026-10-08</x:v>
      </x:c>
      <x:c r="AP122" s="7" t="str">
        <x:v>907b859bf183f724d887c2eec634e496d51eb73225a4407f57c7ff3a95e570d6</x:v>
      </x:c>
      <x:c r="AQ122" s="7" t="str">
        <x:v>Accident &amp; Health or Sickness / Active / 10/09/2009 / 02/22/2021 / 01/31/2027
Casualty / Active / 01/07/2009 / 02/22/2021 / 01/31/2027
Life / Active / 10/09/2009 / 02/22/2021 / 01/31/2027
Property / Active / 01/07/2009 / 02/22/2021 / 01/31/2027</x:v>
      </x:c>
      <x:c r="AR122" s="7" t="str">
        <x:v>Active</x:v>
      </x:c>
      <x:c r="AS122" s="7" t="str">
        <x:v>Current detail page</x:v>
      </x:c>
    </x:row>
    <x:row r="123" ht="52" customHeight="1">
      <x:c r="A123" s="7" t="str">
        <x:v>AGUILAR ESTHER ALVARADO</x:v>
      </x:c>
      <x:c r="B123" s="14" t="str">
        <x:f>"0G40262"</x:f>
        <x:v>0G40262</x:v>
      </x:c>
      <x:c r="C123" s="7" t="str">
        <x:v>Omitted</x:v>
      </x:c>
      <x:c r="D123" s="7" t="str">
        <x:v>REVIEW</x:v>
      </x:c>
      <x:c r="E123" s="13" t="str">
        <x:v>Pending</x:v>
      </x:c>
      <x:c r="F123" s="13" t="str"/>
      <x:c r="G123" s="13" t="str"/>
      <x:c r="H123" s="13" t="str"/>
      <x:c r="I123" s="7" t="str">
        <x:v>Was this person reviewed? If rejected, give the actual rule and evidence. If acceptable, correct the omission. Resolve: No collected public business phone.</x:v>
      </x:c>
      <x:c r="J123" s="7" t="str">
        <x:v>R5</x:v>
      </x:c>
      <x:c r="K123" s="7" t="str">
        <x:v>Requires verification: No collected public business phone. These facts do not establish the original reviewer’s motive.</x:v>
      </x:c>
      <x:c r="L123" s="7" t="str">
        <x:v>Not supplied; membership is known, motive is not</x:v>
      </x:c>
      <x:c r="M123" s="7" t="n">
        <x:v>5</x:v>
      </x:c>
      <x:c r="N123" s="7" t="str">
        <x:v>Find contact information first</x:v>
      </x:c>
      <x:c r="O123" s="7" t="str">
        <x:v>Active</x:v>
      </x:c>
      <x:c r="P123" s="7" t="str">
        <x:v>12/05/2008</x:v>
      </x:c>
      <x:c r="Q123" s="7" t="str">
        <x:v>12/31/2026</x:v>
      </x:c>
      <x:c r="R123" s="7" t="str">
        <x:v>Accident &amp; Health or Sickness; Life</x:v>
      </x:c>
      <x:c r="S123" s="15" t="str"/>
      <x:c r="T123" s="7" t="str">
        <x:v>No public business phone in collected record</x:v>
      </x:c>
      <x:c r="U123" s="7" t="str">
        <x:v>8250 WHITE OAK AVE SUITE 103 RANCHO CUCAMONGA CA, 91730</x:v>
      </x:c>
      <x:c r="V123" s="7" t="str">
        <x:v>Resident</x:v>
      </x:c>
      <x:c r="W123" s="7" t="str">
        <x:v>CA</x:v>
      </x:c>
      <x:c r="X123" s="7" t="str">
        <x:v>WORLD FINANCIAL GROUP INSURANCE AGENCY, LLC / Accident &amp; Health or Sickness / 02/20/2014
WORLD FINANCIAL GROUP INSURANCE AGENCY, LLC / Life / 01/05/2009</x:v>
      </x:c>
      <x:c r="Y123" s="7" t="str">
        <x:v>AMERICAN GENERAL LIFE INSURANCE COMPANY / Accident &amp; Health or Sickness / 11/21/2018
AMERICAN GENERAL LIFE INSURANCE COMPANY / Life / 11/21/2018
BANNER LIFE INSURANCE COMPANY / Life / 02/16/2026
GENWORTH LIFE INSURANCE COMPANY / Life / 10/16/2012
GERBER LIFE INSURANCE COMPANY / Accident &amp; Health or Sickness / 10/05/2018
GERBER LIFE INSURANCE COMPANY / Life / 10/05/2018
IA AMERICAN LIFE INSURANCE COMPANY / Life / 05/05/2017
NATIONWIDE LIFE AND ANNUITY INSURANCE COMPANY / Accident &amp; Health or Sickness / 12/08/2015
NATIONWIDE LIFE AND ANNUITY INSURANCE COMPANY / Life / 10/20/2012
PROTECTIVE LIFE INSURANCE COMPANY / Accident &amp; Health or Sickness / 01/05/2018
PROTECTIVE LIFE INSURANCE COMPANY / Life / 01/05/2018
PRUCO LIFE INSURANCE COMPANY / Life / 06/02/2020</x:v>
      </x:c>
      <x:c r="Z123" s="7" t="str"/>
      <x:c r="AA123" s="7" t="str"/>
      <x:c r="AB123" s="7" t="str"/>
      <x:c r="AC123" s="7" t="str"/>
      <x:c r="AD123" s="7" t="str">
        <x:v>Active general Life authority | WFG relationship: matches an explicitly targeted recruiting segment | Direct Life appointments outside the selected health-carrier set: AMERICAN GENERAL LIFE INSURANCE COMPANY, BANNER LIFE INSURANCE COMPANY, GENWORTH LIFE INSURANCE COMPANY, GERBER LIFE INSURANCE COMPANY, IA AMERICAN LIFE INSURANCE COMPANY, NATIONWIDE LIFE AND ANNUITY INSURANCE COMPANY, PROTECTIVE LIFE INSURANCE COMPANY, PRUCO LIFE INSURANCE COMPANY | Active A&amp;H supports optional cross-selling; not necessary for target products</x:v>
      </x:c>
      <x:c r="AE123" s="7" t="str">
        <x:v>No public business phone: contact enrichment needed, not proof of poor recruiting fit</x:v>
      </x:c>
      <x:c r="AF123" s="16" t="n">
        <x:v>17.8</x:v>
      </x:c>
      <x:c r="AG123" s="17" t="n">
        <x:v>84</x:v>
      </x:c>
      <x:c r="AH123" s="7" t="str">
        <x:v>2026-02-16</x:v>
      </x:c>
      <x:c r="AI123" s="7" t="str">
        <x:v>English</x:v>
      </x:c>
      <x:c r="AJ123" s="7" t="str"/>
      <x:c r="AK123" s="15" t="str"/>
      <x:c r="AL123" s="7" t="str"/>
      <x:c r="AM123" s="7" t="str">
        <x:v>AGUILAR A ESTHER | AGUILAR ALVARADO ESTHER</x:v>
      </x:c>
      <x:c r="AN123" s="7" t="str">
        <x:v>https://cdicloud.insurance.ca.gov/cal/LicenseDetail?SearchType=IND&amp;SearchLicNbr=0G40262&amp;SearchIndvId=1213493</x:v>
      </x:c>
      <x:c r="AO123" s="7" t="str">
        <x:v>2026-10-08</x:v>
      </x:c>
      <x:c r="AP123" s="7" t="str">
        <x:v>d12bb992ca3bd7a86b28c649b7b7e4fa4698567a8b8090bffe45d57d5aae3c18</x:v>
      </x:c>
      <x:c r="AQ123" s="7" t="str">
        <x:v>Accident &amp; Health or Sickness / Active / 01/13/2014 / 01/13/2014 / 12/31/2026
Life / Active / 12/05/2008 / 12/05/2008 / 12/31/2026</x:v>
      </x:c>
      <x:c r="AR123" s="7" t="str">
        <x:v>Active</x:v>
      </x:c>
      <x:c r="AS123" s="7" t="str">
        <x:v>Current detail page</x:v>
      </x:c>
    </x:row>
    <x:row r="124" ht="52" customHeight="1">
      <x:c r="A124" s="7" t="str">
        <x:v>AGUILAR FIGUEROA HECTOR CALEB JOSUE</x:v>
      </x:c>
      <x:c r="B124" s="14" t="str">
        <x:f>"4463491"</x:f>
        <x:v>4463491</x:v>
      </x:c>
      <x:c r="C124" s="7" t="str">
        <x:v>Omitted</x:v>
      </x:c>
      <x:c r="D124" s="7" t="str">
        <x:v>REVIEW</x:v>
      </x:c>
      <x:c r="E124" s="13" t="str">
        <x:v>Pending</x:v>
      </x:c>
      <x:c r="F124" s="13" t="str"/>
      <x:c r="G124" s="13" t="str"/>
      <x:c r="H124" s="13" t="str"/>
      <x:c r="I124" s="7" t="str">
        <x:v>Was this person reviewed? If rejected, give the actual rule and evidence. If acceptable, correct the omission. Resolve: Bank/securities role and outside contracting; No collected public business phone; Geographic scope.</x:v>
      </x:c>
      <x:c r="J124" s="7" t="str">
        <x:v>R1, R5, R6</x:v>
      </x:c>
      <x:c r="K124" s="7" t="str">
        <x:v>Requires verification: Bank/securities role and outside contracting; No collected public business phone; Geographic scope. These facts do not establish the original reviewer’s motive.</x:v>
      </x:c>
      <x:c r="L124" s="7" t="str">
        <x:v>Not supplied; membership is known, motive is not</x:v>
      </x:c>
      <x:c r="M124" s="7" t="n">
        <x:v>5</x:v>
      </x:c>
      <x:c r="N124" s="7" t="str">
        <x:v>Find contact information first</x:v>
      </x:c>
      <x:c r="O124" s="7" t="str">
        <x:v>Active</x:v>
      </x:c>
      <x:c r="P124" s="7" t="str">
        <x:v>06/05/2025</x:v>
      </x:c>
      <x:c r="Q124" s="7" t="str">
        <x:v>06/30/2027</x:v>
      </x:c>
      <x:c r="R124" s="7" t="str">
        <x:v>Accident &amp; Health or Sickness; Life; Var Life and Var Annuity</x:v>
      </x:c>
      <x:c r="S124" s="15" t="str"/>
      <x:c r="T124" s="7" t="str">
        <x:v>No public business phone in collected record</x:v>
      </x:c>
      <x:c r="U124" s="7" t="str">
        <x:v>6791 E CAMINO PRINCIPAL TUCSON AZ, 85715</x:v>
      </x:c>
      <x:c r="V124" s="7" t="str">
        <x:v>Non-resident</x:v>
      </x:c>
      <x:c r="W124" s="7" t="str">
        <x:v>AZ</x:v>
      </x:c>
      <x:c r="X124" s="7" t="str">
        <x:v>EDWARD JONES INSURANCE AGENCY OF CALIFORNIA, LLC / Accident &amp; Health or Sickness / 06/06/2025
EDWARD JONES INSURANCE AGENCY OF CALIFORNIA, LLC / Life / 06/06/2025
EDWARD JONES INSURANCE AGENCY OF CALIFORNIA, LLC / Var Life and Var Annuity / 06/06/2025</x:v>
      </x:c>
      <x:c r="Y124" s="7" t="str">
        <x:v>LINCOLN NATIONAL LIFE INSURANCE COMPANY (THE) / Accident &amp; Health or Sickness / 06/06/2025
LINCOLN NATIONAL LIFE INSURANCE COMPANY (THE) / Life / 06/06/2025
LINCOLN NATIONAL LIFE INSURANCE COMPANY (THE) / Var Life and Var Annuity / 06/06/2025</x:v>
      </x:c>
      <x:c r="Z124" s="7" t="str"/>
      <x:c r="AA124" s="7" t="str"/>
      <x:c r="AB124" s="7" t="str"/>
      <x:c r="AC124" s="7" t="str"/>
      <x:c r="AD124" s="7" t="str">
        <x:v>Active general Life authority | Direct Life appointments outside the selected health-carrier set: LINCOLN NATIONAL LIFE INSURANCE COMPANY (THE) | Active A&amp;H supports optional cross-selling; not necessary for target products</x:v>
      </x:c>
      <x:c r="AE124" s="7" t="str">
        <x:v>Bank/securities agency channel: EDWARD JONES INSURANCE AGENCY OF CALIFORNIA, LLC | Variable authority: financial-advice/variable-product capability; not needed for fixed annuities and not an automatic exclusion | Nonresident or address state outside CA; confirm geographic recruiting scope | No public business phone: contact enrichment needed, not proof of poor recruiting fit</x:v>
      </x:c>
      <x:c r="AF124" s="16" t="n">
        <x:v>1.3</x:v>
      </x:c>
      <x:c r="AG124" s="17" t="n">
        <x:v>265</x:v>
      </x:c>
      <x:c r="AH124" s="7" t="str">
        <x:v>2025-06-06</x:v>
      </x:c>
      <x:c r="AI124" s="7" t="str"/>
      <x:c r="AJ124" s="7" t="str"/>
      <x:c r="AK124" s="15" t="str"/>
      <x:c r="AL124" s="7" t="str"/>
      <x:c r="AM124" s="7" t="str">
        <x:v>AGUILAR FIGUEROA CALEB JOSUE HECTOR</x:v>
      </x:c>
      <x:c r="AN124" s="7" t="str">
        <x:v>https://cdicloud.insurance.ca.gov/cal/LicenseDetail?SearchType=IND&amp;SearchLicNbr=4463491&amp;SearchIndvId=4463491</x:v>
      </x:c>
      <x:c r="AO124" s="7" t="str">
        <x:v>2026-10-08</x:v>
      </x:c>
      <x:c r="AP124" s="7" t="str">
        <x:v>3c75f6e8f2a2ae375bc9a46c0055d8c632c543a24010a65504e83eff638501bd</x:v>
      </x:c>
      <x:c r="AQ124" s="7" t="str">
        <x:v>Accident &amp; Health or Sickness / Active / 06/05/2025 / 06/05/2025 / 06/30/2027
Life / Active / 06/05/2025 / 06/05/2025 / 06/30/2027
Var Life and Var Annuity / Active / 06/05/2025 / 06/05/2025 / 06/30/2027</x:v>
      </x:c>
      <x:c r="AR124" s="7" t="str">
        <x:v>Active</x:v>
      </x:c>
      <x:c r="AS124" s="7" t="str">
        <x:v>Current detail page</x:v>
      </x:c>
    </x:row>
    <x:row r="125" ht="52" customHeight="1">
      <x:c r="A125" s="7" t="str">
        <x:v>AGUILAR GABRIELA</x:v>
      </x:c>
      <x:c r="B125" s="14" t="str">
        <x:f>"0E00203"</x:f>
        <x:v>0E00203</x:v>
      </x:c>
      <x:c r="C125" s="7" t="str">
        <x:v>Omitted</x:v>
      </x:c>
      <x:c r="D125" s="7" t="str">
        <x:v>REVIEW</x:v>
      </x:c>
      <x:c r="E125" s="13" t="str">
        <x:v>Pending</x:v>
      </x:c>
      <x:c r="F125" s="13" t="str"/>
      <x:c r="G125" s="13" t="str"/>
      <x:c r="H125" s="13" t="str"/>
      <x:c r="I125" s="7" t="str">
        <x:v>Was this person reviewed? If rejected, give the actual rule and evidence. If acceptable, correct the omission. Resolve: No collected public business phone.</x:v>
      </x:c>
      <x:c r="J125" s="7" t="str">
        <x:v>R5</x:v>
      </x:c>
      <x:c r="K125" s="7" t="str">
        <x:v>Requires verification: No collected public business phone. These facts do not establish the original reviewer’s motive.</x:v>
      </x:c>
      <x:c r="L125" s="7" t="str">
        <x:v>Not supplied; membership is known, motive is not</x:v>
      </x:c>
      <x:c r="M125" s="7" t="n">
        <x:v>5</x:v>
      </x:c>
      <x:c r="N125" s="7" t="str">
        <x:v>Find contact information first</x:v>
      </x:c>
      <x:c r="O125" s="7" t="str">
        <x:v>Active</x:v>
      </x:c>
      <x:c r="P125" s="7" t="str">
        <x:v>04/23/2003</x:v>
      </x:c>
      <x:c r="Q125" s="7" t="str">
        <x:v>04/30/2027</x:v>
      </x:c>
      <x:c r="R125" s="7" t="str">
        <x:v>Accident &amp; Health or Sickness; Life</x:v>
      </x:c>
      <x:c r="S125" s="15" t="str"/>
      <x:c r="T125" s="7" t="str">
        <x:v>No public business phone in collected record</x:v>
      </x:c>
      <x:c r="U125" s="7" t="str">
        <x:v>2801 TOWNSGATE ROAD STE 350 WESTAKE VILLAGE CA, 91361</x:v>
      </x:c>
      <x:c r="V125" s="7" t="str">
        <x:v>Resident</x:v>
      </x:c>
      <x:c r="W125" s="7" t="str">
        <x:v>CA</x:v>
      </x:c>
      <x:c r="X125" s="7" t="str"/>
      <x:c r="Y125" s="7" t="str"/>
      <x:c r="Z125" s="7" t="str"/>
      <x:c r="AA125" s="7" t="str"/>
      <x:c r="AB125" s="7" t="str"/>
      <x:c r="AC125" s="7" t="str"/>
      <x:c r="AD125" s="7" t="str">
        <x:v>Active general Life authority | No agency or insurer displayed: onboarding opportunity possible; existing business unknown | Active A&amp;H supports optional cross-selling; not necessary for target products</x:v>
      </x:c>
      <x:c r="AE125" s="7" t="str">
        <x:v>No public business phone: contact enrichment needed, not proof of poor recruiting fit</x:v>
      </x:c>
      <x:c r="AF125" s="16" t="n">
        <x:v>23.5</x:v>
      </x:c>
      <x:c r="AG125" s="17" t="n">
        <x:v>204</x:v>
      </x:c>
      <x:c r="AH125" s="7" t="str"/>
      <x:c r="AI125" s="7" t="str">
        <x:v>English</x:v>
      </x:c>
      <x:c r="AJ125" s="7" t="str"/>
      <x:c r="AK125" s="15" t="str"/>
      <x:c r="AL125" s="7" t="str"/>
      <x:c r="AM125" s="7" t="str">
        <x:v>AGUILAR  GABRIELA</x:v>
      </x:c>
      <x:c r="AN125" s="7" t="str">
        <x:v>https://cdicloud.insurance.ca.gov/cal/LicenseDetail?SearchType=IND&amp;SearchLicNbr=0E00203&amp;SearchIndvId=840516</x:v>
      </x:c>
      <x:c r="AO125" s="7" t="str">
        <x:v>2026-10-08</x:v>
      </x:c>
      <x:c r="AP125" s="7" t="str">
        <x:v>a5d1323f8bf8d8bfcfe45f437d95e43c4c1c8124a56bc66bfe836f18576373cb</x:v>
      </x:c>
      <x:c r="AQ125" s="7" t="str">
        <x:v>Accident &amp; Health or Sickness / Active / 04/23/2003 / 07/25/2011 / 04/30/2027
Life / Active / 04/23/2003 / 07/25/2011 / 04/30/2027</x:v>
      </x:c>
      <x:c r="AR125" s="7" t="str">
        <x:v>Active</x:v>
      </x:c>
      <x:c r="AS125" s="7" t="str">
        <x:v>Current detail page</x:v>
      </x:c>
    </x:row>
    <x:row r="126" ht="52" customHeight="1">
      <x:c r="A126" s="7" t="str">
        <x:v>AGUILAR GABRIELA</x:v>
      </x:c>
      <x:c r="B126" s="14" t="str">
        <x:f>"0M25540"</x:f>
        <x:v>0M25540</x:v>
      </x:c>
      <x:c r="C126" s="7" t="str">
        <x:v>Omitted</x:v>
      </x:c>
      <x:c r="D126" s="7" t="str">
        <x:v>REVIEW</x:v>
      </x:c>
      <x:c r="E126" s="13" t="str">
        <x:v>Pending</x:v>
      </x:c>
      <x:c r="F126" s="13" t="str"/>
      <x:c r="G126" s="13" t="str"/>
      <x:c r="H126" s="13" t="str"/>
      <x:c r="I126" s="7" t="str">
        <x:v>Was this person reviewed? If rejected, give the actual rule and evidence. If acceptable, correct the omission. Resolve: Selected health-carrier Life mix; No collected public business phone; Geographic scope.</x:v>
      </x:c>
      <x:c r="J126" s="7" t="str">
        <x:v>R4, R5, R6</x:v>
      </x:c>
      <x:c r="K126" s="7" t="str">
        <x:v>Requires verification: Selected health-carrier Life mix; No collected public business phone; Geographic scope. These facts do not establish the original reviewer’s motive.</x:v>
      </x:c>
      <x:c r="L126" s="7" t="str">
        <x:v>Not supplied; membership is known, motive is not</x:v>
      </x:c>
      <x:c r="M126" s="7" t="n">
        <x:v>5</x:v>
      </x:c>
      <x:c r="N126" s="7" t="str">
        <x:v>Find contact information first</x:v>
      </x:c>
      <x:c r="O126" s="7" t="str">
        <x:v>Active</x:v>
      </x:c>
      <x:c r="P126" s="7" t="str">
        <x:v>03/22/2018</x:v>
      </x:c>
      <x:c r="Q126" s="7" t="str">
        <x:v>03/31/2028</x:v>
      </x:c>
      <x:c r="R126" s="7" t="str">
        <x:v>Accident &amp; Health or Sickness; Life</x:v>
      </x:c>
      <x:c r="S126" s="15" t="str"/>
      <x:c r="T126" s="7" t="str">
        <x:v>No public business phone in collected record</x:v>
      </x:c>
      <x:c r="U126" s="7" t="str">
        <x:v>17749 FARADAY ST BROOMFIELD CO, 80023-5236</x:v>
      </x:c>
      <x:c r="V126" s="7" t="str">
        <x:v>Non-resident</x:v>
      </x:c>
      <x:c r="W126" s="7" t="str">
        <x:v>CO</x:v>
      </x:c>
      <x:c r="X126" s="7" t="str">
        <x:v>CALIFORNIA HEALTH BENEFIT EXCHANGE / Accident &amp; Health or Sickness / 08/07/2025
INSURANCE PATHWAYS / Accident &amp; Health or Sickness / 06/27/2024
INSURANCE PATHWAYS / Life / 06/27/2024</x:v>
      </x:c>
      <x:c r="Y126" s="7" t="str">
        <x:v>AETNA LIFE INSURANCE COMPANY / Accident &amp; Health or Sickness / 12/11/2024
ANTHEM BLUE CROSS LIFE AND HEALTH INSURANCE COMPANY / Accident &amp; Health or Sickness / 07/31/2023
ANTHEM BLUE CROSS LIFE AND HEALTH INSURANCE COMPANY / Life / 07/31/2023
BLUE SHIELD OF CALIFORNIA LIFE &amp; HEALTH INSURANCE COMPANY / Accident &amp; Health or Sickness / 09/19/2024
BLUE SHIELD OF CALIFORNIA LIFE &amp; HEALTH INSURANCE COMPANY / Life / 09/19/2024
HUMANA BENEFIT PLAN OF ILLINOIS, INC. / Accident &amp; Health or Sickness / 07/08/2025
MEDCO CONTAINMENT LIFE INSURANCE COMPANY / Accident &amp; Health or Sickness / 12/10/2024
UNITEDHEALTHCARE INSURANCE COMPANY / Accident &amp; Health or Sickness / 09/03/2023</x:v>
      </x:c>
      <x:c r="Z126" s="7" t="str"/>
      <x:c r="AA126" s="7" t="str"/>
      <x:c r="AB126" s="7" t="str"/>
      <x:c r="AC126" s="7" t="str"/>
      <x:c r="AD126" s="7" t="str">
        <x:v>Active general Life authority | Active A&amp;H supports optional cross-selling; not necessary for target products</x:v>
      </x:c>
      <x:c r="AE126" s="7" t="str">
        <x:v>Life appointments shown only at selected health-oriented carriers; core Life activity unestablished | Nonresident or address state outside CA; confirm geographic recruiting scope | No public business phone: contact enrichment needed, not proof of poor recruiting fit</x:v>
      </x:c>
      <x:c r="AF126" s="16" t="n">
        <x:v>8.5</x:v>
      </x:c>
      <x:c r="AG126" s="17" t="n">
        <x:v>540</x:v>
      </x:c>
      <x:c r="AH126" s="7" t="str">
        <x:v>2024-09-19</x:v>
      </x:c>
      <x:c r="AI126" s="7" t="str"/>
      <x:c r="AJ126" s="7" t="str"/>
      <x:c r="AK126" s="15" t="str"/>
      <x:c r="AL126" s="7" t="str"/>
      <x:c r="AM126" s="7" t="str">
        <x:v>AGUILAR  GABRIELA</x:v>
      </x:c>
      <x:c r="AN126" s="7" t="str">
        <x:v>https://cdicloud.insurance.ca.gov/cal/LicenseDetail?SearchType=IND&amp;SearchLicNbr=0M25540&amp;SearchIndvId=1999843</x:v>
      </x:c>
      <x:c r="AO126" s="7" t="str">
        <x:v>2026-10-08</x:v>
      </x:c>
      <x:c r="AP126" s="7" t="str">
        <x:v>522b85e911c3f1743e448a23681fbc409928c49fba5979e274204a87c1b78e3b</x:v>
      </x:c>
      <x:c r="AQ126" s="7" t="str">
        <x:v>Accident &amp; Health or Sickness / Active / 03/22/2018 / 03/30/2023 / 03/31/2028
Life / Active / 03/22/2018 / 03/30/2023 / 03/31/2028</x:v>
      </x:c>
      <x:c r="AR126" s="7" t="str">
        <x:v>Active</x:v>
      </x:c>
      <x:c r="AS126" s="7" t="str">
        <x:v>Current detail page</x:v>
      </x:c>
    </x:row>
    <x:row r="127" ht="52" customHeight="1">
      <x:c r="A127" s="7" t="str">
        <x:v>AGUILAR GENALIN SALAS</x:v>
      </x:c>
      <x:c r="B127" s="14" t="str">
        <x:f>"0N11956"</x:f>
        <x:v>0N11956</x:v>
      </x:c>
      <x:c r="C127" s="7" t="str">
        <x:v>Omitted</x:v>
      </x:c>
      <x:c r="D127" s="7" t="str">
        <x:v>REVIEW</x:v>
      </x:c>
      <x:c r="E127" s="13" t="str">
        <x:v>Pending</x:v>
      </x:c>
      <x:c r="F127" s="13" t="str"/>
      <x:c r="G127" s="13" t="str"/>
      <x:c r="H127" s="13" t="str"/>
      <x:c r="I127" s="7" t="str">
        <x:v>Was this person reviewed? If rejected, give the actual rule and evidence. If acceptable, correct the omission. Resolve: No collected public business phone; Geographic scope.</x:v>
      </x:c>
      <x:c r="J127" s="7" t="str">
        <x:v>R5, R6</x:v>
      </x:c>
      <x:c r="K127" s="7" t="str">
        <x:v>Requires verification: No collected public business phone; Geographic scope. These facts do not establish the original reviewer’s motive.</x:v>
      </x:c>
      <x:c r="L127" s="7" t="str">
        <x:v>Not supplied; membership is known, motive is not</x:v>
      </x:c>
      <x:c r="M127" s="7" t="n">
        <x:v>5</x:v>
      </x:c>
      <x:c r="N127" s="7" t="str">
        <x:v>Find contact information first</x:v>
      </x:c>
      <x:c r="O127" s="7" t="str">
        <x:v>Active</x:v>
      </x:c>
      <x:c r="P127" s="7" t="str">
        <x:v>08/06/2019</x:v>
      </x:c>
      <x:c r="Q127" s="7" t="str">
        <x:v>08/31/2027</x:v>
      </x:c>
      <x:c r="R127" s="7" t="str">
        <x:v>Life</x:v>
      </x:c>
      <x:c r="S127" s="15" t="str"/>
      <x:c r="T127" s="7" t="str">
        <x:v>No public business phone in collected record</x:v>
      </x:c>
      <x:c r="U127" s="7" t="str">
        <x:v>1123 SONORAN HOPE CT HENDERSON NV, 89052-8693</x:v>
      </x:c>
      <x:c r="V127" s="7" t="str">
        <x:v>Non-resident</x:v>
      </x:c>
      <x:c r="W127" s="7" t="str">
        <x:v>NV</x:v>
      </x:c>
      <x:c r="X127" s="7" t="str"/>
      <x:c r="Y127" s="7" t="str">
        <x:v>AMERICAN GENERAL LIFE INSURANCE COMPANY / Life / 05/13/2026</x:v>
      </x:c>
      <x:c r="Z127" s="7" t="str"/>
      <x:c r="AA127" s="7" t="str"/>
      <x:c r="AB127" s="7" t="str"/>
      <x:c r="AC127" s="7" t="str"/>
      <x:c r="AD127" s="7" t="str">
        <x:v>Active general Life authority | Direct Life appointments outside the selected health-carrier set: AMERICAN GENERAL LIFE INSURANCE COMPANY</x:v>
      </x:c>
      <x:c r="AE127" s="7" t="str">
        <x:v>Nonresident or address state outside CA; confirm geographic recruiting scope | No public business phone: contact enrichment needed, not proof of poor recruiting fit</x:v>
      </x:c>
      <x:c r="AF127" s="16" t="n">
        <x:v>7.2</x:v>
      </x:c>
      <x:c r="AG127" s="17" t="n">
        <x:v>327</x:v>
      </x:c>
      <x:c r="AH127" s="7" t="str">
        <x:v>2026-05-13</x:v>
      </x:c>
      <x:c r="AI127" s="7" t="str"/>
      <x:c r="AJ127" s="7" t="str"/>
      <x:c r="AK127" s="15" t="str"/>
      <x:c r="AL127" s="7" t="str"/>
      <x:c r="AM127" s="7" t="str">
        <x:v>AGUILAR SALAS GENALIN</x:v>
      </x:c>
      <x:c r="AN127" s="7" t="str">
        <x:v>https://cdicloud.insurance.ca.gov/cal/LicenseDetail?SearchType=IND&amp;SearchLicNbr=0N11956&amp;SearchIndvId=2124497</x:v>
      </x:c>
      <x:c r="AO127" s="7" t="str">
        <x:v>2026-10-08</x:v>
      </x:c>
      <x:c r="AP127" s="7" t="str">
        <x:v>f37a75c7b88f844ff14cdc115bca019e12bb6f92c26f00bd959e7b50960a05cc</x:v>
      </x:c>
      <x:c r="AQ127" s="7" t="str">
        <x:v>Life / Active / 08/06/2019 / 04/06/2026 / 08/31/2027</x:v>
      </x:c>
      <x:c r="AR127" s="7" t="str">
        <x:v>Active</x:v>
      </x:c>
      <x:c r="AS127" s="7" t="str">
        <x:v>Current detail page</x:v>
      </x:c>
    </x:row>
    <x:row r="128" ht="52" customHeight="1">
      <x:c r="A128" s="7" t="str">
        <x:v>AGUILAR GRISELDA</x:v>
      </x:c>
      <x:c r="B128" s="14" t="str">
        <x:f>"4511188"</x:f>
        <x:v>4511188</x:v>
      </x:c>
      <x:c r="C128" s="7" t="str">
        <x:v>Omitted</x:v>
      </x:c>
      <x:c r="D128" s="7" t="str">
        <x:v>REVIEW</x:v>
      </x:c>
      <x:c r="E128" s="13" t="str">
        <x:v>Pending</x:v>
      </x:c>
      <x:c r="F128" s="13" t="str"/>
      <x:c r="G128" s="13" t="str"/>
      <x:c r="H128" s="13" t="str"/>
      <x:c r="I128" s="7" t="str">
        <x:v>Was this person reviewed? If rejected, give the actual rule and evidence. If acceptable, correct the omission. Resolve: No collected public business phone; Geographic scope.</x:v>
      </x:c>
      <x:c r="J128" s="7" t="str">
        <x:v>R5, R6</x:v>
      </x:c>
      <x:c r="K128" s="7" t="str">
        <x:v>Requires verification: No collected public business phone; Geographic scope. These facts do not establish the original reviewer’s motive.</x:v>
      </x:c>
      <x:c r="L128" s="7" t="str">
        <x:v>Not supplied; membership is known, motive is not</x:v>
      </x:c>
      <x:c r="M128" s="7" t="n">
        <x:v>5</x:v>
      </x:c>
      <x:c r="N128" s="7" t="str">
        <x:v>Find contact information first</x:v>
      </x:c>
      <x:c r="O128" s="7" t="str">
        <x:v>Active</x:v>
      </x:c>
      <x:c r="P128" s="7" t="str">
        <x:v>11/21/2025</x:v>
      </x:c>
      <x:c r="Q128" s="7" t="str">
        <x:v>11/30/2027</x:v>
      </x:c>
      <x:c r="R128" s="7" t="str">
        <x:v>Accident &amp; Health or Sickness; Life</x:v>
      </x:c>
      <x:c r="S128" s="15" t="str"/>
      <x:c r="T128" s="7" t="str">
        <x:v>No public business phone in collected record</x:v>
      </x:c>
      <x:c r="U128" s="7" t="str">
        <x:v>4954 MERRIMAC ST CORPUS CHRISTI TX, 78415</x:v>
      </x:c>
      <x:c r="V128" s="7" t="str">
        <x:v>Non-resident</x:v>
      </x:c>
      <x:c r="W128" s="7" t="str">
        <x:v>TX</x:v>
      </x:c>
      <x:c r="X128" s="7" t="str"/>
      <x:c r="Y128" s="7" t="str">
        <x:v>ACCENDO INSURANCE COMPANY / Life / 12/02/2025
TRANSAMERICA LIFE INSURANCE COMPANY / Accident &amp; Health or Sickness / 12/15/2025
TRANSAMERICA LIFE INSURANCE COMPANY / Life / 12/15/2025</x:v>
      </x:c>
      <x:c r="Z128" s="7" t="str"/>
      <x:c r="AA128" s="7" t="str"/>
      <x:c r="AB128" s="7" t="str"/>
      <x:c r="AC128" s="7" t="str"/>
      <x:c r="AD128" s="7" t="str">
        <x:v>Active general Life authority | Direct Life appointments outside the selected health-carrier set: ACCENDO INSURANCE COMPANY, TRANSAMERICA LIFE INSURANCE COMPANY | Active A&amp;H supports optional cross-selling; not necessary for target products</x:v>
      </x:c>
      <x:c r="AE128" s="7" t="str">
        <x:v>Nonresident or address state outside CA; confirm geographic recruiting scope | No public business phone: contact enrichment needed, not proof of poor recruiting fit</x:v>
      </x:c>
      <x:c r="AF128" s="16" t="n">
        <x:v>0.9</x:v>
      </x:c>
      <x:c r="AG128" s="17" t="n">
        <x:v>418</x:v>
      </x:c>
      <x:c r="AH128" s="7" t="str">
        <x:v>2025-12-15</x:v>
      </x:c>
      <x:c r="AI128" s="7" t="str"/>
      <x:c r="AJ128" s="7" t="str"/>
      <x:c r="AK128" s="15" t="str"/>
      <x:c r="AL128" s="7" t="str"/>
      <x:c r="AM128" s="7" t="str">
        <x:v>AGUILAR  GRISELDA</x:v>
      </x:c>
      <x:c r="AN128" s="7" t="str">
        <x:v>https://cdicloud.insurance.ca.gov/cal/LicenseDetail?SearchType=IND&amp;SearchLicNbr=4511188&amp;SearchIndvId=4511188</x:v>
      </x:c>
      <x:c r="AO128" s="7" t="str">
        <x:v>2026-10-08</x:v>
      </x:c>
      <x:c r="AP128" s="7" t="str">
        <x:v>77e58d7dca62e023ee5cabc5a5e2bb9fbce1c631e82949943347f9420381cb57</x:v>
      </x:c>
      <x:c r="AQ128" s="7" t="str">
        <x:v>Accident &amp; Health or Sickness / Active / 11/21/2025 / 11/21/2025 / 11/30/2027
Life / Active / 11/21/2025 / 11/21/2025 / 11/30/2027</x:v>
      </x:c>
      <x:c r="AR128" s="7" t="str">
        <x:v>Active</x:v>
      </x:c>
      <x:c r="AS128" s="7" t="str">
        <x:v>Current detail page</x:v>
      </x:c>
    </x:row>
    <x:row r="129" ht="52" customHeight="1">
      <x:c r="A129" s="7" t="str">
        <x:v>AGUILAR GUZMAN MA GUADALUPE</x:v>
      </x:c>
      <x:c r="B129" s="14" t="str">
        <x:f>"4113025"</x:f>
        <x:v>4113025</x:v>
      </x:c>
      <x:c r="C129" s="7" t="str">
        <x:v>Omitted</x:v>
      </x:c>
      <x:c r="D129" s="7" t="str">
        <x:v>REVIEW</x:v>
      </x:c>
      <x:c r="E129" s="13" t="str">
        <x:v>Pending</x:v>
      </x:c>
      <x:c r="F129" s="13" t="str"/>
      <x:c r="G129" s="13" t="str"/>
      <x:c r="H129" s="13" t="str"/>
      <x:c r="I129" s="7" t="str">
        <x:v>Was this person reviewed? If rejected, give the actual rule and evidence. If acceptable, correct the omission. Resolve: No collected public business phone.</x:v>
      </x:c>
      <x:c r="J129" s="7" t="str">
        <x:v>R5</x:v>
      </x:c>
      <x:c r="K129" s="7" t="str">
        <x:v>Requires verification: No collected public business phone. These facts do not establish the original reviewer’s motive.</x:v>
      </x:c>
      <x:c r="L129" s="7" t="str">
        <x:v>Not supplied; membership is known, motive is not</x:v>
      </x:c>
      <x:c r="M129" s="7" t="n">
        <x:v>5</x:v>
      </x:c>
      <x:c r="N129" s="7" t="str">
        <x:v>Find contact information first</x:v>
      </x:c>
      <x:c r="O129" s="7" t="str">
        <x:v>Active</x:v>
      </x:c>
      <x:c r="P129" s="7" t="str">
        <x:v>04/06/2021</x:v>
      </x:c>
      <x:c r="Q129" s="7" t="str">
        <x:v>04/30/2027</x:v>
      </x:c>
      <x:c r="R129" s="7" t="str">
        <x:v>Accident &amp; Health or Sickness; Life</x:v>
      </x:c>
      <x:c r="S129" s="15" t="str"/>
      <x:c r="T129" s="7" t="str">
        <x:v>No public business phone in collected record</x:v>
      </x:c>
      <x:c r="U129" s="7" t="str">
        <x:v>400 W 9TH ST APT 417 LOS ANGELES CA, 90015-1574</x:v>
      </x:c>
      <x:c r="V129" s="7" t="str">
        <x:v>Resident</x:v>
      </x:c>
      <x:c r="W129" s="7" t="str">
        <x:v>CA</x:v>
      </x:c>
      <x:c r="X129" s="7" t="str">
        <x:v>WORLD FINANCIAL GROUP INSURANCE AGENCY, LLC / Life / 03/24/2022
WORLD FINANCIAL GROUP INSURANCE AGENCY, LLC / Accident &amp; Health or Sickness / 03/24/2022</x:v>
      </x:c>
      <x:c r="Y129" s="7" t="str">
        <x:v>GREAT WESTERN INSURANCE COMPANY / Life / 06/14/2023
NATIONAL GUARDIAN LIFE INSURANCE COMPANY / Life / 01/23/2025</x:v>
      </x:c>
      <x:c r="Z129" s="7" t="str"/>
      <x:c r="AA129" s="7" t="str"/>
      <x:c r="AB129" s="7" t="str"/>
      <x:c r="AC129" s="7" t="str"/>
      <x:c r="AD129" s="7" t="str">
        <x:v>Active general Life authority | WFG relationship: matches an explicitly targeted recruiting segment | Direct Life appointments outside the selected health-carrier set: GREAT WESTERN INSURANCE COMPANY, NATIONAL GUARDIAN LIFE INSURANCE COMPANY | Active A&amp;H supports optional cross-selling; not necessary for target products</x:v>
      </x:c>
      <x:c r="AE129" s="7" t="str">
        <x:v>No public business phone: contact enrichment needed, not proof of poor recruiting fit</x:v>
      </x:c>
      <x:c r="AF129" s="16" t="n">
        <x:v>5.5</x:v>
      </x:c>
      <x:c r="AG129" s="17" t="n">
        <x:v>204</x:v>
      </x:c>
      <x:c r="AH129" s="7" t="str">
        <x:v>2025-01-23</x:v>
      </x:c>
      <x:c r="AI129" s="7" t="str">
        <x:v>English</x:v>
      </x:c>
      <x:c r="AJ129" s="7" t="str"/>
      <x:c r="AK129" s="15" t="str"/>
      <x:c r="AL129" s="7" t="str"/>
      <x:c r="AM129" s="7" t="str">
        <x:v>AGUILAR GUZMAN  MA GUADALUPE</x:v>
      </x:c>
      <x:c r="AN129" s="7" t="str">
        <x:v>https://cdicloud.insurance.ca.gov/cal/LicenseDetail?SearchType=IND&amp;SearchLicNbr=4113025&amp;SearchIndvId=4113025</x:v>
      </x:c>
      <x:c r="AO129" s="7" t="str">
        <x:v>2026-10-08</x:v>
      </x:c>
      <x:c r="AP129" s="7" t="str">
        <x:v>15d8f16b4012d2bf7511fe4aa98e5efbbbfb7047efb8f6d79c5b1b19d8f9240d</x:v>
      </x:c>
      <x:c r="AQ129" s="7" t="str">
        <x:v>Accident &amp; Health or Sickness / Active / 04/06/2021 / 04/06/2021 / 04/30/2027
Life / Active / 04/06/2021 / 04/06/2021 / 04/30/2027</x:v>
      </x:c>
      <x:c r="AR129" s="7" t="str">
        <x:v>Active</x:v>
      </x:c>
      <x:c r="AS129" s="7" t="str">
        <x:v>Current detail page</x:v>
      </x:c>
    </x:row>
    <x:row r="130" ht="52" customHeight="1">
      <x:c r="A130" s="7" t="str">
        <x:v>AGUILAR HAYEH</x:v>
      </x:c>
      <x:c r="B130" s="14" t="str">
        <x:f>"4465116"</x:f>
        <x:v>4465116</x:v>
      </x:c>
      <x:c r="C130" s="7" t="str">
        <x:v>Omitted</x:v>
      </x:c>
      <x:c r="D130" s="7" t="str">
        <x:v>REVIEW</x:v>
      </x:c>
      <x:c r="E130" s="13" t="str">
        <x:v>Pending</x:v>
      </x:c>
      <x:c r="F130" s="13" t="str"/>
      <x:c r="G130" s="13" t="str"/>
      <x:c r="H130" s="13" t="str"/>
      <x:c r="I130" s="7" t="str">
        <x:v>Was this person reviewed? If rejected, give the actual rule and evidence. If acceptable, correct the omission. Resolve: No collected public business phone; Geographic scope.</x:v>
      </x:c>
      <x:c r="J130" s="7" t="str">
        <x:v>R5, R6</x:v>
      </x:c>
      <x:c r="K130" s="7" t="str">
        <x:v>Requires verification: No collected public business phone; Geographic scope. These facts do not establish the original reviewer’s motive.</x:v>
      </x:c>
      <x:c r="L130" s="7" t="str">
        <x:v>Not supplied; membership is known, motive is not</x:v>
      </x:c>
      <x:c r="M130" s="7" t="n">
        <x:v>5</x:v>
      </x:c>
      <x:c r="N130" s="7" t="str">
        <x:v>Find contact information first</x:v>
      </x:c>
      <x:c r="O130" s="7" t="str">
        <x:v>Active</x:v>
      </x:c>
      <x:c r="P130" s="7" t="str">
        <x:v>05/20/2025</x:v>
      </x:c>
      <x:c r="Q130" s="7" t="str">
        <x:v>05/31/2027</x:v>
      </x:c>
      <x:c r="R130" s="7" t="str">
        <x:v>Life</x:v>
      </x:c>
      <x:c r="S130" s="15" t="str"/>
      <x:c r="T130" s="7" t="str">
        <x:v>No public business phone in collected record</x:v>
      </x:c>
      <x:c r="U130" s="7" t="str">
        <x:v>81 BETTY ANN LN DRACUT MA, 01826</x:v>
      </x:c>
      <x:c r="V130" s="7" t="str">
        <x:v>Non-resident</x:v>
      </x:c>
      <x:c r="W130" s="7" t="str">
        <x:v>MA</x:v>
      </x:c>
      <x:c r="X130" s="7" t="str"/>
      <x:c r="Y130" s="7" t="str"/>
      <x:c r="Z130" s="7" t="str"/>
      <x:c r="AA130" s="7" t="str"/>
      <x:c r="AB130" s="7" t="str"/>
      <x:c r="AC130" s="7" t="str"/>
      <x:c r="AD130" s="7" t="str">
        <x:v>Active general Life authority | No agency or insurer displayed: onboarding opportunity possible; existing business unknown</x:v>
      </x:c>
      <x:c r="AE130" s="7" t="str">
        <x:v>Nonresident or address state outside CA; confirm geographic recruiting scope | No public business phone: contact enrichment needed, not proof of poor recruiting fit</x:v>
      </x:c>
      <x:c r="AF130" s="16" t="n">
        <x:v>1.4</x:v>
      </x:c>
      <x:c r="AG130" s="17" t="n">
        <x:v>235</x:v>
      </x:c>
      <x:c r="AH130" s="7" t="str"/>
      <x:c r="AI130" s="7" t="str"/>
      <x:c r="AJ130" s="7" t="str"/>
      <x:c r="AK130" s="15" t="str"/>
      <x:c r="AL130" s="7" t="str"/>
      <x:c r="AM130" s="7" t="str">
        <x:v>AGUILAR  HAYEH</x:v>
      </x:c>
      <x:c r="AN130" s="7" t="str">
        <x:v>https://cdicloud.insurance.ca.gov/cal/LicenseDetail?SearchType=IND&amp;SearchLicNbr=4465116&amp;SearchIndvId=4465116</x:v>
      </x:c>
      <x:c r="AO130" s="7" t="str">
        <x:v>2026-10-08</x:v>
      </x:c>
      <x:c r="AP130" s="7" t="str">
        <x:v>7e7bc5ae9bfc527cdd06b82b5ef9d157c6ac3d7996a35078a8a6decbbea261f2</x:v>
      </x:c>
      <x:c r="AQ130" s="7" t="str">
        <x:v>Life / Active / 05/20/2025 / 05/20/2025 / 05/31/2027</x:v>
      </x:c>
      <x:c r="AR130" s="7" t="str">
        <x:v>Active</x:v>
      </x:c>
      <x:c r="AS130" s="7" t="str">
        <x:v>Current detail page</x:v>
      </x:c>
    </x:row>
    <x:row r="131" ht="52" customHeight="1">
      <x:c r="A131" s="7" t="str">
        <x:v>AGUILAR HEAVENLY P</x:v>
      </x:c>
      <x:c r="B131" s="14" t="str">
        <x:f>"0I05563"</x:f>
        <x:v>0I05563</x:v>
      </x:c>
      <x:c r="C131" s="7" t="str">
        <x:v>Omitted</x:v>
      </x:c>
      <x:c r="D131" s="7" t="str">
        <x:v>REVIEW</x:v>
      </x:c>
      <x:c r="E131" s="13" t="str">
        <x:v>Pending</x:v>
      </x:c>
      <x:c r="F131" s="13" t="str"/>
      <x:c r="G131" s="13" t="str"/>
      <x:c r="H131" s="13" t="str"/>
      <x:c r="I131" s="7" t="str">
        <x:v>Was this person reviewed? If rejected, give the actual rule and evidence. If acceptable, correct the omission. Resolve: A&amp;H/disability appointments only; No collected public business phone; Geographic scope.</x:v>
      </x:c>
      <x:c r="J131" s="7" t="str">
        <x:v>R4, R5, R6</x:v>
      </x:c>
      <x:c r="K131" s="7" t="str">
        <x:v>Requires verification: A&amp;H/disability appointments only; No collected public business phone; Geographic scope. These facts do not establish the original reviewer’s motive.</x:v>
      </x:c>
      <x:c r="L131" s="7" t="str">
        <x:v>Not supplied; membership is known, motive is not</x:v>
      </x:c>
      <x:c r="M131" s="7" t="n">
        <x:v>5</x:v>
      </x:c>
      <x:c r="N131" s="7" t="str">
        <x:v>Find contact information first</x:v>
      </x:c>
      <x:c r="O131" s="7" t="str">
        <x:v>Active</x:v>
      </x:c>
      <x:c r="P131" s="7" t="str">
        <x:v>09/18/2026</x:v>
      </x:c>
      <x:c r="Q131" s="7" t="str">
        <x:v>09/30/2028</x:v>
      </x:c>
      <x:c r="R131" s="7" t="str">
        <x:v>Accident &amp; Health or Sickness; Life</x:v>
      </x:c>
      <x:c r="S131" s="15" t="str"/>
      <x:c r="T131" s="7" t="str">
        <x:v>No public business phone in collected record</x:v>
      </x:c>
      <x:c r="U131" s="7" t="str">
        <x:v>2000 LUTEN RD QUINCY FL, 32352-7130</x:v>
      </x:c>
      <x:c r="V131" s="7" t="str">
        <x:v>Non-resident</x:v>
      </x:c>
      <x:c r="W131" s="7" t="str">
        <x:v>FL</x:v>
      </x:c>
      <x:c r="X131" s="7" t="str"/>
      <x:c r="Y131" s="7" t="str">
        <x:v>ANTHEM BLUE CROSS LIFE AND HEALTH INSURANCE COMPANY / Accident &amp; Health or Sickness / 09/18/2026
ANTHEM INSURANCE COMPANIES, INC. / Accident &amp; Health or Sickness / 09/18/2026</x:v>
      </x:c>
      <x:c r="Z131" s="7" t="str"/>
      <x:c r="AA131" s="7" t="str"/>
      <x:c r="AB131" s="7" t="str"/>
      <x:c r="AC131" s="7" t="str"/>
      <x:c r="AD131" s="7" t="str">
        <x:v>Active general Life authority | Active A&amp;H supports optional cross-selling; not necessary for target products</x:v>
      </x:c>
      <x:c r="AE131" s="7" t="str">
        <x:v>Displayed insurer appointments are A&amp;H/disability only despite active Life authority | Nonresident or address state outside CA; confirm geographic recruiting scope | No public business phone: contact enrichment needed, not proof of poor recruiting fit</x:v>
      </x:c>
      <x:c r="AF131" s="16" t="n">
        <x:v>0.1</x:v>
      </x:c>
      <x:c r="AG131" s="17" t="n">
        <x:v>723</x:v>
      </x:c>
      <x:c r="AH131" s="7" t="str"/>
      <x:c r="AI131" s="7" t="str"/>
      <x:c r="AJ131" s="7" t="str"/>
      <x:c r="AK131" s="15" t="str"/>
      <x:c r="AL131" s="7" t="str"/>
      <x:c r="AM131" s="7" t="str">
        <x:v>AGUILAR P HEAVENLY</x:v>
      </x:c>
      <x:c r="AN131" s="7" t="str">
        <x:v>https://cdicloud.insurance.ca.gov/cal/LicenseDetail?SearchType=IND&amp;SearchLicNbr=0I05563&amp;SearchIndvId=1531766</x:v>
      </x:c>
      <x:c r="AO131" s="7" t="str">
        <x:v>2026-10-08</x:v>
      </x:c>
      <x:c r="AP131" s="7" t="str">
        <x:v>4bb055e94cdb308c4e1e58b63f3627d1455895ff4a6c346cc4e6bef66853d26d</x:v>
      </x:c>
      <x:c r="AQ131" s="7" t="str">
        <x:v>Accident &amp; Health or Sickness / Active / 09/18/2026 / 09/18/2026 / 09/30/2028
Life / Active / 09/18/2026 / 09/18/2026 / 09/30/2028</x:v>
      </x:c>
      <x:c r="AR131" s="7" t="str">
        <x:v>Active</x:v>
      </x:c>
      <x:c r="AS131" s="7" t="str">
        <x:v>Current detail page</x:v>
      </x:c>
    </x:row>
    <x:row r="132" ht="52" customHeight="1">
      <x:c r="A132" s="7" t="str">
        <x:v>AGUILAR HOYOS NAYER ANDREA</x:v>
      </x:c>
      <x:c r="B132" s="14" t="str">
        <x:f>"4558367"</x:f>
        <x:v>4558367</x:v>
      </x:c>
      <x:c r="C132" s="7" t="str">
        <x:v>Omitted</x:v>
      </x:c>
      <x:c r="D132" s="7" t="str">
        <x:v>REVIEW</x:v>
      </x:c>
      <x:c r="E132" s="13" t="str">
        <x:v>Pending</x:v>
      </x:c>
      <x:c r="F132" s="13" t="str"/>
      <x:c r="G132" s="13" t="str"/>
      <x:c r="H132" s="13" t="str"/>
      <x:c r="I132" s="7" t="str">
        <x:v>Was this person reviewed? If rejected, give the actual rule and evidence. If acceptable, correct the omission. Resolve: No collected public business phone; Geographic scope.</x:v>
      </x:c>
      <x:c r="J132" s="7" t="str">
        <x:v>R5, R6</x:v>
      </x:c>
      <x:c r="K132" s="7" t="str">
        <x:v>Requires verification: No collected public business phone; Geographic scope. These facts do not establish the original reviewer’s motive.</x:v>
      </x:c>
      <x:c r="L132" s="7" t="str">
        <x:v>Not supplied; membership is known, motive is not</x:v>
      </x:c>
      <x:c r="M132" s="7" t="n">
        <x:v>5</x:v>
      </x:c>
      <x:c r="N132" s="7" t="str">
        <x:v>Find contact information first</x:v>
      </x:c>
      <x:c r="O132" s="7" t="str">
        <x:v>Active</x:v>
      </x:c>
      <x:c r="P132" s="7" t="str">
        <x:v>06/17/2026</x:v>
      </x:c>
      <x:c r="Q132" s="7" t="str">
        <x:v>06/30/2028</x:v>
      </x:c>
      <x:c r="R132" s="7" t="str">
        <x:v>Life</x:v>
      </x:c>
      <x:c r="S132" s="15" t="str"/>
      <x:c r="T132" s="7" t="str">
        <x:v>No public business phone in collected record</x:v>
      </x:c>
      <x:c r="U132" s="7" t="str">
        <x:v>7000 JFK BLVD EAST GUTTENBERG NJ, 07093</x:v>
      </x:c>
      <x:c r="V132" s="7" t="str">
        <x:v>Non-resident</x:v>
      </x:c>
      <x:c r="W132" s="7" t="str">
        <x:v>NJ</x:v>
      </x:c>
      <x:c r="X132" s="7" t="str"/>
      <x:c r="Y132" s="7" t="str">
        <x:v>FIDELITY &amp; GUARANTY LIFE INSURANCE COMPANY / Life / 06/17/2026
LIFE INSURANCE COMPANY OF THE SOUTHWEST / Life / 07/14/2026</x:v>
      </x:c>
      <x:c r="Z132" s="7" t="str"/>
      <x:c r="AA132" s="7" t="str"/>
      <x:c r="AB132" s="7" t="str"/>
      <x:c r="AC132" s="7" t="str"/>
      <x:c r="AD132" s="7" t="str">
        <x:v>Active general Life authority | Direct Life appointments outside the selected health-carrier set: FIDELITY &amp; GUARANTY LIFE INSURANCE COMPANY, LIFE INSURANCE COMPANY OF THE SOUTHWEST</x:v>
      </x:c>
      <x:c r="AE132" s="7" t="str">
        <x:v>Nonresident or address state outside CA; confirm geographic recruiting scope | No public business phone: contact enrichment needed, not proof of poor recruiting fit</x:v>
      </x:c>
      <x:c r="AF132" s="16" t="n">
        <x:v>0.3</x:v>
      </x:c>
      <x:c r="AG132" s="17" t="n">
        <x:v>631</x:v>
      </x:c>
      <x:c r="AH132" s="7" t="str">
        <x:v>2026-07-14</x:v>
      </x:c>
      <x:c r="AI132" s="7" t="str"/>
      <x:c r="AJ132" s="7" t="str"/>
      <x:c r="AK132" s="15" t="str"/>
      <x:c r="AL132" s="7" t="str"/>
      <x:c r="AM132" s="7" t="str">
        <x:v>AGUILAR HOYOS ANDREA NAYER</x:v>
      </x:c>
      <x:c r="AN132" s="7" t="str">
        <x:v>https://cdicloud.insurance.ca.gov/cal/LicenseDetail?SearchType=IND&amp;SearchLicNbr=4558367&amp;SearchIndvId=4558367</x:v>
      </x:c>
      <x:c r="AO132" s="7" t="str">
        <x:v>2026-10-08</x:v>
      </x:c>
      <x:c r="AP132" s="7" t="str">
        <x:v>5eba59be6e6173d9ffb0d77b6442b7f1b535cda57c4a2938a88cc4fa7651f808</x:v>
      </x:c>
      <x:c r="AQ132" s="7" t="str">
        <x:v>Life / Active / 06/17/2026 / 06/17/2026 / 06/30/2028</x:v>
      </x:c>
      <x:c r="AR132" s="7" t="str">
        <x:v>Active</x:v>
      </x:c>
      <x:c r="AS132" s="7" t="str">
        <x:v>Current detail page</x:v>
      </x:c>
    </x:row>
    <x:row r="133" ht="52" customHeight="1">
      <x:c r="A133" s="7" t="str">
        <x:v>AGUILAR ISAMAR</x:v>
      </x:c>
      <x:c r="B133" s="14" t="str">
        <x:f>"4246989"</x:f>
        <x:v>4246989</x:v>
      </x:c>
      <x:c r="C133" s="7" t="str">
        <x:v>Omitted</x:v>
      </x:c>
      <x:c r="D133" s="7" t="str">
        <x:v>REVIEW</x:v>
      </x:c>
      <x:c r="E133" s="13" t="str">
        <x:v>Pending</x:v>
      </x:c>
      <x:c r="F133" s="13" t="str"/>
      <x:c r="G133" s="13" t="str"/>
      <x:c r="H133" s="13" t="str"/>
      <x:c r="I133" s="7" t="str">
        <x:v>Was this person reviewed? If rejected, give the actual rule and evidence. If acceptable, correct the omission. Resolve: No collected public business phone; Geographic scope.</x:v>
      </x:c>
      <x:c r="J133" s="7" t="str">
        <x:v>R5, R6</x:v>
      </x:c>
      <x:c r="K133" s="7" t="str">
        <x:v>Requires verification: No collected public business phone; Geographic scope. These facts do not establish the original reviewer’s motive.</x:v>
      </x:c>
      <x:c r="L133" s="7" t="str">
        <x:v>Not supplied; membership is known, motive is not</x:v>
      </x:c>
      <x:c r="M133" s="7" t="n">
        <x:v>5</x:v>
      </x:c>
      <x:c r="N133" s="7" t="str">
        <x:v>Find contact information first</x:v>
      </x:c>
      <x:c r="O133" s="7" t="str">
        <x:v>Active</x:v>
      </x:c>
      <x:c r="P133" s="7" t="str">
        <x:v>10/17/2022</x:v>
      </x:c>
      <x:c r="Q133" s="7" t="str">
        <x:v>10/31/2026</x:v>
      </x:c>
      <x:c r="R133" s="7" t="str">
        <x:v>Accident &amp; Health or Sickness; Life; Var Life and Var Annuity</x:v>
      </x:c>
      <x:c r="S133" s="15" t="str"/>
      <x:c r="T133" s="7" t="str">
        <x:v>No public business phone in collected record</x:v>
      </x:c>
      <x:c r="U133" s="7" t="str">
        <x:v>2850 LAKE VISTA DR STE 110 LEWISVILLE TX, 75067-4294</x:v>
      </x:c>
      <x:c r="V133" s="7" t="str">
        <x:v>Non-resident</x:v>
      </x:c>
      <x:c r="W133" s="7" t="str">
        <x:v>TX</x:v>
      </x:c>
      <x:c r="X133" s="7" t="str"/>
      <x:c r="Y133" s="7" t="str"/>
      <x:c r="Z133" s="7" t="str"/>
      <x:c r="AA133" s="7" t="str"/>
      <x:c r="AB133" s="7" t="str"/>
      <x:c r="AC133" s="7" t="str"/>
      <x:c r="AD133" s="7" t="str">
        <x:v>Active general Life authority | No agency or insurer displayed: onboarding opportunity possible; existing business unknown | Active A&amp;H supports optional cross-selling; not necessary for target products</x:v>
      </x:c>
      <x:c r="AE133" s="7" t="str">
        <x:v>Variable authority: financial-advice/variable-product capability; not needed for fixed annuities and not an automatic exclusion | Nonresident or address state outside CA; confirm geographic recruiting scope | Life expiration in 23 days: confirm renewal during onboarding | No public business phone: contact enrichment needed, not proof of poor recruiting fit</x:v>
      </x:c>
      <x:c r="AF133" s="16" t="n">
        <x:v>4</x:v>
      </x:c>
      <x:c r="AG133" s="17" t="n">
        <x:v>23</x:v>
      </x:c>
      <x:c r="AH133" s="7" t="str"/>
      <x:c r="AI133" s="7" t="str"/>
      <x:c r="AJ133" s="7" t="str"/>
      <x:c r="AK133" s="15" t="str"/>
      <x:c r="AL133" s="7" t="str"/>
      <x:c r="AM133" s="7" t="str">
        <x:v>AGUILAR  ISAMAR</x:v>
      </x:c>
      <x:c r="AN133" s="7" t="str">
        <x:v>https://cdicloud.insurance.ca.gov/cal/LicenseDetail?SearchType=IND&amp;SearchLicNbr=4246989&amp;SearchIndvId=4246989</x:v>
      </x:c>
      <x:c r="AO133" s="7" t="str">
        <x:v>2026-10-08</x:v>
      </x:c>
      <x:c r="AP133" s="7" t="str">
        <x:v>a14fabe35a8f36b3d356c8b4a3bb6c184a9802bafe6524601ce18ce7e29617c6</x:v>
      </x:c>
      <x:c r="AQ133" s="7" t="str">
        <x:v>Accident &amp; Health or Sickness / Active / 10/17/2022 / 10/17/2022 / 10/31/2026
Life / Active / 10/17/2022 / 10/17/2022 / 10/31/2026
Var Life and Var Annuity / Active / 10/17/2022 / 10/17/2022 / 10/31/2026</x:v>
      </x:c>
      <x:c r="AR133" s="7" t="str">
        <x:v>Active</x:v>
      </x:c>
      <x:c r="AS133" s="7" t="str">
        <x:v>Current detail page</x:v>
      </x:c>
    </x:row>
    <x:row r="134" ht="52" customHeight="1">
      <x:c r="A134" s="7" t="str">
        <x:v>AGUILAR JACQUELINE</x:v>
      </x:c>
      <x:c r="B134" s="14" t="str">
        <x:f>"4451238"</x:f>
        <x:v>4451238</x:v>
      </x:c>
      <x:c r="C134" s="7" t="str">
        <x:v>Omitted</x:v>
      </x:c>
      <x:c r="D134" s="7" t="str">
        <x:v>REVIEW</x:v>
      </x:c>
      <x:c r="E134" s="13" t="str">
        <x:v>Pending</x:v>
      </x:c>
      <x:c r="F134" s="13" t="str"/>
      <x:c r="G134" s="13" t="str"/>
      <x:c r="H134" s="13" t="str"/>
      <x:c r="I134" s="7" t="str">
        <x:v>Was this person reviewed? If rejected, give the actual rule and evidence. If acceptable, correct the omission. Resolve: No collected public business phone; Geographic scope.</x:v>
      </x:c>
      <x:c r="J134" s="7" t="str">
        <x:v>R5, R6</x:v>
      </x:c>
      <x:c r="K134" s="7" t="str">
        <x:v>Requires verification: No collected public business phone; Geographic scope. These facts do not establish the original reviewer’s motive.</x:v>
      </x:c>
      <x:c r="L134" s="7" t="str">
        <x:v>Not supplied; membership is known, motive is not</x:v>
      </x:c>
      <x:c r="M134" s="7" t="n">
        <x:v>5</x:v>
      </x:c>
      <x:c r="N134" s="7" t="str">
        <x:v>Find contact information first</x:v>
      </x:c>
      <x:c r="O134" s="7" t="str">
        <x:v>Active</x:v>
      </x:c>
      <x:c r="P134" s="7" t="str">
        <x:v>03/24/2025</x:v>
      </x:c>
      <x:c r="Q134" s="7" t="str">
        <x:v>03/31/2027</x:v>
      </x:c>
      <x:c r="R134" s="7" t="str">
        <x:v>Life</x:v>
      </x:c>
      <x:c r="S134" s="15" t="str"/>
      <x:c r="T134" s="7" t="str">
        <x:v>No public business phone in collected record</x:v>
      </x:c>
      <x:c r="U134" s="7" t="str">
        <x:v>4129 E. VAN BUREN ST. SUITE 111 PHOENIX AZ, 85008</x:v>
      </x:c>
      <x:c r="V134" s="7" t="str">
        <x:v>Non-resident</x:v>
      </x:c>
      <x:c r="W134" s="7" t="str">
        <x:v>AZ</x:v>
      </x:c>
      <x:c r="X134" s="7" t="str"/>
      <x:c r="Y134" s="7" t="str"/>
      <x:c r="Z134" s="7" t="str"/>
      <x:c r="AA134" s="7" t="str"/>
      <x:c r="AB134" s="7" t="str"/>
      <x:c r="AC134" s="7" t="str"/>
      <x:c r="AD134" s="7" t="str">
        <x:v>Active general Life authority | No agency or insurer displayed: onboarding opportunity possible; existing business unknown</x:v>
      </x:c>
      <x:c r="AE134" s="7" t="str">
        <x:v>Nonresident or address state outside CA; confirm geographic recruiting scope | No public business phone: contact enrichment needed, not proof of poor recruiting fit</x:v>
      </x:c>
      <x:c r="AF134" s="16" t="n">
        <x:v>1.5</x:v>
      </x:c>
      <x:c r="AG134" s="17" t="n">
        <x:v>174</x:v>
      </x:c>
      <x:c r="AH134" s="7" t="str"/>
      <x:c r="AI134" s="7" t="str"/>
      <x:c r="AJ134" s="7" t="str"/>
      <x:c r="AK134" s="15" t="str"/>
      <x:c r="AL134" s="7" t="str"/>
      <x:c r="AM134" s="7" t="str">
        <x:v>AGUILAR  JACQUELINE</x:v>
      </x:c>
      <x:c r="AN134" s="7" t="str">
        <x:v>https://cdicloud.insurance.ca.gov/cal/LicenseDetail?SearchType=IND&amp;SearchLicNbr=4451238&amp;SearchIndvId=4451238</x:v>
      </x:c>
      <x:c r="AO134" s="7" t="str">
        <x:v>2026-10-08</x:v>
      </x:c>
      <x:c r="AP134" s="7" t="str">
        <x:v>8c7eb1f0bc25a8429be5592790deb5749b42ecd02c1dbb40ef1de7d8d78cea0e</x:v>
      </x:c>
      <x:c r="AQ134" s="7" t="str">
        <x:v>Life / Active / 03/24/2025 / 03/24/2025 / 03/31/2027</x:v>
      </x:c>
      <x:c r="AR134" s="7" t="str">
        <x:v>Active</x:v>
      </x:c>
      <x:c r="AS134" s="7" t="str">
        <x:v>Current detail page</x:v>
      </x:c>
    </x:row>
    <x:row r="135" ht="52" customHeight="1">
      <x:c r="A135" s="7" t="str">
        <x:v>AGUILAR JANET CECILIA</x:v>
      </x:c>
      <x:c r="B135" s="14" t="str">
        <x:f>"4491072"</x:f>
        <x:v>4491072</x:v>
      </x:c>
      <x:c r="C135" s="7" t="str">
        <x:v>Omitted</x:v>
      </x:c>
      <x:c r="D135" s="7" t="str">
        <x:v>REVIEW</x:v>
      </x:c>
      <x:c r="E135" s="13" t="str">
        <x:v>Pending</x:v>
      </x:c>
      <x:c r="F135" s="13" t="str"/>
      <x:c r="G135" s="13" t="str"/>
      <x:c r="H135" s="13" t="str"/>
      <x:c r="I135" s="7" t="str">
        <x:v>Was this person reviewed? If rejected, give the actual rule and evidence. If acceptable, correct the omission. Resolve: No collected public business phone.</x:v>
      </x:c>
      <x:c r="J135" s="7" t="str">
        <x:v>R5</x:v>
      </x:c>
      <x:c r="K135" s="7" t="str">
        <x:v>Requires verification: No collected public business phone. These facts do not establish the original reviewer’s motive.</x:v>
      </x:c>
      <x:c r="L135" s="7" t="str">
        <x:v>Not supplied; membership is known, motive is not</x:v>
      </x:c>
      <x:c r="M135" s="7" t="n">
        <x:v>5</x:v>
      </x:c>
      <x:c r="N135" s="7" t="str">
        <x:v>Find contact information first</x:v>
      </x:c>
      <x:c r="O135" s="7" t="str">
        <x:v>Active</x:v>
      </x:c>
      <x:c r="P135" s="7" t="str">
        <x:v>10/02/2025</x:v>
      </x:c>
      <x:c r="Q135" s="7" t="str">
        <x:v>10/31/2027</x:v>
      </x:c>
      <x:c r="R135" s="7" t="str">
        <x:v>Life</x:v>
      </x:c>
      <x:c r="S135" s="15" t="str"/>
      <x:c r="T135" s="7" t="str">
        <x:v>No public business phone in collected record</x:v>
      </x:c>
      <x:c r="U135" s="7" t="str">
        <x:v>1416 RIVERETTE DRIVE MODESTO CA, 95351</x:v>
      </x:c>
      <x:c r="V135" s="7" t="str">
        <x:v>Resident</x:v>
      </x:c>
      <x:c r="W135" s="7" t="str">
        <x:v>CA</x:v>
      </x:c>
      <x:c r="X135" s="7" t="str"/>
      <x:c r="Y135" s="7" t="str"/>
      <x:c r="Z135" s="7" t="str"/>
      <x:c r="AA135" s="7" t="str"/>
      <x:c r="AB135" s="7" t="str"/>
      <x:c r="AC135" s="7" t="str"/>
      <x:c r="AD135" s="7" t="str">
        <x:v>Active general Life authority | No agency or insurer displayed: onboarding opportunity possible; existing business unknown</x:v>
      </x:c>
      <x:c r="AE135" s="7" t="str">
        <x:v>No public business phone: contact enrichment needed, not proof of poor recruiting fit</x:v>
      </x:c>
      <x:c r="AF135" s="16" t="n">
        <x:v>1</x:v>
      </x:c>
      <x:c r="AG135" s="17" t="n">
        <x:v>388</x:v>
      </x:c>
      <x:c r="AH135" s="7" t="str"/>
      <x:c r="AI135" s="7" t="str">
        <x:v>English</x:v>
      </x:c>
      <x:c r="AJ135" s="7" t="str"/>
      <x:c r="AK135" s="15" t="str"/>
      <x:c r="AL135" s="7" t="str"/>
      <x:c r="AM135" s="7" t="str">
        <x:v>AGUILAR Cecilia JANET</x:v>
      </x:c>
      <x:c r="AN135" s="7" t="str">
        <x:v>https://cdicloud.insurance.ca.gov/cal/LicenseDetail?SearchType=IND&amp;SearchLicNbr=4491072&amp;SearchIndvId=4491072</x:v>
      </x:c>
      <x:c r="AO135" s="7" t="str">
        <x:v>2026-10-08</x:v>
      </x:c>
      <x:c r="AP135" s="7" t="str">
        <x:v>aa74edfdf9740309f3b2b050bda97847e8cce6fdf12ac6464c6d51d73de52d6f</x:v>
      </x:c>
      <x:c r="AQ135" s="7" t="str">
        <x:v>Life / Active / 10/02/2025 / 10/02/2025 / 10/31/2027</x:v>
      </x:c>
      <x:c r="AR135" s="7" t="str">
        <x:v>Active</x:v>
      </x:c>
      <x:c r="AS135" s="7" t="str">
        <x:v>Current detail page</x:v>
      </x:c>
    </x:row>
    <x:row r="136" ht="52" customHeight="1">
      <x:c r="A136" s="7" t="str">
        <x:v>AGUILAR JEIMY LORENA</x:v>
      </x:c>
      <x:c r="B136" s="14" t="str">
        <x:f>"4108447"</x:f>
        <x:v>4108447</x:v>
      </x:c>
      <x:c r="C136" s="7" t="str">
        <x:v>Omitted</x:v>
      </x:c>
      <x:c r="D136" s="7" t="str">
        <x:v>REVIEW</x:v>
      </x:c>
      <x:c r="E136" s="13" t="str">
        <x:v>Pending</x:v>
      </x:c>
      <x:c r="F136" s="13" t="str"/>
      <x:c r="G136" s="13" t="str"/>
      <x:c r="H136" s="13" t="str"/>
      <x:c r="I136" s="7" t="str">
        <x:v>Was this person reviewed? If rejected, give the actual rule and evidence. If acceptable, correct the omission. Resolve: P&amp;C emphasis without separate core-Life signal; No collected public business phone; Geographic scope.</x:v>
      </x:c>
      <x:c r="J136" s="7" t="str">
        <x:v>R4, R5, R6</x:v>
      </x:c>
      <x:c r="K136" s="7" t="str">
        <x:v>Requires verification: P&amp;C emphasis without separate core-Life signal; No collected public business phone; Geographic scope. These facts do not establish the original reviewer’s motive.</x:v>
      </x:c>
      <x:c r="L136" s="7" t="str">
        <x:v>Not supplied; membership is known, motive is not</x:v>
      </x:c>
      <x:c r="M136" s="7" t="n">
        <x:v>5</x:v>
      </x:c>
      <x:c r="N136" s="7" t="str">
        <x:v>Find contact information first</x:v>
      </x:c>
      <x:c r="O136" s="7" t="str">
        <x:v>Active</x:v>
      </x:c>
      <x:c r="P136" s="7" t="str">
        <x:v>07/31/2023</x:v>
      </x:c>
      <x:c r="Q136" s="7" t="str">
        <x:v>03/31/2027</x:v>
      </x:c>
      <x:c r="R136" s="7" t="str">
        <x:v>Accident &amp; Health or Sickness; Casualty; Life; Property</x:v>
      </x:c>
      <x:c r="S136" s="15" t="str"/>
      <x:c r="T136" s="7" t="str">
        <x:v>No public business phone in collected record</x:v>
      </x:c>
      <x:c r="U136" s="7" t="str">
        <x:v>9811 KATY FWY STE 500 HOUSTON TX, 77024-1227</x:v>
      </x:c>
      <x:c r="V136" s="7" t="str">
        <x:v>Non-resident</x:v>
      </x:c>
      <x:c r="W136" s="7" t="str">
        <x:v>TX</x:v>
      </x:c>
      <x:c r="X136" s="7" t="str">
        <x:v>USI INSURANCE SERVICES, LLC / Life / 05/20/2025
USI SOUTHWEST, INC. / Accident &amp; Health or Sickness / 01/22/2024
USI SOUTHWEST, INC. / Casualty / 01/22/2024
USI INSURANCE SERVICES, LLC / Accident &amp; Health or Sickness / 05/20/2025
USI SOUTHWEST, INC. / Life / 01/22/2024
USI INSURANCE SERVICES, LLC / Property / 05/20/2025
USI INSURANCE SERVICES, LLC / Casualty / 05/20/2025
USI SOUTHWEST, INC. / Property / 01/22/2024</x:v>
      </x:c>
      <x:c r="Y136" s="7" t="str"/>
      <x:c r="Z136" s="7" t="str"/>
      <x:c r="AA136" s="7" t="str"/>
      <x:c r="AB136" s="7" t="str"/>
      <x:c r="AC136" s="7" t="str"/>
      <x:c r="AD136" s="7" t="str">
        <x:v>Active general Life authority | Active A&amp;H supports optional cross-selling; not necessary for target products</x:v>
      </x:c>
      <x:c r="AE136"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136" s="16" t="n">
        <x:v>3.2</x:v>
      </x:c>
      <x:c r="AG136" s="17" t="n">
        <x:v>174</x:v>
      </x:c>
      <x:c r="AH136" s="7" t="str"/>
      <x:c r="AI136" s="7" t="str"/>
      <x:c r="AJ136" s="7" t="str"/>
      <x:c r="AK136" s="15" t="str"/>
      <x:c r="AL136" s="7" t="str"/>
      <x:c r="AM136" s="7" t="str">
        <x:v>Aguilar Lorena Jeimy</x:v>
      </x:c>
      <x:c r="AN136" s="7" t="str">
        <x:v>https://cdicloud.insurance.ca.gov/cal/LicenseDetail?SearchType=IND&amp;SearchLicNbr=4108447&amp;SearchIndvId=4108447</x:v>
      </x:c>
      <x:c r="AO136" s="7" t="str">
        <x:v>2026-10-08</x:v>
      </x:c>
      <x:c r="AP136" s="7" t="str">
        <x:v>19061fcbcad1e6fe708dad86be57fa55cde033fa1abd80648ba224229d041462</x:v>
      </x:c>
      <x:c r="AQ136" s="7" t="str">
        <x:v>Accident &amp; Health or Sickness / Active / 07/31/2023 / 07/31/2023 / 03/31/2027
Casualty / Active / 03/03/2021 / 03/03/2021 / 03/31/2027
Life / Active / 07/31/2023 / 07/31/2023 / 03/31/2027
Property / Active / 03/03/2021 / 03/03/2021 / 03/31/2027</x:v>
      </x:c>
      <x:c r="AR136" s="7" t="str">
        <x:v>Active</x:v>
      </x:c>
      <x:c r="AS136" s="7" t="str">
        <x:v>Current detail page</x:v>
      </x:c>
    </x:row>
    <x:row r="137" ht="52" customHeight="1">
      <x:c r="A137" s="7" t="str">
        <x:v>AGUILAR JESSIE</x:v>
      </x:c>
      <x:c r="B137" s="14" t="str">
        <x:f>"0E79412"</x:f>
        <x:v>0E79412</x:v>
      </x:c>
      <x:c r="C137" s="7" t="str">
        <x:v>Omitted</x:v>
      </x:c>
      <x:c r="D137" s="7" t="str">
        <x:v>REVIEW</x:v>
      </x:c>
      <x:c r="E137" s="13" t="str">
        <x:v>Pending</x:v>
      </x:c>
      <x:c r="F137" s="13" t="str"/>
      <x:c r="G137" s="13" t="str"/>
      <x:c r="H137" s="13" t="str"/>
      <x:c r="I137" s="7" t="str">
        <x:v>Was this person reviewed? If rejected, give the actual rule and evidence. If acceptable, correct the omission. Resolve: No collected public business phone.</x:v>
      </x:c>
      <x:c r="J137" s="7" t="str">
        <x:v>R5</x:v>
      </x:c>
      <x:c r="K137" s="7" t="str">
        <x:v>Requires verification: No collected public business phone. These facts do not establish the original reviewer’s motive.</x:v>
      </x:c>
      <x:c r="L137" s="7" t="str">
        <x:v>Not supplied; membership is known, motive is not</x:v>
      </x:c>
      <x:c r="M137" s="7" t="n">
        <x:v>5</x:v>
      </x:c>
      <x:c r="N137" s="7" t="str">
        <x:v>Find contact information first</x:v>
      </x:c>
      <x:c r="O137" s="7" t="str">
        <x:v>Active</x:v>
      </x:c>
      <x:c r="P137" s="7" t="str">
        <x:v>05/12/2005</x:v>
      </x:c>
      <x:c r="Q137" s="7" t="str">
        <x:v>05/31/2027</x:v>
      </x:c>
      <x:c r="R137" s="7" t="str">
        <x:v>Accident &amp; Health or Sickness; Life</x:v>
      </x:c>
      <x:c r="S137" s="15" t="str"/>
      <x:c r="T137" s="7" t="str">
        <x:v>No public business phone in collected record</x:v>
      </x:c>
      <x:c r="U137" s="7" t="str">
        <x:v>25101 THE OLD RD. SANTA CLARITA CA, 91381</x:v>
      </x:c>
      <x:c r="V137" s="7" t="str">
        <x:v>Resident</x:v>
      </x:c>
      <x:c r="W137" s="7" t="str">
        <x:v>CA</x:v>
      </x:c>
      <x:c r="X137" s="7" t="str"/>
      <x:c r="Y137" s="7" t="str">
        <x:v>ACCENDO INSURANCE COMPANY / Life / 03/15/2021
AMERICAN GENERAL LIFE INSURANCE COMPANY / Accident &amp; Health or Sickness / 01/19/2016
AMERICAN GENERAL LIFE INSURANCE COMPANY / Life / 01/19/2016
ANTHEM BLUE CROSS LIFE AND HEALTH INSURANCE COMPANY / Accident &amp; Health or Sickness / 12/19/2014
ANTHEM BLUE CROSS LIFE AND HEALTH INSURANCE COMPANY / Life / 12/19/2014
BANNER LIFE INSURANCE COMPANY / Life / 06/08/2020
BERKSHIRE LIFE INSURANCE COMPANY OF AMERICA / Accident &amp; Health or Sickness / 05/12/2014
BERKSHIRE LIFE INSURANCE COMPANY OF AMERICA / Life / 05/12/2014
BLUE SHIELD OF CALIFORNIA LIFE &amp; HEALTH INSURANCE COMPANY / Accident &amp; Health or Sickness / 06/30/2014
BLUE SHIELD OF CALIFORNIA LIFE &amp; HEALTH INSURANCE COMPANY / Life / 06/30/2014
BRIGHTHOUSE LIFE INSURANCE COMPANY / Accident &amp; Health or Sickness / 12/10/2014
BRIGHTHOUSE LIFE INSURANCE COMPANY / Life / 12/10/2014
C.M. LIFE INSURANCE COMPANY / Life / 10/06/2022
FIDELITY &amp; GUARANTY LIFE INSURANCE COMPANY / Life / 02/28/2023
GUARDIAN INSURANCE &amp; ANNUITY COMPANY, INC. (THE) / Life / 05/12/2014
GUARDIAN LIFE INSURANCE COMPANY OF AMERICA (THE) / Accident &amp; Health or Sickness / 05/12/2014
GUARDIAN LIFE INSURANCE COMPANY OF AMERICA (THE) / Life / 05/12/2014
HEALTH NET LIFE INSURANCE COMPANY / Accident &amp; Health or Sickness / 03/01/2016
HEALTH NET LIFE INSURANCE COMPANY / Life / 03/01/2016
KAISER PERMANENTE INSURANCE COMPANY / Disability Only / 01/06/2010
LIFE INSURANCE COMPANY OF THE SOUTHWEST / Accident &amp; Health or Sickness / 02/08/2023
LIFE INSURANCE COMPANY OF THE SOUTHWEST / Life / 02/08/2023
MASSACHUSETTS MUTUAL LIFE INSURANCE COMPANY / Accident &amp; Health or Sickness / 10/10/2014
MASSACHUSETTS MUTUAL LIFE INSURANCE COMPANY / Life / 07/07/2014
MASSMUTUAL ASCEND LIFE INSURANCE COMPANY / Life / 08/31/2023
MUTUAL OF OMAHA INSURANCE COMPANY / Accident &amp; Health or Sickness / 06/10/2015
NATIONWIDE LIFE AND ANNUITY INSURANCE COMPANY / Accident &amp; Health or Sickness / 05/18/2026
NATIONWIDE LIFE AND ANNUITY INSURANCE COMPANY / Life / 05/18/2026
PACIFIC LIFE INSURANCE COMPANY / Life / 06/03/2020
PRINCIPAL LIFE INSURANCE COMPANY / Accident &amp; Health or Sickness / 06/24/2015
PRINCIPAL LIFE INSURANCE COMPANY / Life / 06/24/2015
PRINCIPAL NATIONAL LIFE INSURANCE COMPANY / Life / 02/07/2016
PROTECTIVE LIFE INSURANCE COMPANY / Accident &amp; Health or Sickness / 04/15/2016
PROTECTIVE LIFE INSURANCE COMPANY / Life / 04/15/2016
PRUCO LIFE INSURANCE COMPANY / Accident &amp; Health or Sickness / 08/08/2011
PRUCO LIFE INSURANCE COMPANY / Life / 08/08/2011
STANDARD INSURANCE COMPANY / Accident &amp; Health or Sickness / 04/21/2015
STANDARD INSURANCE COMPANY / Life / 04/21/2015
STATE LIFE INSURANCE COMPANY (THE) / Accident &amp; Health or Sickness / 06/04/2026
STATE LIFE INSURANCE COMPANY (THE) / Life / 06/04/2026
UNITED OF OMAHA LIFE INSURANCE COMPANY / Accident &amp; Health or Sickness / 11/25/2014
UNITED OF OMAHA LIFE INSURANCE COMPANY / Life / 11/25/2014</x:v>
      </x:c>
      <x:c r="Z137" s="7" t="str"/>
      <x:c r="AA137" s="7" t="str"/>
      <x:c r="AB137" s="7" t="str"/>
      <x:c r="AC137" s="7" t="str"/>
      <x:c r="AD137" s="7" t="str">
        <x:v>Active general Life authority | Direct Life appointments outside the selected health-carrier set: ACCENDO INSURANCE COMPANY, AMERICAN GENERAL LIFE INSURANCE COMPANY, BANNER LIFE INSURANCE COMPANY, BERKSHIRE LIFE INSURANCE COMPANY OF AMERICA, BRIGHTHOUSE LIFE INSURANCE COMPANY, C.M. LIFE INSURANCE COMPANY, FIDELITY &amp; GUARANTY LIFE INSURANCE COMPANY, GUARDIAN INSURANCE &amp; ANNUITY COMPANY, INC. (THE), GUARDIAN LIFE INSURANCE COMPANY OF AMERICA (THE), LIFE INSURANCE COMPANY OF THE SOUTHWEST, MASSACHUSETTS MUTUAL LIFE INSURANCE COMPANY, MASSMUTUAL ASCEND LIFE INSURANCE COMPANY, NATIONWIDE LIFE AND ANNUITY INSURANCE COMPANY, PACIFIC LIFE INSURANCE COMPANY, PRINCIPAL LIFE INSURANCE COMPANY, PRINCIPAL NATIONAL LIFE INSURANCE COMPANY, PROTECTIVE LIFE INSURANCE COMPANY, PRUCO LIFE INSURANCE COMPANY, STANDARD INSURANCE COMPANY, STATE LIFE INSURANCE COMPANY (THE), UNITED OF OMAHA LIFE INSURANCE COMPANY | Active A&amp;H supports optional cross-selling; not necessary for target products</x:v>
      </x:c>
      <x:c r="AE137" s="7" t="str">
        <x:v>No public business phone: contact enrichment needed, not proof of poor recruiting fit</x:v>
      </x:c>
      <x:c r="AF137" s="16" t="n">
        <x:v>21.4</x:v>
      </x:c>
      <x:c r="AG137" s="17" t="n">
        <x:v>235</x:v>
      </x:c>
      <x:c r="AH137" s="7" t="str">
        <x:v>2026-06-04</x:v>
      </x:c>
      <x:c r="AI137" s="7" t="str">
        <x:v>English, Spanish, Spanish</x:v>
      </x:c>
      <x:c r="AJ137" s="7" t="str"/>
      <x:c r="AK137" s="15" t="str"/>
      <x:c r="AL137" s="7" t="str"/>
      <x:c r="AM137" s="7" t="str">
        <x:v>AGUILAR  JESSIE</x:v>
      </x:c>
      <x:c r="AN137" s="7" t="str">
        <x:v>https://cdicloud.insurance.ca.gov/cal/LicenseDetail?SearchType=IND&amp;SearchLicNbr=0E79412&amp;SearchIndvId=950964</x:v>
      </x:c>
      <x:c r="AO137" s="7" t="str">
        <x:v>2026-10-08</x:v>
      </x:c>
      <x:c r="AP137" s="7" t="str">
        <x:v>2fc732a4cb4ca3cab312e1f79b97beae66c557f1400d7a58ede744cb643cfc12</x:v>
      </x:c>
      <x:c r="AQ137" s="7" t="str">
        <x:v>Accident &amp; Health or Sickness / Active / 05/12/2005 / 11/16/2009 / 05/31/2027
Life / Active / 05/12/2005 / 11/16/2009 / 05/31/2027</x:v>
      </x:c>
      <x:c r="AR137" s="7" t="str">
        <x:v>Active</x:v>
      </x:c>
      <x:c r="AS137" s="7" t="str">
        <x:v>Current detail page</x:v>
      </x:c>
    </x:row>
    <x:row r="138" ht="52" customHeight="1">
      <x:c r="A138" s="7" t="str">
        <x:v>AGUILAR JOHN ANTHONY JR</x:v>
      </x:c>
      <x:c r="B138" s="14" t="str">
        <x:f>"0I08687"</x:f>
        <x:v>0I08687</x:v>
      </x:c>
      <x:c r="C138" s="7" t="str">
        <x:v>Omitted</x:v>
      </x:c>
      <x:c r="D138" s="7" t="str">
        <x:v>REVIEW</x:v>
      </x:c>
      <x:c r="E138" s="13" t="str">
        <x:v>Pending</x:v>
      </x:c>
      <x:c r="F138" s="13" t="str"/>
      <x:c r="G138" s="13" t="str"/>
      <x:c r="H138" s="13" t="str"/>
      <x:c r="I138" s="7" t="str">
        <x:v>Was this person reviewed? If rejected, give the actual rule and evidence. If acceptable, correct the omission. Resolve: No collected public business phone.</x:v>
      </x:c>
      <x:c r="J138" s="7" t="str">
        <x:v>R5</x:v>
      </x:c>
      <x:c r="K138" s="7" t="str">
        <x:v>Requires verification: No collected public business phone. These facts do not establish the original reviewer’s motive.</x:v>
      </x:c>
      <x:c r="L138" s="7" t="str">
        <x:v>Not supplied; membership is known, motive is not</x:v>
      </x:c>
      <x:c r="M138" s="7" t="n">
        <x:v>5</x:v>
      </x:c>
      <x:c r="N138" s="7" t="str">
        <x:v>Find contact information first</x:v>
      </x:c>
      <x:c r="O138" s="7" t="str">
        <x:v>Active</x:v>
      </x:c>
      <x:c r="P138" s="7" t="str">
        <x:v>03/18/2026</x:v>
      </x:c>
      <x:c r="Q138" s="7" t="str">
        <x:v>03/31/2028</x:v>
      </x:c>
      <x:c r="R138" s="7" t="str">
        <x:v>Life</x:v>
      </x:c>
      <x:c r="S138" s="15" t="str"/>
      <x:c r="T138" s="7" t="str">
        <x:v>No public business phone in collected record</x:v>
      </x:c>
      <x:c r="U138" s="7" t="str">
        <x:v>4478 W. SIERRA AVE. FRESNO CA, 93722</x:v>
      </x:c>
      <x:c r="V138" s="7" t="str">
        <x:v>Resident</x:v>
      </x:c>
      <x:c r="W138" s="7" t="str">
        <x:v>CA</x:v>
      </x:c>
      <x:c r="X138" s="7" t="str"/>
      <x:c r="Y138" s="7" t="str">
        <x:v>AMERICAN EQUITY INVESTMENT LIFE INSURANCE COMPANY / Life / 04/16/2026
AMERICAN GENERAL LIFE INSURANCE COMPANY / Life / 04/10/2026
AMERITAS LIFE INSURANCE CORP. / Life / 03/18/2026
BANNER LIFE INSURANCE COMPANY / Life / 04/10/2026
CMFG LIFE INSURANCE COMPANY / Life / 05/02/2026
FIDELITY &amp; GUARANTY LIFE INSURANCE COMPANY / Life / 04/03/2026
MEMBERS LIFE INSURANCE COMPANY / Life / 05/02/2026</x:v>
      </x:c>
      <x:c r="Z138" s="7" t="str">
        <x:v>ORDER ID: &lt;LBB007812&gt; BP IT IS HEREBY ORDERED, THAT THE CONDITIONS AND RESTRICTIONS ON RESPONDENT'S LICENSE AND LICENSING RIGHTS ARE REMOVED; ISSUE UNRESTRICTED LICENSE. / 08/25/2016
ORDER ID: &lt;LBB007812&gt; AP(AR) APPLICATION FOR LICENSE TO ACT AS A LIFE ONLY AGENT IS HEREBY DENIED; ISSUE IN LIEU THEREOF A RESTRICTED LICENSE. / 12/05/2012</x:v>
      </x:c>
      <x:c r="AA138" s="7" t="str"/>
      <x:c r="AB138" s="7" t="str"/>
      <x:c r="AC138" s="7" t="str"/>
      <x:c r="AD138" s="7" t="str">
        <x:v>Active general Life authority | Direct Life appointments outside the selected health-carrier set: AMERICAN EQUITY INVESTMENT LIFE INSURANCE COMPANY, AMERICAN GENERAL LIFE INSURANCE COMPANY, AMERITAS LIFE INSURANCE CORP., BANNER LIFE INSURANCE COMPANY, CMFG LIFE INSURANCE COMPANY, FIDELITY &amp; GUARANTY LIFE INSURANCE COMPANY, MEMBERS LIFE INSURANCE COMPANY</x:v>
      </x:c>
      <x:c r="AE138" s="7" t="str">
        <x:v>Historical enforcement with later removal/unrestricted wording; not treated as a current restriction | No public business phone: contact enrichment needed, not proof of poor recruiting fit</x:v>
      </x:c>
      <x:c r="AF138" s="16" t="n">
        <x:v>0.6</x:v>
      </x:c>
      <x:c r="AG138" s="17" t="n">
        <x:v>540</x:v>
      </x:c>
      <x:c r="AH138" s="7" t="str">
        <x:v>2026-05-02</x:v>
      </x:c>
      <x:c r="AI138" s="7" t="str">
        <x:v>English</x:v>
      </x:c>
      <x:c r="AJ138" s="7" t="str"/>
      <x:c r="AK138" s="15" t="str"/>
      <x:c r="AL138" s="7" t="str"/>
      <x:c r="AM138" s="7" t="str">
        <x:v>AGUILAR ANTHONY JOHN</x:v>
      </x:c>
      <x:c r="AN138" s="7" t="str">
        <x:v>https://cdicloud.insurance.ca.gov/cal/LicenseDetail?SearchType=IND&amp;SearchLicNbr=0I08687&amp;SearchIndvId=1543989</x:v>
      </x:c>
      <x:c r="AO138" s="7" t="str">
        <x:v>2026-10-08</x:v>
      </x:c>
      <x:c r="AP138" s="7" t="str">
        <x:v>c548021abbf5b7ac0e1aa7d9dc5e9df893f044039f355a48ede1b7501a3c7818</x:v>
      </x:c>
      <x:c r="AQ138" s="7" t="str">
        <x:v>Life / Active / 03/18/2026 / 03/18/2026 / 03/31/2028</x:v>
      </x:c>
      <x:c r="AR138" s="7" t="str">
        <x:v>Active</x:v>
      </x:c>
      <x:c r="AS138" s="7" t="str">
        <x:v>Current detail page</x:v>
      </x:c>
    </x:row>
    <x:row r="139" ht="52" customHeight="1">
      <x:c r="A139" s="7" t="str">
        <x:v>AGUILAR JONATHAN</x:v>
      </x:c>
      <x:c r="B139" s="14" t="str">
        <x:f>"4551819"</x:f>
        <x:v>4551819</x:v>
      </x:c>
      <x:c r="C139" s="7" t="str">
        <x:v>Omitted</x:v>
      </x:c>
      <x:c r="D139" s="7" t="str">
        <x:v>REVIEW</x:v>
      </x:c>
      <x:c r="E139" s="13" t="str">
        <x:v>Pending</x:v>
      </x:c>
      <x:c r="F139" s="13" t="str"/>
      <x:c r="G139" s="13" t="str"/>
      <x:c r="H139" s="13" t="str"/>
      <x:c r="I139" s="7" t="str">
        <x:v>Was this person reviewed? If rejected, give the actual rule and evidence. If acceptable, correct the omission. Resolve: No collected public business phone; Geographic scope.</x:v>
      </x:c>
      <x:c r="J139" s="7" t="str">
        <x:v>R5, R6</x:v>
      </x:c>
      <x:c r="K139" s="7" t="str">
        <x:v>Requires verification: No collected public business phone; Geographic scope. These facts do not establish the original reviewer’s motive.</x:v>
      </x:c>
      <x:c r="L139" s="7" t="str">
        <x:v>Not supplied; membership is known, motive is not</x:v>
      </x:c>
      <x:c r="M139" s="7" t="n">
        <x:v>5</x:v>
      </x:c>
      <x:c r="N139" s="7" t="str">
        <x:v>Find contact information first</x:v>
      </x:c>
      <x:c r="O139" s="7" t="str">
        <x:v>Active</x:v>
      </x:c>
      <x:c r="P139" s="7" t="str">
        <x:v>05/20/2026</x:v>
      </x:c>
      <x:c r="Q139" s="7" t="str">
        <x:v>05/31/2028</x:v>
      </x:c>
      <x:c r="R139" s="7" t="str">
        <x:v>Life</x:v>
      </x:c>
      <x:c r="S139" s="15" t="str"/>
      <x:c r="T139" s="7" t="str">
        <x:v>No public business phone in collected record</x:v>
      </x:c>
      <x:c r="U139" s="7" t="str">
        <x:v>18700 NE 25TH AVE APT 300 AVENTURA FL, 33180</x:v>
      </x:c>
      <x:c r="V139" s="7" t="str">
        <x:v>Non-resident</x:v>
      </x:c>
      <x:c r="W139" s="7" t="str">
        <x:v>FL</x:v>
      </x:c>
      <x:c r="X139" s="7" t="str"/>
      <x:c r="Y139" s="7" t="str">
        <x:v>UNITED OF OMAHA LIFE INSURANCE COMPANY / Life / 06/19/2026</x:v>
      </x:c>
      <x:c r="Z139" s="7" t="str"/>
      <x:c r="AA139" s="7" t="str"/>
      <x:c r="AB139" s="7" t="str"/>
      <x:c r="AC139" s="7" t="str"/>
      <x:c r="AD139" s="7" t="str">
        <x:v>Active general Life authority | Direct Life appointments outside the selected health-carrier set: UNITED OF OMAHA LIFE INSURANCE COMPANY</x:v>
      </x:c>
      <x:c r="AE139" s="7" t="str">
        <x:v>Nonresident or address state outside CA; confirm geographic recruiting scope | No public business phone: contact enrichment needed, not proof of poor recruiting fit</x:v>
      </x:c>
      <x:c r="AF139" s="16" t="n">
        <x:v>0.4</x:v>
      </x:c>
      <x:c r="AG139" s="17" t="n">
        <x:v>601</x:v>
      </x:c>
      <x:c r="AH139" s="7" t="str">
        <x:v>2026-06-19</x:v>
      </x:c>
      <x:c r="AI139" s="7" t="str"/>
      <x:c r="AJ139" s="7" t="str"/>
      <x:c r="AK139" s="15" t="str"/>
      <x:c r="AL139" s="7" t="str"/>
      <x:c r="AM139" s="7" t="str">
        <x:v>AGUILAR  JONATHAN</x:v>
      </x:c>
      <x:c r="AN139" s="7" t="str">
        <x:v>https://cdicloud.insurance.ca.gov/cal/LicenseDetail?SearchType=IND&amp;SearchLicNbr=4551819&amp;SearchIndvId=4551819</x:v>
      </x:c>
      <x:c r="AO139" s="7" t="str">
        <x:v>2026-10-08</x:v>
      </x:c>
      <x:c r="AP139" s="7" t="str">
        <x:v>a2710eed412be5a45c0e59d3d17bdcceeb2db31c93a47f38491108ceef4c538a</x:v>
      </x:c>
      <x:c r="AQ139" s="7" t="str">
        <x:v>Life / Active / 05/20/2026 / 05/20/2026 / 05/31/2028</x:v>
      </x:c>
      <x:c r="AR139" s="7" t="str">
        <x:v>Active</x:v>
      </x:c>
      <x:c r="AS139" s="7" t="str">
        <x:v>Current detail page</x:v>
      </x:c>
    </x:row>
    <x:row r="140" ht="52" customHeight="1">
      <x:c r="A140" s="7" t="str">
        <x:v>AGUILAR JOSE ANTONIO</x:v>
      </x:c>
      <x:c r="B140" s="14" t="str">
        <x:f>"4510309"</x:f>
        <x:v>4510309</x:v>
      </x:c>
      <x:c r="C140" s="7" t="str">
        <x:v>Omitted</x:v>
      </x:c>
      <x:c r="D140" s="7" t="str">
        <x:v>REVIEW</x:v>
      </x:c>
      <x:c r="E140" s="13" t="str">
        <x:v>Pending</x:v>
      </x:c>
      <x:c r="F140" s="13" t="str"/>
      <x:c r="G140" s="13" t="str"/>
      <x:c r="H140" s="13" t="str"/>
      <x:c r="I140" s="7" t="str">
        <x:v>Was this person reviewed? If rejected, give the actual rule and evidence. If acceptable, correct the omission. Resolve: No collected public business phone; Geographic scope.</x:v>
      </x:c>
      <x:c r="J140" s="7" t="str">
        <x:v>R5, R6</x:v>
      </x:c>
      <x:c r="K140" s="7" t="str">
        <x:v>Requires verification: No collected public business phone; Geographic scope. These facts do not establish the original reviewer’s motive.</x:v>
      </x:c>
      <x:c r="L140" s="7" t="str">
        <x:v>Not supplied; membership is known, motive is not</x:v>
      </x:c>
      <x:c r="M140" s="7" t="n">
        <x:v>5</x:v>
      </x:c>
      <x:c r="N140" s="7" t="str">
        <x:v>Find contact information first</x:v>
      </x:c>
      <x:c r="O140" s="7" t="str">
        <x:v>Active</x:v>
      </x:c>
      <x:c r="P140" s="7" t="str">
        <x:v>03/17/2026</x:v>
      </x:c>
      <x:c r="Q140" s="7" t="str">
        <x:v>03/31/2028</x:v>
      </x:c>
      <x:c r="R140" s="7" t="str">
        <x:v>Life</x:v>
      </x:c>
      <x:c r="S140" s="15" t="str"/>
      <x:c r="T140" s="7" t="str">
        <x:v>No public business phone in collected record</x:v>
      </x:c>
      <x:c r="U140" s="7" t="str">
        <x:v>2411 BONNIE JEAN PL JONESBORO AR, 72404</x:v>
      </x:c>
      <x:c r="V140" s="7" t="str">
        <x:v>Non-resident</x:v>
      </x:c>
      <x:c r="W140" s="7" t="str">
        <x:v>AR</x:v>
      </x:c>
      <x:c r="X140" s="7" t="str"/>
      <x:c r="Y140" s="7" t="str">
        <x:v>ROYAL NEIGHBORS OF AMERICA / Life / 04/08/2026
UNITED OF OMAHA LIFE INSURANCE COMPANY / Life / 05/08/2026</x:v>
      </x:c>
      <x:c r="Z140" s="7" t="str"/>
      <x:c r="AA140" s="7" t="str"/>
      <x:c r="AB140" s="7" t="str"/>
      <x:c r="AC140" s="7" t="str"/>
      <x:c r="AD140" s="7" t="str">
        <x:v>Active general Life authority | Direct Life appointments outside the selected health-carrier set: ROYAL NEIGHBORS OF AMERICA, UNITED OF OMAHA LIFE INSURANCE COMPANY</x:v>
      </x:c>
      <x:c r="AE140" s="7" t="str">
        <x:v>Nonresident or address state outside CA; confirm geographic recruiting scope | No public business phone: contact enrichment needed, not proof of poor recruiting fit</x:v>
      </x:c>
      <x:c r="AF140" s="16" t="n">
        <x:v>0.6</x:v>
      </x:c>
      <x:c r="AG140" s="17" t="n">
        <x:v>540</x:v>
      </x:c>
      <x:c r="AH140" s="7" t="str">
        <x:v>2026-05-08</x:v>
      </x:c>
      <x:c r="AI140" s="7" t="str"/>
      <x:c r="AJ140" s="7" t="str"/>
      <x:c r="AK140" s="15" t="str"/>
      <x:c r="AL140" s="7" t="str"/>
      <x:c r="AM140" s="7" t="str">
        <x:v>AGUILAR ANTONIO JOSE</x:v>
      </x:c>
      <x:c r="AN140" s="7" t="str">
        <x:v>https://cdicloud.insurance.ca.gov/cal/LicenseDetail?SearchType=IND&amp;SearchLicNbr=4510309&amp;SearchIndvId=4510309</x:v>
      </x:c>
      <x:c r="AO140" s="7" t="str">
        <x:v>2026-10-08</x:v>
      </x:c>
      <x:c r="AP140" s="7" t="str">
        <x:v>4fcbc393b6d8425accca5c5f37e52122962e8acc1dc8fa9f4868fd01fa59d25d</x:v>
      </x:c>
      <x:c r="AQ140" s="7" t="str">
        <x:v>Life / Active / 03/17/2026 / 03/17/2026 / 03/31/2028</x:v>
      </x:c>
      <x:c r="AR140" s="7" t="str">
        <x:v>Active</x:v>
      </x:c>
      <x:c r="AS140" s="7" t="str">
        <x:v>Current detail page</x:v>
      </x:c>
    </x:row>
    <x:row r="141" ht="52" customHeight="1">
      <x:c r="A141" s="7" t="str">
        <x:v>AGUILAR JUAN ANDRES</x:v>
      </x:c>
      <x:c r="B141" s="14" t="str">
        <x:f>"0K70278"</x:f>
        <x:v>0K70278</x:v>
      </x:c>
      <x:c r="C141" s="7" t="str">
        <x:v>Omitted</x:v>
      </x:c>
      <x:c r="D141" s="7" t="str">
        <x:v>REVIEW</x:v>
      </x:c>
      <x:c r="E141" s="13" t="str">
        <x:v>Pending</x:v>
      </x:c>
      <x:c r="F141" s="13" t="str"/>
      <x:c r="G141" s="13" t="str"/>
      <x:c r="H141" s="13" t="str"/>
      <x:c r="I141" s="7" t="str">
        <x:v>Was this person reviewed? If rejected, give the actual rule and evidence. If acceptable, correct the omission. Resolve: No collected public business phone; Geographic scope.</x:v>
      </x:c>
      <x:c r="J141" s="7" t="str">
        <x:v>R5, R6</x:v>
      </x:c>
      <x:c r="K141" s="7" t="str">
        <x:v>Requires verification: No collected public business phone; Geographic scope. These facts do not establish the original reviewer’s motive.</x:v>
      </x:c>
      <x:c r="L141" s="7" t="str">
        <x:v>Not supplied; membership is known, motive is not</x:v>
      </x:c>
      <x:c r="M141" s="7" t="n">
        <x:v>5</x:v>
      </x:c>
      <x:c r="N141" s="7" t="str">
        <x:v>Find contact information first</x:v>
      </x:c>
      <x:c r="O141" s="7" t="str">
        <x:v>Active</x:v>
      </x:c>
      <x:c r="P141" s="7" t="str">
        <x:v>01/20/2016</x:v>
      </x:c>
      <x:c r="Q141" s="7" t="str">
        <x:v>01/31/2028</x:v>
      </x:c>
      <x:c r="R141" s="7" t="str">
        <x:v>Accident &amp; Health or Sickness; Life</x:v>
      </x:c>
      <x:c r="S141" s="15" t="str"/>
      <x:c r="T141" s="7" t="str">
        <x:v>No public business phone in collected record</x:v>
      </x:c>
      <x:c r="U141" s="7" t="str">
        <x:v>2700 RICHARDS RD STE 204A BELLEVUE WA, 98005-4200</x:v>
      </x:c>
      <x:c r="V141" s="7" t="str">
        <x:v>Non-resident</x:v>
      </x:c>
      <x:c r="W141" s="7" t="str">
        <x:v>WA</x:v>
      </x:c>
      <x:c r="X141" s="7" t="str">
        <x:v>WORLD FINANCIAL GROUP INSURANCE AGENCY, LLC / Accident &amp; Health or Sickness / 06/27/2018
WORLD FINANCIAL GROUP INSURANCE AGENCY, LLC / Life / 06/27/2018</x:v>
      </x:c>
      <x:c r="Y141" s="7" t="str">
        <x:v>ATHENE ANNUITY AND LIFE COMPANY / Life / 09/19/2018
IA AMERICAN LIFE INSURANCE COMPANY / Life / 08/13/2018
PACIFIC LIFE INSURANCE COMPANY / Life / 11/11/2018</x:v>
      </x:c>
      <x:c r="Z141" s="7" t="str"/>
      <x:c r="AA141" s="7" t="str"/>
      <x:c r="AB141" s="7" t="str"/>
      <x:c r="AC141" s="7" t="str"/>
      <x:c r="AD141" s="7" t="str">
        <x:v>Active general Life authority | WFG relationship: matches an explicitly targeted recruiting segment | Direct Life appointments outside the selected health-carrier set: ATHENE ANNUITY AND LIFE COMPANY, IA AMERICAN LIFE INSURANCE COMPANY, PACIFIC LIFE INSURANCE COMPANY | Active A&amp;H supports optional cross-selling; not necessary for target products</x:v>
      </x:c>
      <x:c r="AE141" s="7" t="str">
        <x:v>Nonresident or address state outside CA; confirm geographic recruiting scope | No public business phone: contact enrichment needed, not proof of poor recruiting fit</x:v>
      </x:c>
      <x:c r="AF141" s="16" t="n">
        <x:v>10.7</x:v>
      </x:c>
      <x:c r="AG141" s="17" t="n">
        <x:v>480</x:v>
      </x:c>
      <x:c r="AH141" s="7" t="str">
        <x:v>2018-11-11</x:v>
      </x:c>
      <x:c r="AI141" s="7" t="str"/>
      <x:c r="AJ141" s="7" t="str"/>
      <x:c r="AK141" s="15" t="str"/>
      <x:c r="AL141" s="7" t="str"/>
      <x:c r="AM141" s="7" t="str">
        <x:v>AGUILAR ANDRES JUAN</x:v>
      </x:c>
      <x:c r="AN141" s="7" t="str">
        <x:v>https://cdicloud.insurance.ca.gov/cal/LicenseDetail?SearchType=IND&amp;SearchLicNbr=0K70278&amp;SearchIndvId=1816047</x:v>
      </x:c>
      <x:c r="AO141" s="7" t="str">
        <x:v>2026-10-08</x:v>
      </x:c>
      <x:c r="AP141" s="7" t="str">
        <x:v>b6b637fea296010b7187213e52d482d41112b24f3452dfe7e328236165de26f7</x:v>
      </x:c>
      <x:c r="AQ141" s="7" t="str">
        <x:v>Accident &amp; Health or Sickness / Active / 01/20/2016 / 06/05/2018 / 01/31/2028
Life / Active / 01/20/2016 / 06/05/2018 / 01/31/2028</x:v>
      </x:c>
      <x:c r="AR141" s="7" t="str">
        <x:v>Active</x:v>
      </x:c>
      <x:c r="AS141" s="7" t="str">
        <x:v>Current detail page</x:v>
      </x:c>
    </x:row>
    <x:row r="142" ht="52" customHeight="1">
      <x:c r="A142" s="7" t="str">
        <x:v>AGUILAR JUAN MANUEL</x:v>
      </x:c>
      <x:c r="B142" s="14" t="str">
        <x:f>"4064945"</x:f>
        <x:v>4064945</x:v>
      </x:c>
      <x:c r="C142" s="7" t="str">
        <x:v>Omitted</x:v>
      </x:c>
      <x:c r="D142" s="7" t="str">
        <x:v>REVIEW</x:v>
      </x:c>
      <x:c r="E142" s="13" t="str">
        <x:v>Pending</x:v>
      </x:c>
      <x:c r="F142" s="13" t="str"/>
      <x:c r="G142" s="13" t="str"/>
      <x:c r="H142" s="13" t="str"/>
      <x:c r="I142" s="7" t="str">
        <x:v>Was this person reviewed? If rejected, give the actual rule and evidence. If acceptable, correct the omission. Resolve: P&amp;C emphasis without separate core-Life signal; No collected public business phone.</x:v>
      </x:c>
      <x:c r="J142" s="7" t="str">
        <x:v>R4, R5</x:v>
      </x:c>
      <x:c r="K142" s="7" t="str">
        <x:v>Requires verification: P&amp;C emphasis without separate core-Life signal; No collected public business phone. These facts do not establish the original reviewer’s motive.</x:v>
      </x:c>
      <x:c r="L142" s="7" t="str">
        <x:v>Not supplied; membership is known, motive is not</x:v>
      </x:c>
      <x:c r="M142" s="7" t="n">
        <x:v>5</x:v>
      </x:c>
      <x:c r="N142" s="7" t="str">
        <x:v>Find contact information first</x:v>
      </x:c>
      <x:c r="O142" s="7" t="str">
        <x:v>Active</x:v>
      </x:c>
      <x:c r="P142" s="7" t="str">
        <x:v>09/06/2024</x:v>
      </x:c>
      <x:c r="Q142" s="7" t="str">
        <x:v>08/31/2028</x:v>
      </x:c>
      <x:c r="R142" s="7" t="str">
        <x:v>Life; Personal Lines</x:v>
      </x:c>
      <x:c r="S142" s="15" t="str"/>
      <x:c r="T142" s="7" t="str">
        <x:v>No public business phone in collected record</x:v>
      </x:c>
      <x:c r="U142" s="7" t="str">
        <x:v>2601 S. FIGUEROA STREET - A124 LOS ANGELES CA, 90007</x:v>
      </x:c>
      <x:c r="V142" s="7" t="str">
        <x:v>Resident</x:v>
      </x:c>
      <x:c r="W142" s="7" t="str">
        <x:v>CA</x:v>
      </x:c>
      <x:c r="X142" s="7" t="str">
        <x:v>AAA LIFE AGENCY LLC / Life / 10/25/2024</x:v>
      </x:c>
      <x:c r="Y142" s="7" t="str"/>
      <x:c r="Z142" s="7" t="str"/>
      <x:c r="AA142" s="7" t="str"/>
      <x:c r="AB142" s="7" t="str"/>
      <x:c r="AC142" s="7" t="str"/>
      <x:c r="AD142" s="7" t="str">
        <x:v>Active general Life authority</x:v>
      </x:c>
      <x:c r="AE142" s="7" t="str">
        <x:v>P&amp;C/Personal Lines authority without displayed core Life appointments; mixed profile requires review | No public business phone: contact enrichment needed, not proof of poor recruiting fit</x:v>
      </x:c>
      <x:c r="AF142" s="16" t="n">
        <x:v>2.1</x:v>
      </x:c>
      <x:c r="AG142" s="17" t="n">
        <x:v>693</x:v>
      </x:c>
      <x:c r="AH142" s="7" t="str"/>
      <x:c r="AI142" s="7" t="str">
        <x:v>English</x:v>
      </x:c>
      <x:c r="AJ142" s="7" t="str"/>
      <x:c r="AK142" s="15" t="str"/>
      <x:c r="AL142" s="7" t="str"/>
      <x:c r="AM142" s="7" t="str">
        <x:v>Aguilar M Juan | AGUILAR MANUEL JUAN</x:v>
      </x:c>
      <x:c r="AN142" s="7" t="str">
        <x:v>https://cdicloud.insurance.ca.gov/cal/LicenseDetail?SearchType=IND&amp;SearchLicNbr=4064945&amp;SearchIndvId=4064945</x:v>
      </x:c>
      <x:c r="AO142" s="7" t="str">
        <x:v>2026-10-08</x:v>
      </x:c>
      <x:c r="AP142" s="7" t="str">
        <x:v>e557b0b7cb4a03d5bc8d879e477cb1ceff7e2a2eb7ef90ccddc16a896cae1094</x:v>
      </x:c>
      <x:c r="AQ142" s="7" t="str">
        <x:v>Life / Active / 09/06/2024 / 09/06/2024 / 08/31/2028
Personal Lines / Active / 08/31/2020 / 08/31/2020 / 08/31/2028</x:v>
      </x:c>
      <x:c r="AR142" s="7" t="str">
        <x:v>Active</x:v>
      </x:c>
      <x:c r="AS142" s="7" t="str">
        <x:v>Current detail page</x:v>
      </x:c>
    </x:row>
    <x:row r="143" ht="52" customHeight="1">
      <x:c r="A143" s="7" t="str">
        <x:v>AGUILAR JULIAN</x:v>
      </x:c>
      <x:c r="B143" s="14" t="str">
        <x:f>"0E12644"</x:f>
        <x:v>0E12644</x:v>
      </x:c>
      <x:c r="C143" s="7" t="str">
        <x:v>Omitted</x:v>
      </x:c>
      <x:c r="D143" s="7" t="str">
        <x:v>REVIEW</x:v>
      </x:c>
      <x:c r="E143" s="13" t="str">
        <x:v>Pending</x:v>
      </x:c>
      <x:c r="F143" s="13" t="str"/>
      <x:c r="G143" s="13" t="str"/>
      <x:c r="H143" s="13" t="str"/>
      <x:c r="I143" s="7" t="str">
        <x:v>Was this person reviewed? If rejected, give the actual rule and evidence. If acceptable, correct the omission. Resolve: Selected health-carrier Life mix; No collected public business phone.</x:v>
      </x:c>
      <x:c r="J143" s="7" t="str">
        <x:v>R4, R5</x:v>
      </x:c>
      <x:c r="K143" s="7" t="str">
        <x:v>Requires verification: Selected health-carrier Life mix; No collected public business phone. These facts do not establish the original reviewer’s motive.</x:v>
      </x:c>
      <x:c r="L143" s="7" t="str">
        <x:v>Not supplied; membership is known, motive is not</x:v>
      </x:c>
      <x:c r="M143" s="7" t="n">
        <x:v>5</x:v>
      </x:c>
      <x:c r="N143" s="7" t="str">
        <x:v>Find contact information first</x:v>
      </x:c>
      <x:c r="O143" s="7" t="str">
        <x:v>Active</x:v>
      </x:c>
      <x:c r="P143" s="7" t="str">
        <x:v>08/27/2003</x:v>
      </x:c>
      <x:c r="Q143" s="7" t="str">
        <x:v>08/31/2027</x:v>
      </x:c>
      <x:c r="R143" s="7" t="str">
        <x:v>Accident &amp; Health or Sickness; Life</x:v>
      </x:c>
      <x:c r="S143" s="15" t="str"/>
      <x:c r="T143" s="7" t="str">
        <x:v>No public business phone in collected record</x:v>
      </x:c>
      <x:c r="U143" s="7" t="str">
        <x:v>JULIAN AGUILAR 15098 HALINOR ST HESPERIA CA, 92345</x:v>
      </x:c>
      <x:c r="V143" s="7" t="str">
        <x:v>Resident</x:v>
      </x:c>
      <x:c r="W143" s="7" t="str">
        <x:v>CA</x:v>
      </x:c>
      <x:c r="X143" s="7" t="str"/>
      <x:c r="Y143" s="7" t="str">
        <x:v>AMERITAS LIFE INSURANCE CORP. / Accident &amp; Health or Sickness / 03/09/2023
ANTHEM BLUE CROSS LIFE AND HEALTH INSURANCE COMPANY / Accident &amp; Health or Sickness / 12/23/2010
ANTHEM BLUE CROSS LIFE AND HEALTH INSURANCE COMPANY / Life / 12/23/2010
BLUE SHIELD OF CALIFORNIA LIFE &amp; HEALTH INSURANCE COMPANY / Accident &amp; Health or Sickness / 07/23/2020
BLUE SHIELD OF CALIFORNIA LIFE &amp; HEALTH INSURANCE COMPANY / Life / 07/23/2020
HEALTH NET LIFE INSURANCE COMPANY / Accident &amp; Health or Sickness / 11/20/2015
HEALTH NET LIFE INSURANCE COMPANY / Life / 11/20/2015
UNITEDHEALTHCARE INSURANCE COMPANY / Accident &amp; Health or Sickness / 12/09/2018</x:v>
      </x:c>
      <x:c r="Z143" s="7" t="str"/>
      <x:c r="AA143" s="7" t="str"/>
      <x:c r="AB143" s="7" t="str"/>
      <x:c r="AC143" s="7" t="str"/>
      <x:c r="AD143" s="7" t="str">
        <x:v>Active general Life authority | Active A&amp;H supports optional cross-selling; not necessary for target products</x:v>
      </x:c>
      <x:c r="AE143" s="7" t="str">
        <x:v>Life appointments shown only at selected health-oriented carriers; core Life activity unestablished | No public business phone: contact enrichment needed, not proof of poor recruiting fit</x:v>
      </x:c>
      <x:c r="AF143" s="16" t="n">
        <x:v>23.1</x:v>
      </x:c>
      <x:c r="AG143" s="17" t="n">
        <x:v>327</x:v>
      </x:c>
      <x:c r="AH143" s="7" t="str">
        <x:v>2020-07-23</x:v>
      </x:c>
      <x:c r="AI143" s="7" t="str">
        <x:v>English, Spanish, Spanish</x:v>
      </x:c>
      <x:c r="AJ143" s="7" t="str"/>
      <x:c r="AK143" s="15" t="str"/>
      <x:c r="AL143" s="7" t="str"/>
      <x:c r="AM143" s="7" t="str">
        <x:v>AGUILAR  JULIAN</x:v>
      </x:c>
      <x:c r="AN143" s="7" t="str">
        <x:v>https://cdicloud.insurance.ca.gov/cal/LicenseDetail?SearchType=IND&amp;SearchLicNbr=0E12644&amp;SearchIndvId=860036</x:v>
      </x:c>
      <x:c r="AO143" s="7" t="str">
        <x:v>2026-10-08</x:v>
      </x:c>
      <x:c r="AP143" s="7" t="str">
        <x:v>2b17ca7831d5a4c9869f084a8898850084b8018c870105d2116ff4e15099b3d1</x:v>
      </x:c>
      <x:c r="AQ143" s="7" t="str">
        <x:v>Accident &amp; Health or Sickness / Active / 08/27/2003 / 09/01/2015 / 08/31/2027
Life / Active / 08/27/2003 / 09/01/2015 / 08/31/2027</x:v>
      </x:c>
      <x:c r="AR143" s="7" t="str">
        <x:v>Active</x:v>
      </x:c>
      <x:c r="AS143" s="7" t="str">
        <x:v>Current detail page</x:v>
      </x:c>
    </x:row>
    <x:row r="144" ht="52" customHeight="1">
      <x:c r="A144" s="7" t="str">
        <x:v>AGUILAR KARINA</x:v>
      </x:c>
      <x:c r="B144" s="14" t="str">
        <x:f>"4566950"</x:f>
        <x:v>4566950</x:v>
      </x:c>
      <x:c r="C144" s="7" t="str">
        <x:v>Omitted</x:v>
      </x:c>
      <x:c r="D144" s="7" t="str">
        <x:v>REVIEW</x:v>
      </x:c>
      <x:c r="E144" s="13" t="str">
        <x:v>Pending</x:v>
      </x:c>
      <x:c r="F144" s="13" t="str"/>
      <x:c r="G144" s="13" t="str"/>
      <x:c r="H144" s="13" t="str"/>
      <x:c r="I144" s="7" t="str">
        <x:v>Was this person reviewed? If rejected, give the actual rule and evidence. If acceptable, correct the omission. Resolve: No collected public business phone.</x:v>
      </x:c>
      <x:c r="J144" s="7" t="str">
        <x:v>R5</x:v>
      </x:c>
      <x:c r="K144" s="7" t="str">
        <x:v>Requires verification: No collected public business phone. These facts do not establish the original reviewer’s motive.</x:v>
      </x:c>
      <x:c r="L144" s="7" t="str">
        <x:v>Not supplied; membership is known, motive is not</x:v>
      </x:c>
      <x:c r="M144" s="7" t="n">
        <x:v>5</x:v>
      </x:c>
      <x:c r="N144" s="7" t="str">
        <x:v>Find contact information first</x:v>
      </x:c>
      <x:c r="O144" s="7" t="str">
        <x:v>Active</x:v>
      </x:c>
      <x:c r="P144" s="7" t="str">
        <x:v>09/23/2026</x:v>
      </x:c>
      <x:c r="Q144" s="7" t="str">
        <x:v>09/30/2028</x:v>
      </x:c>
      <x:c r="R144" s="7" t="str">
        <x:v>Life</x:v>
      </x:c>
      <x:c r="S144" s="15" t="str"/>
      <x:c r="T144" s="7" t="str">
        <x:v>No public business phone in collected record</x:v>
      </x:c>
      <x:c r="U144" s="7" t="str">
        <x:v>1386 E TULARE AVE TULARE CA, 93274</x:v>
      </x:c>
      <x:c r="V144" s="7" t="str">
        <x:v>Resident</x:v>
      </x:c>
      <x:c r="W144" s="7" t="str">
        <x:v>CA</x:v>
      </x:c>
      <x:c r="X144" s="7" t="str"/>
      <x:c r="Y144" s="7" t="str">
        <x:v>LIFE INSURANCE COMPANY OF THE SOUTHWEST / Life / 10/07/2026</x:v>
      </x:c>
      <x:c r="Z144" s="7" t="str"/>
      <x:c r="AA144" s="7" t="str"/>
      <x:c r="AB144" s="7" t="str"/>
      <x:c r="AC144" s="7" t="str"/>
      <x:c r="AD144" s="7" t="str">
        <x:v>Active general Life authority | Direct Life appointments outside the selected health-carrier set: LIFE INSURANCE COMPANY OF THE SOUTHWEST</x:v>
      </x:c>
      <x:c r="AE144" s="7" t="str">
        <x:v>No public business phone: contact enrichment needed, not proof of poor recruiting fit</x:v>
      </x:c>
      <x:c r="AF144" s="16" t="n">
        <x:v>0</x:v>
      </x:c>
      <x:c r="AG144" s="17" t="n">
        <x:v>723</x:v>
      </x:c>
      <x:c r="AH144" s="7" t="str">
        <x:v>2026-10-07</x:v>
      </x:c>
      <x:c r="AI144" s="7" t="str">
        <x:v>English</x:v>
      </x:c>
      <x:c r="AJ144" s="7" t="str"/>
      <x:c r="AK144" s="15" t="str"/>
      <x:c r="AL144" s="7" t="str"/>
      <x:c r="AM144" s="7" t="str">
        <x:v>AGUILAR  KARINA</x:v>
      </x:c>
      <x:c r="AN144" s="7" t="str">
        <x:v>https://cdicloud.insurance.ca.gov/cal/LicenseDetail?SearchType=IND&amp;SearchLicNbr=4566950&amp;SearchIndvId=4566950</x:v>
      </x:c>
      <x:c r="AO144" s="7" t="str">
        <x:v>2026-10-08</x:v>
      </x:c>
      <x:c r="AP144" s="7" t="str">
        <x:v>ea381848349507fa607005a08128c9ee04a1066a6a18be6b9b3044bb38a997c5</x:v>
      </x:c>
      <x:c r="AQ144" s="7" t="str">
        <x:v>Life / Active / 09/23/2026 / 09/23/2026 / 09/30/2028</x:v>
      </x:c>
      <x:c r="AR144" s="7" t="str">
        <x:v>Active</x:v>
      </x:c>
      <x:c r="AS144" s="7" t="str">
        <x:v>Current detail page</x:v>
      </x:c>
    </x:row>
    <x:row r="145" ht="52" customHeight="1">
      <x:c r="A145" s="7" t="str">
        <x:v>AGUILAR KENNETH</x:v>
      </x:c>
      <x:c r="B145" s="14" t="str">
        <x:f>"4254115"</x:f>
        <x:v>4254115</x:v>
      </x:c>
      <x:c r="C145" s="7" t="str">
        <x:v>Omitted</x:v>
      </x:c>
      <x:c r="D145" s="7" t="str">
        <x:v>REVIEW</x:v>
      </x:c>
      <x:c r="E145" s="13" t="str">
        <x:v>Pending</x:v>
      </x:c>
      <x:c r="F145" s="13" t="str"/>
      <x:c r="G145" s="13" t="str"/>
      <x:c r="H145" s="13" t="str"/>
      <x:c r="I145" s="7" t="str">
        <x:v>Was this person reviewed? If rejected, give the actual rule and evidence. If acceptable, correct the omission. Resolve: No collected public business phone.</x:v>
      </x:c>
      <x:c r="J145" s="7" t="str">
        <x:v>R5</x:v>
      </x:c>
      <x:c r="K145" s="7" t="str">
        <x:v>Requires verification: No collected public business phone. These facts do not establish the original reviewer’s motive.</x:v>
      </x:c>
      <x:c r="L145" s="7" t="str">
        <x:v>Not supplied; membership is known, motive is not</x:v>
      </x:c>
      <x:c r="M145" s="7" t="n">
        <x:v>5</x:v>
      </x:c>
      <x:c r="N145" s="7" t="str">
        <x:v>Find contact information first</x:v>
      </x:c>
      <x:c r="O145" s="7" t="str">
        <x:v>Active</x:v>
      </x:c>
      <x:c r="P145" s="7" t="str">
        <x:v>11/18/2022</x:v>
      </x:c>
      <x:c r="Q145" s="7" t="str">
        <x:v>11/30/2026</x:v>
      </x:c>
      <x:c r="R145" s="7" t="str">
        <x:v>Accident &amp; Health or Sickness; Life</x:v>
      </x:c>
      <x:c r="S145" s="15" t="str"/>
      <x:c r="T145" s="7" t="str">
        <x:v>No public business phone in collected record</x:v>
      </x:c>
      <x:c r="U145" s="7" t="str">
        <x:v>500 LOWEWOOD PLACE 500 LOWEWOOD PLACE CHULA VISTA CA, 91910</x:v>
      </x:c>
      <x:c r="V145" s="7" t="str">
        <x:v>Resident</x:v>
      </x:c>
      <x:c r="W145" s="7" t="str">
        <x:v>CA</x:v>
      </x:c>
      <x:c r="X145" s="7" t="str"/>
      <x:c r="Y145" s="7" t="str">
        <x:v>AMERICAN GENERAL LIFE INSURANCE COMPANY / Accident &amp; Health or Sickness / 07/06/2026
AMERICAN GENERAL LIFE INSURANCE COMPANY / Life / 07/06/2026
BERKSHIRE LIFE INSURANCE COMPANY OF AMERICA / Accident &amp; Health or Sickness / 02/17/2026
BERKSHIRE LIFE INSURANCE COMPANY OF AMERICA / Life / 02/17/2026
GUARDIAN INSURANCE &amp; ANNUITY COMPANY, INC. (THE) / Life / 02/17/2026
GUARDIAN LIFE INSURANCE COMPANY OF AMERICA (THE) / Accident &amp; Health or Sickness / 02/17/2026
GUARDIAN LIFE INSURANCE COMPANY OF AMERICA (THE) / Life / 02/17/2026
INDEPENDENT ORDER OF FORESTERS (THE) / Accident &amp; Health or Sickness / 06/25/2026
INDEPENDENT ORDER OF FORESTERS (THE) / Life / 06/25/2026
JOHN HANCOCK LIFE INSURANCE COMPANY (U.S.A.) / Accident &amp; Health or Sickness / 06/24/2026
JOHN HANCOCK LIFE INSURANCE COMPANY (U.S.A.) / Life / 06/24/2026
LINCOLN NATIONAL LIFE INSURANCE COMPANY (THE) / Accident &amp; Health or Sickness / 07/15/2026
LINCOLN NATIONAL LIFE INSURANCE COMPANY (THE) / Life / 07/15/2026
PROTECTIVE LIFE INSURANCE COMPANY / Accident &amp; Health or Sickness / 05/25/2026
PROTECTIVE LIFE INSURANCE COMPANY / Life / 05/25/2026</x:v>
      </x:c>
      <x:c r="Z145" s="7" t="str"/>
      <x:c r="AA145" s="7" t="str"/>
      <x:c r="AB145" s="7" t="str"/>
      <x:c r="AC145" s="7" t="str"/>
      <x:c r="AD145" s="7" t="str">
        <x:v>Active general Life authority | Direct Life appointments outside the selected health-carrier set: AMERICAN GENERAL LIFE INSURANCE COMPANY, BERKSHIRE LIFE INSURANCE COMPANY OF AMERICA, GUARDIAN INSURANCE &amp; ANNUITY COMPANY, INC. (THE), GUARDIAN LIFE INSURANCE COMPANY OF AMERICA (THE), INDEPENDENT ORDER OF FORESTERS (THE), JOHN HANCOCK LIFE INSURANCE COMPANY (U.S.A.), LINCOLN NATIONAL LIFE INSURANCE COMPANY (THE), PROTECTIVE LIFE INSURANCE COMPANY | Active A&amp;H supports optional cross-selling; not necessary for target products</x:v>
      </x:c>
      <x:c r="AE145" s="7" t="str">
        <x:v>Life expiration in 53 days: confirm renewal during onboarding | No public business phone: contact enrichment needed, not proof of poor recruiting fit</x:v>
      </x:c>
      <x:c r="AF145" s="16" t="n">
        <x:v>3.9</x:v>
      </x:c>
      <x:c r="AG145" s="17" t="n">
        <x:v>53</x:v>
      </x:c>
      <x:c r="AH145" s="7" t="str">
        <x:v>2026-07-15</x:v>
      </x:c>
      <x:c r="AI145" s="7" t="str">
        <x:v>English</x:v>
      </x:c>
      <x:c r="AJ145" s="7" t="str"/>
      <x:c r="AK145" s="15" t="str"/>
      <x:c r="AL145" s="7" t="str"/>
      <x:c r="AM145" s="7" t="str">
        <x:v>AGUILAR  KENNETH</x:v>
      </x:c>
      <x:c r="AN145" s="7" t="str">
        <x:v>https://cdicloud.insurance.ca.gov/cal/LicenseDetail?SearchType=IND&amp;SearchLicNbr=4254115&amp;SearchIndvId=4254115</x:v>
      </x:c>
      <x:c r="AO145" s="7" t="str">
        <x:v>2026-10-08</x:v>
      </x:c>
      <x:c r="AP145" s="7" t="str">
        <x:v>63d9ec8831bfc673eddc7c24a97af89a5df100ed5098cf5ddf9f2c35798f1b7a</x:v>
      </x:c>
      <x:c r="AQ145" s="7" t="str">
        <x:v>Accident &amp; Health or Sickness / Active / 11/18/2022 / 02/14/2025 / 11/30/2026
Life / Active / 11/18/2022 / 02/14/2025 / 11/30/2026</x:v>
      </x:c>
      <x:c r="AR145" s="7" t="str">
        <x:v>Active</x:v>
      </x:c>
      <x:c r="AS145" s="7" t="str">
        <x:v>Current detail page</x:v>
      </x:c>
    </x:row>
    <x:row r="146" ht="52" customHeight="1">
      <x:c r="A146" s="7" t="str">
        <x:v>AGUILAR LEONARDO</x:v>
      </x:c>
      <x:c r="B146" s="14" t="str">
        <x:f>"4427255"</x:f>
        <x:v>4427255</x:v>
      </x:c>
      <x:c r="C146" s="7" t="str">
        <x:v>Omitted</x:v>
      </x:c>
      <x:c r="D146" s="7" t="str">
        <x:v>REVIEW</x:v>
      </x:c>
      <x:c r="E146" s="13" t="str">
        <x:v>Pending</x:v>
      </x:c>
      <x:c r="F146" s="13" t="str"/>
      <x:c r="G146" s="13" t="str"/>
      <x:c r="H146" s="13" t="str"/>
      <x:c r="I146" s="7" t="str">
        <x:v>Was this person reviewed? If rejected, give the actual rule and evidence. If acceptable, correct the omission. Resolve: No collected public business phone; Geographic scope.</x:v>
      </x:c>
      <x:c r="J146" s="7" t="str">
        <x:v>R5, R6</x:v>
      </x:c>
      <x:c r="K146" s="7" t="str">
        <x:v>Requires verification: No collected public business phone; Geographic scope. These facts do not establish the original reviewer’s motive.</x:v>
      </x:c>
      <x:c r="L146" s="7" t="str">
        <x:v>Not supplied; membership is known, motive is not</x:v>
      </x:c>
      <x:c r="M146" s="7" t="n">
        <x:v>5</x:v>
      </x:c>
      <x:c r="N146" s="7" t="str">
        <x:v>Find contact information first</x:v>
      </x:c>
      <x:c r="O146" s="7" t="str">
        <x:v>Active</x:v>
      </x:c>
      <x:c r="P146" s="7" t="str">
        <x:v>11/15/2024</x:v>
      </x:c>
      <x:c r="Q146" s="7" t="str">
        <x:v>11/30/2026</x:v>
      </x:c>
      <x:c r="R146" s="7" t="str">
        <x:v>Life</x:v>
      </x:c>
      <x:c r="S146" s="15" t="str"/>
      <x:c r="T146" s="7" t="str">
        <x:v>No public business phone in collected record</x:v>
      </x:c>
      <x:c r="U146" s="7" t="str">
        <x:v>7955 NW 12TH ST SUITE 200 DORAL FL, 33126</x:v>
      </x:c>
      <x:c r="V146" s="7" t="str">
        <x:v>Non-resident</x:v>
      </x:c>
      <x:c r="W146" s="7" t="str">
        <x:v>FL</x:v>
      </x:c>
      <x:c r="X146" s="7" t="str"/>
      <x:c r="Y146" s="7" t="str">
        <x:v>AMERICAN-AMICABLE LIFE INSURANCE COMPANY OF TEXAS / Life / 12/17/2025
FIDELITY &amp; GUARANTY LIFE INSURANCE COMPANY / Life / 11/15/2024
LIFE INSURANCE COMPANY OF THE SOUTHWEST / Life / 08/11/2025
SAVINGS BANK MUTUAL LIFE INSURANCE COMPANY OF MASSACHUSETTS (THE) / Life / 08/23/2025
UNITED OF OMAHA LIFE INSURANCE COMPANY / Life / 11/15/2024</x:v>
      </x:c>
      <x:c r="Z146" s="7" t="str"/>
      <x:c r="AA146" s="7" t="str"/>
      <x:c r="AB146" s="7" t="str"/>
      <x:c r="AC146" s="7" t="str"/>
      <x:c r="AD146" s="7" t="str">
        <x:v>Active general Life authority | Direct Life appointments outside the selected health-carrier set: AMERICAN-AMICABLE LIFE INSURANCE COMPANY OF TEXAS, FIDELITY &amp; GUARANTY LIFE INSURANCE COMPANY, LIFE INSURANCE COMPANY OF THE SOUTHWEST, SAVINGS BANK MUTUAL LIFE INSURANCE COMPANY OF MASSACHUSETTS (THE), UNITED OF OMAHA LIFE INSURANCE COMPANY</x:v>
      </x:c>
      <x:c r="AE146" s="7" t="str">
        <x:v>Nonresident or address state outside CA; confirm geographic recruiting scope | Life expiration in 53 days: confirm renewal during onboarding | No public business phone: contact enrichment needed, not proof of poor recruiting fit</x:v>
      </x:c>
      <x:c r="AF146" s="16" t="n">
        <x:v>1.9</x:v>
      </x:c>
      <x:c r="AG146" s="17" t="n">
        <x:v>53</x:v>
      </x:c>
      <x:c r="AH146" s="7" t="str">
        <x:v>2025-12-17</x:v>
      </x:c>
      <x:c r="AI146" s="7" t="str"/>
      <x:c r="AJ146" s="7" t="str"/>
      <x:c r="AK146" s="15" t="str"/>
      <x:c r="AL146" s="7" t="str"/>
      <x:c r="AM146" s="7" t="str">
        <x:v>AGUILAR  LEONARDO</x:v>
      </x:c>
      <x:c r="AN146" s="7" t="str">
        <x:v>https://cdicloud.insurance.ca.gov/cal/LicenseDetail?SearchType=IND&amp;SearchLicNbr=4427255&amp;SearchIndvId=4427255</x:v>
      </x:c>
      <x:c r="AO146" s="7" t="str">
        <x:v>2026-10-08</x:v>
      </x:c>
      <x:c r="AP146" s="7" t="str">
        <x:v>c6e34f88171cca9cf3c448e1784f500b6bdaf010cb5c340c79116f91e0c6200b</x:v>
      </x:c>
      <x:c r="AQ146" s="7" t="str">
        <x:v>Life / Active / 11/15/2024 / 11/15/2024 / 11/30/2026</x:v>
      </x:c>
      <x:c r="AR146" s="7" t="str">
        <x:v>Active</x:v>
      </x:c>
      <x:c r="AS146" s="7" t="str">
        <x:v>Current detail page</x:v>
      </x:c>
    </x:row>
    <x:row r="147" ht="52" customHeight="1">
      <x:c r="A147" s="7" t="str">
        <x:v>AGUILAR LORENA</x:v>
      </x:c>
      <x:c r="B147" s="14" t="str">
        <x:f>"4491073"</x:f>
        <x:v>4491073</x:v>
      </x:c>
      <x:c r="C147" s="7" t="str">
        <x:v>Omitted</x:v>
      </x:c>
      <x:c r="D147" s="7" t="str">
        <x:v>REVIEW</x:v>
      </x:c>
      <x:c r="E147" s="13" t="str">
        <x:v>Pending</x:v>
      </x:c>
      <x:c r="F147" s="13" t="str"/>
      <x:c r="G147" s="13" t="str"/>
      <x:c r="H147" s="13" t="str"/>
      <x:c r="I147" s="7" t="str">
        <x:v>Was this person reviewed? If rejected, give the actual rule and evidence. If acceptable, correct the omission. Resolve: No collected public business phone.</x:v>
      </x:c>
      <x:c r="J147" s="7" t="str">
        <x:v>R5</x:v>
      </x:c>
      <x:c r="K147" s="7" t="str">
        <x:v>Requires verification: No collected public business phone. These facts do not establish the original reviewer’s motive.</x:v>
      </x:c>
      <x:c r="L147" s="7" t="str">
        <x:v>Not supplied; membership is known, motive is not</x:v>
      </x:c>
      <x:c r="M147" s="7" t="n">
        <x:v>5</x:v>
      </x:c>
      <x:c r="N147" s="7" t="str">
        <x:v>Find contact information first</x:v>
      </x:c>
      <x:c r="O147" s="7" t="str">
        <x:v>Active</x:v>
      </x:c>
      <x:c r="P147" s="7" t="str">
        <x:v>10/20/2025</x:v>
      </x:c>
      <x:c r="Q147" s="7" t="str">
        <x:v>10/31/2027</x:v>
      </x:c>
      <x:c r="R147" s="7" t="str">
        <x:v>Life</x:v>
      </x:c>
      <x:c r="S147" s="15" t="str"/>
      <x:c r="T147" s="7" t="str">
        <x:v>No public business phone in collected record</x:v>
      </x:c>
      <x:c r="U147" s="7" t="str">
        <x:v>2 SPINETTA COURT AMERICAN CANYON CA, 94503</x:v>
      </x:c>
      <x:c r="V147" s="7" t="str">
        <x:v>Resident</x:v>
      </x:c>
      <x:c r="W147" s="7" t="str">
        <x:v>CA</x:v>
      </x:c>
      <x:c r="X147" s="7" t="str"/>
      <x:c r="Y147" s="7" t="str"/>
      <x:c r="Z147" s="7" t="str"/>
      <x:c r="AA147" s="7" t="str"/>
      <x:c r="AB147" s="7" t="str"/>
      <x:c r="AC147" s="7" t="str"/>
      <x:c r="AD147" s="7" t="str">
        <x:v>Active general Life authority | No agency or insurer displayed: onboarding opportunity possible; existing business unknown</x:v>
      </x:c>
      <x:c r="AE147" s="7" t="str">
        <x:v>No public business phone: contact enrichment needed, not proof of poor recruiting fit</x:v>
      </x:c>
      <x:c r="AF147" s="16" t="n">
        <x:v>1</x:v>
      </x:c>
      <x:c r="AG147" s="17" t="n">
        <x:v>388</x:v>
      </x:c>
      <x:c r="AH147" s="7" t="str"/>
      <x:c r="AI147" s="7" t="str">
        <x:v>English</x:v>
      </x:c>
      <x:c r="AJ147" s="7" t="str"/>
      <x:c r="AK147" s="15" t="str"/>
      <x:c r="AL147" s="7" t="str"/>
      <x:c r="AM147" s="7" t="str">
        <x:v>AGUILAR  LORENA</x:v>
      </x:c>
      <x:c r="AN147" s="7" t="str">
        <x:v>https://cdicloud.insurance.ca.gov/cal/LicenseDetail?SearchType=IND&amp;SearchLicNbr=4491073&amp;SearchIndvId=4491073</x:v>
      </x:c>
      <x:c r="AO147" s="7" t="str">
        <x:v>2026-10-08</x:v>
      </x:c>
      <x:c r="AP147" s="7" t="str">
        <x:v>9df057d08b35bd7ca6cb0f994e89ecf66f924d67a92f0e5a43b16c8ee0e5eb43</x:v>
      </x:c>
      <x:c r="AQ147" s="7" t="str">
        <x:v>Life / Active / 10/20/2025 / 10/20/2025 / 10/31/2027</x:v>
      </x:c>
      <x:c r="AR147" s="7" t="str">
        <x:v>Active</x:v>
      </x:c>
      <x:c r="AS147" s="7" t="str">
        <x:v>Current detail page</x:v>
      </x:c>
    </x:row>
    <x:row r="148" ht="52" customHeight="1">
      <x:c r="A148" s="7" t="str">
        <x:v>AGUILAR LOU</x:v>
      </x:c>
      <x:c r="B148" s="14" t="str">
        <x:f>"4405070"</x:f>
        <x:v>4405070</x:v>
      </x:c>
      <x:c r="C148" s="7" t="str">
        <x:v>Omitted</x:v>
      </x:c>
      <x:c r="D148" s="7" t="str">
        <x:v>REVIEW</x:v>
      </x:c>
      <x:c r="E148" s="13" t="str">
        <x:v>Pending</x:v>
      </x:c>
      <x:c r="F148" s="13" t="str"/>
      <x:c r="G148" s="13" t="str"/>
      <x:c r="H148" s="13" t="str"/>
      <x:c r="I148" s="7" t="str">
        <x:v>Was this person reviewed? If rejected, give the actual rule and evidence. If acceptable, correct the omission. Resolve: No collected public business phone; Geographic scope.</x:v>
      </x:c>
      <x:c r="J148" s="7" t="str">
        <x:v>R5, R6</x:v>
      </x:c>
      <x:c r="K148" s="7" t="str">
        <x:v>Requires verification: No collected public business phone; Geographic scope. These facts do not establish the original reviewer’s motive.</x:v>
      </x:c>
      <x:c r="L148" s="7" t="str">
        <x:v>Not supplied; membership is known, motive is not</x:v>
      </x:c>
      <x:c r="M148" s="7" t="n">
        <x:v>5</x:v>
      </x:c>
      <x:c r="N148" s="7" t="str">
        <x:v>Find contact information first</x:v>
      </x:c>
      <x:c r="O148" s="7" t="str">
        <x:v>Active</x:v>
      </x:c>
      <x:c r="P148" s="7" t="str">
        <x:v>08/28/2024</x:v>
      </x:c>
      <x:c r="Q148" s="7" t="str">
        <x:v>08/31/2028</x:v>
      </x:c>
      <x:c r="R148" s="7" t="str">
        <x:v>Accident &amp; Health or Sickness; Life</x:v>
      </x:c>
      <x:c r="S148" s="15" t="str"/>
      <x:c r="T148" s="7" t="str">
        <x:v>No public business phone in collected record</x:v>
      </x:c>
      <x:c r="U148" s="7" t="str">
        <x:v>6213 CHARLOTTE PIKE NASHVILLE TN, 37209</x:v>
      </x:c>
      <x:c r="V148" s="7" t="str">
        <x:v>Non-resident</x:v>
      </x:c>
      <x:c r="W148" s="7" t="str">
        <x:v>TN</x:v>
      </x:c>
      <x:c r="X148" s="7" t="str"/>
      <x:c r="Y148" s="7" t="str"/>
      <x:c r="Z148" s="7" t="str"/>
      <x:c r="AA148" s="7" t="str"/>
      <x:c r="AB148" s="7" t="str"/>
      <x:c r="AC148" s="7" t="str"/>
      <x:c r="AD148" s="7" t="str">
        <x:v>Active general Life authority | No agency or insurer displayed: onboarding opportunity possible; existing business unknown | Active A&amp;H supports optional cross-selling; not necessary for target products</x:v>
      </x:c>
      <x:c r="AE148" s="7" t="str">
        <x:v>Nonresident or address state outside CA; confirm geographic recruiting scope | No public business phone: contact enrichment needed, not proof of poor recruiting fit</x:v>
      </x:c>
      <x:c r="AF148" s="16" t="n">
        <x:v>2.1</x:v>
      </x:c>
      <x:c r="AG148" s="17" t="n">
        <x:v>693</x:v>
      </x:c>
      <x:c r="AH148" s="7" t="str"/>
      <x:c r="AI148" s="7" t="str"/>
      <x:c r="AJ148" s="7" t="str"/>
      <x:c r="AK148" s="15" t="str"/>
      <x:c r="AL148" s="7" t="str"/>
      <x:c r="AM148" s="7" t="str">
        <x:v>AGUILAR  LOU</x:v>
      </x:c>
      <x:c r="AN148" s="7" t="str">
        <x:v>https://cdicloud.insurance.ca.gov/cal/LicenseDetail?SearchType=IND&amp;SearchLicNbr=4405070&amp;SearchIndvId=4405070</x:v>
      </x:c>
      <x:c r="AO148" s="7" t="str">
        <x:v>2026-10-08</x:v>
      </x:c>
      <x:c r="AP148" s="7" t="str">
        <x:v>f55e610ab8efaeccc815c88de4edda6dd8f447f41c982e9b12759159dc5e0042</x:v>
      </x:c>
      <x:c r="AQ148" s="7" t="str">
        <x:v>Accident &amp; Health or Sickness / Active / 08/28/2024 / 08/28/2024 / 08/31/2028
Life / Active / 08/28/2024 / 08/28/2024 / 08/31/2028</x:v>
      </x:c>
      <x:c r="AR148" s="7" t="str">
        <x:v>Active</x:v>
      </x:c>
      <x:c r="AS148" s="7" t="str">
        <x:v>Current detail page</x:v>
      </x:c>
    </x:row>
    <x:row r="149" ht="52" customHeight="1">
      <x:c r="A149" s="7" t="str">
        <x:v>AGUILAR LUIS ALBERTO</x:v>
      </x:c>
      <x:c r="B149" s="14" t="str">
        <x:f>"4562774"</x:f>
        <x:v>4562774</x:v>
      </x:c>
      <x:c r="C149" s="7" t="str">
        <x:v>Omitted</x:v>
      </x:c>
      <x:c r="D149" s="7" t="str">
        <x:v>REVIEW</x:v>
      </x:c>
      <x:c r="E149" s="13" t="str">
        <x:v>Pending</x:v>
      </x:c>
      <x:c r="F149" s="13" t="str"/>
      <x:c r="G149" s="13" t="str"/>
      <x:c r="H149" s="13" t="str"/>
      <x:c r="I149" s="7" t="str">
        <x:v>Was this person reviewed? If rejected, give the actual rule and evidence. If acceptable, correct the omission. Resolve: A&amp;H/disability appointments only; No collected public business phone; Geographic scope.</x:v>
      </x:c>
      <x:c r="J149" s="7" t="str">
        <x:v>R4, R5, R6</x:v>
      </x:c>
      <x:c r="K149" s="7" t="str">
        <x:v>Requires verification: A&amp;H/disability appointments only; No collected public business phone; Geographic scope. These facts do not establish the original reviewer’s motive.</x:v>
      </x:c>
      <x:c r="L149" s="7" t="str">
        <x:v>Not supplied; membership is known, motive is not</x:v>
      </x:c>
      <x:c r="M149" s="7" t="n">
        <x:v>5</x:v>
      </x:c>
      <x:c r="N149" s="7" t="str">
        <x:v>Find contact information first</x:v>
      </x:c>
      <x:c r="O149" s="7" t="str">
        <x:v>Active</x:v>
      </x:c>
      <x:c r="P149" s="7" t="str">
        <x:v>07/07/2026</x:v>
      </x:c>
      <x:c r="Q149" s="7" t="str">
        <x:v>07/31/2028</x:v>
      </x:c>
      <x:c r="R149" s="7" t="str">
        <x:v>Accident &amp; Health or Sickness; Life</x:v>
      </x:c>
      <x:c r="S149" s="15" t="str"/>
      <x:c r="T149" s="7" t="str">
        <x:v>No public business phone in collected record</x:v>
      </x:c>
      <x:c r="U149" s="7" t="str">
        <x:v>7350 N DOBSON RD STE 101 SCOTTSDALE AZ, 85256-2712</x:v>
      </x:c>
      <x:c r="V149" s="7" t="str">
        <x:v>Non-resident</x:v>
      </x:c>
      <x:c r="W149" s="7" t="str">
        <x:v>AZ</x:v>
      </x:c>
      <x:c r="X149" s="7" t="str"/>
      <x:c r="Y149" s="7" t="str">
        <x:v>ANTHEM BLUE CROSS LIFE AND HEALTH INSURANCE COMPANY / Accident &amp; Health or Sickness / 07/19/2026
ANTHEM INSURANCE COMPANIES, INC. / Accident &amp; Health or Sickness / 07/19/2026</x:v>
      </x:c>
      <x:c r="Z149" s="7" t="str"/>
      <x:c r="AA149" s="7" t="str"/>
      <x:c r="AB149" s="7" t="str"/>
      <x:c r="AC149" s="7" t="str"/>
      <x:c r="AD149" s="7" t="str">
        <x:v>Active general Life authority | Active A&amp;H supports optional cross-selling; not necessary for target products</x:v>
      </x:c>
      <x:c r="AE149" s="7" t="str">
        <x:v>Displayed insurer appointments are A&amp;H/disability only despite active Life authority | Nonresident or address state outside CA; confirm geographic recruiting scope | No public business phone: contact enrichment needed, not proof of poor recruiting fit</x:v>
      </x:c>
      <x:c r="AF149" s="16" t="n">
        <x:v>0.3</x:v>
      </x:c>
      <x:c r="AG149" s="17" t="n">
        <x:v>662</x:v>
      </x:c>
      <x:c r="AH149" s="7" t="str"/>
      <x:c r="AI149" s="7" t="str"/>
      <x:c r="AJ149" s="7" t="str"/>
      <x:c r="AK149" s="15" t="str"/>
      <x:c r="AL149" s="7" t="str"/>
      <x:c r="AM149" s="7" t="str">
        <x:v>AGUILAR ALBERTO LUIS</x:v>
      </x:c>
      <x:c r="AN149" s="7" t="str">
        <x:v>https://cdicloud.insurance.ca.gov/cal/LicenseDetail?SearchType=IND&amp;SearchLicNbr=4562774&amp;SearchIndvId=4562774</x:v>
      </x:c>
      <x:c r="AO149" s="7" t="str">
        <x:v>2026-10-08</x:v>
      </x:c>
      <x:c r="AP149" s="7" t="str">
        <x:v>a4ba82722834a384988b66a8268d68737fe7b6998f29befdc0c688bbb1cd5a30</x:v>
      </x:c>
      <x:c r="AQ149" s="7" t="str">
        <x:v>Accident &amp; Health or Sickness / Active / 07/07/2026 / 07/07/2026 / 07/31/2028
Life / Active / 07/07/2026 / 07/07/2026 / 07/31/2028</x:v>
      </x:c>
      <x:c r="AR149" s="7" t="str">
        <x:v>Active</x:v>
      </x:c>
      <x:c r="AS149" s="7" t="str">
        <x:v>Current detail page</x:v>
      </x:c>
    </x:row>
    <x:row r="150" ht="52" customHeight="1">
      <x:c r="A150" s="7" t="str">
        <x:v>AGUILAR LUIS EMILIO</x:v>
      </x:c>
      <x:c r="B150" s="14" t="str">
        <x:f>"4584867"</x:f>
        <x:v>4584867</x:v>
      </x:c>
      <x:c r="C150" s="7" t="str">
        <x:v>Omitted</x:v>
      </x:c>
      <x:c r="D150" s="7" t="str">
        <x:v>REVIEW</x:v>
      </x:c>
      <x:c r="E150" s="13" t="str">
        <x:v>Pending</x:v>
      </x:c>
      <x:c r="F150" s="13" t="str"/>
      <x:c r="G150" s="13" t="str"/>
      <x:c r="H150" s="13" t="str"/>
      <x:c r="I150" s="7" t="str">
        <x:v>Was this person reviewed? If rejected, give the actual rule and evidence. If acceptable, correct the omission. Resolve: No collected public business phone.</x:v>
      </x:c>
      <x:c r="J150" s="7" t="str">
        <x:v>R5</x:v>
      </x:c>
      <x:c r="K150" s="7" t="str">
        <x:v>Requires verification: No collected public business phone. These facts do not establish the original reviewer’s motive.</x:v>
      </x:c>
      <x:c r="L150" s="7" t="str">
        <x:v>Not supplied; membership is known, motive is not</x:v>
      </x:c>
      <x:c r="M150" s="7" t="n">
        <x:v>5</x:v>
      </x:c>
      <x:c r="N150" s="7" t="str">
        <x:v>Find contact information first</x:v>
      </x:c>
      <x:c r="O150" s="7" t="str">
        <x:v>Active</x:v>
      </x:c>
      <x:c r="P150" s="7" t="str">
        <x:v>10/01/2026</x:v>
      </x:c>
      <x:c r="Q150" s="7" t="str">
        <x:v>10/31/2028</x:v>
      </x:c>
      <x:c r="R150" s="7" t="str">
        <x:v>Life</x:v>
      </x:c>
      <x:c r="S150" s="15" t="str"/>
      <x:c r="T150" s="7" t="str">
        <x:v>No public business phone in collected record</x:v>
      </x:c>
      <x:c r="U150" s="7" t="str">
        <x:v>14269 DANIELSON ST POWAY CA, 92064</x:v>
      </x:c>
      <x:c r="V150" s="7" t="str">
        <x:v>Resident</x:v>
      </x:c>
      <x:c r="W150" s="7" t="str">
        <x:v>CA</x:v>
      </x:c>
      <x:c r="X150" s="7" t="str"/>
      <x:c r="Y150" s="7" t="str">
        <x:v>LIFE INSURANCE COMPANY OF THE SOUTHWEST / Life / 10/06/2026</x:v>
      </x:c>
      <x:c r="Z150" s="7" t="str"/>
      <x:c r="AA150" s="7" t="str"/>
      <x:c r="AB150" s="7" t="str"/>
      <x:c r="AC150" s="7" t="str"/>
      <x:c r="AD150" s="7" t="str">
        <x:v>Active general Life authority | Direct Life appointments outside the selected health-carrier set: LIFE INSURANCE COMPANY OF THE SOUTHWEST</x:v>
      </x:c>
      <x:c r="AE150" s="7" t="str">
        <x:v>No public business phone: contact enrichment needed, not proof of poor recruiting fit</x:v>
      </x:c>
      <x:c r="AF150" s="16" t="n">
        <x:v>0</x:v>
      </x:c>
      <x:c r="AG150" s="17" t="n">
        <x:v>754</x:v>
      </x:c>
      <x:c r="AH150" s="7" t="str">
        <x:v>2026-10-06</x:v>
      </x:c>
      <x:c r="AI150" s="7" t="str">
        <x:v>English</x:v>
      </x:c>
      <x:c r="AJ150" s="7" t="str"/>
      <x:c r="AK150" s="15" t="str"/>
      <x:c r="AL150" s="7" t="str"/>
      <x:c r="AM150" s="7" t="str">
        <x:v>AGUILAR EMILIO LUIS | Aguilar  Luis Emilio</x:v>
      </x:c>
      <x:c r="AN150" s="7" t="str">
        <x:v>https://cdicloud.insurance.ca.gov/cal/LicenseDetail?SearchType=IND&amp;SearchLicNbr=4584867&amp;SearchIndvId=4584867</x:v>
      </x:c>
      <x:c r="AO150" s="7" t="str">
        <x:v>2026-10-08</x:v>
      </x:c>
      <x:c r="AP150" s="7" t="str">
        <x:v>ac28d7371ee5f77bf02a702e712757041d70d565fa87f8f37a26f6932a335157</x:v>
      </x:c>
      <x:c r="AQ150" s="7" t="str">
        <x:v>Life / Active / 10/01/2026 / 10/01/2026 / 10/31/2028</x:v>
      </x:c>
      <x:c r="AR150" s="7" t="str">
        <x:v>Active</x:v>
      </x:c>
      <x:c r="AS150" s="7" t="str">
        <x:v>Current detail page</x:v>
      </x:c>
    </x:row>
    <x:row r="151" ht="52" customHeight="1">
      <x:c r="A151" s="7" t="str">
        <x:v>AGUILAR MARIA DELROCIO</x:v>
      </x:c>
      <x:c r="B151" s="14" t="str">
        <x:f>"4315013"</x:f>
        <x:v>4315013</x:v>
      </x:c>
      <x:c r="C151" s="7" t="str">
        <x:v>Omitted</x:v>
      </x:c>
      <x:c r="D151" s="7" t="str">
        <x:v>REVIEW</x:v>
      </x:c>
      <x:c r="E151" s="13" t="str">
        <x:v>Pending</x:v>
      </x:c>
      <x:c r="F151" s="13" t="str"/>
      <x:c r="G151" s="13" t="str"/>
      <x:c r="H151" s="13" t="str"/>
      <x:c r="I151" s="7" t="str">
        <x:v>Was this person reviewed? If rejected, give the actual rule and evidence. If acceptable, correct the omission. Resolve: No collected public business phone; Geographic scope.</x:v>
      </x:c>
      <x:c r="J151" s="7" t="str">
        <x:v>R5, R6</x:v>
      </x:c>
      <x:c r="K151" s="7" t="str">
        <x:v>Requires verification: No collected public business phone; Geographic scope. These facts do not establish the original reviewer’s motive.</x:v>
      </x:c>
      <x:c r="L151" s="7" t="str">
        <x:v>Not supplied; membership is known, motive is not</x:v>
      </x:c>
      <x:c r="M151" s="7" t="n">
        <x:v>5</x:v>
      </x:c>
      <x:c r="N151" s="7" t="str">
        <x:v>Find contact information first</x:v>
      </x:c>
      <x:c r="O151" s="7" t="str">
        <x:v>Active</x:v>
      </x:c>
      <x:c r="P151" s="7" t="str">
        <x:v>08/10/2023</x:v>
      </x:c>
      <x:c r="Q151" s="7" t="str">
        <x:v>08/31/2027</x:v>
      </x:c>
      <x:c r="R151" s="7" t="str">
        <x:v>Accident &amp; Health or Sickness; Life</x:v>
      </x:c>
      <x:c r="S151" s="15" t="str"/>
      <x:c r="T151" s="7" t="str">
        <x:v>No public business phone in collected record</x:v>
      </x:c>
      <x:c r="U151" s="7" t="str">
        <x:v>6200 SAVOY DR HOUSTON TX, 77036</x:v>
      </x:c>
      <x:c r="V151" s="7" t="str">
        <x:v>Non-resident</x:v>
      </x:c>
      <x:c r="W151" s="7" t="str">
        <x:v>TX</x:v>
      </x:c>
      <x:c r="X151" s="7" t="str"/>
      <x:c r="Y151" s="7" t="str">
        <x:v>COMBINED INSURANCE COMPANY OF AMERICA / Accident &amp; Health or Sickness / 04/23/2025
COMBINED INSURANCE COMPANY OF AMERICA / Life / 04/23/2025
STANDARD INSURANCE COMPANY / Accident &amp; Health or Sickness / 08/13/2023
STANDARD INSURANCE COMPANY / Life / 08/13/2023
TRUSTMARK INSURANCE COMPANY / Accident &amp; Health or Sickness / 08/18/2023
TRUSTMARK INSURANCE COMPANY / Life / 08/18/2023</x:v>
      </x:c>
      <x:c r="Z151" s="7" t="str"/>
      <x:c r="AA151" s="7" t="str"/>
      <x:c r="AB151" s="7" t="str"/>
      <x:c r="AC151" s="7" t="str"/>
      <x:c r="AD151" s="7" t="str">
        <x:v>Active general Life authority | Direct Life appointments outside the selected health-carrier set: COMBINED INSURANCE COMPANY OF AMERICA, STANDARD INSURANCE COMPANY, TRUSTMARK INSURANCE COMPANY | Active A&amp;H supports optional cross-selling; not necessary for target products</x:v>
      </x:c>
      <x:c r="AE151" s="7" t="str">
        <x:v>Nonresident or address state outside CA; confirm geographic recruiting scope | No public business phone: contact enrichment needed, not proof of poor recruiting fit</x:v>
      </x:c>
      <x:c r="AF151" s="16" t="n">
        <x:v>3.2</x:v>
      </x:c>
      <x:c r="AG151" s="17" t="n">
        <x:v>327</x:v>
      </x:c>
      <x:c r="AH151" s="7" t="str">
        <x:v>2025-04-23</x:v>
      </x:c>
      <x:c r="AI151" s="7" t="str"/>
      <x:c r="AJ151" s="7" t="str"/>
      <x:c r="AK151" s="15" t="str"/>
      <x:c r="AL151" s="7" t="str"/>
      <x:c r="AM151" s="7" t="str">
        <x:v>AGUILAR DELROCIO MARIA</x:v>
      </x:c>
      <x:c r="AN151" s="7" t="str">
        <x:v>https://cdicloud.insurance.ca.gov/cal/LicenseDetail?SearchType=IND&amp;SearchLicNbr=4315013&amp;SearchIndvId=4315013</x:v>
      </x:c>
      <x:c r="AO151" s="7" t="str">
        <x:v>2026-10-08</x:v>
      </x:c>
      <x:c r="AP151" s="7" t="str">
        <x:v>5897b0e251b8206d4a42f6c73f117dda0080abcb0b7f0df8d42f63a5a5ac2eb5</x:v>
      </x:c>
      <x:c r="AQ151" s="7" t="str">
        <x:v>Accident &amp; Health or Sickness / Active / 08/10/2023 / 08/10/2023 / 08/31/2027
Life / Active / 08/10/2023 / 08/10/2023 / 08/31/2027</x:v>
      </x:c>
      <x:c r="AR151" s="7" t="str">
        <x:v>Active</x:v>
      </x:c>
      <x:c r="AS151" s="7" t="str">
        <x:v>Current detail page</x:v>
      </x:c>
    </x:row>
    <x:row r="152" ht="52" customHeight="1">
      <x:c r="A152" s="7" t="str">
        <x:v>AGUILAR MARITZA</x:v>
      </x:c>
      <x:c r="B152" s="14" t="str">
        <x:f>"0F12691"</x:f>
        <x:v>0F12691</x:v>
      </x:c>
      <x:c r="C152" s="7" t="str">
        <x:v>Omitted</x:v>
      </x:c>
      <x:c r="D152" s="7" t="str">
        <x:v>REVIEW</x:v>
      </x:c>
      <x:c r="E152" s="13" t="str">
        <x:v>Pending</x:v>
      </x:c>
      <x:c r="F152" s="13" t="str"/>
      <x:c r="G152" s="13" t="str"/>
      <x:c r="H152" s="13" t="str"/>
      <x:c r="I152" s="7" t="str">
        <x:v>Was this person reviewed? If rejected, give the actual rule and evidence. If acceptable, correct the omission. Resolve: Benefits-broker role and target-product activity; No collected public business phone.</x:v>
      </x:c>
      <x:c r="J152" s="7" t="str">
        <x:v>R3, R5</x:v>
      </x:c>
      <x:c r="K152" s="7" t="str">
        <x:v>Requires verification: Benefits-broker role and target-product activity; No collected public business phone. These facts do not establish the original reviewer’s motive.</x:v>
      </x:c>
      <x:c r="L152" s="7" t="str">
        <x:v>Not supplied; membership is known, motive is not</x:v>
      </x:c>
      <x:c r="M152" s="7" t="n">
        <x:v>5</x:v>
      </x:c>
      <x:c r="N152" s="7" t="str">
        <x:v>Find contact information first</x:v>
      </x:c>
      <x:c r="O152" s="7" t="str">
        <x:v>Active</x:v>
      </x:c>
      <x:c r="P152" s="7" t="str">
        <x:v>05/23/2017</x:v>
      </x:c>
      <x:c r="Q152" s="7" t="str">
        <x:v>05/31/2027</x:v>
      </x:c>
      <x:c r="R152" s="7" t="str">
        <x:v>Accident &amp; Health or Sickness; Life</x:v>
      </x:c>
      <x:c r="S152" s="15" t="str"/>
      <x:c r="T152" s="7" t="str">
        <x:v>No public business phone in collected record</x:v>
      </x:c>
      <x:c r="U152" s="7" t="str">
        <x:v>ARTHUR J GALLAGHER SERVICES COMPANY 500 N BRAND BLVD FL 10 GLENDALE CA, 91203-1923</x:v>
      </x:c>
      <x:c r="V152" s="7" t="str">
        <x:v>Resident</x:v>
      </x:c>
      <x:c r="W152" s="7" t="str">
        <x:v>CA</x:v>
      </x:c>
      <x:c r="X152" s="7" t="str">
        <x:v>GALLAGHER BENEFIT SERVICES, INC. / Life / 05/20/2026
GALLAGHER BENEFIT SERVICES, INC. / Accident &amp; Health or Sickness / 05/20/2026
WORLD FINANCIAL GROUP INSURANCE AGENCY, LLC / Life / 08/12/2025
ACRISURE ADVANTAGE SERVICES, LLC / Accident &amp; Health or Sickness / 08/09/2022
ACRISURE ADVANTAGE SERVICES, LLC / Life / 08/09/2022
WORLD FINANCIAL GROUP INSURANCE AGENCY, LLC / Accident &amp; Health or Sickness / 08/12/2025</x:v>
      </x:c>
      <x:c r="Y152" s="7" t="str">
        <x:v>NATIONWIDE LIFE AND ANNUITY INSURANCE COMPANY / Accident &amp; Health or Sickness / 10/29/2025
NATIONWIDE LIFE AND ANNUITY INSURANCE COMPANY / Life / 10/29/2025</x:v>
      </x:c>
      <x:c r="Z152" s="7" t="str"/>
      <x:c r="AA152" s="7" t="str"/>
      <x:c r="AB152" s="7" t="str"/>
      <x:c r="AC152" s="7" t="str"/>
      <x:c r="AD152" s="7" t="str">
        <x:v>Active general Life authority | WFG relationship: matches an explicitly targeted recruiting segment | Direct Life appointments outside the selected health-carrier set: NATIONWIDE LIFE AND ANNUITY INSURANCE COMPANY | Active A&amp;H supports optional cross-selling; not necessary for target products</x:v>
      </x:c>
      <x:c r="AE152" s="7" t="str">
        <x:v>Benefits/large-broker agency signal: GALLAGHER BENEFIT SERVICES, INC. | No public business phone: contact enrichment needed, not proof of poor recruiting fit</x:v>
      </x:c>
      <x:c r="AF152" s="16" t="n">
        <x:v>9.4</x:v>
      </x:c>
      <x:c r="AG152" s="17" t="n">
        <x:v>235</x:v>
      </x:c>
      <x:c r="AH152" s="7" t="str">
        <x:v>2025-10-29</x:v>
      </x:c>
      <x:c r="AI152" s="7" t="str">
        <x:v>English</x:v>
      </x:c>
      <x:c r="AJ152" s="7" t="str"/>
      <x:c r="AK152" s="15" t="str"/>
      <x:c r="AL152" s="7" t="str"/>
      <x:c r="AM152" s="7" t="str">
        <x:v>AGUILAR  MARITZA</x:v>
      </x:c>
      <x:c r="AN152" s="7" t="str">
        <x:v>https://cdicloud.insurance.ca.gov/cal/LicenseDetail?SearchType=IND&amp;SearchLicNbr=0F12691&amp;SearchIndvId=1002071</x:v>
      </x:c>
      <x:c r="AO152" s="7" t="str">
        <x:v>2026-10-08</x:v>
      </x:c>
      <x:c r="AP152" s="7" t="str">
        <x:v>cb7e7e997b7ca6213f8cfa3862accd6f8d7b132b69111dd82c8e7309f74f99e5</x:v>
      </x:c>
      <x:c r="AQ152" s="7" t="str">
        <x:v>Accident &amp; Health or Sickness / Active / 05/23/2017 / 05/23/2017 / 05/31/2027
Life / Active / 05/23/2017 / 05/23/2017 / 05/31/2027</x:v>
      </x:c>
      <x:c r="AR152" s="7" t="str">
        <x:v>Active</x:v>
      </x:c>
      <x:c r="AS152" s="7" t="str">
        <x:v>Current detail page</x:v>
      </x:c>
    </x:row>
    <x:row r="153" ht="52" customHeight="1">
      <x:c r="A153" s="7" t="str">
        <x:v>AGUILAR MEJIA LESLY Y</x:v>
      </x:c>
      <x:c r="B153" s="14" t="str">
        <x:f>"4550363"</x:f>
        <x:v>4550363</x:v>
      </x:c>
      <x:c r="C153" s="7" t="str">
        <x:v>Omitted</x:v>
      </x:c>
      <x:c r="D153" s="7" t="str">
        <x:v>REVIEW</x:v>
      </x:c>
      <x:c r="E153" s="13" t="str">
        <x:v>Pending</x:v>
      </x:c>
      <x:c r="F153" s="13" t="str"/>
      <x:c r="G153" s="13" t="str"/>
      <x:c r="H153" s="13" t="str"/>
      <x:c r="I153" s="7" t="str">
        <x:v>Was this person reviewed? If rejected, give the actual rule and evidence. If acceptable, correct the omission. Resolve: No collected public business phone; Geographic scope.</x:v>
      </x:c>
      <x:c r="J153" s="7" t="str">
        <x:v>R5, R6</x:v>
      </x:c>
      <x:c r="K153" s="7" t="str">
        <x:v>Requires verification: No collected public business phone; Geographic scope. These facts do not establish the original reviewer’s motive.</x:v>
      </x:c>
      <x:c r="L153" s="7" t="str">
        <x:v>Not supplied; membership is known, motive is not</x:v>
      </x:c>
      <x:c r="M153" s="7" t="n">
        <x:v>5</x:v>
      </x:c>
      <x:c r="N153" s="7" t="str">
        <x:v>Find contact information first</x:v>
      </x:c>
      <x:c r="O153" s="7" t="str">
        <x:v>Active</x:v>
      </x:c>
      <x:c r="P153" s="7" t="str">
        <x:v>05/19/2026</x:v>
      </x:c>
      <x:c r="Q153" s="7" t="str">
        <x:v>05/31/2028</x:v>
      </x:c>
      <x:c r="R153" s="7" t="str">
        <x:v>Accident &amp; Health or Sickness; Life</x:v>
      </x:c>
      <x:c r="S153" s="15" t="str"/>
      <x:c r="T153" s="7" t="str">
        <x:v>No public business phone in collected record</x:v>
      </x:c>
      <x:c r="U153" s="7" t="str">
        <x:v>720 MEADOW WALK AV LAWRENVILLE GA, 30044</x:v>
      </x:c>
      <x:c r="V153" s="7" t="str">
        <x:v>Non-resident</x:v>
      </x:c>
      <x:c r="W153" s="7" t="str">
        <x:v>GA</x:v>
      </x:c>
      <x:c r="X153" s="7" t="str"/>
      <x:c r="Y153" s="7" t="str">
        <x:v>CMFG LIFE INSURANCE COMPANY / Life / 06/16/2026
LIFE INSURANCE COMPANY OF THE SOUTHWEST / Accident &amp; Health or Sickness / 05/21/2026
LIFE INSURANCE COMPANY OF THE SOUTHWEST / Life / 05/21/2026</x:v>
      </x:c>
      <x:c r="Z153" s="7" t="str"/>
      <x:c r="AA153" s="7" t="str"/>
      <x:c r="AB153" s="7" t="str"/>
      <x:c r="AC153" s="7" t="str"/>
      <x:c r="AD153" s="7" t="str">
        <x:v>Active general Life authority | Direct Life appointments outside the selected health-carrier set: CMFG LIFE INSURANCE COMPANY, LIFE INSURANCE COMPANY OF THE SOUTHWEST | Active A&amp;H supports optional cross-selling; not necessary for target products</x:v>
      </x:c>
      <x:c r="AE153" s="7" t="str">
        <x:v>Nonresident or address state outside CA; confirm geographic recruiting scope | No public business phone: contact enrichment needed, not proof of poor recruiting fit</x:v>
      </x:c>
      <x:c r="AF153" s="16" t="n">
        <x:v>0.4</x:v>
      </x:c>
      <x:c r="AG153" s="17" t="n">
        <x:v>601</x:v>
      </x:c>
      <x:c r="AH153" s="7" t="str">
        <x:v>2026-06-16</x:v>
      </x:c>
      <x:c r="AI153" s="7" t="str"/>
      <x:c r="AJ153" s="7" t="str"/>
      <x:c r="AK153" s="15" t="str"/>
      <x:c r="AL153" s="7" t="str"/>
      <x:c r="AM153" s="7" t="str">
        <x:v>AGUILAR MEJIA Y LESLY</x:v>
      </x:c>
      <x:c r="AN153" s="7" t="str">
        <x:v>https://cdicloud.insurance.ca.gov/cal/LicenseDetail?SearchType=IND&amp;SearchLicNbr=4550363&amp;SearchIndvId=4550363</x:v>
      </x:c>
      <x:c r="AO153" s="7" t="str">
        <x:v>2026-10-08</x:v>
      </x:c>
      <x:c r="AP153" s="7" t="str">
        <x:v>cfb47c76ed64ee3948d10a4c8ee2c58985b50e95dec7209da456bd4cfee13f62</x:v>
      </x:c>
      <x:c r="AQ153" s="7" t="str">
        <x:v>Accident &amp; Health or Sickness / Active / 05/19/2026 / 05/19/2026 / 05/31/2028
Life / Active / 05/19/2026 / 05/19/2026 / 05/31/2028</x:v>
      </x:c>
      <x:c r="AR153" s="7" t="str">
        <x:v>Active</x:v>
      </x:c>
      <x:c r="AS153" s="7" t="str">
        <x:v>Current detail page</x:v>
      </x:c>
    </x:row>
    <x:row r="154" ht="52" customHeight="1">
      <x:c r="A154" s="7" t="str">
        <x:v>AGUILAR MEJIA MARVIN JOSUE</x:v>
      </x:c>
      <x:c r="B154" s="14" t="str">
        <x:f>"4300536"</x:f>
        <x:v>4300536</x:v>
      </x:c>
      <x:c r="C154" s="7" t="str">
        <x:v>Omitted</x:v>
      </x:c>
      <x:c r="D154" s="7" t="str">
        <x:v>REVIEW</x:v>
      </x:c>
      <x:c r="E154" s="13" t="str">
        <x:v>Pending</x:v>
      </x:c>
      <x:c r="F154" s="13" t="str"/>
      <x:c r="G154" s="13" t="str"/>
      <x:c r="H154" s="13" t="str"/>
      <x:c r="I154" s="7" t="str">
        <x:v>Was this person reviewed? If rejected, give the actual rule and evidence. If acceptable, correct the omission. Resolve: No collected public business phone.</x:v>
      </x:c>
      <x:c r="J154" s="7" t="str">
        <x:v>R5</x:v>
      </x:c>
      <x:c r="K154" s="7" t="str">
        <x:v>Requires verification: No collected public business phone. These facts do not establish the original reviewer’s motive.</x:v>
      </x:c>
      <x:c r="L154" s="7" t="str">
        <x:v>Not supplied; membership is known, motive is not</x:v>
      </x:c>
      <x:c r="M154" s="7" t="n">
        <x:v>5</x:v>
      </x:c>
      <x:c r="N154" s="7" t="str">
        <x:v>Find contact information first</x:v>
      </x:c>
      <x:c r="O154" s="7" t="str">
        <x:v>Active</x:v>
      </x:c>
      <x:c r="P154" s="7" t="str">
        <x:v>06/15/2023</x:v>
      </x:c>
      <x:c r="Q154" s="7" t="str">
        <x:v>06/30/2027</x:v>
      </x:c>
      <x:c r="R154" s="7" t="str">
        <x:v>Life</x:v>
      </x:c>
      <x:c r="S154" s="15" t="str"/>
      <x:c r="T154" s="7" t="str">
        <x:v>No public business phone in collected record</x:v>
      </x:c>
      <x:c r="U154" s="7" t="str">
        <x:v>7871 MISSION GROVE PARKWAY S APT 42 RIVERSIDE CA, 92508</x:v>
      </x:c>
      <x:c r="V154" s="7" t="str">
        <x:v>Resident</x:v>
      </x:c>
      <x:c r="W154" s="7" t="str">
        <x:v>CA</x:v>
      </x:c>
      <x:c r="X154" s="7" t="str"/>
      <x:c r="Y154" s="7" t="str">
        <x:v>AMERICAN GENERAL LIFE INSURANCE COMPANY / Life / 03/01/2026
BANNER LIFE INSURANCE COMPANY / Life / 10/21/2025
INDEPENDENT ORDER OF FORESTERS (THE) / Life / 07/18/2025
LIFE INSURANCE COMPANY OF THE SOUTHWEST / Life / 07/29/2025
UNITED OF OMAHA LIFE INSURANCE COMPANY / Life / 07/15/2025</x:v>
      </x:c>
      <x:c r="Z154" s="7" t="str"/>
      <x:c r="AA154" s="7" t="str"/>
      <x:c r="AB154" s="7" t="str"/>
      <x:c r="AC154" s="7" t="str"/>
      <x:c r="AD154" s="7" t="str">
        <x:v>Active general Life authority | Direct Life appointments outside the selected health-carrier set: AMERICAN GENERAL LIFE INSURANCE COMPANY, BANNER LIFE INSURANCE COMPANY, INDEPENDENT ORDER OF FORESTERS (THE), LIFE INSURANCE COMPANY OF THE SOUTHWEST, UNITED OF OMAHA LIFE INSURANCE COMPANY</x:v>
      </x:c>
      <x:c r="AE154" s="7" t="str">
        <x:v>No public business phone: contact enrichment needed, not proof of poor recruiting fit</x:v>
      </x:c>
      <x:c r="AF154" s="16" t="n">
        <x:v>3.3</x:v>
      </x:c>
      <x:c r="AG154" s="17" t="n">
        <x:v>265</x:v>
      </x:c>
      <x:c r="AH154" s="7" t="str">
        <x:v>2026-03-01</x:v>
      </x:c>
      <x:c r="AI154" s="7" t="str">
        <x:v>English, Spanish, Spanish</x:v>
      </x:c>
      <x:c r="AJ154" s="7" t="str"/>
      <x:c r="AK154" s="15" t="str"/>
      <x:c r="AL154" s="7" t="str"/>
      <x:c r="AM154" s="7" t="str">
        <x:v>Aguilar  Marvin | AGUILAR MEJIA JOSUE MARVIN</x:v>
      </x:c>
      <x:c r="AN154" s="7" t="str">
        <x:v>https://cdicloud.insurance.ca.gov/cal/LicenseDetail?SearchType=IND&amp;SearchLicNbr=4300536&amp;SearchIndvId=4300536</x:v>
      </x:c>
      <x:c r="AO154" s="7" t="str">
        <x:v>2026-10-08</x:v>
      </x:c>
      <x:c r="AP154" s="7" t="str">
        <x:v>e133f1bc1c48012422a153a29650008950a4b1e1b97e4f7f248d68006e2e92c6</x:v>
      </x:c>
      <x:c r="AQ154" s="7" t="str">
        <x:v>Life / Active / 06/15/2023 / 07/15/2025 / 06/30/2027</x:v>
      </x:c>
      <x:c r="AR154" s="7" t="str">
        <x:v>Active</x:v>
      </x:c>
      <x:c r="AS154" s="7" t="str">
        <x:v>Current detail page</x:v>
      </x:c>
    </x:row>
    <x:row r="155" ht="52" customHeight="1">
      <x:c r="A155" s="7" t="str">
        <x:v>AGUILAR MONICA</x:v>
      </x:c>
      <x:c r="B155" s="14" t="str">
        <x:f>"4205756"</x:f>
        <x:v>4205756</x:v>
      </x:c>
      <x:c r="C155" s="7" t="str">
        <x:v>Omitted</x:v>
      </x:c>
      <x:c r="D155" s="7" t="str">
        <x:v>REVIEW</x:v>
      </x:c>
      <x:c r="E155" s="13" t="str">
        <x:v>Pending</x:v>
      </x:c>
      <x:c r="F155" s="13" t="str"/>
      <x:c r="G155" s="13" t="str"/>
      <x:c r="H155" s="13" t="str"/>
      <x:c r="I155" s="7" t="str">
        <x:v>Was this person reviewed? If rejected, give the actual rule and evidence. If acceptable, correct the omission. Resolve: No collected public business phone.</x:v>
      </x:c>
      <x:c r="J155" s="7" t="str">
        <x:v>R5</x:v>
      </x:c>
      <x:c r="K155" s="7" t="str">
        <x:v>Requires verification: No collected public business phone. These facts do not establish the original reviewer’s motive.</x:v>
      </x:c>
      <x:c r="L155" s="7" t="str">
        <x:v>Not supplied; membership is known, motive is not</x:v>
      </x:c>
      <x:c r="M155" s="7" t="n">
        <x:v>5</x:v>
      </x:c>
      <x:c r="N155" s="7" t="str">
        <x:v>Find contact information first</x:v>
      </x:c>
      <x:c r="O155" s="7" t="str">
        <x:v>Active</x:v>
      </x:c>
      <x:c r="P155" s="7" t="str">
        <x:v>08/08/2025</x:v>
      </x:c>
      <x:c r="Q155" s="7" t="str">
        <x:v>04/30/2028</x:v>
      </x:c>
      <x:c r="R155" s="7" t="str">
        <x:v>Life; Personal Lines</x:v>
      </x:c>
      <x:c r="S155" s="15" t="str"/>
      <x:c r="T155" s="7" t="str">
        <x:v>No public business phone in collected record</x:v>
      </x:c>
      <x:c r="U155" s="7" t="str">
        <x:v>3333 FAIRVIEW RD COSTA MESA CA, 92626-1610</x:v>
      </x:c>
      <x:c r="V155" s="7" t="str">
        <x:v>Resident</x:v>
      </x:c>
      <x:c r="W155" s="7" t="str">
        <x:v>CA</x:v>
      </x:c>
      <x:c r="X155" s="7" t="str">
        <x:v>AUTOMOBILE CLUB OF SOUTHERN CALIFORNIA / Personal Lines / 04/26/2022</x:v>
      </x:c>
      <x:c r="Y155" s="7" t="str">
        <x:v>AAA LIFE INSURANCE COMPANY / Life / 09/12/2025
INTERINSURANCE EXCHANGE OF THE AUTOMOBILE CLUB / Personal Lines / 08/13/2025</x:v>
      </x:c>
      <x:c r="Z155" s="7" t="str"/>
      <x:c r="AA155" s="7" t="str"/>
      <x:c r="AB155" s="7" t="str"/>
      <x:c r="AC155" s="7" t="str"/>
      <x:c r="AD155" s="7" t="str">
        <x:v>Active general Life authority | Direct Life appointments outside the selected health-carrier set: AAA LIFE INSURANCE COMPANY</x:v>
      </x:c>
      <x:c r="AE155" s="7" t="str">
        <x:v>Mixed P&amp;C/Life qualifications; not an exclusion because approved examples have both | No public business phone: contact enrichment needed, not proof of poor recruiting fit</x:v>
      </x:c>
      <x:c r="AF155" s="16" t="n">
        <x:v>1.2</x:v>
      </x:c>
      <x:c r="AG155" s="17" t="n">
        <x:v>570</x:v>
      </x:c>
      <x:c r="AH155" s="7" t="str">
        <x:v>2025-09-12</x:v>
      </x:c>
      <x:c r="AI155" s="7" t="str">
        <x:v>English</x:v>
      </x:c>
      <x:c r="AJ155" s="7" t="str"/>
      <x:c r="AK155" s="15" t="str"/>
      <x:c r="AL155" s="7" t="str"/>
      <x:c r="AM155" s="7" t="str">
        <x:v>Aguilar  Moncia | AGUILAR  MONICA</x:v>
      </x:c>
      <x:c r="AN155" s="7" t="str">
        <x:v>https://cdicloud.insurance.ca.gov/cal/LicenseDetail?SearchType=IND&amp;SearchLicNbr=4205756&amp;SearchIndvId=4205756</x:v>
      </x:c>
      <x:c r="AO155" s="7" t="str">
        <x:v>2026-10-08</x:v>
      </x:c>
      <x:c r="AP155" s="7" t="str">
        <x:v>a5d1d65c3dcaa9046883e05026ddd83eb054f3bac4e4c0d053f7340df49ab157</x:v>
      </x:c>
      <x:c r="AQ155" s="7" t="str">
        <x:v>Life / Active / 08/08/2025 / 08/08/2025 / 04/30/2028
Personal Lines / Active / 04/26/2022 / 04/26/2022 / 04/30/2028</x:v>
      </x:c>
      <x:c r="AR155" s="7" t="str">
        <x:v>Active</x:v>
      </x:c>
      <x:c r="AS155" s="7" t="str">
        <x:v>Current detail page</x:v>
      </x:c>
    </x:row>
    <x:row r="156" ht="52" customHeight="1">
      <x:c r="A156" s="7" t="str">
        <x:v>AGUILAR NANCY PATRICIA</x:v>
      </x:c>
      <x:c r="B156" s="14" t="str">
        <x:f>"0K79267"</x:f>
        <x:v>0K79267</x:v>
      </x:c>
      <x:c r="C156" s="7" t="str">
        <x:v>Omitted</x:v>
      </x:c>
      <x:c r="D156" s="7" t="str">
        <x:v>REVIEW</x:v>
      </x:c>
      <x:c r="E156" s="13" t="str">
        <x:v>Pending</x:v>
      </x:c>
      <x:c r="F156" s="13" t="str"/>
      <x:c r="G156" s="13" t="str"/>
      <x:c r="H156" s="13" t="str"/>
      <x:c r="I156" s="7" t="str">
        <x:v>Was this person reviewed? If rejected, give the actual rule and evidence. If acceptable, correct the omission. Resolve: No collected public business phone.</x:v>
      </x:c>
      <x:c r="J156" s="7" t="str">
        <x:v>R5</x:v>
      </x:c>
      <x:c r="K156" s="7" t="str">
        <x:v>Requires verification: No collected public business phone. These facts do not establish the original reviewer’s motive.</x:v>
      </x:c>
      <x:c r="L156" s="7" t="str">
        <x:v>Not supplied; membership is known, motive is not</x:v>
      </x:c>
      <x:c r="M156" s="7" t="n">
        <x:v>5</x:v>
      </x:c>
      <x:c r="N156" s="7" t="str">
        <x:v>Find contact information first</x:v>
      </x:c>
      <x:c r="O156" s="7" t="str">
        <x:v>Active</x:v>
      </x:c>
      <x:c r="P156" s="7" t="str">
        <x:v>03/15/2016</x:v>
      </x:c>
      <x:c r="Q156" s="7" t="str">
        <x:v>03/31/2028</x:v>
      </x:c>
      <x:c r="R156" s="7" t="str">
        <x:v>Life</x:v>
      </x:c>
      <x:c r="S156" s="15" t="str"/>
      <x:c r="T156" s="7" t="str">
        <x:v>No public business phone in collected record</x:v>
      </x:c>
      <x:c r="U156" s="7" t="str">
        <x:v>917 W SIERRA MADRE AVE APT 1 AZUSA CA, 91702</x:v>
      </x:c>
      <x:c r="V156" s="7" t="str">
        <x:v>Resident</x:v>
      </x:c>
      <x:c r="W156" s="7" t="str">
        <x:v>CA</x:v>
      </x:c>
      <x:c r="X156" s="7" t="str">
        <x:v>WORLD FINANCIAL GROUP INSURANCE AGENCY, LLC / Life / 09/17/2025</x:v>
      </x:c>
      <x:c r="Y156" s="7" t="str">
        <x:v>GREAT WESTERN INSURANCE COMPANY / Life / 07/15/2024
NATIONAL GUARDIAN LIFE INSURANCE COMPANY / Life / 05/12/2026
SECURITY NATIONAL LIFE INSURANCE COMPANY / Life / 02/10/2026</x:v>
      </x:c>
      <x:c r="Z156" s="7" t="str"/>
      <x:c r="AA156" s="7" t="str"/>
      <x:c r="AB156" s="7" t="str"/>
      <x:c r="AC156" s="7" t="str"/>
      <x:c r="AD156" s="7" t="str">
        <x:v>Active general Life authority | WFG relationship: matches an explicitly targeted recruiting segment | Direct Life appointments outside the selected health-carrier set: GREAT WESTERN INSURANCE COMPANY, NATIONAL GUARDIAN LIFE INSURANCE COMPANY, SECURITY NATIONAL LIFE INSURANCE COMPANY</x:v>
      </x:c>
      <x:c r="AE156" s="7" t="str">
        <x:v>No public business phone: contact enrichment needed, not proof of poor recruiting fit</x:v>
      </x:c>
      <x:c r="AF156" s="16" t="n">
        <x:v>10.6</x:v>
      </x:c>
      <x:c r="AG156" s="17" t="n">
        <x:v>540</x:v>
      </x:c>
      <x:c r="AH156" s="7" t="str">
        <x:v>2026-05-12</x:v>
      </x:c>
      <x:c r="AI156" s="7" t="str">
        <x:v>English</x:v>
      </x:c>
      <x:c r="AJ156" s="7" t="str"/>
      <x:c r="AK156" s="15" t="str"/>
      <x:c r="AL156" s="7" t="str"/>
      <x:c r="AM156" s="7" t="str">
        <x:v>aguilar p nancy | AGUILAR PATRICIA NANCY</x:v>
      </x:c>
      <x:c r="AN156" s="7" t="str">
        <x:v>https://cdicloud.insurance.ca.gov/cal/LicenseDetail?SearchType=IND&amp;SearchLicNbr=0K79267&amp;SearchIndvId=1825800</x:v>
      </x:c>
      <x:c r="AO156" s="7" t="str">
        <x:v>2026-10-08</x:v>
      </x:c>
      <x:c r="AP156" s="7" t="str">
        <x:v>c7cf4052f851e69f30383130c58ba067917f8872d0208988f6cee1b6ad0e8cf6</x:v>
      </x:c>
      <x:c r="AQ156" s="7" t="str">
        <x:v>Life / Active / 03/15/2016 / 03/15/2016 / 03/31/2028</x:v>
      </x:c>
      <x:c r="AR156" s="7" t="str">
        <x:v>Active</x:v>
      </x:c>
      <x:c r="AS156" s="7" t="str">
        <x:v>Current detail page</x:v>
      </x:c>
    </x:row>
    <x:row r="157" ht="52" customHeight="1">
      <x:c r="A157" s="7" t="str">
        <x:v>AGUILAR NANCY SAMANTHA</x:v>
      </x:c>
      <x:c r="B157" s="14" t="str">
        <x:f>"4526843"</x:f>
        <x:v>4526843</x:v>
      </x:c>
      <x:c r="C157" s="7" t="str">
        <x:v>Omitted</x:v>
      </x:c>
      <x:c r="D157" s="7" t="str">
        <x:v>REVIEW</x:v>
      </x:c>
      <x:c r="E157" s="13" t="str">
        <x:v>Pending</x:v>
      </x:c>
      <x:c r="F157" s="13" t="str"/>
      <x:c r="G157" s="13" t="str"/>
      <x:c r="H157" s="13" t="str"/>
      <x:c r="I157" s="7" t="str">
        <x:v>Was this person reviewed? If rejected, give the actual rule and evidence. If acceptable, correct the omission. Resolve: No collected public business phone; Geographic scope.</x:v>
      </x:c>
      <x:c r="J157" s="7" t="str">
        <x:v>R5, R6</x:v>
      </x:c>
      <x:c r="K157" s="7" t="str">
        <x:v>Requires verification: No collected public business phone; Geographic scope. These facts do not establish the original reviewer’s motive.</x:v>
      </x:c>
      <x:c r="L157" s="7" t="str">
        <x:v>Not supplied; membership is known, motive is not</x:v>
      </x:c>
      <x:c r="M157" s="7" t="n">
        <x:v>5</x:v>
      </x:c>
      <x:c r="N157" s="7" t="str">
        <x:v>Find contact information first</x:v>
      </x:c>
      <x:c r="O157" s="7" t="str">
        <x:v>Active</x:v>
      </x:c>
      <x:c r="P157" s="7" t="str">
        <x:v>03/25/2026</x:v>
      </x:c>
      <x:c r="Q157" s="7" t="str">
        <x:v>03/31/2028</x:v>
      </x:c>
      <x:c r="R157" s="7" t="str">
        <x:v>Accident &amp; Health or Sickness; Life</x:v>
      </x:c>
      <x:c r="S157" s="15" t="str"/>
      <x:c r="T157" s="7" t="str">
        <x:v>No public business phone in collected record</x:v>
      </x:c>
      <x:c r="U157" s="7" t="str">
        <x:v>6620 SUMMER HAVEN DR RIVERVIEW FL, 33578</x:v>
      </x:c>
      <x:c r="V157" s="7" t="str">
        <x:v>Non-resident</x:v>
      </x:c>
      <x:c r="W157" s="7" t="str">
        <x:v>FL</x:v>
      </x:c>
      <x:c r="X157" s="7" t="str"/>
      <x:c r="Y157" s="7" t="str">
        <x:v>AMERICAN INCOME LIFE INSURANCE COMPANY / Accident &amp; Health or Sickness / 03/26/2026
AMERICAN INCOME LIFE INSURANCE COMPANY / Life / 03/26/2026</x:v>
      </x:c>
      <x:c r="Z157" s="7" t="str"/>
      <x:c r="AA157" s="7" t="str"/>
      <x:c r="AB157" s="7" t="str"/>
      <x:c r="AC157" s="7" t="str"/>
      <x:c r="AD157" s="7" t="str">
        <x:v>Active general Life authority | Direct Life appointments outside the selected health-carrier set: AMERICAN INCOME LIFE INSURANCE COMPANY | Active A&amp;H supports optional cross-selling; not necessary for target products</x:v>
      </x:c>
      <x:c r="AE157" s="7" t="str">
        <x:v>Nonresident or address state outside CA; confirm geographic recruiting scope | No public business phone: contact enrichment needed, not proof of poor recruiting fit</x:v>
      </x:c>
      <x:c r="AF157" s="16" t="n">
        <x:v>0.5</x:v>
      </x:c>
      <x:c r="AG157" s="17" t="n">
        <x:v>540</x:v>
      </x:c>
      <x:c r="AH157" s="7" t="str">
        <x:v>2026-03-26</x:v>
      </x:c>
      <x:c r="AI157" s="7" t="str"/>
      <x:c r="AJ157" s="7" t="str"/>
      <x:c r="AK157" s="15" t="str"/>
      <x:c r="AL157" s="7" t="str"/>
      <x:c r="AM157" s="7" t="str">
        <x:v>AGUILAR SAMANTHA NANCY</x:v>
      </x:c>
      <x:c r="AN157" s="7" t="str">
        <x:v>https://cdicloud.insurance.ca.gov/cal/LicenseDetail?SearchType=IND&amp;SearchLicNbr=4526843&amp;SearchIndvId=4526843</x:v>
      </x:c>
      <x:c r="AO157" s="7" t="str">
        <x:v>2026-10-08</x:v>
      </x:c>
      <x:c r="AP157" s="7" t="str">
        <x:v>275571d62af8e1f9eca1c7868a17853a06ec9302e8ff2e40439d59a92bfcf3d6</x:v>
      </x:c>
      <x:c r="AQ157" s="7" t="str">
        <x:v>Accident &amp; Health or Sickness / Active / 03/25/2026 / 03/25/2026 / 03/31/2028
Life / Active / 03/25/2026 / 03/25/2026 / 03/31/2028</x:v>
      </x:c>
      <x:c r="AR157" s="7" t="str">
        <x:v>Active</x:v>
      </x:c>
      <x:c r="AS157" s="7" t="str">
        <x:v>Current detail page</x:v>
      </x:c>
    </x:row>
    <x:row r="158" ht="52" customHeight="1">
      <x:c r="A158" s="7" t="str">
        <x:v>AGUILAR NICO CASTRO</x:v>
      </x:c>
      <x:c r="B158" s="14" t="str">
        <x:f>"4317626"</x:f>
        <x:v>4317626</x:v>
      </x:c>
      <x:c r="C158" s="7" t="str">
        <x:v>Omitted</x:v>
      </x:c>
      <x:c r="D158" s="7" t="str">
        <x:v>REVIEW</x:v>
      </x:c>
      <x:c r="E158" s="13" t="str">
        <x:v>Pending</x:v>
      </x:c>
      <x:c r="F158" s="13" t="str"/>
      <x:c r="G158" s="13" t="str"/>
      <x:c r="H158" s="13" t="str"/>
      <x:c r="I158" s="7" t="str">
        <x:v>Was this person reviewed? If rejected, give the actual rule and evidence. If acceptable, correct the omission. Resolve: No collected public business phone.</x:v>
      </x:c>
      <x:c r="J158" s="7" t="str">
        <x:v>R5</x:v>
      </x:c>
      <x:c r="K158" s="7" t="str">
        <x:v>Requires verification: No collected public business phone. These facts do not establish the original reviewer’s motive.</x:v>
      </x:c>
      <x:c r="L158" s="7" t="str">
        <x:v>Not supplied; membership is known, motive is not</x:v>
      </x:c>
      <x:c r="M158" s="7" t="n">
        <x:v>5</x:v>
      </x:c>
      <x:c r="N158" s="7" t="str">
        <x:v>Find contact information first</x:v>
      </x:c>
      <x:c r="O158" s="7" t="str">
        <x:v>Active</x:v>
      </x:c>
      <x:c r="P158" s="7" t="str">
        <x:v>10/25/2023</x:v>
      </x:c>
      <x:c r="Q158" s="7" t="str">
        <x:v>10/31/2027</x:v>
      </x:c>
      <x:c r="R158" s="7" t="str">
        <x:v>Accident &amp; Health or Sickness; Casualty; Life; Property</x:v>
      </x:c>
      <x:c r="S158" s="15" t="str"/>
      <x:c r="T158" s="7" t="str">
        <x:v>No public business phone in collected record</x:v>
      </x:c>
      <x:c r="U158" s="7" t="str">
        <x:v>8199 CLAIREMONT MESA BLVD K2 SAN DIEGO CA, 92111</x:v>
      </x:c>
      <x:c r="V158" s="7" t="str">
        <x:v>Resident</x:v>
      </x:c>
      <x:c r="W158" s="7" t="str">
        <x:v>CA</x:v>
      </x:c>
      <x:c r="X158" s="7" t="str">
        <x:v>PRESTIGE UNLIMITED INSURANCE SERVICES / Life / 03/01/2024
PRESTIGE UNLIMITED INSURANCE SERVICES / Accident &amp; Health or Sickness / 03/01/2024</x:v>
      </x:c>
      <x:c r="Y158" s="7" t="str">
        <x:v>AMERICAN GENERAL LIFE INSURANCE COMPANY / Accident &amp; Health or Sickness / 01/23/2024
AMERICAN GENERAL LIFE INSURANCE COMPANY / Life / 01/23/2024
AMERITAS LIFE INSURANCE CORP. / Life / 06/03/2026
ANTHEM BLUE CROSS LIFE AND HEALTH INSURANCE COMPANY / Accident &amp; Health or Sickness / 05/07/2024
ANTHEM BLUE CROSS LIFE AND HEALTH INSURANCE COMPANY / Life / 05/07/2024
FIDELITY &amp; GUARANTY LIFE INSURANCE COMPANY / Life / 05/16/2024
FOREMOST INSURANCE COMPANY GRAND RAPIDS, MICHIGAN / Casualty / 10/23/2024
FOREMOST INSURANCE COMPANY GRAND RAPIDS, MICHIGAN / Property / 10/23/2024
ROOT INSURANCE COMPANY / Casualty / 10/02/2025
ROOT INSURANCE COMPANY / Property / 10/02/2025
UNITED AMERICAN INSURANCE COMPANY / Accident &amp; Health or Sickness / 06/21/2024
UNITED AMERICAN INSURANCE COMPANY / Life / 06/21/2024</x:v>
      </x:c>
      <x:c r="Z158" s="7" t="str"/>
      <x:c r="AA158" s="7" t="str">
        <x:v>2025 / 1</x:v>
      </x:c>
      <x:c r="AB158" s="7" t="str"/>
      <x:c r="AC158" s="7" t="str"/>
      <x:c r="AD158" s="7" t="str">
        <x:v>Active general Life authority | Direct Life appointments outside the selected health-carrier set: AMERICAN GENERAL LIFE INSURANCE COMPANY, AMERITAS LIFE INSURANCE CORP., FIDELITY &amp; GUARANTY LIFE INSURANCE COMPANY, UNITED AMERICAN INSURANCE COMPANY | Active A&amp;H supports optional cross-selling; not necessary for target products</x:v>
      </x:c>
      <x:c r="AE158" s="7" t="str">
        <x:v>Mixed P&amp;C/Life qualifications; not an exclusion because approved examples have both | No public business phone: contact enrichment needed, not proof of poor recruiting fit</x:v>
      </x:c>
      <x:c r="AF158" s="16" t="n">
        <x:v>3</x:v>
      </x:c>
      <x:c r="AG158" s="17" t="n">
        <x:v>388</x:v>
      </x:c>
      <x:c r="AH158" s="7" t="str">
        <x:v>2026-06-03</x:v>
      </x:c>
      <x:c r="AI158" s="7" t="str">
        <x:v>English</x:v>
      </x:c>
      <x:c r="AJ158" s="7" t="str"/>
      <x:c r="AK158" s="15" t="str"/>
      <x:c r="AL158" s="7" t="str"/>
      <x:c r="AM158" s="7" t="str">
        <x:v>AGUILAR CASTRO NICO</x:v>
      </x:c>
      <x:c r="AN158" s="7" t="str">
        <x:v>https://cdicloud.insurance.ca.gov/cal/LicenseDetail?SearchType=IND&amp;SearchLicNbr=4317626&amp;SearchIndvId=4317626</x:v>
      </x:c>
      <x:c r="AO158" s="7" t="str">
        <x:v>2026-10-08</x:v>
      </x:c>
      <x:c r="AP158" s="7" t="str">
        <x:v>72b7abb15499fe33e917c02d61e95823e32de132a82f8b29d69ec9937d0d50e3</x:v>
      </x:c>
      <x:c r="AQ158" s="7" t="str">
        <x:v>Accident &amp; Health or Sickness / Active / 10/25/2023 / 10/25/2023 / 10/31/2027
Casualty / Active / 08/27/2024 / 08/27/2024 / 10/31/2027
Life / Active / 10/25/2023 / 10/25/2023 / 10/31/2027
Property / Active / 08/27/2024 / 08/27/2024 / 10/31/2027</x:v>
      </x:c>
      <x:c r="AR158" s="7" t="str">
        <x:v>Active</x:v>
      </x:c>
      <x:c r="AS158" s="7" t="str">
        <x:v>Current detail page</x:v>
      </x:c>
    </x:row>
    <x:row r="159" ht="52" customHeight="1">
      <x:c r="A159" s="7" t="str">
        <x:v>AGUILAR NOE AGUILAR</x:v>
      </x:c>
      <x:c r="B159" s="14" t="str">
        <x:f>"4274293"</x:f>
        <x:v>4274293</x:v>
      </x:c>
      <x:c r="C159" s="7" t="str">
        <x:v>Omitted</x:v>
      </x:c>
      <x:c r="D159" s="7" t="str">
        <x:v>REVIEW</x:v>
      </x:c>
      <x:c r="E159" s="13" t="str">
        <x:v>Pending</x:v>
      </x:c>
      <x:c r="F159" s="13" t="str"/>
      <x:c r="G159" s="13" t="str"/>
      <x:c r="H159" s="13" t="str"/>
      <x:c r="I159" s="7" t="str">
        <x:v>Was this person reviewed? If rejected, give the actual rule and evidence. If acceptable, correct the omission. Resolve: No collected public business phone.</x:v>
      </x:c>
      <x:c r="J159" s="7" t="str">
        <x:v>R5</x:v>
      </x:c>
      <x:c r="K159" s="7" t="str">
        <x:v>Requires verification: No collected public business phone. These facts do not establish the original reviewer’s motive.</x:v>
      </x:c>
      <x:c r="L159" s="7" t="str">
        <x:v>Not supplied; membership is known, motive is not</x:v>
      </x:c>
      <x:c r="M159" s="7" t="n">
        <x:v>5</x:v>
      </x:c>
      <x:c r="N159" s="7" t="str">
        <x:v>Find contact information first</x:v>
      </x:c>
      <x:c r="O159" s="7" t="str">
        <x:v>Active</x:v>
      </x:c>
      <x:c r="P159" s="7" t="str">
        <x:v>02/24/2023</x:v>
      </x:c>
      <x:c r="Q159" s="7" t="str">
        <x:v>02/28/2027</x:v>
      </x:c>
      <x:c r="R159" s="7" t="str">
        <x:v>Life</x:v>
      </x:c>
      <x:c r="S159" s="15" t="str"/>
      <x:c r="T159" s="7" t="str">
        <x:v>No public business phone in collected record</x:v>
      </x:c>
      <x:c r="U159" s="7" t="str">
        <x:v>22324 TEMESCAL CANYON RD #200 CORONA CA, 92883</x:v>
      </x:c>
      <x:c r="V159" s="7" t="str">
        <x:v>Resident</x:v>
      </x:c>
      <x:c r="W159" s="7" t="str">
        <x:v>CA</x:v>
      </x:c>
      <x:c r="X159" s="7" t="str"/>
      <x:c r="Y159" s="7" t="str">
        <x:v>AMERICAN NATIONAL INSURANCE COMPANY / Life / 02/25/2023
AMERITAS LIFE INSURANCE CORP. / Life / 03/24/2026
FIDELITY &amp; GUARANTY LIFE INSURANCE COMPANY / Life / 03/16/2023
LIFE INSURANCE COMPANY OF THE SOUTHWEST / Life / 03/07/2023
NORTH AMERICAN COMPANY FOR LIFE AND HEALTH INSURANCE / Life / 03/01/2023</x:v>
      </x:c>
      <x:c r="Z159" s="7" t="str"/>
      <x:c r="AA159" s="7" t="str"/>
      <x:c r="AB159" s="7" t="str"/>
      <x:c r="AC159" s="7" t="str"/>
      <x:c r="AD159" s="7" t="str">
        <x:v>Active general Life authority | Direct Life appointments outside the selected health-carrier set: AMERICAN NATIONAL INSURANCE COMPANY, AMERITAS LIFE INSURANCE CORP., FIDELITY &amp; GUARANTY LIFE INSURANCE COMPANY, LIFE INSURANCE COMPANY OF THE SOUTHWEST, NORTH AMERICAN COMPANY FOR LIFE AND HEALTH INSURANCE</x:v>
      </x:c>
      <x:c r="AE159" s="7" t="str">
        <x:v>No public business phone: contact enrichment needed, not proof of poor recruiting fit</x:v>
      </x:c>
      <x:c r="AF159" s="16" t="n">
        <x:v>3.6</x:v>
      </x:c>
      <x:c r="AG159" s="17" t="n">
        <x:v>143</x:v>
      </x:c>
      <x:c r="AH159" s="7" t="str">
        <x:v>2026-03-24</x:v>
      </x:c>
      <x:c r="AI159" s="7" t="str">
        <x:v>English</x:v>
      </x:c>
      <x:c r="AJ159" s="7" t="str"/>
      <x:c r="AK159" s="15" t="str"/>
      <x:c r="AL159" s="7" t="str"/>
      <x:c r="AM159" s="7" t="str">
        <x:v>AGUILAR AGUILAR NOE</x:v>
      </x:c>
      <x:c r="AN159" s="7" t="str">
        <x:v>https://cdicloud.insurance.ca.gov/cal/LicenseDetail?SearchType=IND&amp;SearchLicNbr=4274293&amp;SearchIndvId=4274293</x:v>
      </x:c>
      <x:c r="AO159" s="7" t="str">
        <x:v>2026-10-08</x:v>
      </x:c>
      <x:c r="AP159" s="7" t="str">
        <x:v>115750a60812873da91e9972529338e055ea6a64baec46094943f060330a2aa1</x:v>
      </x:c>
      <x:c r="AQ159" s="7" t="str">
        <x:v>Life / Active / 02/24/2023 / 02/24/2023 / 02/28/2027</x:v>
      </x:c>
      <x:c r="AR159" s="7" t="str">
        <x:v>Active</x:v>
      </x:c>
      <x:c r="AS159" s="7" t="str">
        <x:v>Current detail page</x:v>
      </x:c>
    </x:row>
    <x:row r="160" ht="52" customHeight="1">
      <x:c r="A160" s="7" t="str">
        <x:v>AGUILAR PAOLO</x:v>
      </x:c>
      <x:c r="B160" s="14" t="str">
        <x:f>"4071623"</x:f>
        <x:v>4071623</x:v>
      </x:c>
      <x:c r="C160" s="7" t="str">
        <x:v>Omitted</x:v>
      </x:c>
      <x:c r="D160" s="7" t="str">
        <x:v>REVIEW</x:v>
      </x:c>
      <x:c r="E160" s="13" t="str">
        <x:v>Pending</x:v>
      </x:c>
      <x:c r="F160" s="13" t="str"/>
      <x:c r="G160" s="13" t="str"/>
      <x:c r="H160" s="13" t="str"/>
      <x:c r="I160" s="7" t="str">
        <x:v>Was this person reviewed? If rejected, give the actual rule and evidence. If acceptable, correct the omission. Resolve: Selected health-carrier Life mix; No collected public business phone; Geographic scope.</x:v>
      </x:c>
      <x:c r="J160" s="7" t="str">
        <x:v>R4, R5, R6</x:v>
      </x:c>
      <x:c r="K160" s="7" t="str">
        <x:v>Requires verification: Selected health-carrier Life mix; No collected public business phone; Geographic scope. These facts do not establish the original reviewer’s motive.</x:v>
      </x:c>
      <x:c r="L160" s="7" t="str">
        <x:v>Not supplied; membership is known, motive is not</x:v>
      </x:c>
      <x:c r="M160" s="7" t="n">
        <x:v>5</x:v>
      </x:c>
      <x:c r="N160" s="7" t="str">
        <x:v>Find contact information first</x:v>
      </x:c>
      <x:c r="O160" s="7" t="str">
        <x:v>Active</x:v>
      </x:c>
      <x:c r="P160" s="7" t="str">
        <x:v>10/01/2020</x:v>
      </x:c>
      <x:c r="Q160" s="7" t="str">
        <x:v>10/31/2028</x:v>
      </x:c>
      <x:c r="R160" s="7" t="str">
        <x:v>Accident &amp; Health or Sickness; Life</x:v>
      </x:c>
      <x:c r="S160" s="15" t="str"/>
      <x:c r="T160" s="7" t="str">
        <x:v>No public business phone in collected record</x:v>
      </x:c>
      <x:c r="U160" s="7" t="str">
        <x:v>15342 E ARKANSAS PL AURORA CO, 80017-4049</x:v>
      </x:c>
      <x:c r="V160" s="7" t="str">
        <x:v>Non-resident</x:v>
      </x:c>
      <x:c r="W160" s="7" t="str">
        <x:v>CO</x:v>
      </x:c>
      <x:c r="X160" s="7" t="str"/>
      <x:c r="Y160" s="7" t="str">
        <x:v>AETNA LIFE INSURANCE COMPANY / Accident &amp; Health or Sickness / 10/25/2020
ANTHEM BLUE CROSS LIFE AND HEALTH INSURANCE COMPANY / Accident &amp; Health or Sickness / 07/31/2023
ANTHEM BLUE CROSS LIFE AND HEALTH INSURANCE COMPANY / Life / 07/31/2023
UNITEDHEALTHCARE INSURANCE COMPANY / Accident &amp; Health or Sickness / 10/02/2020</x:v>
      </x:c>
      <x:c r="Z160" s="7" t="str"/>
      <x:c r="AA160" s="7" t="str"/>
      <x:c r="AB160" s="7" t="str"/>
      <x:c r="AC160" s="7" t="str"/>
      <x:c r="AD160" s="7" t="str">
        <x:v>Active general Life authority | Active A&amp;H supports optional cross-selling; not necessary for target products</x:v>
      </x:c>
      <x:c r="AE160" s="7" t="str">
        <x:v>Life appointments shown only at selected health-oriented carriers; core Life activity unestablished | Nonresident or address state outside CA; confirm geographic recruiting scope | No public business phone: contact enrichment needed, not proof of poor recruiting fit</x:v>
      </x:c>
      <x:c r="AF160" s="16" t="n">
        <x:v>6</x:v>
      </x:c>
      <x:c r="AG160" s="17" t="n">
        <x:v>754</x:v>
      </x:c>
      <x:c r="AH160" s="7" t="str">
        <x:v>2023-07-31</x:v>
      </x:c>
      <x:c r="AI160" s="7" t="str"/>
      <x:c r="AJ160" s="7" t="str"/>
      <x:c r="AK160" s="15" t="str"/>
      <x:c r="AL160" s="7" t="str"/>
      <x:c r="AM160" s="7" t="str">
        <x:v>AGUILAR  PAOLO</x:v>
      </x:c>
      <x:c r="AN160" s="7" t="str">
        <x:v>https://cdicloud.insurance.ca.gov/cal/LicenseDetail?SearchType=IND&amp;SearchLicNbr=4071623&amp;SearchIndvId=4071623</x:v>
      </x:c>
      <x:c r="AO160" s="7" t="str">
        <x:v>2026-10-08</x:v>
      </x:c>
      <x:c r="AP160" s="7" t="str">
        <x:v>0948a82ee3891c3de2f09aa33bd1898da06d4b42a20aaf8818d46ca576337fa8</x:v>
      </x:c>
      <x:c r="AQ160" s="7" t="str">
        <x:v>Accident &amp; Health or Sickness / Active / 10/01/2020 / 10/01/2020 / 10/31/2028
Life / Active / 10/01/2020 / 10/01/2020 / 10/31/2028</x:v>
      </x:c>
      <x:c r="AR160" s="7" t="str">
        <x:v>Active</x:v>
      </x:c>
      <x:c r="AS160" s="7" t="str">
        <x:v>Current detail page</x:v>
      </x:c>
    </x:row>
    <x:row r="161" ht="52" customHeight="1">
      <x:c r="A161" s="7" t="str">
        <x:v>AGUILAR PERSEVERANDA GUEVARA</x:v>
      </x:c>
      <x:c r="B161" s="14" t="str">
        <x:f>"4516471"</x:f>
        <x:v>4516471</x:v>
      </x:c>
      <x:c r="C161" s="7" t="str">
        <x:v>Omitted</x:v>
      </x:c>
      <x:c r="D161" s="7" t="str">
        <x:v>REVIEW</x:v>
      </x:c>
      <x:c r="E161" s="13" t="str">
        <x:v>Pending</x:v>
      </x:c>
      <x:c r="F161" s="13" t="str"/>
      <x:c r="G161" s="13" t="str"/>
      <x:c r="H161" s="13" t="str"/>
      <x:c r="I161" s="7" t="str">
        <x:v>Was this person reviewed? If rejected, give the actual rule and evidence. If acceptable, correct the omission. Resolve: No collected public business phone; Geographic scope.</x:v>
      </x:c>
      <x:c r="J161" s="7" t="str">
        <x:v>R5, R6</x:v>
      </x:c>
      <x:c r="K161" s="7" t="str">
        <x:v>Requires verification: No collected public business phone; Geographic scope. These facts do not establish the original reviewer’s motive.</x:v>
      </x:c>
      <x:c r="L161" s="7" t="str">
        <x:v>Not supplied; membership is known, motive is not</x:v>
      </x:c>
      <x:c r="M161" s="7" t="n">
        <x:v>5</x:v>
      </x:c>
      <x:c r="N161" s="7" t="str">
        <x:v>Find contact information first</x:v>
      </x:c>
      <x:c r="O161" s="7" t="str">
        <x:v>Active</x:v>
      </x:c>
      <x:c r="P161" s="7" t="str">
        <x:v>12/18/2025</x:v>
      </x:c>
      <x:c r="Q161" s="7" t="str">
        <x:v>12/31/2027</x:v>
      </x:c>
      <x:c r="R161" s="7" t="str">
        <x:v>Accident &amp; Health or Sickness; Life</x:v>
      </x:c>
      <x:c r="S161" s="15" t="str"/>
      <x:c r="T161" s="7" t="str">
        <x:v>No public business phone in collected record</x:v>
      </x:c>
      <x:c r="U161" s="7" t="str">
        <x:v>844 VIA DEL CASTELLO HENDERSON NV, 89011</x:v>
      </x:c>
      <x:c r="V161" s="7" t="str">
        <x:v>Non-resident</x:v>
      </x:c>
      <x:c r="W161" s="7" t="str">
        <x:v>NV</x:v>
      </x:c>
      <x:c r="X161" s="7" t="str">
        <x:v>WORLD FINANCIAL GROUP INSURANCE AGENCY, LLC / Life / 01/14/2026
WORLD FINANCIAL GROUP INSURANCE AGENCY, LLC / Accident &amp; Health or Sickness / 01/14/2026</x:v>
      </x:c>
      <x:c r="Y161" s="7" t="str">
        <x:v>TRANSAMERICA LIFE INSURANCE COMPANY / Accident &amp; Health or Sickness / 01/14/2026
TRANSAMERICA LIFE INSURANCE COMPANY / Life / 01/14/2026</x:v>
      </x:c>
      <x:c r="Z161" s="7" t="str"/>
      <x:c r="AA161" s="7" t="str"/>
      <x:c r="AB161" s="7" t="str"/>
      <x:c r="AC161" s="7" t="str"/>
      <x:c r="AD161" s="7" t="str">
        <x:v>Active general Life authority | WFG relationship: matches an explicitly targeted recruiting segment | Direct Life appointments outside the selected health-carrier set: TRANSAMERICA LIFE INSURANCE COMPANY | Active A&amp;H supports optional cross-selling; not necessary for target products</x:v>
      </x:c>
      <x:c r="AE161" s="7" t="str">
        <x:v>Nonresident or address state outside CA; confirm geographic recruiting scope | No public business phone: contact enrichment needed, not proof of poor recruiting fit</x:v>
      </x:c>
      <x:c r="AF161" s="16" t="n">
        <x:v>0.8</x:v>
      </x:c>
      <x:c r="AG161" s="17" t="n">
        <x:v>449</x:v>
      </x:c>
      <x:c r="AH161" s="7" t="str">
        <x:v>2026-01-14</x:v>
      </x:c>
      <x:c r="AI161" s="7" t="str"/>
      <x:c r="AJ161" s="7" t="str"/>
      <x:c r="AK161" s="15" t="str"/>
      <x:c r="AL161" s="7" t="str"/>
      <x:c r="AM161" s="7" t="str">
        <x:v>AGUILAR GUEVARA PERSEVERANDA</x:v>
      </x:c>
      <x:c r="AN161" s="7" t="str">
        <x:v>https://cdicloud.insurance.ca.gov/cal/LicenseDetail?SearchType=IND&amp;SearchLicNbr=4516471&amp;SearchIndvId=4516471</x:v>
      </x:c>
      <x:c r="AO161" s="7" t="str">
        <x:v>2026-10-08</x:v>
      </x:c>
      <x:c r="AP161" s="7" t="str">
        <x:v>665393dd2ab3dbe6d71e29a0898fcb5a653685a86118642570ecce399868975b</x:v>
      </x:c>
      <x:c r="AQ161" s="7" t="str">
        <x:v>Accident &amp; Health or Sickness / Active / 12/18/2025 / 12/18/2025 / 12/31/2027
Life / Active / 12/18/2025 / 12/18/2025 / 12/31/2027</x:v>
      </x:c>
      <x:c r="AR161" s="7" t="str">
        <x:v>Active</x:v>
      </x:c>
      <x:c r="AS161" s="7" t="str">
        <x:v>Current detail page</x:v>
      </x:c>
    </x:row>
    <x:row r="162" ht="52" customHeight="1">
      <x:c r="A162" s="7" t="str">
        <x:v>AGUILAR PRECIOSA MANA</x:v>
      </x:c>
      <x:c r="B162" s="14" t="str">
        <x:f>"0J00342"</x:f>
        <x:v>0J00342</x:v>
      </x:c>
      <x:c r="C162" s="7" t="str">
        <x:v>Omitted</x:v>
      </x:c>
      <x:c r="D162" s="7" t="str">
        <x:v>REVIEW</x:v>
      </x:c>
      <x:c r="E162" s="13" t="str">
        <x:v>Pending</x:v>
      </x:c>
      <x:c r="F162" s="13" t="str"/>
      <x:c r="G162" s="13" t="str"/>
      <x:c r="H162" s="13" t="str"/>
      <x:c r="I162" s="7" t="str">
        <x:v>Was this person reviewed? If rejected, give the actual rule and evidence. If acceptable, correct the omission. Resolve: No collected public business phone.</x:v>
      </x:c>
      <x:c r="J162" s="7" t="str">
        <x:v>R5</x:v>
      </x:c>
      <x:c r="K162" s="7" t="str">
        <x:v>Requires verification: No collected public business phone. These facts do not establish the original reviewer’s motive.</x:v>
      </x:c>
      <x:c r="L162" s="7" t="str">
        <x:v>Not supplied; membership is known, motive is not</x:v>
      </x:c>
      <x:c r="M162" s="7" t="n">
        <x:v>5</x:v>
      </x:c>
      <x:c r="N162" s="7" t="str">
        <x:v>Find contact information first</x:v>
      </x:c>
      <x:c r="O162" s="7" t="str">
        <x:v>Active</x:v>
      </x:c>
      <x:c r="P162" s="7" t="str">
        <x:v>08/13/2014</x:v>
      </x:c>
      <x:c r="Q162" s="7" t="str">
        <x:v>08/31/2028</x:v>
      </x:c>
      <x:c r="R162" s="7" t="str">
        <x:v>Accident &amp; Health or Sickness; Life</x:v>
      </x:c>
      <x:c r="S162" s="15" t="str"/>
      <x:c r="T162" s="7" t="str">
        <x:v>No public business phone in collected record</x:v>
      </x:c>
      <x:c r="U162" s="7" t="str">
        <x:v>1341 W. CARSON STREET 8 TORRANCE CA, 90501</x:v>
      </x:c>
      <x:c r="V162" s="7" t="str">
        <x:v>Resident</x:v>
      </x:c>
      <x:c r="W162" s="7" t="str">
        <x:v>CA</x:v>
      </x:c>
      <x:c r="X162" s="7" t="str"/>
      <x:c r="Y162" s="7" t="str">
        <x:v>NATIONWIDE LIFE AND ANNUITY INSURANCE COMPANY / Accident &amp; Health or Sickness / 09/18/2014
NATIONWIDE LIFE AND ANNUITY INSURANCE COMPANY / Life / 09/18/2014</x:v>
      </x:c>
      <x:c r="Z162" s="7" t="str"/>
      <x:c r="AA162" s="7" t="str"/>
      <x:c r="AB162" s="7" t="str"/>
      <x:c r="AC162" s="7" t="str"/>
      <x:c r="AD162" s="7" t="str">
        <x:v>Active general Life authority | Direct Life appointments outside the selected health-carrier set: NATIONWIDE LIFE AND ANNUITY INSURANCE COMPANY | Active A&amp;H supports optional cross-selling; not necessary for target products</x:v>
      </x:c>
      <x:c r="AE162" s="7" t="str">
        <x:v>No public business phone: contact enrichment needed, not proof of poor recruiting fit</x:v>
      </x:c>
      <x:c r="AF162" s="16" t="n">
        <x:v>12.2</x:v>
      </x:c>
      <x:c r="AG162" s="17" t="n">
        <x:v>693</x:v>
      </x:c>
      <x:c r="AH162" s="7" t="str">
        <x:v>2014-09-18</x:v>
      </x:c>
      <x:c r="AI162" s="7" t="str">
        <x:v>English</x:v>
      </x:c>
      <x:c r="AJ162" s="7" t="str"/>
      <x:c r="AK162" s="15" t="str"/>
      <x:c r="AL162" s="7" t="str"/>
      <x:c r="AM162" s="7" t="str">
        <x:v>AGUILAR MANA PRECIOSA</x:v>
      </x:c>
      <x:c r="AN162" s="7" t="str">
        <x:v>https://cdicloud.insurance.ca.gov/cal/LicenseDetail?SearchType=IND&amp;SearchLicNbr=0J00342&amp;SearchIndvId=1694922</x:v>
      </x:c>
      <x:c r="AO162" s="7" t="str">
        <x:v>2026-10-08</x:v>
      </x:c>
      <x:c r="AP162" s="7" t="str">
        <x:v>6a5c325173638c87f81ee3890cefce80dd9dee10eda33c4c63b8ec63edf89399</x:v>
      </x:c>
      <x:c r="AQ162" s="7" t="str">
        <x:v>Accident &amp; Health or Sickness / Active / 08/13/2014 / 08/13/2014 / 08/31/2028
Life / Active / 08/13/2014 / 08/13/2014 / 08/31/2028</x:v>
      </x:c>
      <x:c r="AR162" s="7" t="str">
        <x:v>Active</x:v>
      </x:c>
      <x:c r="AS162" s="7" t="str">
        <x:v>Current detail page</x:v>
      </x:c>
    </x:row>
    <x:row r="163" ht="52" customHeight="1">
      <x:c r="A163" s="7" t="str">
        <x:v>AGUILAR RAMNY ALEJANDRO</x:v>
      </x:c>
      <x:c r="B163" s="14" t="str">
        <x:f>"4567267"</x:f>
        <x:v>4567267</x:v>
      </x:c>
      <x:c r="C163" s="7" t="str">
        <x:v>Omitted</x:v>
      </x:c>
      <x:c r="D163" s="7" t="str">
        <x:v>REVIEW</x:v>
      </x:c>
      <x:c r="E163" s="13" t="str">
        <x:v>Pending</x:v>
      </x:c>
      <x:c r="F163" s="13" t="str"/>
      <x:c r="G163" s="13" t="str"/>
      <x:c r="H163" s="13" t="str"/>
      <x:c r="I163" s="7" t="str">
        <x:v>Was this person reviewed? If rejected, give the actual rule and evidence. If acceptable, correct the omission. Resolve: No collected public business phone; Geographic scope.</x:v>
      </x:c>
      <x:c r="J163" s="7" t="str">
        <x:v>R5, R6</x:v>
      </x:c>
      <x:c r="K163" s="7" t="str">
        <x:v>Requires verification: No collected public business phone; Geographic scope. These facts do not establish the original reviewer’s motive.</x:v>
      </x:c>
      <x:c r="L163" s="7" t="str">
        <x:v>Not supplied; membership is known, motive is not</x:v>
      </x:c>
      <x:c r="M163" s="7" t="n">
        <x:v>5</x:v>
      </x:c>
      <x:c r="N163" s="7" t="str">
        <x:v>Find contact information first</x:v>
      </x:c>
      <x:c r="O163" s="7" t="str">
        <x:v>Active</x:v>
      </x:c>
      <x:c r="P163" s="7" t="str">
        <x:v>07/31/2026</x:v>
      </x:c>
      <x:c r="Q163" s="7" t="str">
        <x:v>07/31/2028</x:v>
      </x:c>
      <x:c r="R163" s="7" t="str">
        <x:v>Accident &amp; Health or Sickness; Life</x:v>
      </x:c>
      <x:c r="S163" s="15" t="str"/>
      <x:c r="T163" s="7" t="str">
        <x:v>No public business phone in collected record</x:v>
      </x:c>
      <x:c r="U163" s="7" t="str">
        <x:v>10720 PINES BLDV H-103 PMB 110 PEMBROKE PINES FL, 33026</x:v>
      </x:c>
      <x:c r="V163" s="7" t="str">
        <x:v>Non-resident</x:v>
      </x:c>
      <x:c r="W163" s="7" t="str">
        <x:v>FL</x:v>
      </x:c>
      <x:c r="X163" s="7" t="str"/>
      <x:c r="Y163" s="7" t="str">
        <x:v>FIDELITY &amp; GUARANTY LIFE INSURANCE COMPANY / Life / 08/13/2026
LIFE INSURANCE COMPANY OF THE SOUTHWEST / Accident &amp; Health or Sickness / 10/07/2026
LIFE INSURANCE COMPANY OF THE SOUTHWEST / Life / 10/07/2026
UNITED OF OMAHA LIFE INSURANCE COMPANY / Accident &amp; Health or Sickness / 09/09/2026
UNITED OF OMAHA LIFE INSURANCE COMPANY / Life / 09/09/2026</x:v>
      </x:c>
      <x:c r="Z163" s="7" t="str"/>
      <x:c r="AA163" s="7" t="str"/>
      <x:c r="AB163" s="7" t="str"/>
      <x:c r="AC163" s="7" t="str"/>
      <x:c r="AD163" s="7" t="str">
        <x:v>Active general Life authority | Direct Life appointments outside the selected health-carrier set: FIDELITY &amp; GUARANTY LIFE INSURANCE COMPANY, LIFE INSURANCE COMPANY OF THE SOUTHWEST, UNITED OF OMAHA LIFE INSURANCE COMPANY | Active A&amp;H supports optional cross-selling; not necessary for target products</x:v>
      </x:c>
      <x:c r="AE163" s="7" t="str">
        <x:v>Nonresident or address state outside CA; confirm geographic recruiting scope | No public business phone: contact enrichment needed, not proof of poor recruiting fit</x:v>
      </x:c>
      <x:c r="AF163" s="16" t="n">
        <x:v>0.2</x:v>
      </x:c>
      <x:c r="AG163" s="17" t="n">
        <x:v>662</x:v>
      </x:c>
      <x:c r="AH163" s="7" t="str">
        <x:v>2026-10-07</x:v>
      </x:c>
      <x:c r="AI163" s="7" t="str"/>
      <x:c r="AJ163" s="7" t="str"/>
      <x:c r="AK163" s="15" t="str"/>
      <x:c r="AL163" s="7" t="str"/>
      <x:c r="AM163" s="7" t="str">
        <x:v>AGUILAR ALEJANDRO RAMNY</x:v>
      </x:c>
      <x:c r="AN163" s="7" t="str">
        <x:v>https://cdicloud.insurance.ca.gov/cal/LicenseDetail?SearchType=IND&amp;SearchLicNbr=4567267&amp;SearchIndvId=4567267</x:v>
      </x:c>
      <x:c r="AO163" s="7" t="str">
        <x:v>2026-10-08</x:v>
      </x:c>
      <x:c r="AP163" s="7" t="str">
        <x:v>4099d113c732a231c8e1d2918cc598726200eb22a7f12d5ca7bbb65941fd891b</x:v>
      </x:c>
      <x:c r="AQ163" s="7" t="str">
        <x:v>Accident &amp; Health or Sickness / Active / 07/31/2026 / 07/31/2026 / 07/31/2028
Life / Active / 07/31/2026 / 07/31/2026 / 07/31/2028</x:v>
      </x:c>
      <x:c r="AR163" s="7" t="str">
        <x:v>Active</x:v>
      </x:c>
      <x:c r="AS163" s="7" t="str">
        <x:v>Current detail page</x:v>
      </x:c>
    </x:row>
    <x:row r="164" ht="52" customHeight="1">
      <x:c r="A164" s="7" t="str">
        <x:v>AGUILAR REBECA</x:v>
      </x:c>
      <x:c r="B164" s="14" t="str">
        <x:f>"4239676"</x:f>
        <x:v>4239676</x:v>
      </x:c>
      <x:c r="C164" s="7" t="str">
        <x:v>Omitted</x:v>
      </x:c>
      <x:c r="D164" s="7" t="str">
        <x:v>REVIEW</x:v>
      </x:c>
      <x:c r="E164" s="13" t="str">
        <x:v>Pending</x:v>
      </x:c>
      <x:c r="F164" s="13" t="str"/>
      <x:c r="G164" s="13" t="str"/>
      <x:c r="H164" s="13" t="str"/>
      <x:c r="I164" s="7" t="str">
        <x:v>Was this person reviewed? If rejected, give the actual rule and evidence. If acceptable, correct the omission. Resolve: No collected public business phone.</x:v>
      </x:c>
      <x:c r="J164" s="7" t="str">
        <x:v>R5</x:v>
      </x:c>
      <x:c r="K164" s="7" t="str">
        <x:v>Requires verification: No collected public business phone. These facts do not establish the original reviewer’s motive.</x:v>
      </x:c>
      <x:c r="L164" s="7" t="str">
        <x:v>Not supplied; membership is known, motive is not</x:v>
      </x:c>
      <x:c r="M164" s="7" t="n">
        <x:v>5</x:v>
      </x:c>
      <x:c r="N164" s="7" t="str">
        <x:v>Find contact information first</x:v>
      </x:c>
      <x:c r="O164" s="7" t="str">
        <x:v>Active</x:v>
      </x:c>
      <x:c r="P164" s="7" t="str">
        <x:v>09/22/2022</x:v>
      </x:c>
      <x:c r="Q164" s="7" t="str">
        <x:v>09/30/2028</x:v>
      </x:c>
      <x:c r="R164" s="7" t="str">
        <x:v>Life</x:v>
      </x:c>
      <x:c r="S164" s="15" t="str"/>
      <x:c r="T164" s="7" t="str">
        <x:v>No public business phone in collected record</x:v>
      </x:c>
      <x:c r="U164" s="7" t="str">
        <x:v>7625 ROSECRANS AVE STE 42 PARAMOUNT CA, 90723</x:v>
      </x:c>
      <x:c r="V164" s="7" t="str">
        <x:v>Resident</x:v>
      </x:c>
      <x:c r="W164" s="7" t="str">
        <x:v>CA</x:v>
      </x:c>
      <x:c r="X164" s="7" t="str">
        <x:v>PRIMERICA FINANCIAL SERVICES INSURANCE MARKETING, INC. / Life / 09/23/2022</x:v>
      </x:c>
      <x:c r="Y164" s="7" t="str"/>
      <x:c r="Z164" s="7" t="str"/>
      <x:c r="AA164" s="7" t="str"/>
      <x:c r="AB164" s="7" t="str"/>
      <x:c r="AC164" s="7" t="str"/>
      <x:c r="AD164" s="7" t="str">
        <x:v>Active general Life authority | Primerica relationship: matches an explicitly targeted recruiting segment</x:v>
      </x:c>
      <x:c r="AE164" s="7" t="str">
        <x:v>No public business phone: contact enrichment needed, not proof of poor recruiting fit</x:v>
      </x:c>
      <x:c r="AF164" s="16" t="n">
        <x:v>4</x:v>
      </x:c>
      <x:c r="AG164" s="17" t="n">
        <x:v>723</x:v>
      </x:c>
      <x:c r="AH164" s="7" t="str"/>
      <x:c r="AI164" s="7" t="str">
        <x:v>English</x:v>
      </x:c>
      <x:c r="AJ164" s="7" t="str"/>
      <x:c r="AK164" s="15" t="str"/>
      <x:c r="AL164" s="7" t="str"/>
      <x:c r="AM164" s="7" t="str">
        <x:v>AGUILAR  REBECA</x:v>
      </x:c>
      <x:c r="AN164" s="7" t="str">
        <x:v>https://cdicloud.insurance.ca.gov/cal/LicenseDetail?SearchType=IND&amp;SearchLicNbr=4239676&amp;SearchIndvId=4239676</x:v>
      </x:c>
      <x:c r="AO164" s="7" t="str">
        <x:v>2026-10-08</x:v>
      </x:c>
      <x:c r="AP164" s="7" t="str">
        <x:v>8d3e3130734795843b43ceba870728ed3df52bda22830e4e119ca1950ae0df9d</x:v>
      </x:c>
      <x:c r="AQ164" s="7" t="str">
        <x:v>Life / Active / 09/22/2022 / 09/22/2022 / 09/30/2028</x:v>
      </x:c>
      <x:c r="AR164" s="7" t="str">
        <x:v>Active</x:v>
      </x:c>
      <x:c r="AS164" s="7" t="str">
        <x:v>Current detail page</x:v>
      </x:c>
    </x:row>
    <x:row r="165" ht="52" customHeight="1">
      <x:c r="A165" s="7" t="str">
        <x:v>AGUILAR RENE EDGARDO</x:v>
      </x:c>
      <x:c r="B165" s="14" t="str">
        <x:f>"1500446"</x:f>
        <x:v>1500446</x:v>
      </x:c>
      <x:c r="C165" s="7" t="str">
        <x:v>Omitted</x:v>
      </x:c>
      <x:c r="D165" s="7" t="str">
        <x:v>REVIEW</x:v>
      </x:c>
      <x:c r="E165" s="13" t="str">
        <x:v>Pending</x:v>
      </x:c>
      <x:c r="F165" s="13" t="str"/>
      <x:c r="G165" s="13" t="str"/>
      <x:c r="H165" s="13" t="str"/>
      <x:c r="I165" s="7" t="str">
        <x:v>Was this person reviewed? If rejected, give the actual rule and evidence. If acceptable, correct the omission. Resolve: Actual order terms and carrier contracting; No collected public business phone.</x:v>
      </x:c>
      <x:c r="J165" s="7" t="str">
        <x:v>R7, R5</x:v>
      </x:c>
      <x:c r="K165" s="7" t="str">
        <x:v>Requires verification: Actual order terms and carrier contracting; No collected public business phone. These facts do not establish the original reviewer’s motive.</x:v>
      </x:c>
      <x:c r="L165" s="7" t="str">
        <x:v>Not supplied; membership is known, motive is not</x:v>
      </x:c>
      <x:c r="M165" s="7" t="n">
        <x:v>5</x:v>
      </x:c>
      <x:c r="N165" s="7" t="str">
        <x:v>Find contact information first</x:v>
      </x:c>
      <x:c r="O165" s="7" t="str">
        <x:v>Active</x:v>
      </x:c>
      <x:c r="P165" s="7" t="str">
        <x:v>01/26/2023</x:v>
      </x:c>
      <x:c r="Q165" s="7" t="str">
        <x:v>01/31/2027</x:v>
      </x:c>
      <x:c r="R165" s="7" t="str">
        <x:v>Accident &amp; Health or Sickness; Life</x:v>
      </x:c>
      <x:c r="S165" s="15" t="str"/>
      <x:c r="T165" s="7" t="str">
        <x:v>No public business phone in collected record</x:v>
      </x:c>
      <x:c r="U165" s="7" t="str">
        <x:v>1917 CUMBERLAND DR. WEST COVINA CA, 91792</x:v>
      </x:c>
      <x:c r="V165" s="7" t="str">
        <x:v>Resident</x:v>
      </x:c>
      <x:c r="W165" s="7" t="str">
        <x:v>CA</x:v>
      </x:c>
      <x:c r="X165" s="7" t="str"/>
      <x:c r="Y165" s="7" t="str">
        <x:v>AETNA LIFE INSURANCE COMPANY / Accident &amp; Health or Sickness / 04/29/2025
AMERICAN GENERAL LIFE INSURANCE COMPANY / Accident &amp; Health or Sickness / 03/22/2024
AMERICAN GENERAL LIFE INSURANCE COMPANY / Life / 03/22/2024
ANTHEM BLUE CROSS LIFE AND HEALTH INSURANCE COMPANY / Accident &amp; Health or Sickness / 01/30/2025
ANTHEM BLUE CROSS LIFE AND HEALTH INSURANCE COMPANY / Life / 01/30/2025
BLUE SHIELD OF CALIFORNIA LIFE &amp; HEALTH INSURANCE COMPANY / Accident &amp; Health or Sickness / 03/14/2023
BLUE SHIELD OF CALIFORNIA LIFE &amp; HEALTH INSURANCE COMPANY / Life / 03/14/2023
FIDELITY &amp; GUARANTY LIFE INSURANCE COMPANY / Life / 02/15/2024
HEALTH NET LIFE INSURANCE COMPANY / Accident &amp; Health or Sickness / 09/02/2024
LIFE INSURANCE COMPANY OF THE SOUTHWEST / Accident &amp; Health or Sickness / 02/20/2024
LIFE INSURANCE COMPANY OF THE SOUTHWEST / Life / 02/20/2024</x:v>
      </x:c>
      <x:c r="Z165" s="7" t="str">
        <x:v>ORDER ID: &lt;LBB007211&gt; AP (AR) APPLICATION FOR A LICENSE TO ACT AS A LIFE ONLY AGENT IS HEREBY DENIED. / 02/08/2012</x:v>
      </x:c>
      <x:c r="AA165" s="7" t="str"/>
      <x:c r="AB165" s="7" t="str"/>
      <x:c r="AC165" s="7" t="str"/>
      <x:c r="AD165" s="7" t="str">
        <x:v>Active general Life authority | Direct Life appointments outside the selected health-carrier set: AMERICAN GENERAL LIFE INSURANCE COMPANY, FIDELITY &amp; GUARANTY LIFE INSURANCE COMPANY, LIFE INSURANCE COMPANY OF THE SOUTHWEST | Active A&amp;H supports optional cross-selling; not necessary for target products</x:v>
      </x:c>
      <x:c r="AE165" s="7" t="str">
        <x:v>Enforcement order requires direct review; latest displayed order is not a removal order | No public business phone: contact enrichment needed, not proof of poor recruiting fit</x:v>
      </x:c>
      <x:c r="AF165" s="16" t="n">
        <x:v>3.7</x:v>
      </x:c>
      <x:c r="AG165" s="17" t="n">
        <x:v>115</x:v>
      </x:c>
      <x:c r="AH165" s="7" t="str">
        <x:v>2025-01-30</x:v>
      </x:c>
      <x:c r="AI165" s="7" t="str">
        <x:v>English</x:v>
      </x:c>
      <x:c r="AJ165" s="7" t="str"/>
      <x:c r="AK165" s="15" t="str"/>
      <x:c r="AL165" s="7" t="str"/>
      <x:c r="AM165" s="7" t="str">
        <x:v>AGUILAR EDGARDO RENE</x:v>
      </x:c>
      <x:c r="AN165" s="7" t="str">
        <x:v>https://cdicloud.insurance.ca.gov/cal/LicenseDetail?SearchType=IND&amp;SearchLicNbr=1500446&amp;SearchIndvId=1500446</x:v>
      </x:c>
      <x:c r="AO165" s="7" t="str">
        <x:v>2026-10-08</x:v>
      </x:c>
      <x:c r="AP165" s="7" t="str">
        <x:v>e7f024153af76c841513f99bcfc5f3369902974eb30c597005e43d8c4edc4f4b</x:v>
      </x:c>
      <x:c r="AQ165" s="7" t="str">
        <x:v>Accident &amp; Health or Sickness / Active / 01/26/2023 / 01/26/2023 / 01/31/2027
Life / Active / 01/26/2023 / 01/26/2023 / 01/31/2027</x:v>
      </x:c>
      <x:c r="AR165" s="7" t="str">
        <x:v>Active</x:v>
      </x:c>
      <x:c r="AS165" s="7" t="str">
        <x:v>Current detail page</x:v>
      </x:c>
    </x:row>
    <x:row r="166" ht="52" customHeight="1">
      <x:c r="A166" s="7" t="str">
        <x:v>AGUILAR REYNA ELIZABETH</x:v>
      </x:c>
      <x:c r="B166" s="14" t="str">
        <x:f>"4403673"</x:f>
        <x:v>4403673</x:v>
      </x:c>
      <x:c r="C166" s="7" t="str">
        <x:v>Omitted</x:v>
      </x:c>
      <x:c r="D166" s="7" t="str">
        <x:v>REVIEW</x:v>
      </x:c>
      <x:c r="E166" s="13" t="str">
        <x:v>Pending</x:v>
      </x:c>
      <x:c r="F166" s="13" t="str"/>
      <x:c r="G166" s="13" t="str"/>
      <x:c r="H166" s="13" t="str"/>
      <x:c r="I166" s="7" t="str">
        <x:v>Was this person reviewed? If rejected, give the actual rule and evidence. If acceptable, correct the omission. Resolve: No collected public business phone; Geographic scope.</x:v>
      </x:c>
      <x:c r="J166" s="7" t="str">
        <x:v>R5, R6</x:v>
      </x:c>
      <x:c r="K166" s="7" t="str">
        <x:v>Requires verification: No collected public business phone; Geographic scope. These facts do not establish the original reviewer’s motive.</x:v>
      </x:c>
      <x:c r="L166" s="7" t="str">
        <x:v>Not supplied; membership is known, motive is not</x:v>
      </x:c>
      <x:c r="M166" s="7" t="n">
        <x:v>5</x:v>
      </x:c>
      <x:c r="N166" s="7" t="str">
        <x:v>Find contact information first</x:v>
      </x:c>
      <x:c r="O166" s="7" t="str">
        <x:v>Active</x:v>
      </x:c>
      <x:c r="P166" s="7" t="str">
        <x:v>08/22/2024</x:v>
      </x:c>
      <x:c r="Q166" s="7" t="str">
        <x:v>08/31/2028</x:v>
      </x:c>
      <x:c r="R166" s="7" t="str">
        <x:v>Accident &amp; Health or Sickness; Life</x:v>
      </x:c>
      <x:c r="S166" s="15" t="str"/>
      <x:c r="T166" s="7" t="str">
        <x:v>No public business phone in collected record</x:v>
      </x:c>
      <x:c r="U166" s="7" t="str">
        <x:v>5900 O ST LINCOLN NE, 68510</x:v>
      </x:c>
      <x:c r="V166" s="7" t="str">
        <x:v>Non-resident</x:v>
      </x:c>
      <x:c r="W166" s="7" t="str">
        <x:v>NE</x:v>
      </x:c>
      <x:c r="X166" s="7" t="str"/>
      <x:c r="Y166" s="7" t="str"/>
      <x:c r="Z166" s="7" t="str"/>
      <x:c r="AA166" s="7" t="str"/>
      <x:c r="AB166" s="7" t="str"/>
      <x:c r="AC166" s="7" t="str"/>
      <x:c r="AD166" s="7" t="str">
        <x:v>Active general Life authority | No agency or insurer displayed: onboarding opportunity possible; existing business unknown | Active A&amp;H supports optional cross-selling; not necessary for target products</x:v>
      </x:c>
      <x:c r="AE166" s="7" t="str">
        <x:v>Nonresident or address state outside CA; confirm geographic recruiting scope | No public business phone: contact enrichment needed, not proof of poor recruiting fit</x:v>
      </x:c>
      <x:c r="AF166" s="16" t="n">
        <x:v>2.1</x:v>
      </x:c>
      <x:c r="AG166" s="17" t="n">
        <x:v>693</x:v>
      </x:c>
      <x:c r="AH166" s="7" t="str"/>
      <x:c r="AI166" s="7" t="str"/>
      <x:c r="AJ166" s="7" t="str"/>
      <x:c r="AK166" s="15" t="str"/>
      <x:c r="AL166" s="7" t="str"/>
      <x:c r="AM166" s="7" t="str">
        <x:v>AGUILAR ELIZABETH REYNA</x:v>
      </x:c>
      <x:c r="AN166" s="7" t="str">
        <x:v>https://cdicloud.insurance.ca.gov/cal/LicenseDetail?SearchType=IND&amp;SearchLicNbr=4403673&amp;SearchIndvId=4403673</x:v>
      </x:c>
      <x:c r="AO166" s="7" t="str">
        <x:v>2026-10-08</x:v>
      </x:c>
      <x:c r="AP166" s="7" t="str">
        <x:v>a913e93990b37f38d9b1830965ec95419224ee1411080a42079d3816f733d5d8</x:v>
      </x:c>
      <x:c r="AQ166" s="7" t="str">
        <x:v>Accident &amp; Health or Sickness / Active / 08/22/2024 / 08/22/2024 / 08/31/2028
Life / Active / 08/22/2024 / 08/22/2024 / 08/31/2028</x:v>
      </x:c>
      <x:c r="AR166" s="7" t="str">
        <x:v>Active</x:v>
      </x:c>
      <x:c r="AS166" s="7" t="str">
        <x:v>Current detail page</x:v>
      </x:c>
    </x:row>
    <x:row r="167" ht="52" customHeight="1">
      <x:c r="A167" s="7" t="str">
        <x:v>AGUILAR ROMUALDO ERICK JAVIER</x:v>
      </x:c>
      <x:c r="B167" s="14" t="str">
        <x:f>"4474106"</x:f>
        <x:v>4474106</x:v>
      </x:c>
      <x:c r="C167" s="7" t="str">
        <x:v>Omitted</x:v>
      </x:c>
      <x:c r="D167" s="7" t="str">
        <x:v>REVIEW</x:v>
      </x:c>
      <x:c r="E167" s="13" t="str">
        <x:v>Pending</x:v>
      </x:c>
      <x:c r="F167" s="13" t="str"/>
      <x:c r="G167" s="13" t="str"/>
      <x:c r="H167" s="13" t="str"/>
      <x:c r="I167" s="7" t="str">
        <x:v>Was this person reviewed? If rejected, give the actual rule and evidence. If acceptable, correct the omission. Resolve: No collected public business phone.</x:v>
      </x:c>
      <x:c r="J167" s="7" t="str">
        <x:v>R5</x:v>
      </x:c>
      <x:c r="K167" s="7" t="str">
        <x:v>Requires verification: No collected public business phone. These facts do not establish the original reviewer’s motive.</x:v>
      </x:c>
      <x:c r="L167" s="7" t="str">
        <x:v>Not supplied; membership is known, motive is not</x:v>
      </x:c>
      <x:c r="M167" s="7" t="n">
        <x:v>5</x:v>
      </x:c>
      <x:c r="N167" s="7" t="str">
        <x:v>Find contact information first</x:v>
      </x:c>
      <x:c r="O167" s="7" t="str">
        <x:v>Active</x:v>
      </x:c>
      <x:c r="P167" s="7" t="str">
        <x:v>07/09/2025</x:v>
      </x:c>
      <x:c r="Q167" s="7" t="str">
        <x:v>07/31/2027</x:v>
      </x:c>
      <x:c r="R167" s="7" t="str">
        <x:v>Life</x:v>
      </x:c>
      <x:c r="S167" s="15" t="str"/>
      <x:c r="T167" s="7" t="str">
        <x:v>No public business phone in collected record</x:v>
      </x:c>
      <x:c r="U167" s="7" t="str">
        <x:v>333 N BERENDO ST APT 129 LOS ANGELES CA, 90004</x:v>
      </x:c>
      <x:c r="V167" s="7" t="str">
        <x:v>Resident</x:v>
      </x:c>
      <x:c r="W167" s="7" t="str">
        <x:v>CA</x:v>
      </x:c>
      <x:c r="X167" s="7" t="str"/>
      <x:c r="Y167" s="7" t="str">
        <x:v>AMERICO FINANCIAL LIFE AND ANNUITY INSURANCE COMPANY / Life / 09/08/2025
UNITED OF OMAHA LIFE INSURANCE COMPANY / Life / 08/30/2025</x:v>
      </x:c>
      <x:c r="Z167" s="7" t="str"/>
      <x:c r="AA167" s="7" t="str"/>
      <x:c r="AB167" s="7" t="str"/>
      <x:c r="AC167" s="7" t="str"/>
      <x:c r="AD167" s="7" t="str">
        <x:v>Active general Life authority | Direct Life appointments outside the selected health-carrier set: AMERICO FINANCIAL LIFE AND ANNUITY INSURANCE COMPANY, UNITED OF OMAHA LIFE INSURANCE COMPANY</x:v>
      </x:c>
      <x:c r="AE167" s="7" t="str">
        <x:v>No public business phone: contact enrichment needed, not proof of poor recruiting fit</x:v>
      </x:c>
      <x:c r="AF167" s="16" t="n">
        <x:v>1.2</x:v>
      </x:c>
      <x:c r="AG167" s="17" t="n">
        <x:v>296</x:v>
      </x:c>
      <x:c r="AH167" s="7" t="str">
        <x:v>2025-09-08</x:v>
      </x:c>
      <x:c r="AI167" s="7" t="str">
        <x:v>English</x:v>
      </x:c>
      <x:c r="AJ167" s="7" t="str"/>
      <x:c r="AK167" s="15" t="str"/>
      <x:c r="AL167" s="7" t="str"/>
      <x:c r="AM167" s="7" t="str">
        <x:v>Aguilar J Erick | AGUILAR ROMUALDO JAVIER ERICK</x:v>
      </x:c>
      <x:c r="AN167" s="7" t="str">
        <x:v>https://cdicloud.insurance.ca.gov/cal/LicenseDetail?SearchType=IND&amp;SearchLicNbr=4474106&amp;SearchIndvId=4474106</x:v>
      </x:c>
      <x:c r="AO167" s="7" t="str">
        <x:v>2026-10-08</x:v>
      </x:c>
      <x:c r="AP167" s="7" t="str">
        <x:v>f93e06d0e804a387b9c7699bab6d67160ad4412a10336c455a0ab893fe3bf1e1</x:v>
      </x:c>
      <x:c r="AQ167" s="7" t="str">
        <x:v>Life / Active / 07/09/2025 / 07/09/2025 / 07/31/2027</x:v>
      </x:c>
      <x:c r="AR167" s="7" t="str">
        <x:v>Active</x:v>
      </x:c>
      <x:c r="AS167" s="7" t="str">
        <x:v>Current detail page</x:v>
      </x:c>
    </x:row>
    <x:row r="168" ht="52" customHeight="1">
      <x:c r="A168" s="7" t="str">
        <x:v>AGUILAR RONALD</x:v>
      </x:c>
      <x:c r="B168" s="14" t="str">
        <x:f>"0G88264"</x:f>
        <x:v>0G88264</x:v>
      </x:c>
      <x:c r="C168" s="7" t="str">
        <x:v>Omitted</x:v>
      </x:c>
      <x:c r="D168" s="7" t="str">
        <x:v>REVIEW</x:v>
      </x:c>
      <x:c r="E168" s="13" t="str">
        <x:v>Pending</x:v>
      </x:c>
      <x:c r="F168" s="13" t="str"/>
      <x:c r="G168" s="13" t="str"/>
      <x:c r="H168" s="13" t="str"/>
      <x:c r="I168" s="7" t="str">
        <x:v>Was this person reviewed? If rejected, give the actual rule and evidence. If acceptable, correct the omission. Resolve: P&amp;C emphasis without separate core-Life signal; No collected public business phone.</x:v>
      </x:c>
      <x:c r="J168" s="7" t="str">
        <x:v>R4, R5</x:v>
      </x:c>
      <x:c r="K168" s="7" t="str">
        <x:v>Requires verification: P&amp;C emphasis without separate core-Life signal; No collected public business phone. These facts do not establish the original reviewer’s motive.</x:v>
      </x:c>
      <x:c r="L168" s="7" t="str">
        <x:v>Not supplied; membership is known, motive is not</x:v>
      </x:c>
      <x:c r="M168" s="7" t="n">
        <x:v>5</x:v>
      </x:c>
      <x:c r="N168" s="7" t="str">
        <x:v>Find contact information first</x:v>
      </x:c>
      <x:c r="O168" s="7" t="str">
        <x:v>Active</x:v>
      </x:c>
      <x:c r="P168" s="7" t="str">
        <x:v>01/27/2010</x:v>
      </x:c>
      <x:c r="Q168" s="7" t="str">
        <x:v>01/31/2028</x:v>
      </x:c>
      <x:c r="R168" s="7" t="str">
        <x:v>Accident &amp; Health or Sickness; Casualty; Life; Property</x:v>
      </x:c>
      <x:c r="S168" s="15" t="str"/>
      <x:c r="T168" s="7" t="str">
        <x:v>No public business phone in collected record</x:v>
      </x:c>
      <x:c r="U168" s="7" t="str">
        <x:v>28076 FARM HILL DR HAYWARD CA, 94542-2610</x:v>
      </x:c>
      <x:c r="V168" s="7" t="str">
        <x:v>Resident</x:v>
      </x:c>
      <x:c r="W168" s="7" t="str">
        <x:v>CA</x:v>
      </x:c>
      <x:c r="X168" s="7" t="str">
        <x:v>YOUZOOM INSURANCE SERVICES, INC. / Property / 06/18/2013
YOUZOOM INSURANCE SERVICES, INC. / Accident &amp; Health or Sickness / 06/18/2013
YOUZOOM INSURANCE SERVICES, INC. / Life / 06/18/2013
YOUZOOM INSURANCE SERVICES, INC. / Casualty / 06/18/2013</x:v>
      </x:c>
      <x:c r="Y168" s="7" t="str"/>
      <x:c r="Z168" s="7" t="str"/>
      <x:c r="AA168" s="7" t="str"/>
      <x:c r="AB168" s="7" t="str"/>
      <x:c r="AC168" s="7" t="str"/>
      <x:c r="AD168" s="7" t="str">
        <x:v>Active general Life authority | Active A&amp;H supports optional cross-selling; not necessary for target products</x:v>
      </x:c>
      <x:c r="AE168" s="7" t="str">
        <x:v>P&amp;C/Personal Lines authority without displayed core Life appointments; mixed profile requires review | No public business phone: contact enrichment needed, not proof of poor recruiting fit</x:v>
      </x:c>
      <x:c r="AF168" s="16" t="n">
        <x:v>16.7</x:v>
      </x:c>
      <x:c r="AG168" s="17" t="n">
        <x:v>480</x:v>
      </x:c>
      <x:c r="AH168" s="7" t="str"/>
      <x:c r="AI168" s="7" t="str">
        <x:v>English</x:v>
      </x:c>
      <x:c r="AJ168" s="7" t="str"/>
      <x:c r="AK168" s="15" t="str"/>
      <x:c r="AL168" s="7" t="str"/>
      <x:c r="AM168" s="7" t="str">
        <x:v>AGUILAR  RONALD</x:v>
      </x:c>
      <x:c r="AN168" s="7" t="str">
        <x:v>https://cdicloud.insurance.ca.gov/cal/LicenseDetail?SearchType=IND&amp;SearchLicNbr=0G88264&amp;SearchIndvId=1319005</x:v>
      </x:c>
      <x:c r="AO168" s="7" t="str">
        <x:v>2026-10-08</x:v>
      </x:c>
      <x:c r="AP168" s="7" t="str">
        <x:v>c40890a766334537eb6502b6005a096c128c92a1b837dd4f20dd2b76a2bd87e0</x:v>
      </x:c>
      <x:c r="AQ168" s="7" t="str">
        <x:v>Accident &amp; Health or Sickness / Active / 01/27/2010 / 01/27/2010 / 01/31/2028
Casualty / Active / 03/05/2010 / 03/05/2010 / 01/31/2028
Life / Active / 01/27/2010 / 01/27/2010 / 01/31/2028
Property / Active / 03/05/2010 / 03/05/2010 / 01/31/2028</x:v>
      </x:c>
      <x:c r="AR168" s="7" t="str">
        <x:v>Active</x:v>
      </x:c>
      <x:c r="AS168" s="7" t="str">
        <x:v>Current detail page</x:v>
      </x:c>
    </x:row>
    <x:row r="169" ht="52" customHeight="1">
      <x:c r="A169" s="7" t="str">
        <x:v>AGUILAR ROXANA</x:v>
      </x:c>
      <x:c r="B169" s="14" t="str">
        <x:f>"4492340"</x:f>
        <x:v>4492340</x:v>
      </x:c>
      <x:c r="C169" s="7" t="str">
        <x:v>Omitted</x:v>
      </x:c>
      <x:c r="D169" s="7" t="str">
        <x:v>REVIEW</x:v>
      </x:c>
      <x:c r="E169" s="13" t="str">
        <x:v>Pending</x:v>
      </x:c>
      <x:c r="F169" s="13" t="str"/>
      <x:c r="G169" s="13" t="str"/>
      <x:c r="H169" s="13" t="str"/>
      <x:c r="I169" s="7" t="str">
        <x:v>Was this person reviewed? If rejected, give the actual rule and evidence. If acceptable, correct the omission. Resolve: No collected public business phone; Geographic scope.</x:v>
      </x:c>
      <x:c r="J169" s="7" t="str">
        <x:v>R5, R6</x:v>
      </x:c>
      <x:c r="K169" s="7" t="str">
        <x:v>Requires verification: No collected public business phone; Geographic scope. These facts do not establish the original reviewer’s motive.</x:v>
      </x:c>
      <x:c r="L169" s="7" t="str">
        <x:v>Not supplied; membership is known, motive is not</x:v>
      </x:c>
      <x:c r="M169" s="7" t="n">
        <x:v>5</x:v>
      </x:c>
      <x:c r="N169" s="7" t="str">
        <x:v>Find contact information first</x:v>
      </x:c>
      <x:c r="O169" s="7" t="str">
        <x:v>Active</x:v>
      </x:c>
      <x:c r="P169" s="7" t="str">
        <x:v>09/16/2025</x:v>
      </x:c>
      <x:c r="Q169" s="7" t="str">
        <x:v>09/30/2027</x:v>
      </x:c>
      <x:c r="R169" s="7" t="str">
        <x:v>Accident &amp; Health or Sickness; Life</x:v>
      </x:c>
      <x:c r="S169" s="15" t="str"/>
      <x:c r="T169" s="7" t="str">
        <x:v>No public business phone in collected record</x:v>
      </x:c>
      <x:c r="U169" s="7" t="str">
        <x:v>7415 CESSNA DR CORPUS CHRISTI TX, 78412-5110</x:v>
      </x:c>
      <x:c r="V169" s="7" t="str">
        <x:v>Non-resident</x:v>
      </x:c>
      <x:c r="W169" s="7" t="str">
        <x:v>TX</x:v>
      </x:c>
      <x:c r="X169" s="7" t="str"/>
      <x:c r="Y169" s="7" t="str"/>
      <x:c r="Z169" s="7" t="str"/>
      <x:c r="AA169" s="7" t="str"/>
      <x:c r="AB169" s="7" t="str"/>
      <x:c r="AC169" s="7" t="str"/>
      <x:c r="AD169" s="7" t="str">
        <x:v>Active general Life authority | No agency or insurer displayed: onboarding opportunity possible; existing business unknown | Active A&amp;H supports optional cross-selling; not necessary for target products</x:v>
      </x:c>
      <x:c r="AE169" s="7" t="str">
        <x:v>Nonresident or address state outside CA; confirm geographic recruiting scope | No public business phone: contact enrichment needed, not proof of poor recruiting fit</x:v>
      </x:c>
      <x:c r="AF169" s="16" t="n">
        <x:v>1.1</x:v>
      </x:c>
      <x:c r="AG169" s="17" t="n">
        <x:v>357</x:v>
      </x:c>
      <x:c r="AH169" s="7" t="str"/>
      <x:c r="AI169" s="7" t="str"/>
      <x:c r="AJ169" s="7" t="str"/>
      <x:c r="AK169" s="15" t="str"/>
      <x:c r="AL169" s="7" t="str"/>
      <x:c r="AM169" s="7" t="str">
        <x:v>AGUILAR  ROXANA</x:v>
      </x:c>
      <x:c r="AN169" s="7" t="str">
        <x:v>https://cdicloud.insurance.ca.gov/cal/LicenseDetail?SearchType=IND&amp;SearchLicNbr=4492340&amp;SearchIndvId=4492340</x:v>
      </x:c>
      <x:c r="AO169" s="7" t="str">
        <x:v>2026-10-08</x:v>
      </x:c>
      <x:c r="AP169" s="7" t="str">
        <x:v>ac9f44c1e70ca191ea8e88b3b64fcd460c352685f44915fbddbebc6494f73950</x:v>
      </x:c>
      <x:c r="AQ169" s="7" t="str">
        <x:v>Accident &amp; Health or Sickness / Active / 09/16/2025 / 09/16/2025 / 09/30/2027
Life / Active / 09/16/2025 / 09/16/2025 / 09/30/2027</x:v>
      </x:c>
      <x:c r="AR169" s="7" t="str">
        <x:v>Active</x:v>
      </x:c>
      <x:c r="AS169" s="7" t="str">
        <x:v>Current detail page</x:v>
      </x:c>
    </x:row>
    <x:row r="170" ht="52" customHeight="1">
      <x:c r="A170" s="7" t="str">
        <x:v>AGUILAR RUBIO LOURDES Y</x:v>
      </x:c>
      <x:c r="B170" s="14" t="str">
        <x:f>"0J05815"</x:f>
        <x:v>0J05815</x:v>
      </x:c>
      <x:c r="C170" s="7" t="str">
        <x:v>Omitted</x:v>
      </x:c>
      <x:c r="D170" s="7" t="str">
        <x:v>REVIEW</x:v>
      </x:c>
      <x:c r="E170" s="13" t="str">
        <x:v>Pending</x:v>
      </x:c>
      <x:c r="F170" s="13" t="str"/>
      <x:c r="G170" s="13" t="str"/>
      <x:c r="H170" s="13" t="str"/>
      <x:c r="I170" s="7" t="str">
        <x:v>Was this person reviewed? If rejected, give the actual rule and evidence. If acceptable, correct the omission. Resolve: No collected public business phone; Geographic scope.</x:v>
      </x:c>
      <x:c r="J170" s="7" t="str">
        <x:v>R5, R6</x:v>
      </x:c>
      <x:c r="K170" s="7" t="str">
        <x:v>Requires verification: No collected public business phone; Geographic scope. These facts do not establish the original reviewer’s motive.</x:v>
      </x:c>
      <x:c r="L170" s="7" t="str">
        <x:v>Not supplied; membership is known, motive is not</x:v>
      </x:c>
      <x:c r="M170" s="7" t="n">
        <x:v>5</x:v>
      </x:c>
      <x:c r="N170" s="7" t="str">
        <x:v>Find contact information first</x:v>
      </x:c>
      <x:c r="O170" s="7" t="str">
        <x:v>Active</x:v>
      </x:c>
      <x:c r="P170" s="7" t="str">
        <x:v>09/19/2014</x:v>
      </x:c>
      <x:c r="Q170" s="7" t="str">
        <x:v>06/30/2028</x:v>
      </x:c>
      <x:c r="R170" s="7" t="str">
        <x:v>Life</x:v>
      </x:c>
      <x:c r="S170" s="15" t="str"/>
      <x:c r="T170" s="7" t="str">
        <x:v>No public business phone in collected record</x:v>
      </x:c>
      <x:c r="U170" s="7" t="str">
        <x:v>9245 LAGUNA SPRINGS DR STE 200 ELK GROVE CA, 95758</x:v>
      </x:c>
      <x:c r="V170" s="7" t="str">
        <x:v>Non-resident</x:v>
      </x:c>
      <x:c r="W170" s="7" t="str">
        <x:v>CA</x:v>
      </x:c>
      <x:c r="X170" s="7" t="str"/>
      <x:c r="Y170" s="7" t="str">
        <x:v>PRIMERICA LIFE INSURANCE COMPANY / Life / 06/03/2026</x:v>
      </x:c>
      <x:c r="Z170" s="7" t="str"/>
      <x:c r="AA170" s="7" t="str"/>
      <x:c r="AB170" s="7" t="str"/>
      <x:c r="AC170" s="7" t="str"/>
      <x:c r="AD170" s="7" t="str">
        <x:v>Active general Life authority | Primerica relationship: matches an explicitly targeted recruiting segment | Direct Life appointments outside the selected health-carrier set: PRIMERICA LIFE INSURANCE COMPANY</x:v>
      </x:c>
      <x:c r="AE170" s="7" t="str">
        <x:v>Nonresident or address state outside CA; confirm geographic recruiting scope | No public business phone: contact enrichment needed, not proof of poor recruiting fit</x:v>
      </x:c>
      <x:c r="AF170" s="16" t="n">
        <x:v>12.1</x:v>
      </x:c>
      <x:c r="AG170" s="17" t="n">
        <x:v>631</x:v>
      </x:c>
      <x:c r="AH170" s="7" t="str">
        <x:v>2026-06-03</x:v>
      </x:c>
      <x:c r="AI170" s="7" t="str">
        <x:v>English</x:v>
      </x:c>
      <x:c r="AJ170" s="7" t="str"/>
      <x:c r="AK170" s="15" t="str"/>
      <x:c r="AL170" s="7" t="str"/>
      <x:c r="AM170" s="7" t="str">
        <x:v>Aguilar Garcia Y Lourdes | AGUILAR RUBIO Y LOURDES | AGUILAR-GARCIA YAZMIN LOURDES</x:v>
      </x:c>
      <x:c r="AN170" s="7" t="str">
        <x:v>https://cdicloud.insurance.ca.gov/cal/LicenseDetail?SearchType=IND&amp;SearchLicNbr=0J05815&amp;SearchIndvId=1697839</x:v>
      </x:c>
      <x:c r="AO170" s="7" t="str">
        <x:v>2026-10-08</x:v>
      </x:c>
      <x:c r="AP170" s="7" t="str">
        <x:v>38ca6f83881217363c48df2cad344e30d96353c40b38fa9fa5549839970e8c09</x:v>
      </x:c>
      <x:c r="AQ170" s="7" t="str">
        <x:v>Life / Active / 09/19/2014 / 06/02/2026 / 06/30/2028</x:v>
      </x:c>
      <x:c r="AR170" s="7" t="str">
        <x:v>Active</x:v>
      </x:c>
      <x:c r="AS170" s="7" t="str">
        <x:v>Current detail page</x:v>
      </x:c>
    </x:row>
    <x:row r="171" ht="52" customHeight="1">
      <x:c r="A171" s="7" t="str">
        <x:v>AGUILAR SILBER JHONY</x:v>
      </x:c>
      <x:c r="B171" s="14" t="str">
        <x:f>"4487890"</x:f>
        <x:v>4487890</x:v>
      </x:c>
      <x:c r="C171" s="7" t="str">
        <x:v>Omitted</x:v>
      </x:c>
      <x:c r="D171" s="7" t="str">
        <x:v>REVIEW</x:v>
      </x:c>
      <x:c r="E171" s="13" t="str">
        <x:v>Pending</x:v>
      </x:c>
      <x:c r="F171" s="13" t="str"/>
      <x:c r="G171" s="13" t="str"/>
      <x:c r="H171" s="13" t="str"/>
      <x:c r="I171" s="7" t="str">
        <x:v>Was this person reviewed? If rejected, give the actual rule and evidence. If acceptable, correct the omission. Resolve: No collected public business phone.</x:v>
      </x:c>
      <x:c r="J171" s="7" t="str">
        <x:v>R5</x:v>
      </x:c>
      <x:c r="K171" s="7" t="str">
        <x:v>Requires verification: No collected public business phone. These facts do not establish the original reviewer’s motive.</x:v>
      </x:c>
      <x:c r="L171" s="7" t="str">
        <x:v>Not supplied; membership is known, motive is not</x:v>
      </x:c>
      <x:c r="M171" s="7" t="n">
        <x:v>5</x:v>
      </x:c>
      <x:c r="N171" s="7" t="str">
        <x:v>Find contact information first</x:v>
      </x:c>
      <x:c r="O171" s="7" t="str">
        <x:v>Active</x:v>
      </x:c>
      <x:c r="P171" s="7" t="str">
        <x:v>08/27/2025</x:v>
      </x:c>
      <x:c r="Q171" s="7" t="str">
        <x:v>08/31/2027</x:v>
      </x:c>
      <x:c r="R171" s="7" t="str">
        <x:v>Life</x:v>
      </x:c>
      <x:c r="S171" s="15" t="str"/>
      <x:c r="T171" s="7" t="str">
        <x:v>No public business phone in collected record</x:v>
      </x:c>
      <x:c r="U171" s="7" t="str">
        <x:v>1001 W SAN MARCOS SUITE 205 SAN MARCOS CA, 92078</x:v>
      </x:c>
      <x:c r="V171" s="7" t="str">
        <x:v>Resident</x:v>
      </x:c>
      <x:c r="W171" s="7" t="str">
        <x:v>CA</x:v>
      </x:c>
      <x:c r="X171" s="7" t="str"/>
      <x:c r="Y171" s="7" t="str"/>
      <x:c r="Z171" s="7" t="str"/>
      <x:c r="AA171" s="7" t="str"/>
      <x:c r="AB171" s="7" t="str"/>
      <x:c r="AC171" s="7" t="str"/>
      <x:c r="AD171" s="7" t="str">
        <x:v>Active general Life authority | No agency or insurer displayed: onboarding opportunity possible; existing business unknown</x:v>
      </x:c>
      <x:c r="AE171" s="7" t="str">
        <x:v>No public business phone: contact enrichment needed, not proof of poor recruiting fit</x:v>
      </x:c>
      <x:c r="AF171" s="16" t="n">
        <x:v>1.1</x:v>
      </x:c>
      <x:c r="AG171" s="17" t="n">
        <x:v>327</x:v>
      </x:c>
      <x:c r="AH171" s="7" t="str"/>
      <x:c r="AI171" s="7" t="str">
        <x:v>English</x:v>
      </x:c>
      <x:c r="AJ171" s="7" t="str"/>
      <x:c r="AK171" s="15" t="str"/>
      <x:c r="AL171" s="7" t="str"/>
      <x:c r="AM171" s="7" t="str">
        <x:v>Aguilar J Silber | AGUILAR JHONY SILBER</x:v>
      </x:c>
      <x:c r="AN171" s="7" t="str">
        <x:v>https://cdicloud.insurance.ca.gov/cal/LicenseDetail?SearchType=IND&amp;SearchLicNbr=4487890&amp;SearchIndvId=4487890</x:v>
      </x:c>
      <x:c r="AO171" s="7" t="str">
        <x:v>2026-10-08</x:v>
      </x:c>
      <x:c r="AP171" s="7" t="str">
        <x:v>9eda7c34412a6904d40a345005afa0f9cf37e40f8d748e9c8995cef488c4cbd0</x:v>
      </x:c>
      <x:c r="AQ171" s="7" t="str">
        <x:v>Life / Active / 08/27/2025 / 08/27/2025 / 08/31/2027</x:v>
      </x:c>
      <x:c r="AR171" s="7" t="str">
        <x:v>Active</x:v>
      </x:c>
      <x:c r="AS171" s="7" t="str">
        <x:v>Current detail page</x:v>
      </x:c>
    </x:row>
    <x:row r="172" ht="52" customHeight="1">
      <x:c r="A172" s="7" t="str">
        <x:v>AGUILAR SILVIA ALVISO</x:v>
      </x:c>
      <x:c r="B172" s="14" t="str">
        <x:f>"0F48693"</x:f>
        <x:v>0F48693</x:v>
      </x:c>
      <x:c r="C172" s="7" t="str">
        <x:v>Omitted</x:v>
      </x:c>
      <x:c r="D172" s="7" t="str">
        <x:v>REVIEW</x:v>
      </x:c>
      <x:c r="E172" s="13" t="str">
        <x:v>Pending</x:v>
      </x:c>
      <x:c r="F172" s="13" t="str"/>
      <x:c r="G172" s="13" t="str"/>
      <x:c r="H172" s="13" t="str"/>
      <x:c r="I172" s="7" t="str">
        <x:v>Was this person reviewed? If rejected, give the actual rule and evidence. If acceptable, correct the omission. Resolve: No collected public business phone.</x:v>
      </x:c>
      <x:c r="J172" s="7" t="str">
        <x:v>R5</x:v>
      </x:c>
      <x:c r="K172" s="7" t="str">
        <x:v>Requires verification: No collected public business phone. These facts do not establish the original reviewer’s motive.</x:v>
      </x:c>
      <x:c r="L172" s="7" t="str">
        <x:v>Not supplied; membership is known, motive is not</x:v>
      </x:c>
      <x:c r="M172" s="7" t="n">
        <x:v>5</x:v>
      </x:c>
      <x:c r="N172" s="7" t="str">
        <x:v>Find contact information first</x:v>
      </x:c>
      <x:c r="O172" s="7" t="str">
        <x:v>Active</x:v>
      </x:c>
      <x:c r="P172" s="7" t="str">
        <x:v>12/27/2006</x:v>
      </x:c>
      <x:c r="Q172" s="7" t="str">
        <x:v>12/31/2026</x:v>
      </x:c>
      <x:c r="R172" s="7" t="str">
        <x:v>Accident &amp; Health or Sickness; Casualty; Life; Property</x:v>
      </x:c>
      <x:c r="S172" s="15" t="str"/>
      <x:c r="T172" s="7" t="str">
        <x:v>No public business phone in collected record</x:v>
      </x:c>
      <x:c r="U172" s="7" t="str">
        <x:v>3553 TWOGOOD LN RIVERSIDE CA, 92501-2546</x:v>
      </x:c>
      <x:c r="V172" s="7" t="str">
        <x:v>Resident</x:v>
      </x:c>
      <x:c r="W172" s="7" t="str">
        <x:v>CA</x:v>
      </x:c>
      <x:c r="X172" s="7" t="str"/>
      <x:c r="Y172" s="7" t="str">
        <x:v>AETNA LIFE INSURANCE COMPANY / Life / 02/10/2016
AMALGAMATED LIFE INSURANCE COMPANY / Accident &amp; Health or Sickness / 07/08/2022
AMALGAMATED LIFE INSURANCE COMPANY / Life / 07/08/2022
AMERICAN GENERAL LIFE INSURANCE COMPANY / Accident &amp; Health or Sickness / 08/30/2013
AMERICAN GENERAL LIFE INSURANCE COMPANY / Life / 08/30/2013
AMERICAN HERITAGE LIFE INSURANCE COMPANY / Accident &amp; Health or Sickness / 08/14/2018
AMERICAN HERITAGE LIFE INSURANCE COMPANY / Disability Only / 08/14/2018
AMERICAN HERITAGE LIFE INSURANCE COMPANY / Life / 08/14/2018
ANTHEM BLUE CROSS LIFE AND HEALTH INSURANCE COMPANY / Accident &amp; Health or Sickness / 02/16/2016
ANTHEM BLUE CROSS LIFE AND HEALTH INSURANCE COMPANY / Life / 02/16/2016
BLUE SHIELD OF CALIFORNIA LIFE &amp; HEALTH INSURANCE COMPANY / Accident &amp; Health or Sickness / 02/03/2016
BLUE SHIELD OF CALIFORNIA LIFE &amp; HEALTH INSURANCE COMPANY / Life / 02/03/2016
COLONIAL LIFE &amp; ACCIDENT INSURANCE COMPANY / Accident &amp; Health or Sickness / 04/27/2015
COLONIAL LIFE &amp; ACCIDENT INSURANCE COMPANY / Life / 04/27/2015
CONTINENTAL LIFE INSURANCE COMPANY OF BRENTWOOD, TENNESSEE / Accident &amp; Health or Sickness / 02/10/2016
FAMILY LIFE INSURANCE COMPANY / Accident &amp; Health or Sickness / 09/29/2015
FAMILY LIFE INSURANCE COMPANY / Life / 09/29/2015
FIDELITY SECURITY LIFE INSURANCE COMPANY / Accident &amp; Health or Sickness / 07/18/2011
FIDELITY SECURITY LIFE INSURANCE COMPANY / Life / 07/18/2011
INDEPENDENT ORDER OF FORESTERS (THE) / Life / 07/01/2020
PROVIDENT LIFE AND ACCIDENT INSURANCE COMPANY / Accident &amp; Health or Sickness / 08/25/2022
PROVIDENT LIFE AND ACCIDENT INSURANCE COMPANY / Life / 08/25/2022
RELIASTAR LIFE INSURANCE COMPANY / Accident &amp; Health or Sickness / 10/14/2013
RELIASTAR LIFE INSURANCE COMPANY / Life / 10/14/2013
SECURITY MUTUAL LIFE INSURANCE COMPANY OF NEW YORK / Accident &amp; Health or Sickness / 09/08/2024
SECURITY MUTUAL LIFE INSURANCE COMPANY OF NEW YORK / Life / 05/05/2023
STANDARD INSURANCE COMPANY / Accident &amp; Health or Sickness / 02/24/2014
STANDARD INSURANCE COMPANY / Disability Only / 02/24/2014
STANDARD INSURANCE COMPANY / Life / 02/24/2014
STARMOUNT LIFE INSURANCE COMPANY / Accident &amp; Health or Sickness / 08/25/2022
SUN LIFE ASSURANCE COMPANY OF CANADA / Accident &amp; Health or Sickness / 03/06/2019
SUN LIFE ASSURANCE COMPANY OF CANADA / Life / 03/06/2019
TRANSAMERICA LIFE INSURANCE COMPANY / Accident &amp; Health or Sickness / 07/09/2015
TRANSAMERICA LIFE INSURANCE COMPANY / Life / 07/09/2015
TRUSTMARK INSURANCE COMPANY / Accident &amp; Health or Sickness / 09/12/2022
TRUSTMARK INSURANCE COMPANY / Life / 09/12/2022
UNUM INSURANCE COMPANY / Accident &amp; Health or Sickness / 08/25/2022
UNUM INSURANCE COMPANY / Life / 08/25/2022
UNUM LIFE INSURANCE COMPANY OF AMERICA / Accident &amp; Health or Sickness / 08/25/2022
UNUM LIFE INSURANCE COMPANY OF AMERICA / Life / 08/25/2022</x:v>
      </x:c>
      <x:c r="Z172" s="7" t="str"/>
      <x:c r="AA172" s="7" t="str"/>
      <x:c r="AB172" s="7" t="str"/>
      <x:c r="AC172" s="7" t="str"/>
      <x:c r="AD172" s="7" t="str">
        <x:v>Active general Life authority | Direct Life appointments outside the selected health-carrier set: AMALGAMATED LIFE INSURANCE COMPANY, AMERICAN GENERAL LIFE INSURANCE COMPANY, AMERICAN HERITAGE LIFE INSURANCE COMPANY, COLONIAL LIFE &amp; ACCIDENT INSURANCE COMPANY, FAMILY LIFE INSURANCE COMPANY, FIDELITY SECURITY LIFE INSURANCE COMPANY, INDEPENDENT ORDER OF FORESTERS (THE), PROVIDENT LIFE AND ACCIDENT INSURANCE COMPANY, RELIASTAR LIFE INSURANCE COMPANY, SECURITY MUTUAL LIFE INSURANCE COMPANY OF NEW YORK, STANDARD INSURANCE COMPANY, SUN LIFE ASSURANCE COMPANY OF CANADA, TRANSAMERICA LIFE INSURANCE COMPANY, TRUSTMARK INSURANCE COMPANY, UNUM INSURANCE COMPANY, UNUM LIFE INSURANCE COMPANY OF AMERICA | Active A&amp;H supports optional cross-selling; not necessary for target products</x:v>
      </x:c>
      <x:c r="AE172" s="7" t="str">
        <x:v>Mixed P&amp;C/Life qualifications; not an exclusion because approved examples have both | No public business phone: contact enrichment needed, not proof of poor recruiting fit</x:v>
      </x:c>
      <x:c r="AF172" s="16" t="n">
        <x:v>19.8</x:v>
      </x:c>
      <x:c r="AG172" s="17" t="n">
        <x:v>84</x:v>
      </x:c>
      <x:c r="AH172" s="7" t="str">
        <x:v>2023-05-05</x:v>
      </x:c>
      <x:c r="AI172" s="7" t="str">
        <x:v>English</x:v>
      </x:c>
      <x:c r="AJ172" s="7" t="str"/>
      <x:c r="AK172" s="15" t="str"/>
      <x:c r="AL172" s="7" t="str"/>
      <x:c r="AM172" s="7" t="str">
        <x:v>AGUILAR ALVISO SILVIA</x:v>
      </x:c>
      <x:c r="AN172" s="7" t="str">
        <x:v>https://cdicloud.insurance.ca.gov/cal/LicenseDetail?SearchType=IND&amp;SearchLicNbr=0F48693&amp;SearchIndvId=1061657</x:v>
      </x:c>
      <x:c r="AO172" s="7" t="str">
        <x:v>2026-10-08</x:v>
      </x:c>
      <x:c r="AP172" s="7" t="str">
        <x:v>eabf5003749f9c476a14eb6acdb495e151802e6ee909de8ba39fcf8006e3f53c</x:v>
      </x:c>
      <x:c r="AQ172" s="7" t="str">
        <x:v>Accident &amp; Health or Sickness / Active / 12/27/2006 / 12/27/2006 / 12/31/2026
Casualty / Active / 12/16/2009 / 12/16/2009 / 12/31/2026
Life / Active / 12/27/2006 / 12/27/2006 / 12/31/2026
Property / Active / 12/16/2009 / 12/16/2009 / 12/31/2026</x:v>
      </x:c>
      <x:c r="AR172" s="7" t="str">
        <x:v>Active</x:v>
      </x:c>
      <x:c r="AS172" s="7" t="str">
        <x:v>Current detail page</x:v>
      </x:c>
    </x:row>
    <x:row r="173" ht="52" customHeight="1">
      <x:c r="A173" s="7" t="str">
        <x:v>AGUILAR SOBEIDA HALCON</x:v>
      </x:c>
      <x:c r="B173" s="14" t="str">
        <x:f>"4559388"</x:f>
        <x:v>4559388</x:v>
      </x:c>
      <x:c r="C173" s="7" t="str">
        <x:v>Omitted</x:v>
      </x:c>
      <x:c r="D173" s="7" t="str">
        <x:v>REVIEW</x:v>
      </x:c>
      <x:c r="E173" s="13" t="str">
        <x:v>Pending</x:v>
      </x:c>
      <x:c r="F173" s="13" t="str"/>
      <x:c r="G173" s="13" t="str"/>
      <x:c r="H173" s="13" t="str"/>
      <x:c r="I173" s="7" t="str">
        <x:v>Was this person reviewed? If rejected, give the actual rule and evidence. If acceptable, correct the omission. Resolve: No collected public business phone.</x:v>
      </x:c>
      <x:c r="J173" s="7" t="str">
        <x:v>R5</x:v>
      </x:c>
      <x:c r="K173" s="7" t="str">
        <x:v>Requires verification: No collected public business phone. These facts do not establish the original reviewer’s motive.</x:v>
      </x:c>
      <x:c r="L173" s="7" t="str">
        <x:v>Not supplied; membership is known, motive is not</x:v>
      </x:c>
      <x:c r="M173" s="7" t="n">
        <x:v>5</x:v>
      </x:c>
      <x:c r="N173" s="7" t="str">
        <x:v>Find contact information first</x:v>
      </x:c>
      <x:c r="O173" s="7" t="str">
        <x:v>Active</x:v>
      </x:c>
      <x:c r="P173" s="7" t="str">
        <x:v>09/02/2026</x:v>
      </x:c>
      <x:c r="Q173" s="7" t="str">
        <x:v>09/30/2028</x:v>
      </x:c>
      <x:c r="R173" s="7" t="str">
        <x:v>Life</x:v>
      </x:c>
      <x:c r="S173" s="15" t="str"/>
      <x:c r="T173" s="7" t="str">
        <x:v>No public business phone in collected record</x:v>
      </x:c>
      <x:c r="U173" s="7" t="str">
        <x:v>22324 TEMESCAL CANYON RD CORONA CA, 92883</x:v>
      </x:c>
      <x:c r="V173" s="7" t="str">
        <x:v>Resident</x:v>
      </x:c>
      <x:c r="W173" s="7" t="str">
        <x:v>CA</x:v>
      </x:c>
      <x:c r="X173" s="7" t="str"/>
      <x:c r="Y173" s="7" t="str"/>
      <x:c r="Z173" s="7" t="str"/>
      <x:c r="AA173" s="7" t="str"/>
      <x:c r="AB173" s="7" t="str"/>
      <x:c r="AC173" s="7" t="str"/>
      <x:c r="AD173" s="7" t="str">
        <x:v>Active general Life authority | No agency or insurer displayed: onboarding opportunity possible; existing business unknown</x:v>
      </x:c>
      <x:c r="AE173" s="7" t="str">
        <x:v>No public business phone: contact enrichment needed, not proof of poor recruiting fit</x:v>
      </x:c>
      <x:c r="AF173" s="16" t="n">
        <x:v>0.1</x:v>
      </x:c>
      <x:c r="AG173" s="17" t="n">
        <x:v>723</x:v>
      </x:c>
      <x:c r="AH173" s="7" t="str"/>
      <x:c r="AI173" s="7" t="str">
        <x:v>English</x:v>
      </x:c>
      <x:c r="AJ173" s="7" t="str"/>
      <x:c r="AK173" s="15" t="str"/>
      <x:c r="AL173" s="7" t="str"/>
      <x:c r="AM173" s="7" t="str">
        <x:v>AGUILAR HALCON SOBEIDA | AGUILAR  SOBEIDA HALCON</x:v>
      </x:c>
      <x:c r="AN173" s="7" t="str">
        <x:v>https://cdicloud.insurance.ca.gov/cal/LicenseDetail?SearchType=IND&amp;SearchLicNbr=4559388&amp;SearchIndvId=4559388</x:v>
      </x:c>
      <x:c r="AO173" s="7" t="str">
        <x:v>2026-10-08</x:v>
      </x:c>
      <x:c r="AP173" s="7" t="str">
        <x:v>03ab795da814c9ecefa4268c0a682d16fe22c537e45be91ec3202a8c2cdec302</x:v>
      </x:c>
      <x:c r="AQ173" s="7" t="str">
        <x:v>Life / Active / 09/02/2026 / 09/02/2026 / 09/30/2028</x:v>
      </x:c>
      <x:c r="AR173" s="7" t="str">
        <x:v>Active</x:v>
      </x:c>
      <x:c r="AS173" s="7" t="str">
        <x:v>Current detail page</x:v>
      </x:c>
    </x:row>
    <x:row r="174" ht="52" customHeight="1">
      <x:c r="A174" s="7" t="str">
        <x:v>AGUILAR STEPHANIE</x:v>
      </x:c>
      <x:c r="B174" s="14" t="str">
        <x:f>"4501610"</x:f>
        <x:v>4501610</x:v>
      </x:c>
      <x:c r="C174" s="7" t="str">
        <x:v>Omitted</x:v>
      </x:c>
      <x:c r="D174" s="7" t="str">
        <x:v>REVIEW</x:v>
      </x:c>
      <x:c r="E174" s="13" t="str">
        <x:v>Pending</x:v>
      </x:c>
      <x:c r="F174" s="13" t="str"/>
      <x:c r="G174" s="13" t="str"/>
      <x:c r="H174" s="13" t="str"/>
      <x:c r="I174" s="7" t="str">
        <x:v>Was this person reviewed? If rejected, give the actual rule and evidence. If acceptable, correct the omission. Resolve: Selected health-carrier Life mix; No collected public business phone; Geographic scope.</x:v>
      </x:c>
      <x:c r="J174" s="7" t="str">
        <x:v>R4, R5, R6</x:v>
      </x:c>
      <x:c r="K174" s="7" t="str">
        <x:v>Requires verification: Selected health-carrier Life mix; No collected public business phone; Geographic scope. These facts do not establish the original reviewer’s motive.</x:v>
      </x:c>
      <x:c r="L174" s="7" t="str">
        <x:v>Not supplied; membership is known, motive is not</x:v>
      </x:c>
      <x:c r="M174" s="7" t="n">
        <x:v>5</x:v>
      </x:c>
      <x:c r="N174" s="7" t="str">
        <x:v>Find contact information first</x:v>
      </x:c>
      <x:c r="O174" s="7" t="str">
        <x:v>Active</x:v>
      </x:c>
      <x:c r="P174" s="7" t="str">
        <x:v>10/13/2025</x:v>
      </x:c>
      <x:c r="Q174" s="7" t="str">
        <x:v>10/31/2027</x:v>
      </x:c>
      <x:c r="R174" s="7" t="str">
        <x:v>Accident &amp; Health or Sickness; Life</x:v>
      </x:c>
      <x:c r="S174" s="15" t="str"/>
      <x:c r="T174" s="7" t="str">
        <x:v>No public business phone in collected record</x:v>
      </x:c>
      <x:c r="U174" s="7" t="str">
        <x:v>229 N NEVAREZ RD NO 141 EL PASO TX, 79927</x:v>
      </x:c>
      <x:c r="V174" s="7" t="str">
        <x:v>Non-resident</x:v>
      </x:c>
      <x:c r="W174" s="7" t="str">
        <x:v>TX</x:v>
      </x:c>
      <x:c r="X174" s="7" t="str">
        <x:v>TZ INSURANCE SOLUTIONS, LLC / Accident &amp; Health or Sickness / 10/05/2026
ANHELO INSURANCE SOLUTIONS LLC / Accident &amp; Health or Sickness / 10/21/2025
TZ INSURANCE SOLUTIONS, LLC / Life / 10/05/2026
ANHELO INSURANCE SOLUTIONS LLC / Life / 10/21/2025</x:v>
      </x:c>
      <x:c r="Y174" s="7" t="str">
        <x:v>ANTHEM BLUE CROSS LIFE AND HEALTH INSURANCE COMPANY / Accident &amp; Health or Sickness / 10/26/2025
ANTHEM BLUE CROSS LIFE AND HEALTH INSURANCE COMPANY / Life / 10/26/2025
CONTINENTAL LIFE INSURANCE COMPANY OF BRENTWOOD, TENNESSEE / Accident &amp; Health or Sickness / 09/17/2026
UNITEDHEALTHCARE INSURANCE COMPANY / Accident &amp; Health or Sickness / 11/06/2025</x:v>
      </x:c>
      <x:c r="Z174" s="7" t="str"/>
      <x:c r="AA174" s="7" t="str"/>
      <x:c r="AB174" s="7" t="str"/>
      <x:c r="AC174" s="7" t="str"/>
      <x:c r="AD174" s="7" t="str">
        <x:v>Active general Life authority | Active A&amp;H supports optional cross-selling; not necessary for target products</x:v>
      </x:c>
      <x:c r="AE174" s="7" t="str">
        <x:v>Life appointments shown only at selected health-oriented carriers; core Life activity unestablished | Nonresident or address state outside CA; confirm geographic recruiting scope | No public business phone: contact enrichment needed, not proof of poor recruiting fit</x:v>
      </x:c>
      <x:c r="AF174" s="16" t="n">
        <x:v>1</x:v>
      </x:c>
      <x:c r="AG174" s="17" t="n">
        <x:v>388</x:v>
      </x:c>
      <x:c r="AH174" s="7" t="str">
        <x:v>2025-10-26</x:v>
      </x:c>
      <x:c r="AI174" s="7" t="str"/>
      <x:c r="AJ174" s="7" t="str"/>
      <x:c r="AK174" s="15" t="str"/>
      <x:c r="AL174" s="7" t="str"/>
      <x:c r="AM174" s="7" t="str">
        <x:v>AGUILAR  STEPHANIE</x:v>
      </x:c>
      <x:c r="AN174" s="7" t="str">
        <x:v>https://cdicloud.insurance.ca.gov/cal/LicenseDetail?SearchType=IND&amp;SearchLicNbr=4501610&amp;SearchIndvId=4501610</x:v>
      </x:c>
      <x:c r="AO174" s="7" t="str">
        <x:v>2026-10-08</x:v>
      </x:c>
      <x:c r="AP174" s="7" t="str">
        <x:v>416cfb2a6a698a5514d212ccc720b178345b75186d1902fc2353b736b8557d67</x:v>
      </x:c>
      <x:c r="AQ174" s="7" t="str">
        <x:v>Accident &amp; Health or Sickness / Active / 10/13/2025 / 10/13/2025 / 10/31/2027
Life / Active / 10/13/2025 / 10/13/2025 / 10/31/2027</x:v>
      </x:c>
      <x:c r="AR174" s="7" t="str">
        <x:v>Active</x:v>
      </x:c>
      <x:c r="AS174" s="7" t="str">
        <x:v>Current detail page</x:v>
      </x:c>
    </x:row>
    <x:row r="175" ht="52" customHeight="1">
      <x:c r="A175" s="7" t="str">
        <x:v>AGUILAR STEVEN MICHAEL</x:v>
      </x:c>
      <x:c r="B175" s="14" t="str">
        <x:f>"4005101"</x:f>
        <x:v>4005101</x:v>
      </x:c>
      <x:c r="C175" s="7" t="str">
        <x:v>Omitted</x:v>
      </x:c>
      <x:c r="D175" s="7" t="str">
        <x:v>REVIEW</x:v>
      </x:c>
      <x:c r="E175" s="13" t="str">
        <x:v>Pending</x:v>
      </x:c>
      <x:c r="F175" s="13" t="str"/>
      <x:c r="G175" s="13" t="str"/>
      <x:c r="H175" s="13" t="str"/>
      <x:c r="I175" s="7" t="str">
        <x:v>Was this person reviewed? If rejected, give the actual rule and evidence. If acceptable, correct the omission. Resolve: No collected public business phone.</x:v>
      </x:c>
      <x:c r="J175" s="7" t="str">
        <x:v>R5</x:v>
      </x:c>
      <x:c r="K175" s="7" t="str">
        <x:v>Requires verification: No collected public business phone. These facts do not establish the original reviewer’s motive.</x:v>
      </x:c>
      <x:c r="L175" s="7" t="str">
        <x:v>Not supplied; membership is known, motive is not</x:v>
      </x:c>
      <x:c r="M175" s="7" t="n">
        <x:v>5</x:v>
      </x:c>
      <x:c r="N175" s="7" t="str">
        <x:v>Find contact information first</x:v>
      </x:c>
      <x:c r="O175" s="7" t="str">
        <x:v>Active</x:v>
      </x:c>
      <x:c r="P175" s="7" t="str">
        <x:v>09/24/2019</x:v>
      </x:c>
      <x:c r="Q175" s="7" t="str">
        <x:v>09/30/2027</x:v>
      </x:c>
      <x:c r="R175" s="7" t="str">
        <x:v>Life</x:v>
      </x:c>
      <x:c r="S175" s="15" t="str"/>
      <x:c r="T175" s="7" t="str">
        <x:v>No public business phone in collected record</x:v>
      </x:c>
      <x:c r="U175" s="7" t="str">
        <x:v>3503 W TEMPLE AVE SUITE C POMONA CA, 91768</x:v>
      </x:c>
      <x:c r="V175" s="7" t="str">
        <x:v>Resident</x:v>
      </x:c>
      <x:c r="W175" s="7" t="str">
        <x:v>CA</x:v>
      </x:c>
      <x:c r="X175" s="7" t="str">
        <x:v>PRIMERICA FINANCIAL SERVICES INSURANCE MARKETING, INC. / Life / 09/24/2019</x:v>
      </x:c>
      <x:c r="Y175" s="7" t="str"/>
      <x:c r="Z175" s="7" t="str"/>
      <x:c r="AA175" s="7" t="str"/>
      <x:c r="AB175" s="7" t="str"/>
      <x:c r="AC175" s="7" t="str"/>
      <x:c r="AD175" s="7" t="str">
        <x:v>Active general Life authority | Primerica relationship: matches an explicitly targeted recruiting segment</x:v>
      </x:c>
      <x:c r="AE175" s="7" t="str">
        <x:v>No public business phone: contact enrichment needed, not proof of poor recruiting fit</x:v>
      </x:c>
      <x:c r="AF175" s="16" t="n">
        <x:v>7</x:v>
      </x:c>
      <x:c r="AG175" s="17" t="n">
        <x:v>357</x:v>
      </x:c>
      <x:c r="AH175" s="7" t="str"/>
      <x:c r="AI175" s="7" t="str">
        <x:v>English</x:v>
      </x:c>
      <x:c r="AJ175" s="7" t="str"/>
      <x:c r="AK175" s="15" t="str"/>
      <x:c r="AL175" s="7" t="str"/>
      <x:c r="AM175" s="7" t="str">
        <x:v>Aguilar M Steven | AGUILAR MICHAEL STEVEN</x:v>
      </x:c>
      <x:c r="AN175" s="7" t="str">
        <x:v>https://cdicloud.insurance.ca.gov/cal/LicenseDetail?SearchType=IND&amp;SearchLicNbr=4005101&amp;SearchIndvId=4005101</x:v>
      </x:c>
      <x:c r="AO175" s="7" t="str">
        <x:v>2026-10-08</x:v>
      </x:c>
      <x:c r="AP175" s="7" t="str">
        <x:v>d64622f0a798e39b981c43690f7bb84f3c4353b613285d7b96c444e178c2196c</x:v>
      </x:c>
      <x:c r="AQ175" s="7" t="str">
        <x:v>Life / Active / 09/24/2019 / 09/24/2019 / 09/30/2027</x:v>
      </x:c>
      <x:c r="AR175" s="7" t="str">
        <x:v>Active</x:v>
      </x:c>
      <x:c r="AS175" s="7" t="str">
        <x:v>Current detail page</x:v>
      </x:c>
    </x:row>
    <x:row r="176" ht="52" customHeight="1">
      <x:c r="A176" s="7" t="str">
        <x:v>AGUILAR TERESA</x:v>
      </x:c>
      <x:c r="B176" s="14" t="str">
        <x:f>"0G64307"</x:f>
        <x:v>0G64307</x:v>
      </x:c>
      <x:c r="C176" s="7" t="str">
        <x:v>Omitted</x:v>
      </x:c>
      <x:c r="D176" s="7" t="str">
        <x:v>REVIEW</x:v>
      </x:c>
      <x:c r="E176" s="13" t="str">
        <x:v>Pending</x:v>
      </x:c>
      <x:c r="F176" s="13" t="str"/>
      <x:c r="G176" s="13" t="str"/>
      <x:c r="H176" s="13" t="str"/>
      <x:c r="I176" s="7" t="str">
        <x:v>Was this person reviewed? If rejected, give the actual rule and evidence. If acceptable, correct the omission. Resolve: No collected public business phone.</x:v>
      </x:c>
      <x:c r="J176" s="7" t="str">
        <x:v>R5</x:v>
      </x:c>
      <x:c r="K176" s="7" t="str">
        <x:v>Requires verification: No collected public business phone. These facts do not establish the original reviewer’s motive.</x:v>
      </x:c>
      <x:c r="L176" s="7" t="str">
        <x:v>Not supplied; membership is known, motive is not</x:v>
      </x:c>
      <x:c r="M176" s="7" t="n">
        <x:v>5</x:v>
      </x:c>
      <x:c r="N176" s="7" t="str">
        <x:v>Find contact information first</x:v>
      </x:c>
      <x:c r="O176" s="7" t="str">
        <x:v>Active</x:v>
      </x:c>
      <x:c r="P176" s="7" t="str">
        <x:v>06/18/2009</x:v>
      </x:c>
      <x:c r="Q176" s="7" t="str">
        <x:v>06/30/2027</x:v>
      </x:c>
      <x:c r="R176" s="7" t="str">
        <x:v>Accident &amp; Health or Sickness; Life</x:v>
      </x:c>
      <x:c r="S176" s="15" t="str"/>
      <x:c r="T176" s="7" t="str">
        <x:v>No public business phone in collected record</x:v>
      </x:c>
      <x:c r="U176" s="7" t="str">
        <x:v>1917 CUMBERLAND DRIVE WEST COVINA CA, 91792</x:v>
      </x:c>
      <x:c r="V176" s="7" t="str">
        <x:v>Resident</x:v>
      </x:c>
      <x:c r="W176" s="7" t="str">
        <x:v>CA</x:v>
      </x:c>
      <x:c r="X176" s="7" t="str">
        <x:v>SIMPLY SURE INSURANCE AGENCY, LLC / Life / 07/12/2018
CALIFORNIA HEALTH BENEFIT EXCHANGE / Accident &amp; Health or Sickness / 10/05/2023
SIMPLY SURE INSURANCE AGENCY, LLC / Accident &amp; Health or Sickness / 07/12/2018</x:v>
      </x:c>
      <x:c r="Y176" s="7" t="str">
        <x:v>AETNA LIFE INSURANCE COMPANY / Accident &amp; Health or Sickness / 11/07/2012
AETNA LIFE INSURANCE COMPANY / Life / 11/07/2012
AMERICAN GENERAL LIFE INSURANCE COMPANY / Accident &amp; Health or Sickness / 05/20/2016
AMERICAN GENERAL LIFE INSURANCE COMPANY / Life / 05/20/2016
AMERICAN NATIONAL INSURANCE COMPANY / Accident &amp; Health or Sickness / 10/02/2012
AMERICAN NATIONAL INSURANCE COMPANY / Disability Only / 10/02/2012
AMERICAN NATIONAL INSURANCE COMPANY / Life / 10/02/2012
ANTHEM BLUE CROSS LIFE AND HEALTH INSURANCE COMPANY / Accident &amp; Health or Sickness / 11/07/2011
ANTHEM BLUE CROSS LIFE AND HEALTH INSURANCE COMPANY / Life / 11/07/2011
ATHENE ANNUITY AND LIFE COMPANY / Life / 04/26/2019
BLUE SHIELD OF CALIFORNIA LIFE &amp; HEALTH INSURANCE COMPANY / Accident &amp; Health or Sickness / 10/10/2011
BLUE SHIELD OF CALIFORNIA LIFE &amp; HEALTH INSURANCE COMPANY / Life / 10/10/2011
FIRST HEALTH LIFE &amp; HEALTH INSURANCE COMPANY / Accident &amp; Health or Sickness / 10/02/2015
HEALTH NET LIFE INSURANCE COMPANY / Accident &amp; Health or Sickness / 10/28/2015
HEALTH NET LIFE INSURANCE COMPANY / Life / 10/28/2015
HUMANA BENEFIT PLAN OF ILLINOIS, INC. / Accident &amp; Health or Sickness / 04/17/2025
HUMANA INSURANCE COMPANY / Accident &amp; Health or Sickness / 04/21/2020
HUMANA INSURANCE COMPANY / Life / 04/21/2020
NATIONWIDE LIFE AND ANNUITY INSURANCE COMPANY / Accident &amp; Health or Sickness / 03/28/2019
NATIONWIDE LIFE AND ANNUITY INSURANCE COMPANY / Life / 03/28/2019
UNITEDHEALTHCARE INSURANCE COMPANY / Accident &amp; Health or Sickness / 02/06/2024</x:v>
      </x:c>
      <x:c r="Z176" s="7" t="str"/>
      <x:c r="AA176" s="7" t="str"/>
      <x:c r="AB176" s="7" t="str"/>
      <x:c r="AC176" s="7" t="str"/>
      <x:c r="AD176" s="7" t="str">
        <x:v>Active general Life authority | Direct Life appointments outside the selected health-carrier set: AMERICAN GENERAL LIFE INSURANCE COMPANY, AMERICAN NATIONAL INSURANCE COMPANY, ATHENE ANNUITY AND LIFE COMPANY, NATIONWIDE LIFE AND ANNUITY INSURANCE COMPANY | Active A&amp;H supports optional cross-selling; not necessary for target products</x:v>
      </x:c>
      <x:c r="AE176" s="7" t="str">
        <x:v>No public business phone: contact enrichment needed, not proof of poor recruiting fit</x:v>
      </x:c>
      <x:c r="AF176" s="16" t="n">
        <x:v>17.3</x:v>
      </x:c>
      <x:c r="AG176" s="17" t="n">
        <x:v>265</x:v>
      </x:c>
      <x:c r="AH176" s="7" t="str">
        <x:v>2020-04-21</x:v>
      </x:c>
      <x:c r="AI176" s="7" t="str">
        <x:v>English</x:v>
      </x:c>
      <x:c r="AJ176" s="7" t="str"/>
      <x:c r="AK176" s="15" t="str"/>
      <x:c r="AL176" s="7" t="str"/>
      <x:c r="AM176" s="7" t="str">
        <x:v>AGUILAR  TERESA</x:v>
      </x:c>
      <x:c r="AN176" s="7" t="str">
        <x:v>https://cdicloud.insurance.ca.gov/cal/LicenseDetail?SearchType=IND&amp;SearchLicNbr=0G64307&amp;SearchIndvId=1269344</x:v>
      </x:c>
      <x:c r="AO176" s="7" t="str">
        <x:v>2026-10-08</x:v>
      </x:c>
      <x:c r="AP176" s="7" t="str">
        <x:v>8066623123b10074c19c12f0645d7fac59cb82ecca83ed8e81f4495506c90602</x:v>
      </x:c>
      <x:c r="AQ176" s="7" t="str">
        <x:v>Accident &amp; Health or Sickness / Active / 06/18/2009 / 06/18/2009 / 06/30/2027
Life / Active / 06/18/2009 / 06/18/2009 / 06/30/2027</x:v>
      </x:c>
      <x:c r="AR176" s="7" t="str">
        <x:v>Active</x:v>
      </x:c>
      <x:c r="AS176" s="7" t="str">
        <x:v>Current detail page</x:v>
      </x:c>
    </x:row>
    <x:row r="177" ht="52" customHeight="1">
      <x:c r="A177" s="7" t="str">
        <x:v>AGUILAR TORRICO MARISOL</x:v>
      </x:c>
      <x:c r="B177" s="14" t="str">
        <x:f>"4429092"</x:f>
        <x:v>4429092</x:v>
      </x:c>
      <x:c r="C177" s="7" t="str">
        <x:v>Omitted</x:v>
      </x:c>
      <x:c r="D177" s="7" t="str">
        <x:v>REVIEW</x:v>
      </x:c>
      <x:c r="E177" s="13" t="str">
        <x:v>Pending</x:v>
      </x:c>
      <x:c r="F177" s="13" t="str"/>
      <x:c r="G177" s="13" t="str"/>
      <x:c r="H177" s="13" t="str"/>
      <x:c r="I177" s="7" t="str">
        <x:v>Was this person reviewed? If rejected, give the actual rule and evidence. If acceptable, correct the omission. Resolve: No collected public business phone; Geographic scope.</x:v>
      </x:c>
      <x:c r="J177" s="7" t="str">
        <x:v>R5, R6</x:v>
      </x:c>
      <x:c r="K177" s="7" t="str">
        <x:v>Requires verification: No collected public business phone; Geographic scope. These facts do not establish the original reviewer’s motive.</x:v>
      </x:c>
      <x:c r="L177" s="7" t="str">
        <x:v>Not supplied; membership is known, motive is not</x:v>
      </x:c>
      <x:c r="M177" s="7" t="n">
        <x:v>5</x:v>
      </x:c>
      <x:c r="N177" s="7" t="str">
        <x:v>Find contact information first</x:v>
      </x:c>
      <x:c r="O177" s="7" t="str">
        <x:v>Active</x:v>
      </x:c>
      <x:c r="P177" s="7" t="str">
        <x:v>11/26/2024</x:v>
      </x:c>
      <x:c r="Q177" s="7" t="str">
        <x:v>11/30/2026</x:v>
      </x:c>
      <x:c r="R177" s="7" t="str">
        <x:v>Accident &amp; Health or Sickness; Life</x:v>
      </x:c>
      <x:c r="S177" s="15" t="str"/>
      <x:c r="T177" s="7" t="str">
        <x:v>No public business phone in collected record</x:v>
      </x:c>
      <x:c r="U177" s="7" t="str">
        <x:v>649 BETHPAGE DR RED OAK TX, 75154</x:v>
      </x:c>
      <x:c r="V177" s="7" t="str">
        <x:v>Non-resident</x:v>
      </x:c>
      <x:c r="W177" s="7" t="str">
        <x:v>TX</x:v>
      </x:c>
      <x:c r="X177" s="7" t="str"/>
      <x:c r="Y177" s="7" t="str"/>
      <x:c r="Z177" s="7" t="str"/>
      <x:c r="AA177" s="7" t="str"/>
      <x:c r="AB177" s="7" t="str"/>
      <x:c r="AC177" s="7" t="str"/>
      <x:c r="AD177" s="7" t="str">
        <x:v>Active general Life authority | No agency or insurer displayed: onboarding opportunity possible; existing business unknown | Active A&amp;H supports optional cross-selling; not necessary for target products</x:v>
      </x:c>
      <x:c r="AE177" s="7" t="str">
        <x:v>Nonresident or address state outside CA; confirm geographic recruiting scope | Life expiration in 53 days: confirm renewal during onboarding | No public business phone: contact enrichment needed, not proof of poor recruiting fit</x:v>
      </x:c>
      <x:c r="AF177" s="16" t="n">
        <x:v>1.9</x:v>
      </x:c>
      <x:c r="AG177" s="17" t="n">
        <x:v>53</x:v>
      </x:c>
      <x:c r="AH177" s="7" t="str"/>
      <x:c r="AI177" s="7" t="str"/>
      <x:c r="AJ177" s="7" t="str"/>
      <x:c r="AK177" s="15" t="str"/>
      <x:c r="AL177" s="7" t="str"/>
      <x:c r="AM177" s="7" t="str">
        <x:v>AGUILAR TORRICO  MARISOL</x:v>
      </x:c>
      <x:c r="AN177" s="7" t="str">
        <x:v>https://cdicloud.insurance.ca.gov/cal/LicenseDetail?SearchType=IND&amp;SearchLicNbr=4429092&amp;SearchIndvId=4429092</x:v>
      </x:c>
      <x:c r="AO177" s="7" t="str">
        <x:v>2026-10-08</x:v>
      </x:c>
      <x:c r="AP177" s="7" t="str">
        <x:v>fc07711662a97c0efed536545ec0785c5960a710ad40f4b7bc743cce8ee038fa</x:v>
      </x:c>
      <x:c r="AQ177" s="7" t="str">
        <x:v>Accident &amp; Health or Sickness / Active / 11/26/2024 / 11/26/2024 / 11/30/2026
Life / Active / 11/26/2024 / 11/26/2024 / 11/30/2026</x:v>
      </x:c>
      <x:c r="AR177" s="7" t="str">
        <x:v>Active</x:v>
      </x:c>
      <x:c r="AS177" s="7" t="str">
        <x:v>Current detail page</x:v>
      </x:c>
    </x:row>
    <x:row r="178" ht="52" customHeight="1">
      <x:c r="A178" s="7" t="str">
        <x:v>AGUILAR VEGA ANGELICA MARIA</x:v>
      </x:c>
      <x:c r="B178" s="14" t="str">
        <x:f>"4389941"</x:f>
        <x:v>4389941</x:v>
      </x:c>
      <x:c r="C178" s="7" t="str">
        <x:v>Omitted</x:v>
      </x:c>
      <x:c r="D178" s="7" t="str">
        <x:v>REVIEW</x:v>
      </x:c>
      <x:c r="E178" s="13" t="str">
        <x:v>Pending</x:v>
      </x:c>
      <x:c r="F178" s="13" t="str"/>
      <x:c r="G178" s="13" t="str"/>
      <x:c r="H178" s="13" t="str"/>
      <x:c r="I178" s="7" t="str">
        <x:v>Was this person reviewed? If rejected, give the actual rule and evidence. If acceptable, correct the omission. Resolve: No collected public business phone.</x:v>
      </x:c>
      <x:c r="J178" s="7" t="str">
        <x:v>R5</x:v>
      </x:c>
      <x:c r="K178" s="7" t="str">
        <x:v>Requires verification: No collected public business phone. These facts do not establish the original reviewer’s motive.</x:v>
      </x:c>
      <x:c r="L178" s="7" t="str">
        <x:v>Not supplied; membership is known, motive is not</x:v>
      </x:c>
      <x:c r="M178" s="7" t="n">
        <x:v>5</x:v>
      </x:c>
      <x:c r="N178" s="7" t="str">
        <x:v>Find contact information first</x:v>
      </x:c>
      <x:c r="O178" s="7" t="str">
        <x:v>Active</x:v>
      </x:c>
      <x:c r="P178" s="7" t="str">
        <x:v>07/23/2024</x:v>
      </x:c>
      <x:c r="Q178" s="7" t="str">
        <x:v>07/31/2028</x:v>
      </x:c>
      <x:c r="R178" s="7" t="str">
        <x:v>Life</x:v>
      </x:c>
      <x:c r="S178" s="15" t="str"/>
      <x:c r="T178" s="7" t="str">
        <x:v>No public business phone in collected record</x:v>
      </x:c>
      <x:c r="U178" s="7" t="str">
        <x:v>377 W FALLBROOK AVE STE 202 FRESNO CA, 93711</x:v>
      </x:c>
      <x:c r="V178" s="7" t="str">
        <x:v>Resident</x:v>
      </x:c>
      <x:c r="W178" s="7" t="str">
        <x:v>CA</x:v>
      </x:c>
      <x:c r="X178" s="7" t="str"/>
      <x:c r="Y178" s="7" t="str">
        <x:v>AMERICAN NATIONAL INSURANCE COMPANY / Life / 10/08/2024
AMERITAS LIFE INSURANCE CORP. / Life / 10/15/2024
NORTH AMERICAN COMPANY FOR LIFE AND HEALTH INSURANCE / Life / 12/23/2024
SAVINGS BANK MUTUAL LIFE INSURANCE COMPANY OF MASSACHUSETTS (THE) / Life / 04/29/2025</x:v>
      </x:c>
      <x:c r="Z178" s="7" t="str"/>
      <x:c r="AA178" s="7" t="str"/>
      <x:c r="AB178" s="7" t="str"/>
      <x:c r="AC178" s="7" t="str"/>
      <x:c r="AD178" s="7" t="str">
        <x:v>Active general Life authority | Direct Life appointments outside the selected health-carrier set: AMERICAN NATIONAL INSURANCE COMPANY, AMERITAS LIFE INSURANCE CORP., NORTH AMERICAN COMPANY FOR LIFE AND HEALTH INSURANCE, SAVINGS BANK MUTUAL LIFE INSURANCE COMPANY OF MASSACHUSETTS (THE)</x:v>
      </x:c>
      <x:c r="AE178" s="7" t="str">
        <x:v>No public business phone: contact enrichment needed, not proof of poor recruiting fit</x:v>
      </x:c>
      <x:c r="AF178" s="16" t="n">
        <x:v>2.2</x:v>
      </x:c>
      <x:c r="AG178" s="17" t="n">
        <x:v>662</x:v>
      </x:c>
      <x:c r="AH178" s="7" t="str">
        <x:v>2025-04-29</x:v>
      </x:c>
      <x:c r="AI178" s="7" t="str">
        <x:v>English</x:v>
      </x:c>
      <x:c r="AJ178" s="7" t="str"/>
      <x:c r="AK178" s="15" t="str"/>
      <x:c r="AL178" s="7" t="str"/>
      <x:c r="AM178" s="7" t="str">
        <x:v>AGUILAR VEGA MARIA ANGELICA</x:v>
      </x:c>
      <x:c r="AN178" s="7" t="str">
        <x:v>https://cdicloud.insurance.ca.gov/cal/LicenseDetail?SearchType=IND&amp;SearchLicNbr=4389941&amp;SearchIndvId=4389941</x:v>
      </x:c>
      <x:c r="AO178" s="7" t="str">
        <x:v>2026-10-08</x:v>
      </x:c>
      <x:c r="AP178" s="7" t="str">
        <x:v>cf1bd1817036aae8dc489c859f5d44a3671755381c8978695dfbc6929b8e8cf7</x:v>
      </x:c>
      <x:c r="AQ178" s="7" t="str">
        <x:v>Life / Active / 07/23/2024 / 07/23/2024 / 07/31/2028</x:v>
      </x:c>
      <x:c r="AR178" s="7" t="str">
        <x:v>Active</x:v>
      </x:c>
      <x:c r="AS178" s="7" t="str">
        <x:v>Current detail page</x:v>
      </x:c>
    </x:row>
    <x:row r="179" ht="52" customHeight="1">
      <x:c r="A179" s="7" t="str">
        <x:v>AGUILAR WUILMER</x:v>
      </x:c>
      <x:c r="B179" s="14" t="str">
        <x:f>"0F88487"</x:f>
        <x:v>0F88487</x:v>
      </x:c>
      <x:c r="C179" s="7" t="str">
        <x:v>Omitted</x:v>
      </x:c>
      <x:c r="D179" s="7" t="str">
        <x:v>REVIEW</x:v>
      </x:c>
      <x:c r="E179" s="13" t="str">
        <x:v>Pending</x:v>
      </x:c>
      <x:c r="F179" s="13" t="str"/>
      <x:c r="G179" s="13" t="str"/>
      <x:c r="H179" s="13" t="str"/>
      <x:c r="I179" s="7" t="str">
        <x:v>Was this person reviewed? If rejected, give the actual rule and evidence. If acceptable, correct the omission. Resolve: Selected health-carrier Life mix; P&amp;C emphasis without separate core-Life signal; No collected public business phone.</x:v>
      </x:c>
      <x:c r="J179" s="7" t="str">
        <x:v>R4, R5</x:v>
      </x:c>
      <x:c r="K179" s="7" t="str">
        <x:v>Requires verification: Selected health-carrier Life mix; P&amp;C emphasis without separate core-Life signal; No collected public business phone. These facts do not establish the original reviewer’s motive.</x:v>
      </x:c>
      <x:c r="L179" s="7" t="str">
        <x:v>Not supplied; membership is known, motive is not</x:v>
      </x:c>
      <x:c r="M179" s="7" t="n">
        <x:v>5</x:v>
      </x:c>
      <x:c r="N179" s="7" t="str">
        <x:v>Find contact information first</x:v>
      </x:c>
      <x:c r="O179" s="7" t="str">
        <x:v>Active</x:v>
      </x:c>
      <x:c r="P179" s="7" t="str">
        <x:v>02/26/2008</x:v>
      </x:c>
      <x:c r="Q179" s="7" t="str">
        <x:v>11/30/2027</x:v>
      </x:c>
      <x:c r="R179" s="7" t="str">
        <x:v>Accident &amp; Health or Sickness; Casualty; Life; Property</x:v>
      </x:c>
      <x:c r="S179" s="15" t="str"/>
      <x:c r="T179" s="7" t="str">
        <x:v>No public business phone in collected record</x:v>
      </x:c>
      <x:c r="U179" s="7" t="str">
        <x:v>4120 CAMERON PARK DR 302B CAMERON PARK CA, 95682</x:v>
      </x:c>
      <x:c r="V179" s="7" t="str">
        <x:v>Resident</x:v>
      </x:c>
      <x:c r="W179" s="7" t="str">
        <x:v>CA</x:v>
      </x:c>
      <x:c r="X179" s="7" t="str"/>
      <x:c r="Y179" s="7" t="str">
        <x:v>ALLMERICA FINANCIAL BENEFIT INSURANCE COMPANY / Casualty / 09/03/2026
ALLMERICA FINANCIAL BENEFIT INSURANCE COMPANY / Property / 09/03/2026
AMERICAN CONTRACTORS INDEMNITY COMPANY / Casualty / 08/10/2010
AMERICAN CONTRACTORS INDEMNITY COMPANY / Property / 08/10/2010
AMERICAN MODERN HOME INSURANCE COMPANY / Casualty / 10/11/2016
AMERICAN MODERN HOME INSURANCE COMPANY / Property / 10/11/2016
AMERICAN MODERN PROPERTY AND CASUALTY INSURANCE COMPANY / Casualty / 10/02/2018
AMERICAN MODERN PROPERTY AND CASUALTY INSURANCE COMPANY / Property / 10/02/2018
ANTHEM BLUE CROSS LIFE AND HEALTH INSURANCE COMPANY / Accident &amp; Health or Sickness / 11/14/2008
ANTHEM BLUE CROSS LIFE AND HEALTH INSURANCE COMPANY / Life / 11/14/2008
BLUE SHIELD OF CALIFORNIA LIFE &amp; HEALTH INSURANCE COMPANY / Accident &amp; Health or Sickness / 02/28/2013
BLUE SHIELD OF CALIFORNIA LIFE &amp; HEALTH INSURANCE COMPANY / Life / 02/28/2013
CITIZENS INSURANCE COMPANY OF AMERICA / Casualty / 09/03/2026
CITIZENS INSURANCE COMPANY OF AMERICA / Property / 09/03/2026
HANOVER AMERICAN INSURANCE COMPANY (THE) / Casualty / 09/03/2026
HANOVER AMERICAN INSURANCE COMPANY (THE) / Property / 09/03/2026
HANOVER INSURANCE COMPANY (THE) / Casualty / 09/03/2026
HANOVER INSURANCE COMPANY (THE) / Property / 09/03/2026
INTEGON NATIONAL INSURANCE COMPANY / Casualty / 07/22/2026
INTEGON NATIONAL INSURANCE COMPANY / Property / 07/22/2026
INTEGON PREFERRED INSURANCE COMPANY / Casualty / 07/22/2026
INTEGON PREFERRED INSURANCE COMPANY / Property / 07/22/2026
KAISER PERMANENTE INSURANCE COMPANY / Accident &amp; Health or Sickness / 07/10/2014
MASSACHUSETTS BAY INSURANCE COMPANY / Casualty / 09/03/2026
MASSACHUSETTS BAY INSURANCE COMPANY / Property / 09/03/2026
NATIONAL GENERAL ASSURANCE COMPANY / Casualty / 07/22/2026
NATIONAL GENERAL ASSURANCE COMPANY / Property / 07/22/2026
U.S. SPECIALTY INSURANCE COMPANY / Accident &amp; Health or Sickness / 08/10/2010
U.S. SPECIALTY INSURANCE COMPANY / Casualty / 08/10/2010
U.S. SPECIALTY INSURANCE COMPANY / Property / 08/10/2010</x:v>
      </x:c>
      <x:c r="Z179" s="7" t="str"/>
      <x:c r="AA179" s="7" t="str"/>
      <x:c r="AB179" s="7" t="str"/>
      <x:c r="AC179" s="7" t="str"/>
      <x:c r="AD179" s="7" t="str">
        <x:v>Active general Life authority | Active A&amp;H supports optional cross-selling; not necessary for target products</x:v>
      </x:c>
      <x:c r="AE179" s="7" t="str">
        <x:v>Life appointments shown only at selected health-oriented carriers; core Life activity unestablished | P&amp;C/Personal Lines authority without displayed core Life appointments; mixed profile requires review | No public business phone: contact enrichment needed, not proof of poor recruiting fit</x:v>
      </x:c>
      <x:c r="AF179" s="16" t="n">
        <x:v>18.6</x:v>
      </x:c>
      <x:c r="AG179" s="17" t="n">
        <x:v>418</x:v>
      </x:c>
      <x:c r="AH179" s="7" t="str">
        <x:v>2013-02-28</x:v>
      </x:c>
      <x:c r="AI179" s="7" t="str">
        <x:v>English, Spanish, Spanish</x:v>
      </x:c>
      <x:c r="AJ179" s="7" t="str"/>
      <x:c r="AK179" s="15" t="str"/>
      <x:c r="AL179" s="7" t="str"/>
      <x:c r="AM179" s="7" t="str">
        <x:v>AGUILAR  WUILMER</x:v>
      </x:c>
      <x:c r="AN179" s="7" t="str">
        <x:v>https://cdicloud.insurance.ca.gov/cal/LicenseDetail?SearchType=IND&amp;SearchLicNbr=0F88487&amp;SearchIndvId=1112130</x:v>
      </x:c>
      <x:c r="AO179" s="7" t="str">
        <x:v>2026-10-08</x:v>
      </x:c>
      <x:c r="AP179" s="7" t="str">
        <x:v>2d32aa80a8629a2c28136a13f08a4703d24ed2870cb2f1d57d30614a63ea6896</x:v>
      </x:c>
      <x:c r="AQ179" s="7" t="str">
        <x:v>Accident &amp; Health or Sickness / Active / 02/26/2008 / 02/26/2008 / 11/30/2027
Casualty / Active / 11/19/2007 / 11/19/2007 / 11/30/2027
Life / Active / 02/26/2008 / 02/26/2008 / 11/30/2027
Property / Active / 11/19/2007 / 11/19/2007 / 11/30/2027</x:v>
      </x:c>
      <x:c r="AR179" s="7" t="str">
        <x:v>Active</x:v>
      </x:c>
      <x:c r="AS179" s="7" t="str">
        <x:v>Current detail page</x:v>
      </x:c>
    </x:row>
    <x:row r="180" ht="52" customHeight="1">
      <x:c r="A180" s="7" t="str">
        <x:v>AGUILAR YADIRA</x:v>
      </x:c>
      <x:c r="B180" s="14" t="str">
        <x:f>"4292072"</x:f>
        <x:v>4292072</x:v>
      </x:c>
      <x:c r="C180" s="7" t="str">
        <x:v>Omitted</x:v>
      </x:c>
      <x:c r="D180" s="7" t="str">
        <x:v>REVIEW</x:v>
      </x:c>
      <x:c r="E180" s="13" t="str">
        <x:v>Pending</x:v>
      </x:c>
      <x:c r="F180" s="13" t="str"/>
      <x:c r="G180" s="13" t="str"/>
      <x:c r="H180" s="13" t="str"/>
      <x:c r="I180" s="7" t="str">
        <x:v>Was this person reviewed? If rejected, give the actual rule and evidence. If acceptable, correct the omission. Resolve: No collected public business phone.</x:v>
      </x:c>
      <x:c r="J180" s="7" t="str">
        <x:v>R5</x:v>
      </x:c>
      <x:c r="K180" s="7" t="str">
        <x:v>Requires verification: No collected public business phone. These facts do not establish the original reviewer’s motive.</x:v>
      </x:c>
      <x:c r="L180" s="7" t="str">
        <x:v>Not supplied; membership is known, motive is not</x:v>
      </x:c>
      <x:c r="M180" s="7" t="n">
        <x:v>5</x:v>
      </x:c>
      <x:c r="N180" s="7" t="str">
        <x:v>Find contact information first</x:v>
      </x:c>
      <x:c r="O180" s="7" t="str">
        <x:v>Active</x:v>
      </x:c>
      <x:c r="P180" s="7" t="str">
        <x:v>07/05/2023</x:v>
      </x:c>
      <x:c r="Q180" s="7" t="str">
        <x:v>07/31/2027</x:v>
      </x:c>
      <x:c r="R180" s="7" t="str">
        <x:v>Accident &amp; Health or Sickness; Life</x:v>
      </x:c>
      <x:c r="S180" s="15" t="str"/>
      <x:c r="T180" s="7" t="str">
        <x:v>No public business phone in collected record</x:v>
      </x:c>
      <x:c r="U180" s="7" t="str">
        <x:v>79016 DELTA ST BERMUDA DUNES CA, 92203</x:v>
      </x:c>
      <x:c r="V180" s="7" t="str">
        <x:v>Resident</x:v>
      </x:c>
      <x:c r="W180" s="7" t="str">
        <x:v>CA</x:v>
      </x:c>
      <x:c r="X180" s="7" t="str"/>
      <x:c r="Y180" s="7" t="str"/>
      <x:c r="Z180" s="7" t="str"/>
      <x:c r="AA180" s="7" t="str"/>
      <x:c r="AB180" s="7" t="str"/>
      <x:c r="AC180" s="7" t="str"/>
      <x:c r="AD180" s="7" t="str">
        <x:v>Active general Life authority | No agency or insurer displayed: onboarding opportunity possible; existing business unknown | Active A&amp;H supports optional cross-selling; not necessary for target products</x:v>
      </x:c>
      <x:c r="AE180" s="7" t="str">
        <x:v>No public business phone: contact enrichment needed, not proof of poor recruiting fit</x:v>
      </x:c>
      <x:c r="AF180" s="16" t="n">
        <x:v>3.3</x:v>
      </x:c>
      <x:c r="AG180" s="17" t="n">
        <x:v>296</x:v>
      </x:c>
      <x:c r="AH180" s="7" t="str"/>
      <x:c r="AI180" s="7" t="str">
        <x:v>English</x:v>
      </x:c>
      <x:c r="AJ180" s="7" t="str"/>
      <x:c r="AK180" s="15" t="str"/>
      <x:c r="AL180" s="7" t="str"/>
      <x:c r="AM180" s="7" t="str">
        <x:v>AGUILAR  YADIRA</x:v>
      </x:c>
      <x:c r="AN180" s="7" t="str">
        <x:v>https://cdicloud.insurance.ca.gov/cal/LicenseDetail?SearchType=IND&amp;SearchLicNbr=4292072&amp;SearchIndvId=4292072</x:v>
      </x:c>
      <x:c r="AO180" s="7" t="str">
        <x:v>2026-10-08</x:v>
      </x:c>
      <x:c r="AP180" s="7" t="str">
        <x:v>0ec9cbb213d0656a274c4f3f6b2a736f0501c12d0378b4b9fff4121219686295</x:v>
      </x:c>
      <x:c r="AQ180" s="7" t="str">
        <x:v>Accident &amp; Health or Sickness / Active / 07/24/2024 / 07/24/2024 / 07/31/2027
Life / Active / 07/05/2023 / 07/05/2023 / 07/31/2027</x:v>
      </x:c>
      <x:c r="AR180" s="7" t="str">
        <x:v>Active</x:v>
      </x:c>
      <x:c r="AS180" s="7" t="str">
        <x:v>Current detail page</x:v>
      </x:c>
    </x:row>
    <x:row r="181" ht="52" customHeight="1">
      <x:c r="A181" s="7" t="str">
        <x:v>AGUILAR YOLANDA</x:v>
      </x:c>
      <x:c r="B181" s="14" t="str">
        <x:f>"0N05594"</x:f>
        <x:v>0N05594</x:v>
      </x:c>
      <x:c r="C181" s="7" t="str">
        <x:v>Omitted</x:v>
      </x:c>
      <x:c r="D181" s="7" t="str">
        <x:v>REVIEW</x:v>
      </x:c>
      <x:c r="E181" s="13" t="str">
        <x:v>Pending</x:v>
      </x:c>
      <x:c r="F181" s="13" t="str"/>
      <x:c r="G181" s="13" t="str"/>
      <x:c r="H181" s="13" t="str"/>
      <x:c r="I181" s="7" t="str">
        <x:v>Was this person reviewed? If rejected, give the actual rule and evidence. If acceptable, correct the omission. Resolve: No collected public business phone.</x:v>
      </x:c>
      <x:c r="J181" s="7" t="str">
        <x:v>R5</x:v>
      </x:c>
      <x:c r="K181" s="7" t="str">
        <x:v>Requires verification: No collected public business phone. These facts do not establish the original reviewer’s motive.</x:v>
      </x:c>
      <x:c r="L181" s="7" t="str">
        <x:v>Not supplied; membership is known, motive is not</x:v>
      </x:c>
      <x:c r="M181" s="7" t="n">
        <x:v>5</x:v>
      </x:c>
      <x:c r="N181" s="7" t="str">
        <x:v>Find contact information first</x:v>
      </x:c>
      <x:c r="O181" s="7" t="str">
        <x:v>Active</x:v>
      </x:c>
      <x:c r="P181" s="7" t="str">
        <x:v>06/28/2019</x:v>
      </x:c>
      <x:c r="Q181" s="7" t="str">
        <x:v>06/30/2027</x:v>
      </x:c>
      <x:c r="R181" s="7" t="str">
        <x:v>Life</x:v>
      </x:c>
      <x:c r="S181" s="15" t="str"/>
      <x:c r="T181" s="7" t="str">
        <x:v>No public business phone in collected record</x:v>
      </x:c>
      <x:c r="U181" s="7" t="str">
        <x:v>600 N ROSEMEAD BLVD PASADENA CA, 91107-2153</x:v>
      </x:c>
      <x:c r="V181" s="7" t="str">
        <x:v>Resident</x:v>
      </x:c>
      <x:c r="W181" s="7" t="str">
        <x:v>CA</x:v>
      </x:c>
      <x:c r="X181" s="7" t="str"/>
      <x:c r="Y181" s="7" t="str">
        <x:v>AMERICAN NATIONAL INSURANCE COMPANY / Life / 08/31/2023
FIDELITY &amp; GUARANTY LIFE INSURANCE COMPANY / Life / 08/16/2023
INDEPENDENT ORDER OF FORESTERS (THE) / Life / 09/13/2023
LIFE INSURANCE COMPANY OF THE SOUTHWEST / Life / 07/20/2023
SILAC INSURANCE COMPANY / Life / 11/20/2023</x:v>
      </x:c>
      <x:c r="Z181" s="7" t="str"/>
      <x:c r="AA181" s="7" t="str"/>
      <x:c r="AB181" s="7" t="str"/>
      <x:c r="AC181" s="7" t="str"/>
      <x:c r="AD181" s="7" t="str">
        <x:v>Active general Life authority | Direct Life appointments outside the selected health-carrier set: AMERICAN NATIONAL INSURANCE COMPANY, FIDELITY &amp; GUARANTY LIFE INSURANCE COMPANY, INDEPENDENT ORDER OF FORESTERS (THE), LIFE INSURANCE COMPANY OF THE SOUTHWEST, SILAC INSURANCE COMPANY</x:v>
      </x:c>
      <x:c r="AE181" s="7" t="str">
        <x:v>No public business phone: contact enrichment needed, not proof of poor recruiting fit</x:v>
      </x:c>
      <x:c r="AF181" s="16" t="n">
        <x:v>7.3</x:v>
      </x:c>
      <x:c r="AG181" s="17" t="n">
        <x:v>265</x:v>
      </x:c>
      <x:c r="AH181" s="7" t="str">
        <x:v>2023-11-20</x:v>
      </x:c>
      <x:c r="AI181" s="7" t="str">
        <x:v>English</x:v>
      </x:c>
      <x:c r="AJ181" s="7" t="str"/>
      <x:c r="AK181" s="15" t="str"/>
      <x:c r="AL181" s="7" t="str"/>
      <x:c r="AM181" s="7" t="str">
        <x:v>AGUILAR  YOLANDA</x:v>
      </x:c>
      <x:c r="AN181" s="7" t="str">
        <x:v>https://cdicloud.insurance.ca.gov/cal/LicenseDetail?SearchType=IND&amp;SearchLicNbr=0N05594&amp;SearchIndvId=2107066</x:v>
      </x:c>
      <x:c r="AO181" s="7" t="str">
        <x:v>2026-10-08</x:v>
      </x:c>
      <x:c r="AP181" s="7" t="str">
        <x:v>fcee442d3d5b76b76807abba1b4ef124738527e54c8c04fb566cdf52e83af55d</x:v>
      </x:c>
      <x:c r="AQ181" s="7" t="str">
        <x:v>Life / Active / 06/28/2019 / 07/10/2023 / 06/30/2027</x:v>
      </x:c>
      <x:c r="AR181" s="7" t="str">
        <x:v>Active</x:v>
      </x:c>
      <x:c r="AS181" s="7" t="str">
        <x:v>Current detail page</x:v>
      </x:c>
    </x:row>
    <x:row r="182" ht="52" customHeight="1">
      <x:c r="A182" s="7" t="str">
        <x:v>AGUILAR-DIAZ GIOVANNI</x:v>
      </x:c>
      <x:c r="B182" s="14" t="str">
        <x:f>"4430416"</x:f>
        <x:v>4430416</x:v>
      </x:c>
      <x:c r="C182" s="7" t="str">
        <x:v>Omitted</x:v>
      </x:c>
      <x:c r="D182" s="7" t="str">
        <x:v>REVIEW</x:v>
      </x:c>
      <x:c r="E182" s="13" t="str">
        <x:v>Pending</x:v>
      </x:c>
      <x:c r="F182" s="13" t="str"/>
      <x:c r="G182" s="13" t="str"/>
      <x:c r="H182" s="13" t="str"/>
      <x:c r="I182" s="7" t="str">
        <x:v>Was this person reviewed? If rejected, give the actual rule and evidence. If acceptable, correct the omission. Resolve: No collected public business phone; Geographic scope.</x:v>
      </x:c>
      <x:c r="J182" s="7" t="str">
        <x:v>R5, R6</x:v>
      </x:c>
      <x:c r="K182" s="7" t="str">
        <x:v>Requires verification: No collected public business phone; Geographic scope. These facts do not establish the original reviewer’s motive.</x:v>
      </x:c>
      <x:c r="L182" s="7" t="str">
        <x:v>Not supplied; membership is known, motive is not</x:v>
      </x:c>
      <x:c r="M182" s="7" t="n">
        <x:v>5</x:v>
      </x:c>
      <x:c r="N182" s="7" t="str">
        <x:v>Find contact information first</x:v>
      </x:c>
      <x:c r="O182" s="7" t="str">
        <x:v>Active</x:v>
      </x:c>
      <x:c r="P182" s="7" t="str">
        <x:v>12/04/2024</x:v>
      </x:c>
      <x:c r="Q182" s="7" t="str">
        <x:v>12/31/2026</x:v>
      </x:c>
      <x:c r="R182" s="7" t="str">
        <x:v>Accident &amp; Health or Sickness; Life</x:v>
      </x:c>
      <x:c r="S182" s="15" t="str"/>
      <x:c r="T182" s="7" t="str">
        <x:v>No public business phone in collected record</x:v>
      </x:c>
      <x:c r="U182" s="7" t="str">
        <x:v>5340 KIETZKE LN. STE. 200 RENO NV, 89511</x:v>
      </x:c>
      <x:c r="V182" s="7" t="str">
        <x:v>Non-resident</x:v>
      </x:c>
      <x:c r="W182" s="7" t="str">
        <x:v>NV</x:v>
      </x:c>
      <x:c r="X182" s="7" t="str"/>
      <x:c r="Y182" s="7" t="str"/>
      <x:c r="Z182" s="7" t="str"/>
      <x:c r="AA182" s="7" t="str"/>
      <x:c r="AB182" s="7" t="str"/>
      <x:c r="AC182" s="7" t="str"/>
      <x:c r="AD182" s="7" t="str">
        <x:v>Active general Life authority | No agency or insurer displayed: onboarding opportunity possible; existing business unknown | Active A&amp;H supports optional cross-selling; not necessary for target products</x:v>
      </x:c>
      <x:c r="AE182" s="7" t="str">
        <x:v>Nonresident or address state outside CA; confirm geographic recruiting scope | No public business phone: contact enrichment needed, not proof of poor recruiting fit</x:v>
      </x:c>
      <x:c r="AF182" s="16" t="n">
        <x:v>1.8</x:v>
      </x:c>
      <x:c r="AG182" s="17" t="n">
        <x:v>84</x:v>
      </x:c>
      <x:c r="AH182" s="7" t="str"/>
      <x:c r="AI182" s="7" t="str"/>
      <x:c r="AJ182" s="7" t="str"/>
      <x:c r="AK182" s="15" t="str"/>
      <x:c r="AL182" s="7" t="str"/>
      <x:c r="AM182" s="7" t="str">
        <x:v>AGUILAR-DIAZ  GIOVANNI</x:v>
      </x:c>
      <x:c r="AN182" s="7" t="str">
        <x:v>https://cdicloud.insurance.ca.gov/cal/LicenseDetail?SearchType=IND&amp;SearchLicNbr=4430416&amp;SearchIndvId=4430416</x:v>
      </x:c>
      <x:c r="AO182" s="7" t="str">
        <x:v>2026-10-08</x:v>
      </x:c>
      <x:c r="AP182" s="7" t="str">
        <x:v>94600ab7b831bdecca90f5e2ae57e2e7464e9b22bb032e21ebef4ab192bba799</x:v>
      </x:c>
      <x:c r="AQ182" s="7" t="str">
        <x:v>Accident &amp; Health or Sickness / Active / 12/04/2024 / 12/04/2024 / 12/31/2026
Life / Active / 12/04/2024 / 12/04/2024 / 12/31/2026</x:v>
      </x:c>
      <x:c r="AR182" s="7" t="str">
        <x:v>Active</x:v>
      </x:c>
      <x:c r="AS182" s="7" t="str">
        <x:v>Current detail page</x:v>
      </x:c>
    </x:row>
    <x:row r="183" ht="52" customHeight="1">
      <x:c r="A183" s="7" t="str">
        <x:v>AGUILAR-FLORES ISRAEL</x:v>
      </x:c>
      <x:c r="B183" s="14" t="str">
        <x:f>"4339975"</x:f>
        <x:v>4339975</x:v>
      </x:c>
      <x:c r="C183" s="7" t="str">
        <x:v>Omitted</x:v>
      </x:c>
      <x:c r="D183" s="7" t="str">
        <x:v>REVIEW</x:v>
      </x:c>
      <x:c r="E183" s="13" t="str">
        <x:v>Pending</x:v>
      </x:c>
      <x:c r="F183" s="13" t="str"/>
      <x:c r="G183" s="13" t="str"/>
      <x:c r="H183" s="13" t="str"/>
      <x:c r="I183" s="7" t="str">
        <x:v>Was this person reviewed? If rejected, give the actual rule and evidence. If acceptable, correct the omission. Resolve: Selected health-carrier Life mix; No collected public business phone; Geographic scope.</x:v>
      </x:c>
      <x:c r="J183" s="7" t="str">
        <x:v>R4, R5, R6</x:v>
      </x:c>
      <x:c r="K183" s="7" t="str">
        <x:v>Requires verification: Selected health-carrier Life mix; No collected public business phone; Geographic scope. These facts do not establish the original reviewer’s motive.</x:v>
      </x:c>
      <x:c r="L183" s="7" t="str">
        <x:v>Not supplied; membership is known, motive is not</x:v>
      </x:c>
      <x:c r="M183" s="7" t="n">
        <x:v>5</x:v>
      </x:c>
      <x:c r="N183" s="7" t="str">
        <x:v>Find contact information first</x:v>
      </x:c>
      <x:c r="O183" s="7" t="str">
        <x:v>Active</x:v>
      </x:c>
      <x:c r="P183" s="7" t="str">
        <x:v>11/09/2023</x:v>
      </x:c>
      <x:c r="Q183" s="7" t="str">
        <x:v>11/30/2027</x:v>
      </x:c>
      <x:c r="R183" s="7" t="str">
        <x:v>Accident &amp; Health or Sickness; Life</x:v>
      </x:c>
      <x:c r="S183" s="15" t="str"/>
      <x:c r="T183" s="7" t="str">
        <x:v>No public business phone in collected record</x:v>
      </x:c>
      <x:c r="U183" s="7" t="str">
        <x:v>10805 OLD MILL ROAD OMAHA NE, 68154</x:v>
      </x:c>
      <x:c r="V183" s="7" t="str">
        <x:v>Non-resident</x:v>
      </x:c>
      <x:c r="W183" s="7" t="str">
        <x:v>NE</x:v>
      </x:c>
      <x:c r="X183" s="7" t="str">
        <x:v>EOS INSURANCE SERVICES, LLC / Life / 08/15/2025
EOS INSURANCE SERVICES, LLC / Accident &amp; Health or Sickness / 08/15/2025</x:v>
      </x:c>
      <x:c r="Y183" s="7" t="str">
        <x:v>ANTHEM BLUE CROSS LIFE AND HEALTH INSURANCE COMPANY / Accident &amp; Health or Sickness / 07/23/2024
ANTHEM BLUE CROSS LIFE AND HEALTH INSURANCE COMPANY / Life / 07/23/2024
UNITEDHEALTHCARE INSURANCE COMPANY / Accident &amp; Health or Sickness / 06/19/2024</x:v>
      </x:c>
      <x:c r="Z183" s="7" t="str"/>
      <x:c r="AA183" s="7" t="str"/>
      <x:c r="AB183" s="7" t="str"/>
      <x:c r="AC183" s="7" t="str"/>
      <x:c r="AD183" s="7" t="str">
        <x:v>Active general Life authority | Active A&amp;H supports optional cross-selling; not necessary for target products</x:v>
      </x:c>
      <x:c r="AE183" s="7" t="str">
        <x:v>Life appointments shown only at selected health-oriented carriers; core Life activity unestablished | Nonresident or address state outside CA; confirm geographic recruiting scope | No public business phone: contact enrichment needed, not proof of poor recruiting fit</x:v>
      </x:c>
      <x:c r="AF183" s="16" t="n">
        <x:v>2.9</x:v>
      </x:c>
      <x:c r="AG183" s="17" t="n">
        <x:v>418</x:v>
      </x:c>
      <x:c r="AH183" s="7" t="str">
        <x:v>2024-07-23</x:v>
      </x:c>
      <x:c r="AI183" s="7" t="str"/>
      <x:c r="AJ183" s="7" t="str"/>
      <x:c r="AK183" s="15" t="str"/>
      <x:c r="AL183" s="7" t="str"/>
      <x:c r="AM183" s="7" t="str">
        <x:v>AGUILAR-FLORES  ISRAEL</x:v>
      </x:c>
      <x:c r="AN183" s="7" t="str">
        <x:v>https://cdicloud.insurance.ca.gov/cal/LicenseDetail?SearchType=IND&amp;SearchLicNbr=4339975&amp;SearchIndvId=4339975</x:v>
      </x:c>
      <x:c r="AO183" s="7" t="str">
        <x:v>2026-10-08</x:v>
      </x:c>
      <x:c r="AP183" s="7" t="str">
        <x:v>f6e801d6848a55492aa551774b3825f7345b3dbcb6032d06cb994fe675ae606a</x:v>
      </x:c>
      <x:c r="AQ183" s="7" t="str">
        <x:v>Accident &amp; Health or Sickness / Active / 11/09/2023 / 11/09/2023 / 11/30/2027
Life / Active / 11/09/2023 / 11/09/2023 / 11/30/2027</x:v>
      </x:c>
      <x:c r="AR183" s="7" t="str">
        <x:v>Active</x:v>
      </x:c>
      <x:c r="AS183" s="7" t="str">
        <x:v>Current detail page</x:v>
      </x:c>
    </x:row>
    <x:row r="184" ht="52" customHeight="1">
      <x:c r="A184" s="7" t="str">
        <x:v>AGUILAR-GRANILLO CYNTHIA</x:v>
      </x:c>
      <x:c r="B184" s="14" t="str">
        <x:f>"0M78933"</x:f>
        <x:v>0M78933</x:v>
      </x:c>
      <x:c r="C184" s="7" t="str">
        <x:v>Omitted</x:v>
      </x:c>
      <x:c r="D184" s="7" t="str">
        <x:v>REVIEW</x:v>
      </x:c>
      <x:c r="E184" s="13" t="str">
        <x:v>Pending</x:v>
      </x:c>
      <x:c r="F184" s="13" t="str"/>
      <x:c r="G184" s="13" t="str"/>
      <x:c r="H184" s="13" t="str"/>
      <x:c r="I184" s="7" t="str">
        <x:v>Was this person reviewed? If rejected, give the actual rule and evidence. If acceptable, correct the omission. Resolve: No collected public business phone; Geographic scope.</x:v>
      </x:c>
      <x:c r="J184" s="7" t="str">
        <x:v>R5, R6</x:v>
      </x:c>
      <x:c r="K184" s="7" t="str">
        <x:v>Requires verification: No collected public business phone; Geographic scope. These facts do not establish the original reviewer’s motive.</x:v>
      </x:c>
      <x:c r="L184" s="7" t="str">
        <x:v>Not supplied; membership is known, motive is not</x:v>
      </x:c>
      <x:c r="M184" s="7" t="n">
        <x:v>5</x:v>
      </x:c>
      <x:c r="N184" s="7" t="str">
        <x:v>Find contact information first</x:v>
      </x:c>
      <x:c r="O184" s="7" t="str">
        <x:v>Active</x:v>
      </x:c>
      <x:c r="P184" s="7" t="str">
        <x:v>09/18/2025</x:v>
      </x:c>
      <x:c r="Q184" s="7" t="str">
        <x:v>01/31/2027</x:v>
      </x:c>
      <x:c r="R184" s="7" t="str">
        <x:v>Accident &amp; Health or Sickness; Casualty; Life; Property</x:v>
      </x:c>
      <x:c r="S184" s="15" t="str"/>
      <x:c r="T184" s="7" t="str">
        <x:v>No public business phone in collected record</x:v>
      </x:c>
      <x:c r="U184" s="7" t="str">
        <x:v>620 N RESLER DR STE B EL PASO TX, 79912-2372</x:v>
      </x:c>
      <x:c r="V184" s="7" t="str">
        <x:v>Non-resident</x:v>
      </x:c>
      <x:c r="W184" s="7" t="str">
        <x:v>TX</x:v>
      </x:c>
      <x:c r="X184" s="7" t="str">
        <x:v>CYNTHIA AGUILAR INSURANCE AGENCY INC / Casualty / 06/24/2025
CYNTHIA AGUILAR INSURANCE AGENCY INC / Life / 03/17/2026
CYNTHIA AGUILAR INSURANCE AGENCY INC / Accident &amp; Health or Sickness / 03/17/2026
CYNTHIA AGUILAR INSURANCE AGENCY INC / Property / 06/24/2025</x:v>
      </x:c>
      <x:c r="Y184" s="7" t="str">
        <x:v>BALTIMORE LIFE INSURANCE COMPANY (THE) / Accident &amp; Health or Sickness / 01/08/2026
BALTIMORE LIFE INSURANCE COMPANY (THE) / Life / 01/08/2026
INDEPENDENT ORDER OF FORESTERS (THE) / Life / 12/19/2025
ROOT INSURANCE COMPANY / Casualty / 12/30/2025
ROOT INSURANCE COMPANY / Property / 12/30/2025</x:v>
      </x:c>
      <x:c r="Z184" s="7" t="str"/>
      <x:c r="AA184" s="7" t="str"/>
      <x:c r="AB184" s="7" t="str"/>
      <x:c r="AC184" s="7" t="str"/>
      <x:c r="AD184" s="7" t="str">
        <x:v>Active general Life authority | Direct Life appointments outside the selected health-carrier set: BALTIMORE LIFE INSURANCE COMPANY (THE), INDEPENDENT ORDER OF FORESTERS (THE) | Active A&amp;H supports optional cross-selling; not necessary for target products</x:v>
      </x:c>
      <x:c r="AE184" s="7" t="str">
        <x:v>Mixed P&amp;C/Life qualifications; not an exclusion because approved examples have both | Nonresident or address state outside CA; confirm geographic recruiting scope | No public business phone: contact enrichment needed, not proof of poor recruiting fit</x:v>
      </x:c>
      <x:c r="AF184" s="16" t="n">
        <x:v>1.1</x:v>
      </x:c>
      <x:c r="AG184" s="17" t="n">
        <x:v>115</x:v>
      </x:c>
      <x:c r="AH184" s="7" t="str">
        <x:v>2026-01-08</x:v>
      </x:c>
      <x:c r="AI184" s="7" t="str"/>
      <x:c r="AJ184" s="7" t="str"/>
      <x:c r="AK184" s="15" t="str"/>
      <x:c r="AL184" s="7" t="str"/>
      <x:c r="AM184" s="7" t="str">
        <x:v>AGUILAR-GRANILLO  CYNTHIA</x:v>
      </x:c>
      <x:c r="AN184" s="7" t="str">
        <x:v>https://cdicloud.insurance.ca.gov/cal/LicenseDetail?SearchType=IND&amp;SearchLicNbr=0M78933&amp;SearchIndvId=2084009</x:v>
      </x:c>
      <x:c r="AO184" s="7" t="str">
        <x:v>2026-10-08</x:v>
      </x:c>
      <x:c r="AP184" s="7" t="str">
        <x:v>c788a455de237c367b0c4227553d66e8971f42ac86504cfe985821106c59cc83</x:v>
      </x:c>
      <x:c r="AQ184" s="7" t="str">
        <x:v>Accident &amp; Health or Sickness / Active / 09/18/2025 / 09/18/2025 / 01/31/2027
Casualty / Active / 01/23/2019 / 04/19/2021 / 01/31/2027
Life / Active / 09/18/2025 / 09/18/2025 / 01/31/2027
Property / Active / 01/23/2019 / 04/19/2021 / 01/31/2027</x:v>
      </x:c>
      <x:c r="AR184" s="7" t="str">
        <x:v>Active</x:v>
      </x:c>
      <x:c r="AS184" s="7" t="str">
        <x:v>Current detail page</x:v>
      </x:c>
    </x:row>
    <x:row r="185" ht="52" customHeight="1">
      <x:c r="A185" s="7" t="str">
        <x:v>AGUILAR-NAVARRO JULIO</x:v>
      </x:c>
      <x:c r="B185" s="14" t="str">
        <x:f>"4469028"</x:f>
        <x:v>4469028</x:v>
      </x:c>
      <x:c r="C185" s="7" t="str">
        <x:v>Omitted</x:v>
      </x:c>
      <x:c r="D185" s="7" t="str">
        <x:v>REVIEW</x:v>
      </x:c>
      <x:c r="E185" s="13" t="str">
        <x:v>Pending</x:v>
      </x:c>
      <x:c r="F185" s="13" t="str"/>
      <x:c r="G185" s="13" t="str"/>
      <x:c r="H185" s="13" t="str"/>
      <x:c r="I185" s="7" t="str">
        <x:v>Was this person reviewed? If rejected, give the actual rule and evidence. If acceptable, correct the omission. Resolve: No collected public business phone; Geographic scope.</x:v>
      </x:c>
      <x:c r="J185" s="7" t="str">
        <x:v>R5, R6</x:v>
      </x:c>
      <x:c r="K185" s="7" t="str">
        <x:v>Requires verification: No collected public business phone; Geographic scope. These facts do not establish the original reviewer’s motive.</x:v>
      </x:c>
      <x:c r="L185" s="7" t="str">
        <x:v>Not supplied; membership is known, motive is not</x:v>
      </x:c>
      <x:c r="M185" s="7" t="n">
        <x:v>5</x:v>
      </x:c>
      <x:c r="N185" s="7" t="str">
        <x:v>Find contact information first</x:v>
      </x:c>
      <x:c r="O185" s="7" t="str">
        <x:v>Active</x:v>
      </x:c>
      <x:c r="P185" s="7" t="str">
        <x:v>06/09/2025</x:v>
      </x:c>
      <x:c r="Q185" s="7" t="str">
        <x:v>06/30/2027</x:v>
      </x:c>
      <x:c r="R185" s="7" t="str">
        <x:v>Accident &amp; Health or Sickness; Life</x:v>
      </x:c>
      <x:c r="S185" s="15" t="str"/>
      <x:c r="T185" s="7" t="str">
        <x:v>No public business phone in collected record</x:v>
      </x:c>
      <x:c r="U185" s="7" t="str">
        <x:v>3417 57TH AVENUE DR W BRADENTON FL, 34210</x:v>
      </x:c>
      <x:c r="V185" s="7" t="str">
        <x:v>Non-resident</x:v>
      </x:c>
      <x:c r="W185" s="7" t="str">
        <x:v>FL</x:v>
      </x:c>
      <x:c r="X185" s="7" t="str"/>
      <x:c r="Y185" s="7" t="str">
        <x:v>FIDELITY &amp; GUARANTY LIFE INSURANCE COMPANY / Life / 07/25/2026
LIFE INSURANCE COMPANY OF THE SOUTHWEST / Accident &amp; Health or Sickness / 06/16/2025
LIFE INSURANCE COMPANY OF THE SOUTHWEST / Life / 06/16/2025</x:v>
      </x:c>
      <x:c r="Z185" s="7" t="str"/>
      <x:c r="AA185" s="7" t="str"/>
      <x:c r="AB185" s="7" t="str"/>
      <x:c r="AC185" s="7" t="str"/>
      <x:c r="AD185" s="7" t="str">
        <x:v>Active general Life authority | Direct Life appointments outside the selected health-carrier set: FIDELITY &amp; GUARANTY LIFE INSURANCE COMPANY, LIFE INSURANCE COMPANY OF THE SOUTHWEST | Active A&amp;H supports optional cross-selling; not necessary for target products</x:v>
      </x:c>
      <x:c r="AE185" s="7" t="str">
        <x:v>Nonresident or address state outside CA; confirm geographic recruiting scope | No public business phone: contact enrichment needed, not proof of poor recruiting fit</x:v>
      </x:c>
      <x:c r="AF185" s="16" t="n">
        <x:v>1.3</x:v>
      </x:c>
      <x:c r="AG185" s="17" t="n">
        <x:v>265</x:v>
      </x:c>
      <x:c r="AH185" s="7" t="str">
        <x:v>2026-07-25</x:v>
      </x:c>
      <x:c r="AI185" s="7" t="str"/>
      <x:c r="AJ185" s="7" t="str"/>
      <x:c r="AK185" s="15" t="str"/>
      <x:c r="AL185" s="7" t="str"/>
      <x:c r="AM185" s="7" t="str">
        <x:v>AGUILAR-NAVARRO  JULIO</x:v>
      </x:c>
      <x:c r="AN185" s="7" t="str">
        <x:v>https://cdicloud.insurance.ca.gov/cal/LicenseDetail?SearchType=IND&amp;SearchLicNbr=4469028&amp;SearchIndvId=4469028</x:v>
      </x:c>
      <x:c r="AO185" s="7" t="str">
        <x:v>2026-10-08</x:v>
      </x:c>
      <x:c r="AP185" s="7" t="str">
        <x:v>0336f0e0ece2b2db793867e012cb12a042d0135a50aa87a84e2422c444f057d2</x:v>
      </x:c>
      <x:c r="AQ185" s="7" t="str">
        <x:v>Accident &amp; Health or Sickness / Active / 06/09/2025 / 06/09/2025 / 06/30/2027
Life / Active / 06/09/2025 / 06/09/2025 / 06/30/2027</x:v>
      </x:c>
      <x:c r="AR185" s="7" t="str">
        <x:v>Active</x:v>
      </x:c>
      <x:c r="AS185" s="7" t="str">
        <x:v>Current detail page</x:v>
      </x:c>
    </x:row>
    <x:row r="186" ht="52" customHeight="1">
      <x:c r="A186" s="7" t="str">
        <x:v>CHACON AZUCENA</x:v>
      </x:c>
      <x:c r="B186" s="14" t="str">
        <x:f>"4021268"</x:f>
        <x:v>4021268</x:v>
      </x:c>
      <x:c r="C186" s="7" t="str">
        <x:v>Omitted</x:v>
      </x:c>
      <x:c r="D186" s="7" t="str">
        <x:v>REVIEW</x:v>
      </x:c>
      <x:c r="E186" s="13" t="str">
        <x:v>Pending</x:v>
      </x:c>
      <x:c r="F186" s="13" t="str"/>
      <x:c r="G186" s="13" t="str"/>
      <x:c r="H186" s="13" t="str"/>
      <x:c r="I186" s="7" t="str">
        <x:v>Was this person reviewed? If rejected, give the actual rule and evidence. If acceptable, correct the omission. Resolve: No collected public business phone.</x:v>
      </x:c>
      <x:c r="J186" s="7" t="str">
        <x:v>R5</x:v>
      </x:c>
      <x:c r="K186" s="7" t="str">
        <x:v>Requires verification: No collected public business phone. These facts do not establish the original reviewer’s motive.</x:v>
      </x:c>
      <x:c r="L186" s="7" t="str">
        <x:v>Not supplied; membership is known, motive is not</x:v>
      </x:c>
      <x:c r="M186" s="7" t="n">
        <x:v>5</x:v>
      </x:c>
      <x:c r="N186" s="7" t="str">
        <x:v>Find contact information first</x:v>
      </x:c>
      <x:c r="O186" s="7" t="str">
        <x:v>Active</x:v>
      </x:c>
      <x:c r="P186" s="7" t="str">
        <x:v>11/20/2019</x:v>
      </x:c>
      <x:c r="Q186" s="7" t="str">
        <x:v>11/30/2027</x:v>
      </x:c>
      <x:c r="R186" s="7" t="str">
        <x:v>Life</x:v>
      </x:c>
      <x:c r="S186" s="15" t="str"/>
      <x:c r="T186" s="7" t="str">
        <x:v>No public business phone in collected record</x:v>
      </x:c>
      <x:c r="U186" s="7" t="str">
        <x:v>7625 ROSECRANS AVE. SUITE 41 PARAMOUNT CA, 90723</x:v>
      </x:c>
      <x:c r="V186" s="7" t="str">
        <x:v>Resident</x:v>
      </x:c>
      <x:c r="W186" s="7" t="str">
        <x:v>CA</x:v>
      </x:c>
      <x:c r="X186" s="7" t="str">
        <x:v>PRIMERICA FINANCIAL SERVICES INSURANCE MARKETING, INC. / Life / 11/20/2019</x:v>
      </x:c>
      <x:c r="Y186" s="7" t="str">
        <x:v>NATIONAL GUARDIAN LIFE INSURANCE COMPANY / Life / 02/18/2026</x:v>
      </x:c>
      <x:c r="Z186" s="7" t="str"/>
      <x:c r="AA186" s="7" t="str"/>
      <x:c r="AB186" s="7" t="str"/>
      <x:c r="AC186" s="7" t="str"/>
      <x:c r="AD186" s="7" t="str">
        <x:v>Active general Life authority | Primerica relationship: matches an explicitly targeted recruiting segment | Direct Life appointments outside the selected health-carrier set: NATIONAL GUARDIAN LIFE INSURANCE COMPANY</x:v>
      </x:c>
      <x:c r="AE186" s="7" t="str">
        <x:v>No public business phone: contact enrichment needed, not proof of poor recruiting fit</x:v>
      </x:c>
      <x:c r="AF186" s="16" t="n">
        <x:v>6.9</x:v>
      </x:c>
      <x:c r="AG186" s="17" t="n">
        <x:v>418</x:v>
      </x:c>
      <x:c r="AH186" s="7" t="str">
        <x:v>2026-02-18</x:v>
      </x:c>
      <x:c r="AI186" s="7" t="str">
        <x:v>English</x:v>
      </x:c>
      <x:c r="AJ186" s="7" t="str"/>
      <x:c r="AK186" s="15" t="str"/>
      <x:c r="AL186" s="7" t="str"/>
      <x:c r="AM186" s="7" t="str">
        <x:v>AGUILAR  AZUCENA</x:v>
      </x:c>
      <x:c r="AN186" s="7" t="str">
        <x:v>https://cdicloud.insurance.ca.gov/cal/LicenseDetail?SearchType=IND&amp;SearchLicNbr=4021268&amp;SearchIndvId=4021268</x:v>
      </x:c>
      <x:c r="AO186" s="7" t="str">
        <x:v>2026-10-08</x:v>
      </x:c>
      <x:c r="AP186" s="7" t="str">
        <x:v>84817cc93a447820d08e092f7922acd30b24e2f203b59594d714825ec36b5561</x:v>
      </x:c>
      <x:c r="AQ186" s="7" t="str">
        <x:v>Life / Active / 11/20/2019 / 11/20/2019 / 11/30/2027</x:v>
      </x:c>
      <x:c r="AR186" s="7" t="str">
        <x:v>Active</x:v>
      </x:c>
      <x:c r="AS186" s="7" t="str">
        <x:v>Current detail page</x:v>
      </x:c>
    </x:row>
    <x:row r="187" ht="52" customHeight="1">
      <x:c r="A187" s="7" t="str">
        <x:v>COLLINS DENISE NIKOLAI</x:v>
      </x:c>
      <x:c r="B187" s="14" t="str">
        <x:f>"0G26210"</x:f>
        <x:v>0G26210</x:v>
      </x:c>
      <x:c r="C187" s="7" t="str">
        <x:v>Omitted</x:v>
      </x:c>
      <x:c r="D187" s="7" t="str">
        <x:v>REVIEW</x:v>
      </x:c>
      <x:c r="E187" s="13" t="str">
        <x:v>Pending</x:v>
      </x:c>
      <x:c r="F187" s="13" t="str"/>
      <x:c r="G187" s="13" t="str"/>
      <x:c r="H187" s="13" t="str"/>
      <x:c r="I187" s="7" t="str">
        <x:v>Was this person reviewed? If rejected, give the actual rule and evidence. If acceptable, correct the omission. Resolve: Benefits-broker role and target-product activity; No collected public business phone; Geographic scope.</x:v>
      </x:c>
      <x:c r="J187" s="7" t="str">
        <x:v>R3, R5, R6</x:v>
      </x:c>
      <x:c r="K187" s="7" t="str">
        <x:v>Requires verification: Benefits-broker role and target-product activity; No collected public business phone; Geographic scope. These facts do not establish the original reviewer’s motive.</x:v>
      </x:c>
      <x:c r="L187" s="7" t="str">
        <x:v>Not supplied; membership is known, motive is not</x:v>
      </x:c>
      <x:c r="M187" s="7" t="n">
        <x:v>5</x:v>
      </x:c>
      <x:c r="N187" s="7" t="str">
        <x:v>Find contact information first</x:v>
      </x:c>
      <x:c r="O187" s="7" t="str">
        <x:v>Active</x:v>
      </x:c>
      <x:c r="P187" s="7" t="str">
        <x:v>10/27/2008</x:v>
      </x:c>
      <x:c r="Q187" s="7" t="str">
        <x:v>10/31/2026</x:v>
      </x:c>
      <x:c r="R187" s="7" t="str">
        <x:v>Accident &amp; Health or Sickness; Life</x:v>
      </x:c>
      <x:c r="S187" s="15" t="str"/>
      <x:c r="T187" s="7" t="str">
        <x:v>No public business phone in collected record</x:v>
      </x:c>
      <x:c r="U187" s="7" t="str">
        <x:v>2315 S COBALT POINT WAY MERIDIAN ID, 83642-4883</x:v>
      </x:c>
      <x:c r="V187" s="7" t="str">
        <x:v>Non-resident</x:v>
      </x:c>
      <x:c r="W187" s="7" t="str">
        <x:v>ID</x:v>
      </x:c>
      <x:c r="X187" s="7" t="str">
        <x:v>MERCER HEALTH &amp; BENEFITS, LLC / Accident &amp; Health or Sickness / 12/03/2008
PARTNERS GROUP, LLC (THE) / Life / 12/15/2020
MERCER HEALTH &amp; BENEFITS, LLC / Life / 12/03/2008
PARTNERS GROUP, LLC (THE) / Accident &amp; Health or Sickness / 12/15/2020</x:v>
      </x:c>
      <x:c r="Y187" s="7" t="str"/>
      <x:c r="Z187" s="7" t="str"/>
      <x:c r="AA187" s="7" t="str"/>
      <x:c r="AB187" s="7" t="str"/>
      <x:c r="AC187" s="7" t="str"/>
      <x:c r="AD187" s="7" t="str">
        <x:v>Active general Life authority | Active A&amp;H supports optional cross-selling; not necessary for target products</x:v>
      </x:c>
      <x:c r="AE187" s="7" t="str">
        <x:v>Benefits/large-broker agency signal: MERCER HEALTH &amp; BENEFITS, LLC | Nonresident or address state outside CA; confirm geographic recruiting scope | Life expiration in 23 days: confirm renewal during onboarding | No public business phone: contact enrichment needed, not proof of poor recruiting fit</x:v>
      </x:c>
      <x:c r="AF187" s="16" t="n">
        <x:v>17.9</x:v>
      </x:c>
      <x:c r="AG187" s="17" t="n">
        <x:v>23</x:v>
      </x:c>
      <x:c r="AH187" s="7" t="str"/>
      <x:c r="AI187" s="7" t="str"/>
      <x:c r="AJ187" s="7" t="str"/>
      <x:c r="AK187" s="15" t="str"/>
      <x:c r="AL187" s="7" t="str"/>
      <x:c r="AM187" s="7" t="str">
        <x:v>AGUILAR N. DENISE</x:v>
      </x:c>
      <x:c r="AN187" s="7" t="str">
        <x:v>https://cdicloud.insurance.ca.gov/cal/LicenseDetail?SearchType=IND&amp;SearchLicNbr=0G26210&amp;SearchIndvId=1195811</x:v>
      </x:c>
      <x:c r="AO187" s="7" t="str">
        <x:v>2026-10-08</x:v>
      </x:c>
      <x:c r="AP187" s="7" t="str">
        <x:v>492024da14fe2da8c9946007c0fa51cebc909ef728ab7fe5774207c7f276746e</x:v>
      </x:c>
      <x:c r="AQ187" s="7" t="str">
        <x:v>Accident &amp; Health or Sickness / Active / 10/27/2008 / 10/27/2008 / 10/31/2026
Life / Active / 10/27/2008 / 10/27/2008 / 10/31/2026</x:v>
      </x:c>
      <x:c r="AR187" s="7" t="str">
        <x:v>Active</x:v>
      </x:c>
      <x:c r="AS187" s="7" t="str">
        <x:v>Current detail page</x:v>
      </x:c>
    </x:row>
    <x:row r="188" ht="52" customHeight="1">
      <x:c r="A188" s="7" t="str">
        <x:v>LUDWIG JENNIFER JEAN</x:v>
      </x:c>
      <x:c r="B188" s="14" t="str">
        <x:f>"4228741"</x:f>
        <x:v>4228741</x:v>
      </x:c>
      <x:c r="C188" s="7" t="str">
        <x:v>Omitted</x:v>
      </x:c>
      <x:c r="D188" s="7" t="str">
        <x:v>REVIEW</x:v>
      </x:c>
      <x:c r="E188" s="13" t="str">
        <x:v>Pending</x:v>
      </x:c>
      <x:c r="F188" s="13" t="str"/>
      <x:c r="G188" s="13" t="str"/>
      <x:c r="H188" s="13" t="str"/>
      <x:c r="I188" s="7" t="str">
        <x:v>Was this person reviewed? If rejected, give the actual rule and evidence. If acceptable, correct the omission. Resolve: Career/member channel and portability; No collected public business phone; Geographic scope.</x:v>
      </x:c>
      <x:c r="J188" s="7" t="str">
        <x:v>R2, R5, R6</x:v>
      </x:c>
      <x:c r="K188" s="7" t="str">
        <x:v>Requires verification: Career/member channel and portability; No collected public business phone; Geographic scope. These facts do not establish the original reviewer’s motive.</x:v>
      </x:c>
      <x:c r="L188" s="7" t="str">
        <x:v>Not supplied; membership is known, motive is not</x:v>
      </x:c>
      <x:c r="M188" s="7" t="n">
        <x:v>5</x:v>
      </x:c>
      <x:c r="N188" s="7" t="str">
        <x:v>Find contact information first</x:v>
      </x:c>
      <x:c r="O188" s="7" t="str">
        <x:v>Active</x:v>
      </x:c>
      <x:c r="P188" s="7" t="str">
        <x:v>08/09/2022</x:v>
      </x:c>
      <x:c r="Q188" s="7" t="str">
        <x:v>08/31/2028</x:v>
      </x:c>
      <x:c r="R188" s="7" t="str">
        <x:v>Accident &amp; Health or Sickness; Life</x:v>
      </x:c>
      <x:c r="S188" s="15" t="str"/>
      <x:c r="T188" s="7" t="str">
        <x:v>No public business phone in collected record</x:v>
      </x:c>
      <x:c r="U188" s="7" t="str">
        <x:v>5340 KIETZKE LN STE 200 RENO NV, 89511</x:v>
      </x:c>
      <x:c r="V188" s="7" t="str">
        <x:v>Non-resident</x:v>
      </x:c>
      <x:c r="W188" s="7" t="str">
        <x:v>NV</x:v>
      </x:c>
      <x:c r="X188" s="7" t="str"/>
      <x:c r="Y188" s="7" t="str">
        <x:v>NEW YORK LIFE INSURANCE AND ANNUITY CORPORATION / Accident &amp; Health or Sickness / 12/16/2025
NEW YORK LIFE INSURANCE AND ANNUITY CORPORATION / Life / 12/16/2025
NEW YORK LIFE INSURANCE COMPANY / Accident &amp; Health or Sickness / 12/16/2025
NEW YORK LIFE INSURANCE COMPANY / Life / 12/16/2025
NYLIFE INSURANCE COMPANY OF ARIZONA / Life / 12/16/2025</x:v>
      </x:c>
      <x:c r="Z188" s="7" t="str"/>
      <x:c r="AA188" s="7" t="str"/>
      <x:c r="AB188" s="7" t="str"/>
      <x:c r="AC188" s="7" t="str"/>
      <x:c r="AD188" s="7" t="str">
        <x:v>Active general Life authority | Direct Life appointments outside the selected health-carrier set: NEW YORK LIFE INSURANCE AND ANNUITY CORPORATION, NEW YORK LIFE INSURANCE COMPANY, NYLIFE INSURANCE COMPANY OF ARIZONA | Active A&amp;H supports optional cross-selling; not necessary for target products</x:v>
      </x:c>
      <x:c r="AE188" s="7" t="str">
        <x:v>Career/member-channel signal: NEW YORK LIFE INSURANCE COMPANY, NYLIFE INSURANCE COMPANY OF ARIZONA | Nonresident or address state outside CA; confirm geographic recruiting scope | No public business phone: contact enrichment needed, not proof of poor recruiting fit</x:v>
      </x:c>
      <x:c r="AF188" s="16" t="n">
        <x:v>4.2</x:v>
      </x:c>
      <x:c r="AG188" s="17" t="n">
        <x:v>693</x:v>
      </x:c>
      <x:c r="AH188" s="7" t="str">
        <x:v>2025-12-16</x:v>
      </x:c>
      <x:c r="AI188" s="7" t="str"/>
      <x:c r="AJ188" s="7" t="str"/>
      <x:c r="AK188" s="15" t="str"/>
      <x:c r="AL188" s="7" t="str"/>
      <x:c r="AM188" s="7" t="str">
        <x:v>AGUILAR  JENNIFER</x:v>
      </x:c>
      <x:c r="AN188" s="7" t="str">
        <x:v>https://cdicloud.insurance.ca.gov/cal/LicenseDetail?SearchType=IND&amp;SearchLicNbr=4228741&amp;SearchIndvId=4228741</x:v>
      </x:c>
      <x:c r="AO188" s="7" t="str">
        <x:v>2026-10-08</x:v>
      </x:c>
      <x:c r="AP188" s="7" t="str">
        <x:v>7852f5a80475b95b2e26694d82c385724e8d40fcb0a41d0692f8edf58cdfcff1</x:v>
      </x:c>
      <x:c r="AQ188" s="7" t="str">
        <x:v>Accident &amp; Health or Sickness / Active / 08/09/2022 / 08/09/2022 / 08/31/2028
Life / Active / 08/09/2022 / 08/09/2022 / 08/31/2028</x:v>
      </x:c>
      <x:c r="AR188" s="7" t="str">
        <x:v>Active</x:v>
      </x:c>
      <x:c r="AS188" s="7" t="str">
        <x:v>Current detail page</x:v>
      </x:c>
    </x:row>
    <x:row r="189" ht="52" customHeight="1">
      <x:c r="A189" s="7" t="str">
        <x:v>PEREZ ADRIANA</x:v>
      </x:c>
      <x:c r="B189" s="14" t="str">
        <x:f>"0E07714"</x:f>
        <x:v>0E07714</x:v>
      </x:c>
      <x:c r="C189" s="7" t="str">
        <x:v>Omitted</x:v>
      </x:c>
      <x:c r="D189" s="7" t="str">
        <x:v>REVIEW</x:v>
      </x:c>
      <x:c r="E189" s="13" t="str">
        <x:v>Pending</x:v>
      </x:c>
      <x:c r="F189" s="13" t="str"/>
      <x:c r="G189" s="13" t="str"/>
      <x:c r="H189" s="13" t="str"/>
      <x:c r="I189" s="7" t="str">
        <x:v>Was this person reviewed? If rejected, give the actual rule and evidence. If acceptable, correct the omission. Resolve: Allstate distribution role; No collected public business phone.</x:v>
      </x:c>
      <x:c r="J189" s="7" t="str">
        <x:v>R3, R5</x:v>
      </x:c>
      <x:c r="K189" s="7" t="str">
        <x:v>Requires verification: Allstate distribution role; No collected public business phone. These facts do not establish the original reviewer’s motive.</x:v>
      </x:c>
      <x:c r="L189" s="7" t="str">
        <x:v>Not supplied; membership is known, motive is not</x:v>
      </x:c>
      <x:c r="M189" s="7" t="n">
        <x:v>5</x:v>
      </x:c>
      <x:c r="N189" s="7" t="str">
        <x:v>Find contact information first</x:v>
      </x:c>
      <x:c r="O189" s="7" t="str">
        <x:v>Active</x:v>
      </x:c>
      <x:c r="P189" s="7" t="str">
        <x:v>06/01/2005</x:v>
      </x:c>
      <x:c r="Q189" s="7" t="str">
        <x:v>06/30/2027</x:v>
      </x:c>
      <x:c r="R189" s="7" t="str">
        <x:v>Accident &amp; Health or Sickness; Casualty; Life; Property</x:v>
      </x:c>
      <x:c r="S189" s="15" t="str"/>
      <x:c r="T189" s="7" t="str">
        <x:v>No public business phone in collected record</x:v>
      </x:c>
      <x:c r="U189" s="7" t="str">
        <x:v>10727 WHITE OAK AVE #105 GRANADA HILLS CA, 91344</x:v>
      </x:c>
      <x:c r="V189" s="7" t="str">
        <x:v>Resident</x:v>
      </x:c>
      <x:c r="W189" s="7" t="str">
        <x:v>CA</x:v>
      </x:c>
      <x:c r="X189" s="7" t="str">
        <x:v>ZINNI FAMILY INSURANCE SERVICES, INC. / Property / 09/11/2006
ZINNI FAMILY INSURANCE SERVICES, INC. / Accident &amp; Health or Sickness / 09/11/2006
ZINNI FAMILY INSURANCE SERVICES, INC. / Casualty / 09/11/2006
ZINNI FAMILY INSURANCE SERVICES, INC. / Life / 09/11/2006</x:v>
      </x:c>
      <x:c r="Y189" s="7" t="str">
        <x:v>ALLSTATE INDEMNITY COMPANY / Casualty / 08/31/2004
ALLSTATE INDEMNITY COMPANY / Property / 08/31/2004
ALLSTATE INSURANCE COMPANY / Casualty / 08/31/2004
ALLSTATE INSURANCE COMPANY / Property / 08/31/2004
ALLSTATE MOTOR CLUB, INC. / Motor Club / 03/09/2011
ALLSTATE NORTHBROOK INDEMNITY COMPANY / Casualty / 06/18/2014
ALLSTATE NORTHBROOK INDEMNITY COMPANY / Property / 06/18/2014
ALLSTATE PROPERTY AND CASUALTY INSURANCE COMPANY / Casualty / 08/31/2004
ALLSTATE PROPERTY AND CASUALTY INSURANCE COMPANY / Property / 08/31/2004
EVERLAKE ASSURANCE COMPANY / Life / 10/01/2015
FOREMOST INSURANCE COMPANY GRAND RAPIDS, MICHIGAN / Casualty / 06/09/2025
FOREMOST INSURANCE COMPANY GRAND RAPIDS, MICHIGAN / Property / 06/09/2025
LINCOLN BENEFIT LIFE COMPANY / Accident &amp; Health or Sickness / 07/03/2007
LINCOLN BENEFIT LIFE COMPANY / Life / 07/03/2007</x:v>
      </x:c>
      <x:c r="Z189" s="7" t="str"/>
      <x:c r="AA189" s="7" t="str"/>
      <x:c r="AB189" s="7" t="str"/>
      <x:c r="AC189" s="7" t="str"/>
      <x:c r="AD189" s="7" t="str">
        <x:v>Active general Life authority | Direct Life appointments outside the selected health-carrier set: EVERLAKE ASSURANCE COMPANY, LINCOLN BENEFIT LIFE COMPANY | Active A&amp;H supports optional cross-selling; not necessary for target products</x:v>
      </x:c>
      <x:c r="AE189" s="7" t="str">
        <x:v>Allstate P&amp;C appointments: verify distribution relationship; do not assume exclusivity | Mixed P&amp;C/Life qualifications; not an exclusion because approved examples have both | No public business phone: contact enrichment needed, not proof of poor recruiting fit</x:v>
      </x:c>
      <x:c r="AF189" s="16" t="n">
        <x:v>21.4</x:v>
      </x:c>
      <x:c r="AG189" s="17" t="n">
        <x:v>265</x:v>
      </x:c>
      <x:c r="AH189" s="7" t="str">
        <x:v>2015-10-01</x:v>
      </x:c>
      <x:c r="AI189" s="7" t="str">
        <x:v>English, Spanish, Spanish</x:v>
      </x:c>
      <x:c r="AJ189" s="7" t="str"/>
      <x:c r="AK189" s="15" t="str"/>
      <x:c r="AL189" s="7" t="str"/>
      <x:c r="AM189" s="7" t="str">
        <x:v>AGUILAR  ADRIANA</x:v>
      </x:c>
      <x:c r="AN189" s="7" t="str">
        <x:v>https://cdicloud.insurance.ca.gov/cal/LicenseDetail?SearchType=IND&amp;SearchLicNbr=0E07714&amp;SearchIndvId=850484</x:v>
      </x:c>
      <x:c r="AO189" s="7" t="str">
        <x:v>2026-10-08</x:v>
      </x:c>
      <x:c r="AP189" s="7" t="str">
        <x:v>090ecd63f642ba1711785de5862d4aafd4f7ef60bd5636debf16534e75aabe60</x:v>
      </x:c>
      <x:c r="AQ189" s="7" t="str">
        <x:v>Accident &amp; Health or Sickness / Active / 06/01/2005 / 06/01/2005 / 06/30/2027
Casualty / Active / 06/25/2003 / 06/25/2003 / 06/30/2027
Life / Active / 06/01/2005 / 06/01/2005 / 06/30/2027
Property / Active / 06/25/2003 / 06/25/2003 / 06/30/2027</x:v>
      </x:c>
      <x:c r="AR189" s="7" t="str">
        <x:v>Active</x:v>
      </x:c>
      <x:c r="AS189" s="7" t="str">
        <x:v>Current detail page</x:v>
      </x:c>
    </x:row>
    <x:row r="190" ht="52" customHeight="1">
      <x:c r="A190" s="7" t="str">
        <x:v>TONN SHANNON KAYE</x:v>
      </x:c>
      <x:c r="B190" s="14" t="str">
        <x:f>"0D71243"</x:f>
        <x:v>0D71243</x:v>
      </x:c>
      <x:c r="C190" s="7" t="str">
        <x:v>Omitted</x:v>
      </x:c>
      <x:c r="D190" s="7" t="str">
        <x:v>REVIEW</x:v>
      </x:c>
      <x:c r="E190" s="13" t="str">
        <x:v>Pending</x:v>
      </x:c>
      <x:c r="F190" s="13" t="str"/>
      <x:c r="G190" s="13" t="str"/>
      <x:c r="H190" s="13" t="str"/>
      <x:c r="I190" s="7" t="str">
        <x:v>Was this person reviewed? If rejected, give the actual rule and evidence. If acceptable, correct the omission. Resolve: P&amp;C emphasis without separate core-Life signal; No collected public business phone.</x:v>
      </x:c>
      <x:c r="J190" s="7" t="str">
        <x:v>R4, R5</x:v>
      </x:c>
      <x:c r="K190" s="7" t="str">
        <x:v>Requires verification: P&amp;C emphasis without separate core-Life signal; No collected public business phone. These facts do not establish the original reviewer’s motive.</x:v>
      </x:c>
      <x:c r="L190" s="7" t="str">
        <x:v>Not supplied; membership is known, motive is not</x:v>
      </x:c>
      <x:c r="M190" s="7" t="n">
        <x:v>5</x:v>
      </x:c>
      <x:c r="N190" s="7" t="str">
        <x:v>Find contact information first</x:v>
      </x:c>
      <x:c r="O190" s="7" t="str">
        <x:v>Active</x:v>
      </x:c>
      <x:c r="P190" s="7" t="str">
        <x:v>02/28/2019</x:v>
      </x:c>
      <x:c r="Q190" s="7" t="str">
        <x:v>09/30/2027</x:v>
      </x:c>
      <x:c r="R190" s="7" t="str">
        <x:v>Accident &amp; Health or Sickness; Casualty; Life; Property</x:v>
      </x:c>
      <x:c r="S190" s="15" t="str"/>
      <x:c r="T190" s="7" t="str">
        <x:v>No public business phone in collected record</x:v>
      </x:c>
      <x:c r="U190" s="7" t="str">
        <x:v>2020 HARBISON DRIVE VACAVILLE CA, 95687</x:v>
      </x:c>
      <x:c r="V190" s="7" t="str">
        <x:v>Resident</x:v>
      </x:c>
      <x:c r="W190" s="7" t="str">
        <x:v>CA</x:v>
      </x:c>
      <x:c r="X190" s="7" t="str"/>
      <x:c r="Y190" s="7" t="str"/>
      <x:c r="Z190" s="7" t="str"/>
      <x:c r="AA190" s="7" t="str"/>
      <x:c r="AB190" s="7" t="str"/>
      <x:c r="AC190" s="7" t="str"/>
      <x:c r="AD190" s="7" t="str">
        <x:v>Active general Life authority | No agency or insurer displayed: onboarding opportunity possible; existing business unknown | Active A&amp;H supports optional cross-selling; not necessary for target products</x:v>
      </x:c>
      <x:c r="AE190" s="7" t="str">
        <x:v>P&amp;C/Personal Lines authority without displayed core Life appointments; mixed profile requires review | No public business phone: contact enrichment needed, not proof of poor recruiting fit</x:v>
      </x:c>
      <x:c r="AF190" s="16" t="n">
        <x:v>7.6</x:v>
      </x:c>
      <x:c r="AG190" s="17" t="n">
        <x:v>357</x:v>
      </x:c>
      <x:c r="AH190" s="7" t="str"/>
      <x:c r="AI190" s="7" t="str">
        <x:v>English</x:v>
      </x:c>
      <x:c r="AJ190" s="7" t="str"/>
      <x:c r="AK190" s="15" t="str"/>
      <x:c r="AL190" s="7" t="str"/>
      <x:c r="AM190" s="7" t="str">
        <x:v>AGUILAR KAYE SHANNON</x:v>
      </x:c>
      <x:c r="AN190" s="7" t="str">
        <x:v>https://cdicloud.insurance.ca.gov/cal/LicenseDetail?SearchType=IND&amp;SearchLicNbr=0D71243&amp;SearchIndvId=786050</x:v>
      </x:c>
      <x:c r="AO190" s="7" t="str">
        <x:v>2026-10-08</x:v>
      </x:c>
      <x:c r="AP190" s="7" t="str">
        <x:v>e03a7c44df6bec7be123b7c92ea4c7a39fd867975766a1dce9fa47931d7c182f</x:v>
      </x:c>
      <x:c r="AQ190" s="7" t="str">
        <x:v>Accident &amp; Health or Sickness / Active / 02/28/2019 / 08/11/2020 / 09/30/2027
Casualty / Active / 07/24/2002 / 08/11/2020 / 09/30/2027
Life / Active / 02/28/2019 / 08/11/2020 / 09/30/2027
Property / Active / 07/24/2002 / 08/11/2020 / 09/30/2027</x:v>
      </x:c>
      <x:c r="AR190" s="7" t="str">
        <x:v>Active</x:v>
      </x:c>
      <x:c r="AS190" s="7" t="str">
        <x:v>Current detail page</x:v>
      </x:c>
    </x:row>
    <x:row r="191" ht="52" customHeight="1">
      <x:c r="A191" s="7" t="str">
        <x:v>AGUILAR ANA LILIA</x:v>
      </x:c>
      <x:c r="B191" s="14" t="str">
        <x:f>"0E16507"</x:f>
        <x:v>0E16507</x:v>
      </x:c>
      <x:c r="C191" s="7" t="str">
        <x:v>Omitted</x:v>
      </x:c>
      <x:c r="D191" s="7" t="str">
        <x:v>FAIL</x:v>
      </x:c>
      <x:c r="E191" s="13" t="str">
        <x:v>Pending</x:v>
      </x:c>
      <x:c r="F191" s="13" t="str"/>
      <x:c r="G191" s="13" t="str"/>
      <x:c r="H191" s="13" t="str"/>
      <x:c r="I191" s="7" t="str">
        <x:v>Was this person reviewed? If rejected, give the actual rule and evidence. If acceptable, correct the omission. Resolve: No collected public business phone.</x:v>
      </x:c>
      <x:c r="J191" s="7" t="str">
        <x:v>C1</x:v>
      </x:c>
      <x:c r="K191" s="7" t="str">
        <x:v>Current State Farm/Farmers relationship matches the user-confirmed exclusion. Reviewer must verify that this was the historical reason.</x:v>
      </x:c>
      <x:c r="L191" s="7" t="str">
        <x:v>Not supplied; membership is known, motive is not</x:v>
      </x:c>
      <x:c r="M191" s="7" t="n">
        <x:v>6</x:v>
      </x:c>
      <x:c r="N191" s="7" t="str">
        <x:v>Exclude under confirmed company rule</x:v>
      </x:c>
      <x:c r="O191" s="7" t="str">
        <x:v>Active</x:v>
      </x:c>
      <x:c r="P191" s="7" t="str">
        <x:v>02/01/2005</x:v>
      </x:c>
      <x:c r="Q191" s="7" t="str">
        <x:v>09/30/2027</x:v>
      </x:c>
      <x:c r="R191" s="7" t="str">
        <x:v>Accident &amp; Health or Sickness; Casualty; Life; Property</x:v>
      </x:c>
      <x:c r="S191" s="15" t="str"/>
      <x:c r="T191" s="7" t="str">
        <x:v>No public business phone in collected record</x:v>
      </x:c>
      <x:c r="U191" s="7" t="str">
        <x:v>1647 E LINCOLN AVE. ORANGE CA, 92865</x:v>
      </x:c>
      <x:c r="V191" s="7" t="str">
        <x:v>Resident</x:v>
      </x:c>
      <x:c r="W191" s="7" t="str">
        <x:v>CA</x:v>
      </x:c>
      <x:c r="X191" s="7" t="str">
        <x:v>VANCE ORAND INSURANCE AGENCY, INC. / Property / 10/29/2010
EMMA HIGHTOWER INSURANCE AGENCY INC. / Accident &amp; Health or Sickness / 06/01/2019
EMMA HIGHTOWER INSURANCE AGENCY INC. / Life / 06/01/2019
EMMA HIGHTOWER INSURANCE AGENCY INC. / Casualty / 06/01/2019
VANCE ORAND INSURANCE AGENCY, INC. / Casualty / 10/29/2010
EMMA HIGHTOWER INSURANCE AGENCY INC. / Property / 06/01/2019</x:v>
      </x:c>
      <x:c r="Y191" s="7" t="str">
        <x:v>STATE FARM LIFE INSURANCE COMPANY / Life / 02/28/2005
STATE FARM MUTUAL AUTOMOBILE INSURANCE COMPANY / Accident &amp; Health or Sickness / 07/26/2011</x:v>
      </x:c>
      <x:c r="Z191" s="7" t="str"/>
      <x:c r="AA191" s="7" t="str"/>
      <x:c r="AB191" s="7" t="str"/>
      <x:c r="AC191" s="7" t="str"/>
      <x:c r="AD191" s="7" t="str">
        <x:v>Active general Life authority | Direct Life appointments outside the selected health-carrier set: STATE FARM LIFE INSURANCE COMPANY | Active A&amp;H supports optional cross-selling; not necessary for target products</x:v>
      </x:c>
      <x:c r="AE191" s="7" t="str">
        <x:v>Mixed P&amp;C/Life qualifications; not an exclusion because approved examples have both | No public business phone: contact enrichment needed, not proof of poor recruiting fit</x:v>
      </x:c>
      <x:c r="AF191" s="16" t="n">
        <x:v>21.7</x:v>
      </x:c>
      <x:c r="AG191" s="17" t="n">
        <x:v>357</x:v>
      </x:c>
      <x:c r="AH191" s="7" t="str">
        <x:v>2005-02-28</x:v>
      </x:c>
      <x:c r="AI191" s="7" t="str">
        <x:v>English, Spanish, Spanish</x:v>
      </x:c>
      <x:c r="AJ191" s="7" t="str"/>
      <x:c r="AK191" s="15" t="str"/>
      <x:c r="AL191" s="7" t="str"/>
      <x:c r="AM191" s="7" t="str">
        <x:v>AGUILAR LILIA ANA</x:v>
      </x:c>
      <x:c r="AN191" s="7" t="str">
        <x:v>https://cdicloud.insurance.ca.gov/cal/LicenseDetail?SearchType=IND&amp;SearchLicNbr=0E16507&amp;SearchIndvId=863710</x:v>
      </x:c>
      <x:c r="AO191" s="7" t="str">
        <x:v>2026-10-08</x:v>
      </x:c>
      <x:c r="AP191" s="7" t="str">
        <x:v>c9da3e2204d72177c1eedb41f0bfb57fe465294d7d913d245b01f48b7cf8997b</x:v>
      </x:c>
      <x:c r="AQ191" s="7" t="str">
        <x:v>Accident &amp; Health or Sickness / Active / 02/01/2005 / 02/01/2005 / 09/30/2027
Casualty / Active / 09/23/2003 / 09/23/2003 / 09/30/2027
Life / Active / 02/01/2005 / 02/01/2005 / 09/30/2027
Property / Active / 09/23/2003 / 09/23/2003 / 09/30/2027</x:v>
      </x:c>
      <x:c r="AR191" s="7" t="str">
        <x:v>Active</x:v>
      </x:c>
      <x:c r="AS191" s="7" t="str">
        <x:v>Current detail page</x:v>
      </x:c>
    </x:row>
    <x:row r="192" ht="52" customHeight="1">
      <x:c r="A192" s="7" t="str">
        <x:v>AGUILAR CHELSEA</x:v>
      </x:c>
      <x:c r="B192" s="14" t="str">
        <x:f>"0J17106"</x:f>
        <x:v>0J17106</x:v>
      </x:c>
      <x:c r="C192" s="7" t="str">
        <x:v>Omitted</x:v>
      </x:c>
      <x:c r="D192" s="7" t="str">
        <x:v>FAIL</x:v>
      </x:c>
      <x:c r="E192" s="13" t="str">
        <x:v>Pending</x:v>
      </x:c>
      <x:c r="F192" s="13" t="str"/>
      <x:c r="G192" s="13" t="str"/>
      <x:c r="H192" s="13" t="str"/>
      <x:c r="I192" s="7" t="str">
        <x:v>Was this person reviewed? If rejected, give the actual rule and evidence. If acceptable, correct the omission. Confirm the named company exclusion.</x:v>
      </x:c>
      <x:c r="J192" s="7" t="str">
        <x:v>C1</x:v>
      </x:c>
      <x:c r="K192" s="7" t="str">
        <x:v>Current State Farm/Farmers relationship matches the user-confirmed exclusion. Reviewer must verify that this was the historical reason.</x:v>
      </x:c>
      <x:c r="L192" s="7" t="str">
        <x:v>Not supplied; membership is known, motive is not</x:v>
      </x:c>
      <x:c r="M192" s="7" t="n">
        <x:v>6</x:v>
      </x:c>
      <x:c r="N192" s="7" t="str">
        <x:v>Exclude under confirmed company rule</x:v>
      </x:c>
      <x:c r="O192" s="7" t="str">
        <x:v>Active</x:v>
      </x:c>
      <x:c r="P192" s="7" t="str">
        <x:v>05/27/2015</x:v>
      </x:c>
      <x:c r="Q192" s="7" t="str">
        <x:v>11/30/2026</x:v>
      </x:c>
      <x:c r="R192" s="7" t="str">
        <x:v>Accident &amp; Health or Sickness; Casualty; Life; Property</x:v>
      </x:c>
      <x:c r="S192" s="15" t="str">
        <x:v>909-740-7151</x:v>
      </x:c>
      <x:c r="T192" s="7" t="str">
        <x:v>Current CDI</x:v>
      </x:c>
      <x:c r="U192" s="7" t="str">
        <x:v>195 N EUCLID AVE STE 102 UPLAND CA, 91786</x:v>
      </x:c>
      <x:c r="V192" s="7" t="str">
        <x:v>Resident</x:v>
      </x:c>
      <x:c r="W192" s="7" t="str">
        <x:v>CA</x:v>
      </x:c>
      <x:c r="X192" s="7" t="str"/>
      <x:c r="Y192" s="7" t="str">
        <x:v>STATE FARM LIFE INSURANCE COMPANY / Life / 08/11/2026
STATE FARM MUTUAL AUTOMOBILE INSURANCE COMPANY / Accident &amp; Health or Sickness / 08/11/2026</x:v>
      </x:c>
      <x:c r="Z192" s="7" t="str"/>
      <x:c r="AA192" s="7" t="str"/>
      <x:c r="AB192" s="7" t="str">
        <x:v>AMY BLACKWELL INSURANCE AGENCY, INC. / Casualty / 08/01/2021
AMY BLACKWELL INSURANCE AGENCY, INC. / Property / 08/01/2021
HOUGHTALING LISA LEE-ANN / Casualty / 11/19/2014
HOUGHTALING LISA LEE-ANN / Property / 11/19/2014
MARSALA ASSENETH MIRIAM / Casualty / 10/01/2021
MARSALA ASSENETH MIRIAM / Property / 10/01/2021</x:v>
      </x:c>
      <x:c r="AC192" s="7" t="str"/>
      <x:c r="AD192" s="7" t="str">
        <x:v>Active general Life authority | Direct Life appointments outside the selected health-carrier set: STATE FARM LIFE INSURANCE COMPANY | Active A&amp;H supports optional cross-selling; not necessary for target products</x:v>
      </x:c>
      <x:c r="AE192" s="7" t="str">
        <x:v>Mixed P&amp;C/Life qualifications; not an exclusion because approved examples have both | Sponsor relationships displayed: AMY BLACKWELL INSURANCE AGENCY, INC., HOUGHTALING LISA LEE-ANN, MARSALA ASSENETH MIRIAM; inspect line-specific relationship, not a blanket employment inference | Life expiration in 53 days: confirm renewal during onboarding</x:v>
      </x:c>
      <x:c r="AF192" s="16" t="n">
        <x:v>11.4</x:v>
      </x:c>
      <x:c r="AG192" s="17" t="n">
        <x:v>53</x:v>
      </x:c>
      <x:c r="AH192" s="7" t="str">
        <x:v>2026-08-11</x:v>
      </x:c>
      <x:c r="AI192" s="7" t="str">
        <x:v>English</x:v>
      </x:c>
      <x:c r="AJ192" s="7" t="str"/>
      <x:c r="AK192" s="15" t="str"/>
      <x:c r="AL192" s="7" t="str"/>
      <x:c r="AM192" s="7" t="str">
        <x:v>AGUILAR  CHELSEA</x:v>
      </x:c>
      <x:c r="AN192" s="7" t="str">
        <x:v>https://cdicloud.insurance.ca.gov/cal/LicenseDetail?SearchType=IND&amp;SearchLicNbr=0J17106&amp;SearchIndvId=1713120</x:v>
      </x:c>
      <x:c r="AO192" s="7" t="str">
        <x:v>2026-10-08</x:v>
      </x:c>
      <x:c r="AP192" s="7" t="str">
        <x:v>7854e2810cd04b3677d083a06944b801d2e39a9f69ae98cde5e3af720e80737f</x:v>
      </x:c>
      <x:c r="AQ192" s="7" t="str">
        <x:v>Accident &amp; Health or Sickness / Active / 05/27/2015 / 05/27/2015 / 11/30/2026
Casualty / Active / 11/12/2014 / 11/12/2014 / 11/30/2026
Life / Active / 05/27/2015 / 05/27/2015 / 11/30/2026
Property / Active / 11/12/2014 / 11/12/2014 / 11/30/2026</x:v>
      </x:c>
      <x:c r="AR192" s="7" t="str">
        <x:v>Active</x:v>
      </x:c>
      <x:c r="AS192" s="7" t="str">
        <x:v>Current detail page</x:v>
      </x:c>
    </x:row>
    <x:row r="193" ht="52" customHeight="1">
      <x:c r="A193" s="7" t="str">
        <x:v>AGUILAR CLAUDIA</x:v>
      </x:c>
      <x:c r="B193" s="14" t="str">
        <x:f>"0E37291"</x:f>
        <x:v>0E37291</x:v>
      </x:c>
      <x:c r="C193" s="7" t="str">
        <x:v>Omitted</x:v>
      </x:c>
      <x:c r="D193" s="7" t="str">
        <x:v>FAIL</x:v>
      </x:c>
      <x:c r="E193" s="13" t="str">
        <x:v>Pending</x:v>
      </x:c>
      <x:c r="F193" s="13" t="str"/>
      <x:c r="G193" s="13" t="str"/>
      <x:c r="H193" s="13" t="str"/>
      <x:c r="I193" s="7" t="str">
        <x:v>Was this person reviewed? If rejected, give the actual rule and evidence. If acceptable, correct the omission. Resolve: No collected public business phone; Geographic scope.</x:v>
      </x:c>
      <x:c r="J193" s="7" t="str">
        <x:v>C1</x:v>
      </x:c>
      <x:c r="K193" s="7" t="str">
        <x:v>Current State Farm/Farmers relationship matches the user-confirmed exclusion. Reviewer must verify that this was the historical reason.</x:v>
      </x:c>
      <x:c r="L193" s="7" t="str">
        <x:v>Not supplied; membership is known, motive is not</x:v>
      </x:c>
      <x:c r="M193" s="7" t="n">
        <x:v>6</x:v>
      </x:c>
      <x:c r="N193" s="7" t="str">
        <x:v>Exclude under confirmed company rule</x:v>
      </x:c>
      <x:c r="O193" s="7" t="str">
        <x:v>Active</x:v>
      </x:c>
      <x:c r="P193" s="7" t="str">
        <x:v>09/30/2021</x:v>
      </x:c>
      <x:c r="Q193" s="7" t="str">
        <x:v>09/30/2027</x:v>
      </x:c>
      <x:c r="R193" s="7" t="str">
        <x:v>Accident &amp; Health or Sickness; Casualty; Life; Property</x:v>
      </x:c>
      <x:c r="S193" s="15" t="str"/>
      <x:c r="T193" s="7" t="str">
        <x:v>No public business phone in collected record</x:v>
      </x:c>
      <x:c r="U193" s="7" t="str">
        <x:v>1310 E VALLEY PKWY 104 ESCONDIO AZ, 92027</x:v>
      </x:c>
      <x:c r="V193" s="7" t="str">
        <x:v>Non-resident</x:v>
      </x:c>
      <x:c r="W193" s="7" t="str">
        <x:v>AZ</x:v>
      </x:c>
      <x:c r="X193" s="7" t="str"/>
      <x:c r="Y193" s="7" t="str">
        <x:v>COAST NATIONAL INSURANCE COMPANY / Casualty / 11/05/2021
COAST NATIONAL INSURANCE COMPANY / Property / 11/05/2021
FARMERS INSURANCE EXCHANGE / Casualty / 11/05/2021
FARMERS INSURANCE EXCHANGE / Property / 11/05/2021
FARMERS NEW WORLD LIFE INSURANCE COMPANY / Accident &amp; Health or Sickness / 11/05/2021
FARMERS NEW WORLD LIFE INSURANCE COMPANY / Life / 11/05/2021
FIRE INSURANCE EXCHANGE / Casualty / 11/05/2021
FIRE INSURANCE EXCHANGE / Property / 11/05/2021
FOREMOST INSURANCE COMPANY GRAND RAPIDS, MICHIGAN / Casualty / 11/05/2021
FOREMOST INSURANCE COMPANY GRAND RAPIDS, MICHIGAN / Property / 11/05/2021
MID-CENTURY INSURANCE COMPANY / Casualty / 11/05/2021
MID-CENTURY INSURANCE COMPANY / Property / 11/05/2021
TRUCK INSURANCE EXCHANGE / Casualty / 11/05/2021
TRUCK INSURANCE EXCHANGE / Property / 11/05/2021</x:v>
      </x:c>
      <x:c r="Z193" s="7" t="str"/>
      <x:c r="AA193" s="7" t="str"/>
      <x:c r="AB193" s="7" t="str"/>
      <x:c r="AC193" s="7" t="str"/>
      <x:c r="AD193" s="7" t="str">
        <x:v>Active general Life authority | Direct Life appointments outside the selected health-carrier set: FARMERS NEW WORLD LIFE INSURANCE COMPANY | Active A&amp;H supports optional cross-selling; not necessary for target products</x:v>
      </x:c>
      <x:c r="AE193" s="7" t="str">
        <x:v>Mixed P&amp;C/Life qualifications; not an exclusion because approved examples have both | Nonresident or address state outside CA; confirm geographic recruiting scope | No public business phone: contact enrichment needed, not proof of poor recruiting fit</x:v>
      </x:c>
      <x:c r="AF193" s="16" t="n">
        <x:v>5</x:v>
      </x:c>
      <x:c r="AG193" s="17" t="n">
        <x:v>357</x:v>
      </x:c>
      <x:c r="AH193" s="7" t="str">
        <x:v>2021-11-05</x:v>
      </x:c>
      <x:c r="AI193" s="7" t="str"/>
      <x:c r="AJ193" s="7" t="str"/>
      <x:c r="AK193" s="15" t="str"/>
      <x:c r="AL193" s="7" t="str"/>
      <x:c r="AM193" s="7" t="str">
        <x:v>Aguilar  Claudia</x:v>
      </x:c>
      <x:c r="AN193" s="7" t="str">
        <x:v>https://cdicloud.insurance.ca.gov/cal/LicenseDetail?SearchType=IND&amp;SearchLicNbr=0E37291&amp;SearchIndvId=889827</x:v>
      </x:c>
      <x:c r="AO193" s="7" t="str">
        <x:v>2026-10-08</x:v>
      </x:c>
      <x:c r="AP193" s="7" t="str">
        <x:v>a45543c77ee343a92fa57b5a6ffb011c2133038ef7f3a215b3e19e8898881abf</x:v>
      </x:c>
      <x:c r="AQ193" s="7" t="str">
        <x:v>Accident &amp; Health or Sickness / Active / 09/30/2021 / 09/30/2021 / 09/30/2027
Casualty / Active / 09/30/2021 / 09/30/2021 / 09/30/2027
Life / Active / 09/30/2021 / 09/30/2021 / 09/30/2027
Property / Active / 09/30/2021 / 09/30/2021 / 09/30/2027</x:v>
      </x:c>
      <x:c r="AR193" s="7" t="str">
        <x:v>Active</x:v>
      </x:c>
      <x:c r="AS193" s="7" t="str">
        <x:v>Current detail page</x:v>
      </x:c>
    </x:row>
    <x:row r="194" ht="52" customHeight="1">
      <x:c r="A194" s="7" t="str">
        <x:v>AGUILAR FEDERICO</x:v>
      </x:c>
      <x:c r="B194" s="14" t="str">
        <x:f>"0G20614"</x:f>
        <x:v>0G20614</x:v>
      </x:c>
      <x:c r="C194" s="7" t="str">
        <x:v>Omitted</x:v>
      </x:c>
      <x:c r="D194" s="7" t="str">
        <x:v>FAIL</x:v>
      </x:c>
      <x:c r="E194" s="13" t="str">
        <x:v>Pending</x:v>
      </x:c>
      <x:c r="F194" s="13" t="str"/>
      <x:c r="G194" s="13" t="str"/>
      <x:c r="H194" s="13" t="str"/>
      <x:c r="I194" s="7" t="str">
        <x:v>Was this person reviewed? If rejected, give the actual rule and evidence. If acceptable, correct the omission. Resolve: No collected public business phone.</x:v>
      </x:c>
      <x:c r="J194" s="7" t="str">
        <x:v>C1</x:v>
      </x:c>
      <x:c r="K194" s="7" t="str">
        <x:v>Current State Farm/Farmers relationship matches the user-confirmed exclusion. Reviewer must verify that this was the historical reason.</x:v>
      </x:c>
      <x:c r="L194" s="7" t="str">
        <x:v>Not supplied; membership is known, motive is not</x:v>
      </x:c>
      <x:c r="M194" s="7" t="n">
        <x:v>6</x:v>
      </x:c>
      <x:c r="N194" s="7" t="str">
        <x:v>Exclude under confirmed company rule</x:v>
      </x:c>
      <x:c r="O194" s="7" t="str">
        <x:v>Active</x:v>
      </x:c>
      <x:c r="P194" s="7" t="str">
        <x:v>10/10/2008</x:v>
      </x:c>
      <x:c r="Q194" s="7" t="str">
        <x:v>07/31/2028</x:v>
      </x:c>
      <x:c r="R194" s="7" t="str">
        <x:v>Accident &amp; Health or Sickness; Casualty; Life; Property</x:v>
      </x:c>
      <x:c r="S194" s="15" t="str"/>
      <x:c r="T194" s="7" t="str">
        <x:v>No public business phone in collected record</x:v>
      </x:c>
      <x:c r="U194" s="7" t="str">
        <x:v>705 N OXNARD BLVD # 101 OXNARD CA, 93030</x:v>
      </x:c>
      <x:c r="V194" s="7" t="str">
        <x:v>Resident</x:v>
      </x:c>
      <x:c r="W194" s="7" t="str">
        <x:v>CA</x:v>
      </x:c>
      <x:c r="X194" s="7" t="str"/>
      <x:c r="Y194" s="7" t="str">
        <x:v>STATE FARM LIFE INSURANCE COMPANY / Life / 07/08/2010
STATE FARM MUTUAL AUTOMOBILE INSURANCE COMPANY / Accident &amp; Health or Sickness / 07/19/2011</x:v>
      </x:c>
      <x:c r="Z194" s="7" t="str"/>
      <x:c r="AA194" s="7" t="str"/>
      <x:c r="AB194" s="7" t="str">
        <x:v>ALLISON CHARLES EDMUND / Casualty / 07/18/2011
ALLISON CHARLES EDMUND / Property / 07/18/2011
AVERY GEOFFREY ANDREW / Casualty / 06/15/2010
AVERY GEOFFREY ANDREW / Property / 06/15/2010
CHARLES E ALLISON INSURANCE AND FINANCIAL SERVICES, INC / Casualty / 03/16/2020
CHARLES E ALLISON INSURANCE AND FINANCIAL SERVICES, INC / Property / 03/16/2020</x:v>
      </x:c>
      <x:c r="AC194" s="7" t="str"/>
      <x:c r="AD194" s="7" t="str">
        <x:v>Active general Life authority | Direct Life appointments outside the selected health-carrier set: STATE FARM LIFE INSURANCE COMPANY | Active A&amp;H supports optional cross-selling; not necessary for target products</x:v>
      </x:c>
      <x:c r="AE194" s="7" t="str">
        <x:v>Mixed P&amp;C/Life qualifications; not an exclusion because approved examples have both | Sponsor relationships displayed: ALLISON CHARLES EDMUND, AVERY GEOFFREY ANDREW, CHARLES E ALLISON INSURANCE AND FINANCIAL SERVICES, INC; inspect line-specific relationship, not a blanket employment inference | No public business phone: contact enrichment needed, not proof of poor recruiting fit</x:v>
      </x:c>
      <x:c r="AF194" s="16" t="n">
        <x:v>18</x:v>
      </x:c>
      <x:c r="AG194" s="17" t="n">
        <x:v>662</x:v>
      </x:c>
      <x:c r="AH194" s="7" t="str">
        <x:v>2010-07-08</x:v>
      </x:c>
      <x:c r="AI194" s="7" t="str">
        <x:v>English, Spanish, Spanish</x:v>
      </x:c>
      <x:c r="AJ194" s="7" t="str"/>
      <x:c r="AK194" s="15" t="str"/>
      <x:c r="AL194" s="7" t="str"/>
      <x:c r="AM194" s="7" t="str">
        <x:v>AGUILAR  FEDERICO</x:v>
      </x:c>
      <x:c r="AN194" s="7" t="str">
        <x:v>https://cdicloud.insurance.ca.gov/cal/LicenseDetail?SearchType=IND&amp;SearchLicNbr=0G20614&amp;SearchIndvId=1167040</x:v>
      </x:c>
      <x:c r="AO194" s="7" t="str">
        <x:v>2026-10-08</x:v>
      </x:c>
      <x:c r="AP194" s="7" t="str">
        <x:v>155fa10ff705833140dd89c98546ed1912606aa3760eb5728bc534eea2cf1c32</x:v>
      </x:c>
      <x:c r="AQ194" s="7" t="str">
        <x:v>Accident &amp; Health or Sickness / Active / 10/10/2008 / 10/10/2008 / 07/31/2028
Casualty / Active / 07/01/2008 / 07/01/2008 / 07/31/2028
Life / Active / 10/10/2008 / 10/10/2008 / 07/31/2028
Property / Active / 07/01/2008 / 07/01/2008 / 07/31/2028</x:v>
      </x:c>
      <x:c r="AR194" s="7" t="str">
        <x:v>Active</x:v>
      </x:c>
      <x:c r="AS194" s="7" t="str">
        <x:v>Current detail page</x:v>
      </x:c>
    </x:row>
    <x:row r="195" ht="52" customHeight="1">
      <x:c r="A195" s="7" t="str">
        <x:v>AGUILAR GERENDA JOY</x:v>
      </x:c>
      <x:c r="B195" s="14" t="str">
        <x:f>"0C84688"</x:f>
        <x:v>0C84688</x:v>
      </x:c>
      <x:c r="C195" s="7" t="str">
        <x:v>Omitted</x:v>
      </x:c>
      <x:c r="D195" s="7" t="str">
        <x:v>FAIL</x:v>
      </x:c>
      <x:c r="E195" s="13" t="str">
        <x:v>Pending</x:v>
      </x:c>
      <x:c r="F195" s="13" t="str"/>
      <x:c r="G195" s="13" t="str"/>
      <x:c r="H195" s="13" t="str"/>
      <x:c r="I195" s="7" t="str">
        <x:v>Was this person reviewed? If rejected, give the actual rule and evidence. If acceptable, correct the omission. Confirm the named company exclusion.</x:v>
      </x:c>
      <x:c r="J195" s="7" t="str">
        <x:v>C1</x:v>
      </x:c>
      <x:c r="K195" s="7" t="str">
        <x:v>Current State Farm/Farmers relationship matches the user-confirmed exclusion. Reviewer must verify that this was the historical reason.</x:v>
      </x:c>
      <x:c r="L195" s="7" t="str">
        <x:v>Not supplied; membership is known, motive is not</x:v>
      </x:c>
      <x:c r="M195" s="7" t="n">
        <x:v>6</x:v>
      </x:c>
      <x:c r="N195" s="7" t="str">
        <x:v>Exclude under confirmed company rule</x:v>
      </x:c>
      <x:c r="O195" s="7" t="str">
        <x:v>Active</x:v>
      </x:c>
      <x:c r="P195" s="7" t="str">
        <x:v>03/29/2000</x:v>
      </x:c>
      <x:c r="Q195" s="7" t="str">
        <x:v>01/31/2028</x:v>
      </x:c>
      <x:c r="R195" s="7" t="str">
        <x:v>Accident &amp; Health or Sickness; Casualty; Life; Property</x:v>
      </x:c>
      <x:c r="S195" s="15" t="str">
        <x:v>909-944-0114</x:v>
      </x:c>
      <x:c r="T195" s="7" t="str">
        <x:v>Current CDI</x:v>
      </x:c>
      <x:c r="U195" s="7" t="str">
        <x:v>22875 SAVI RANCH PKWY STE H YORBA LINDA CA, 92887-4619</x:v>
      </x:c>
      <x:c r="V195" s="7" t="str">
        <x:v>Resident</x:v>
      </x:c>
      <x:c r="W195" s="7" t="str">
        <x:v>CA</x:v>
      </x:c>
      <x:c r="X195" s="7" t="str"/>
      <x:c r="Y195" s="7" t="str">
        <x:v>STATE FARM LIFE INSURANCE COMPANY / Life / 03/29/2000
STATE FARM MUTUAL AUTOMOBILE INSURANCE COMPANY / Accident &amp; Health or Sickness / 07/28/2011</x:v>
      </x:c>
      <x:c r="Z195" s="7" t="str"/>
      <x:c r="AA195" s="7" t="str"/>
      <x:c r="AB195" s="7" t="str">
        <x:v>SARNOWSKI DESIREE LYN / Casualty / 03/16/2012
SARNOWSKI DESIREE LYN / Property / 03/16/2012</x:v>
      </x:c>
      <x:c r="AC195" s="7" t="str"/>
      <x:c r="AD195" s="7" t="str">
        <x:v>Active general Life authority | Direct Life appointments outside the selected health-carrier set: STATE FARM LIFE INSURANCE COMPANY | Active A&amp;H supports optional cross-selling; not necessary for target products</x:v>
      </x:c>
      <x:c r="AE195" s="7" t="str">
        <x:v>Mixed P&amp;C/Life qualifications; not an exclusion because approved examples have both | Sponsor relationships displayed: SARNOWSKI DESIREE LYN; inspect line-specific relationship, not a blanket employment inference</x:v>
      </x:c>
      <x:c r="AF195" s="16" t="n">
        <x:v>26.5</x:v>
      </x:c>
      <x:c r="AG195" s="17" t="n">
        <x:v>480</x:v>
      </x:c>
      <x:c r="AH195" s="7" t="str">
        <x:v>2000-03-29</x:v>
      </x:c>
      <x:c r="AI195" s="7" t="str">
        <x:v>English</x:v>
      </x:c>
      <x:c r="AJ195" s="7" t="str"/>
      <x:c r="AK195" s="15" t="str"/>
      <x:c r="AL195" s="7" t="str"/>
      <x:c r="AM195" s="7" t="str">
        <x:v>AGUILAR JOY GERENDA</x:v>
      </x:c>
      <x:c r="AN195" s="7" t="str">
        <x:v>https://cdicloud.insurance.ca.gov/cal/LicenseDetail?SearchType=IND&amp;SearchLicNbr=0C84688&amp;SearchIndvId=474241</x:v>
      </x:c>
      <x:c r="AO195" s="7" t="str">
        <x:v>2026-10-08</x:v>
      </x:c>
      <x:c r="AP195" s="7" t="str">
        <x:v>fb8313e65b23a9ff9adee0fc03d2435132d284525cac3f53dc4381680089c51b</x:v>
      </x:c>
      <x:c r="AQ195" s="7" t="str">
        <x:v>Accident &amp; Health or Sickness / Active / 03/29/2000 / 03/29/2000 / 01/31/2028
Casualty / Active / 01/28/2000 / 01/28/2000 / 01/31/2028
Life / Active / 03/29/2000 / 03/29/2000 / 01/31/2028
Property / Active / 01/28/2000 / 01/28/2000 / 01/31/2028</x:v>
      </x:c>
      <x:c r="AR195" s="7" t="str">
        <x:v>Active</x:v>
      </x:c>
      <x:c r="AS195" s="7" t="str">
        <x:v>Current detail page</x:v>
      </x:c>
    </x:row>
    <x:row r="196" ht="52" customHeight="1">
      <x:c r="A196" s="7" t="str">
        <x:v>AGUILAR IRMA</x:v>
      </x:c>
      <x:c r="B196" s="14" t="str">
        <x:f>"4194303"</x:f>
        <x:v>4194303</x:v>
      </x:c>
      <x:c r="C196" s="7" t="str">
        <x:v>Omitted</x:v>
      </x:c>
      <x:c r="D196" s="7" t="str">
        <x:v>FAIL</x:v>
      </x:c>
      <x:c r="E196" s="13" t="str">
        <x:v>Pending</x:v>
      </x:c>
      <x:c r="F196" s="13" t="str"/>
      <x:c r="G196" s="13" t="str"/>
      <x:c r="H196" s="13" t="str"/>
      <x:c r="I196" s="7" t="str">
        <x:v>Was this person reviewed? If rejected, give the actual rule and evidence. If acceptable, correct the omission. Confirm the named company exclusion.</x:v>
      </x:c>
      <x:c r="J196" s="7" t="str">
        <x:v>C1</x:v>
      </x:c>
      <x:c r="K196" s="7" t="str">
        <x:v>Current State Farm/Farmers relationship matches the user-confirmed exclusion. Reviewer must verify that this was the historical reason.</x:v>
      </x:c>
      <x:c r="L196" s="7" t="str">
        <x:v>Not supplied; membership is known, motive is not</x:v>
      </x:c>
      <x:c r="M196" s="7" t="n">
        <x:v>6</x:v>
      </x:c>
      <x:c r="N196" s="7" t="str">
        <x:v>Exclude under confirmed company rule</x:v>
      </x:c>
      <x:c r="O196" s="7" t="str">
        <x:v>Active</x:v>
      </x:c>
      <x:c r="P196" s="7" t="str">
        <x:v>02/24/2022</x:v>
      </x:c>
      <x:c r="Q196" s="7" t="str">
        <x:v>02/29/2028</x:v>
      </x:c>
      <x:c r="R196" s="7" t="str">
        <x:v>Accident &amp; Health or Sickness; Casualty; Life; Property</x:v>
      </x:c>
      <x:c r="S196" s="15" t="str">
        <x:v>562-697-1544</x:v>
      </x:c>
      <x:c r="T196" s="7" t="str">
        <x:v>Current CDI</x:v>
      </x:c>
      <x:c r="U196" s="7" t="str">
        <x:v>201 W LA HABRA BLVD LA HABRA CA, 90631-5403</x:v>
      </x:c>
      <x:c r="V196" s="7" t="str">
        <x:v>Resident</x:v>
      </x:c>
      <x:c r="W196" s="7" t="str">
        <x:v>CA</x:v>
      </x:c>
      <x:c r="X196" s="7" t="str"/>
      <x:c r="Y196" s="7" t="str">
        <x:v>STATE FARM LIFE INSURANCE COMPANY / Life / 03/24/2023
STATE FARM MUTUAL AUTOMOBILE INSURANCE COMPANY / Accident &amp; Health or Sickness / 03/24/2023</x:v>
      </x:c>
      <x:c r="Z196" s="7" t="str"/>
      <x:c r="AA196" s="7" t="str"/>
      <x:c r="AB196" s="7" t="str">
        <x:v>FLORES TOBIE SHAWN / Personal Lines / 03/14/2023
NUNO LUZ PATRICIA / Casualty / 04/25/2023
NUNO LUZ PATRICIA / Property / 04/25/2023
RODRIGUEZ KHRISTEEN MAIRENA / Personal Lines / 08/16/2022</x:v>
      </x:c>
      <x:c r="AC196" s="7" t="str"/>
      <x:c r="AD196" s="7" t="str">
        <x:v>Active general Life authority | Direct Life appointments outside the selected health-carrier set: STATE FARM LIFE INSURANCE COMPANY | Active A&amp;H supports optional cross-selling; not necessary for target products</x:v>
      </x:c>
      <x:c r="AE196" s="7" t="str">
        <x:v>Mixed P&amp;C/Life qualifications; not an exclusion because approved examples have both | Sponsor relationships displayed: FLORES TOBIE SHAWN, NUNO LUZ PATRICIA, RODRIGUEZ KHRISTEEN MAIRENA; inspect line-specific relationship, not a blanket employment inference</x:v>
      </x:c>
      <x:c r="AF196" s="16" t="n">
        <x:v>4.6</x:v>
      </x:c>
      <x:c r="AG196" s="17" t="n">
        <x:v>509</x:v>
      </x:c>
      <x:c r="AH196" s="7" t="str">
        <x:v>2023-03-24</x:v>
      </x:c>
      <x:c r="AI196" s="7" t="str">
        <x:v>English</x:v>
      </x:c>
      <x:c r="AJ196" s="7" t="str"/>
      <x:c r="AK196" s="15" t="str"/>
      <x:c r="AL196" s="7" t="str"/>
      <x:c r="AM196" s="7" t="str">
        <x:v>AGUILAR  IRMA</x:v>
      </x:c>
      <x:c r="AN196" s="7" t="str">
        <x:v>https://cdicloud.insurance.ca.gov/cal/LicenseDetail?SearchType=IND&amp;SearchLicNbr=4194303&amp;SearchIndvId=4194303</x:v>
      </x:c>
      <x:c r="AO196" s="7" t="str">
        <x:v>2026-10-08</x:v>
      </x:c>
      <x:c r="AP196" s="7" t="str">
        <x:v>1fb19975232962384152b8ebbe8363f7a20c68f3b92b4055724799213fc41964</x:v>
      </x:c>
      <x:c r="AQ196" s="7" t="str">
        <x:v>Accident &amp; Health or Sickness / Active / 02/24/2022 / 02/24/2022 / 02/29/2028
Casualty / Active / 07/21/2023 / 07/21/2023 / 02/29/2028
Life / Active / 02/24/2022 / 02/24/2022 / 02/29/2028
Property / Active / 07/21/2023 / 07/21/2023 / 02/29/2028
Personal Lines / Inactive / 08/08/2022 / 07/21/2023 / 07/21/2023</x:v>
      </x:c>
      <x:c r="AR196" s="7" t="str">
        <x:v>Active</x:v>
      </x:c>
      <x:c r="AS196" s="7" t="str">
        <x:v>Current detail page</x:v>
      </x:c>
    </x:row>
    <x:row r="197" ht="52" customHeight="1">
      <x:c r="A197" s="7" t="str">
        <x:v>AGUILAR JORGE</x:v>
      </x:c>
      <x:c r="B197" s="14" t="str">
        <x:f>"4235096"</x:f>
        <x:v>4235096</x:v>
      </x:c>
      <x:c r="C197" s="7" t="str">
        <x:v>Omitted</x:v>
      </x:c>
      <x:c r="D197" s="7" t="str">
        <x:v>FAIL</x:v>
      </x:c>
      <x:c r="E197" s="13" t="str">
        <x:v>Pending</x:v>
      </x:c>
      <x:c r="F197" s="13" t="str"/>
      <x:c r="G197" s="13" t="str"/>
      <x:c r="H197" s="13" t="str"/>
      <x:c r="I197" s="7" t="str">
        <x:v>Was this person reviewed? If rejected, give the actual rule and evidence. If acceptable, correct the omission. Resolve: No collected public business phone.</x:v>
      </x:c>
      <x:c r="J197" s="7" t="str">
        <x:v>C1</x:v>
      </x:c>
      <x:c r="K197" s="7" t="str">
        <x:v>Current State Farm/Farmers relationship matches the user-confirmed exclusion. Reviewer must verify that this was the historical reason.</x:v>
      </x:c>
      <x:c r="L197" s="7" t="str">
        <x:v>Not supplied; membership is known, motive is not</x:v>
      </x:c>
      <x:c r="M197" s="7" t="n">
        <x:v>6</x:v>
      </x:c>
      <x:c r="N197" s="7" t="str">
        <x:v>Exclude under confirmed company rule</x:v>
      </x:c>
      <x:c r="O197" s="7" t="str">
        <x:v>Active</x:v>
      </x:c>
      <x:c r="P197" s="7" t="str">
        <x:v>12/20/2022</x:v>
      </x:c>
      <x:c r="Q197" s="7" t="str">
        <x:v>09/30/2028</x:v>
      </x:c>
      <x:c r="R197" s="7" t="str">
        <x:v>Accident &amp; Health or Sickness; Casualty; Life; Property</x:v>
      </x:c>
      <x:c r="S197" s="15" t="str"/>
      <x:c r="T197" s="7" t="str">
        <x:v>No public business phone in collected record</x:v>
      </x:c>
      <x:c r="U197" s="7" t="str">
        <x:v>5500 MING AVE STE 261 BAKERSFIELD CA, 93309</x:v>
      </x:c>
      <x:c r="V197" s="7" t="str">
        <x:v>Resident</x:v>
      </x:c>
      <x:c r="W197" s="7" t="str">
        <x:v>CA</x:v>
      </x:c>
      <x:c r="X197" s="7" t="str"/>
      <x:c r="Y197" s="7" t="str">
        <x:v>COAST NATIONAL INSURANCE COMPANY / Casualty / 03/05/2024
COAST NATIONAL INSURANCE COMPANY / Property / 03/05/2024
FARMERS INSURANCE EXCHANGE / Casualty / 09/26/2022
FARMERS INSURANCE EXCHANGE / Property / 09/26/2022
FARMERS NEW WORLD LIFE INSURANCE COMPANY / Accident &amp; Health or Sickness / 12/28/2022
FARMERS NEW WORLD LIFE INSURANCE COMPANY / Life / 12/28/2022
FIRE INSURANCE EXCHANGE / Casualty / 09/26/2022
FIRE INSURANCE EXCHANGE / Property / 09/26/2022
FOREMOST INSURANCE COMPANY GRAND RAPIDS, MICHIGAN / Casualty / 09/26/2022
FOREMOST INSURANCE COMPANY GRAND RAPIDS, MICHIGAN / Property / 09/26/2022
MID-CENTURY INSURANCE COMPANY / Casualty / 09/26/2022
MID-CENTURY INSURANCE COMPANY / Property / 09/26/2022
TRUCK INSURANCE EXCHANGE / Casualty / 09/26/2022
TRUCK INSURANCE EXCHANGE / Property / 09/26/2022</x:v>
      </x:c>
      <x:c r="Z197" s="7" t="str"/>
      <x:c r="AA197" s="7" t="str"/>
      <x:c r="AB197" s="7" t="str"/>
      <x:c r="AC197" s="7" t="str"/>
      <x:c r="AD197" s="7" t="str">
        <x:v>Active general Life authority | Direct Life appointments outside the selected health-carrier set: FARMERS NEW WORLD LIFE INSURANCE COMPANY | Active A&amp;H supports optional cross-selling; not necessary for target products</x:v>
      </x:c>
      <x:c r="AE197" s="7" t="str">
        <x:v>Mixed P&amp;C/Life qualifications; not an exclusion because approved examples have both | No public business phone: contact enrichment needed, not proof of poor recruiting fit</x:v>
      </x:c>
      <x:c r="AF197" s="16" t="n">
        <x:v>3.8</x:v>
      </x:c>
      <x:c r="AG197" s="17" t="n">
        <x:v>723</x:v>
      </x:c>
      <x:c r="AH197" s="7" t="str">
        <x:v>2022-12-28</x:v>
      </x:c>
      <x:c r="AI197" s="7" t="str">
        <x:v>English</x:v>
      </x:c>
      <x:c r="AJ197" s="7" t="str"/>
      <x:c r="AK197" s="15" t="str"/>
      <x:c r="AL197" s="7" t="str"/>
      <x:c r="AM197" s="7" t="str">
        <x:v>Aguilar  Jorge</x:v>
      </x:c>
      <x:c r="AN197" s="7" t="str">
        <x:v>https://cdicloud.insurance.ca.gov/cal/LicenseDetail?SearchType=IND&amp;SearchLicNbr=4235096&amp;SearchIndvId=4235096</x:v>
      </x:c>
      <x:c r="AO197" s="7" t="str">
        <x:v>2026-10-08</x:v>
      </x:c>
      <x:c r="AP197" s="7" t="str">
        <x:v>52cbb61fbd0df6a4a09e2b00db2b6f557591efe6bce17dcdc0e559be6dfaa672</x:v>
      </x:c>
      <x:c r="AQ197" s="7" t="str">
        <x:v>Accident &amp; Health or Sickness / Active / 12/20/2022 / 12/20/2022 / 09/30/2028
Casualty / Active / 09/16/2022 / 09/16/2022 / 09/30/2028
Life / Active / 12/20/2022 / 12/20/2022 / 09/30/2028
Property / Active / 09/16/2022 / 09/16/2022 / 09/30/2028</x:v>
      </x:c>
      <x:c r="AR197" s="7" t="str">
        <x:v>Active</x:v>
      </x:c>
      <x:c r="AS197" s="7" t="str">
        <x:v>Current detail page</x:v>
      </x:c>
    </x:row>
    <x:row r="198" ht="52" customHeight="1">
      <x:c r="A198" s="7" t="str">
        <x:v>AGUILAR NADIA DEL SOCORRO</x:v>
      </x:c>
      <x:c r="B198" s="14" t="str">
        <x:f>"0M50415"</x:f>
        <x:v>0M50415</x:v>
      </x:c>
      <x:c r="C198" s="7" t="str">
        <x:v>Omitted</x:v>
      </x:c>
      <x:c r="D198" s="7" t="str">
        <x:v>FAIL</x:v>
      </x:c>
      <x:c r="E198" s="13" t="str">
        <x:v>Pending</x:v>
      </x:c>
      <x:c r="F198" s="13" t="str"/>
      <x:c r="G198" s="13" t="str"/>
      <x:c r="H198" s="13" t="str"/>
      <x:c r="I198" s="7" t="str">
        <x:v>Was this person reviewed? If rejected, give the actual rule and evidence. If acceptable, correct the omission. Confirm the named company exclusion.</x:v>
      </x:c>
      <x:c r="J198" s="7" t="str">
        <x:v>C1</x:v>
      </x:c>
      <x:c r="K198" s="7" t="str">
        <x:v>Current State Farm/Farmers relationship matches the user-confirmed exclusion. Reviewer must verify that this was the historical reason.</x:v>
      </x:c>
      <x:c r="L198" s="7" t="str">
        <x:v>Not supplied; membership is known, motive is not</x:v>
      </x:c>
      <x:c r="M198" s="7" t="n">
        <x:v>6</x:v>
      </x:c>
      <x:c r="N198" s="7" t="str">
        <x:v>Exclude under confirmed company rule</x:v>
      </x:c>
      <x:c r="O198" s="7" t="str">
        <x:v>Active</x:v>
      </x:c>
      <x:c r="P198" s="7" t="str">
        <x:v>10/23/2023</x:v>
      </x:c>
      <x:c r="Q198" s="7" t="str">
        <x:v>08/31/2028</x:v>
      </x:c>
      <x:c r="R198" s="7" t="str">
        <x:v>Accident &amp; Health or Sickness; Casualty; Life; Property</x:v>
      </x:c>
      <x:c r="S198" s="15" t="str">
        <x:v>714-557-3344</x:v>
      </x:c>
      <x:c r="T198" s="7" t="str">
        <x:v>Current CDI</x:v>
      </x:c>
      <x:c r="U198" s="7" t="str">
        <x:v>1780 E MCFADDEN AVE 114 SANTA ANA CA, 92705</x:v>
      </x:c>
      <x:c r="V198" s="7" t="str">
        <x:v>Resident</x:v>
      </x:c>
      <x:c r="W198" s="7" t="str">
        <x:v>CA</x:v>
      </x:c>
      <x:c r="X198" s="7" t="str"/>
      <x:c r="Y198" s="7" t="str">
        <x:v>STATE FARM LIFE INSURANCE COMPANY / Life / 08/11/2026
STATE FARM MUTUAL AUTOMOBILE INSURANCE COMPANY / Accident &amp; Health or Sickness / 08/11/2026</x:v>
      </x:c>
      <x:c r="Z198" s="7" t="str"/>
      <x:c r="AA198" s="7" t="str"/>
      <x:c r="AB198" s="7" t="str">
        <x:v>GASTELUM JOSE LUIS / Casualty / 08/21/2018
GASTELUM JOSE LUIS / Property / 08/21/2018</x:v>
      </x:c>
      <x:c r="AC198" s="7" t="str"/>
      <x:c r="AD198" s="7" t="str">
        <x:v>Active general Life authority | Direct Life appointments outside the selected health-carrier set: STATE FARM LIFE INSURANCE COMPANY | Active A&amp;H supports optional cross-selling; not necessary for target products</x:v>
      </x:c>
      <x:c r="AE198" s="7" t="str">
        <x:v>Mixed P&amp;C/Life qualifications; not an exclusion because approved examples have both | Sponsor relationships displayed: GASTELUM JOSE LUIS; inspect line-specific relationship, not a blanket employment inference</x:v>
      </x:c>
      <x:c r="AF198" s="16" t="n">
        <x:v>3</x:v>
      </x:c>
      <x:c r="AG198" s="17" t="n">
        <x:v>693</x:v>
      </x:c>
      <x:c r="AH198" s="7" t="str">
        <x:v>2026-08-11</x:v>
      </x:c>
      <x:c r="AI198" s="7" t="str">
        <x:v>English</x:v>
      </x:c>
      <x:c r="AJ198" s="7" t="str"/>
      <x:c r="AK198" s="15" t="str"/>
      <x:c r="AL198" s="7" t="str"/>
      <x:c r="AM198" s="7" t="str">
        <x:v>AGUILAR DEL SOCORRO NADIA</x:v>
      </x:c>
      <x:c r="AN198" s="7" t="str">
        <x:v>https://cdicloud.insurance.ca.gov/cal/LicenseDetail?SearchType=IND&amp;SearchLicNbr=0M50415&amp;SearchIndvId=2024506</x:v>
      </x:c>
      <x:c r="AO198" s="7" t="str">
        <x:v>2026-10-08</x:v>
      </x:c>
      <x:c r="AP198" s="7" t="str">
        <x:v>d0c5da603e52efed44973f2fc986e5f94c61053494da65de343af7bf2f36c488</x:v>
      </x:c>
      <x:c r="AQ198" s="7" t="str">
        <x:v>Accident &amp; Health or Sickness / Active / 10/23/2023 / 10/23/2023 / 08/31/2028
Casualty / Active / 08/14/2018 / 08/14/2018 / 08/31/2028
Life / Active / 10/23/2023 / 10/23/2023 / 08/31/2028
Property / Active / 08/14/2018 / 08/14/2018 / 08/31/2028</x:v>
      </x:c>
      <x:c r="AR198" s="7" t="str">
        <x:v>Active</x:v>
      </x:c>
      <x:c r="AS198" s="7" t="str">
        <x:v>Current detail page</x:v>
      </x:c>
    </x:row>
    <x:row r="199" ht="52" customHeight="1">
      <x:c r="A199" s="7" t="str">
        <x:v>AGUILAR PEGGY JANE</x:v>
      </x:c>
      <x:c r="B199" s="14" t="str">
        <x:f>"0D19238"</x:f>
        <x:v>0D19238</x:v>
      </x:c>
      <x:c r="C199" s="7" t="str">
        <x:v>Omitted</x:v>
      </x:c>
      <x:c r="D199" s="7" t="str">
        <x:v>FAIL</x:v>
      </x:c>
      <x:c r="E199" s="13" t="str">
        <x:v>Pending</x:v>
      </x:c>
      <x:c r="F199" s="13" t="str"/>
      <x:c r="G199" s="13" t="str"/>
      <x:c r="H199" s="13" t="str"/>
      <x:c r="I199" s="7" t="str">
        <x:v>Was this person reviewed? If rejected, give the actual rule and evidence. If acceptable, correct the omission. Resolve: No collected public business phone.</x:v>
      </x:c>
      <x:c r="J199" s="7" t="str">
        <x:v>C1</x:v>
      </x:c>
      <x:c r="K199" s="7" t="str">
        <x:v>Current State Farm/Farmers relationship matches the user-confirmed exclusion. Reviewer must verify that this was the historical reason.</x:v>
      </x:c>
      <x:c r="L199" s="7" t="str">
        <x:v>Not supplied; membership is known, motive is not</x:v>
      </x:c>
      <x:c r="M199" s="7" t="n">
        <x:v>6</x:v>
      </x:c>
      <x:c r="N199" s="7" t="str">
        <x:v>Exclude under confirmed company rule</x:v>
      </x:c>
      <x:c r="O199" s="7" t="str">
        <x:v>Active</x:v>
      </x:c>
      <x:c r="P199" s="7" t="str">
        <x:v>10/23/2001</x:v>
      </x:c>
      <x:c r="Q199" s="7" t="str">
        <x:v>03/31/2027</x:v>
      </x:c>
      <x:c r="R199" s="7" t="str">
        <x:v>Accident &amp; Health or Sickness; Casualty; Life; Property</x:v>
      </x:c>
      <x:c r="S199" s="15" t="str"/>
      <x:c r="T199" s="7" t="str">
        <x:v>No public business phone in collected record</x:v>
      </x:c>
      <x:c r="U199" s="7" t="str">
        <x:v>13331 MOORPARK ST 217 SHERMAN OAKS CA, 91423</x:v>
      </x:c>
      <x:c r="V199" s="7" t="str">
        <x:v>Resident</x:v>
      </x:c>
      <x:c r="W199" s="7" t="str">
        <x:v>CA</x:v>
      </x:c>
      <x:c r="X199" s="7" t="str"/>
      <x:c r="Y199" s="7" t="str">
        <x:v>AMERICAN PET INSURANCE COMPANY / Casualty / 11/21/2020
AMERICAN PET INSURANCE COMPANY / Property / 11/21/2020
STATE FARM LIFE INSURANCE COMPANY / Life / 07/12/2013
STATE FARM MUTUAL AUTOMOBILE INSURANCE COMPANY / Accident &amp; Health or Sickness / 07/12/2013</x:v>
      </x:c>
      <x:c r="Z199" s="7" t="str"/>
      <x:c r="AA199" s="7" t="str"/>
      <x:c r="AB199" s="7" t="str">
        <x:v>TOLESNIKOV STANISLAV / Casualty / 04/08/2013
TOLESNIKOV STANISLAV / Property / 04/08/2013</x:v>
      </x:c>
      <x:c r="AC199" s="7" t="str"/>
      <x:c r="AD199" s="7" t="str">
        <x:v>Active general Life authority | Direct Life appointments outside the selected health-carrier set: STATE FARM LIFE INSURANCE COMPANY | Active A&amp;H supports optional cross-selling; not necessary for target products</x:v>
      </x:c>
      <x:c r="AE199" s="7" t="str">
        <x:v>Mixed P&amp;C/Life qualifications; not an exclusion because approved examples have both | Sponsor relationships displayed: TOLESNIKOV STANISLAV; inspect line-specific relationship, not a blanket employment inference | No public business phone: contact enrichment needed, not proof of poor recruiting fit</x:v>
      </x:c>
      <x:c r="AF199" s="16" t="n">
        <x:v>25</x:v>
      </x:c>
      <x:c r="AG199" s="17" t="n">
        <x:v>174</x:v>
      </x:c>
      <x:c r="AH199" s="7" t="str">
        <x:v>2013-07-12</x:v>
      </x:c>
      <x:c r="AI199" s="7" t="str">
        <x:v>English</x:v>
      </x:c>
      <x:c r="AJ199" s="7" t="str"/>
      <x:c r="AK199" s="15" t="str"/>
      <x:c r="AL199" s="7" t="str"/>
      <x:c r="AM199" s="7" t="str">
        <x:v>AGUILAR JANE PEGGY</x:v>
      </x:c>
      <x:c r="AN199" s="7" t="str">
        <x:v>https://cdicloud.insurance.ca.gov/cal/LicenseDetail?SearchType=IND&amp;SearchLicNbr=0D19238&amp;SearchIndvId=511312</x:v>
      </x:c>
      <x:c r="AO199" s="7" t="str">
        <x:v>2026-10-08</x:v>
      </x:c>
      <x:c r="AP199" s="7" t="str">
        <x:v>00c7c4e3a6116f3fc0c8ce45df6fe33b4a7229540df93711e1ac2f5307f442a4</x:v>
      </x:c>
      <x:c r="AQ199" s="7" t="str">
        <x:v>Accident &amp; Health or Sickness / Active / 10/23/2001 / 02/14/2013 / 03/31/2027
Casualty / Active / 01/31/2001 / 03/16/2009 / 03/31/2027
Life / Active / 10/23/2001 / 02/14/2013 / 03/31/2027
Property / Active / 01/31/2001 / 03/16/2009 / 03/31/2027</x:v>
      </x:c>
      <x:c r="AR199" s="7" t="str">
        <x:v>Active</x:v>
      </x:c>
      <x:c r="AS199" s="7" t="str">
        <x:v>Current detail page</x:v>
      </x:c>
    </x:row>
    <x:row r="200" ht="52" customHeight="1">
      <x:c r="A200" s="7" t="str">
        <x:v>AGUILAR RICARDO</x:v>
      </x:c>
      <x:c r="B200" s="14" t="str">
        <x:f>"4165839"</x:f>
        <x:v>4165839</x:v>
      </x:c>
      <x:c r="C200" s="7" t="str">
        <x:v>Omitted</x:v>
      </x:c>
      <x:c r="D200" s="7" t="str">
        <x:v>FAIL</x:v>
      </x:c>
      <x:c r="E200" s="13" t="str">
        <x:v>Pending</x:v>
      </x:c>
      <x:c r="F200" s="13" t="str"/>
      <x:c r="G200" s="13" t="str"/>
      <x:c r="H200" s="13" t="str"/>
      <x:c r="I200" s="7" t="str">
        <x:v>Was this person reviewed? If rejected, give the actual rule and evidence. If acceptable, correct the omission. Confirm the named company exclusion.</x:v>
      </x:c>
      <x:c r="J200" s="7" t="str">
        <x:v>C1</x:v>
      </x:c>
      <x:c r="K200" s="7" t="str">
        <x:v>Current State Farm/Farmers relationship matches the user-confirmed exclusion. Reviewer must verify that this was the historical reason.</x:v>
      </x:c>
      <x:c r="L200" s="7" t="str">
        <x:v>Not supplied; membership is known, motive is not</x:v>
      </x:c>
      <x:c r="M200" s="7" t="n">
        <x:v>6</x:v>
      </x:c>
      <x:c r="N200" s="7" t="str">
        <x:v>Exclude under confirmed company rule</x:v>
      </x:c>
      <x:c r="O200" s="7" t="str">
        <x:v>Active</x:v>
      </x:c>
      <x:c r="P200" s="7" t="str">
        <x:v>07/10/2023</x:v>
      </x:c>
      <x:c r="Q200" s="7" t="str">
        <x:v>10/31/2027</x:v>
      </x:c>
      <x:c r="R200" s="7" t="str">
        <x:v>Casualty; Life; Property</x:v>
      </x:c>
      <x:c r="S200" s="15" t="str">
        <x:v>909-758-7456</x:v>
      </x:c>
      <x:c r="T200" s="7" t="str">
        <x:v>Current CDI</x:v>
      </x:c>
      <x:c r="U200" s="7" t="str">
        <x:v>1603 N MOUNTAIN AVE. MONTCLAIR CA, 91784</x:v>
      </x:c>
      <x:c r="V200" s="7" t="str">
        <x:v>Resident</x:v>
      </x:c>
      <x:c r="W200" s="7" t="str">
        <x:v>CA</x:v>
      </x:c>
      <x:c r="X200" s="7" t="str"/>
      <x:c r="Y200" s="7" t="str">
        <x:v>STATE FARM LIFE INSURANCE COMPANY / Life / 10/27/2023</x:v>
      </x:c>
      <x:c r="Z200" s="7" t="str"/>
      <x:c r="AA200" s="7" t="str"/>
      <x:c r="AB200" s="7" t="str">
        <x:v>ISAIAS GUZMAN INSURANCE AGENCY INC. / Casualty / 10/03/2024
ISAIAS GUZMAN INSURANCE AGENCY INC. / Property / 10/03/2024
MURPHY NORBERT JOSEPH / Casualty / 07/07/2022
MURPHY NORBERT JOSEPH / Property / 07/07/2022</x:v>
      </x:c>
      <x:c r="AC200" s="7" t="str"/>
      <x:c r="AD200" s="7" t="str">
        <x:v>Active general Life authority | Direct Life appointments outside the selected health-carrier set: STATE FARM LIFE INSURANCE COMPANY</x:v>
      </x:c>
      <x:c r="AE200" s="7" t="str">
        <x:v>Mixed P&amp;C/Life qualifications; not an exclusion because approved examples have both | Sponsor relationships displayed: ISAIAS GUZMAN INSURANCE AGENCY INC., MURPHY NORBERT JOSEPH; inspect line-specific relationship, not a blanket employment inference</x:v>
      </x:c>
      <x:c r="AF200" s="16" t="n">
        <x:v>3.2</x:v>
      </x:c>
      <x:c r="AG200" s="17" t="n">
        <x:v>388</x:v>
      </x:c>
      <x:c r="AH200" s="7" t="str">
        <x:v>2023-10-27</x:v>
      </x:c>
      <x:c r="AI200" s="7" t="str">
        <x:v>English</x:v>
      </x:c>
      <x:c r="AJ200" s="7" t="str"/>
      <x:c r="AK200" s="15" t="str"/>
      <x:c r="AL200" s="7" t="str"/>
      <x:c r="AM200" s="7" t="str">
        <x:v>AGUILAR  RICARDO</x:v>
      </x:c>
      <x:c r="AN200" s="7" t="str">
        <x:v>https://cdicloud.insurance.ca.gov/cal/LicenseDetail?SearchType=IND&amp;SearchLicNbr=4165839&amp;SearchIndvId=4165839</x:v>
      </x:c>
      <x:c r="AO200" s="7" t="str">
        <x:v>2026-10-08</x:v>
      </x:c>
      <x:c r="AP200" s="7" t="str">
        <x:v>28377867a7ec5c14507ea6bb331f85df6c426c3ceab6e6fa352d502e7a3b7622</x:v>
      </x:c>
      <x:c r="AQ200" s="7" t="str">
        <x:v>Casualty / Active / 04/27/2022 / 04/27/2022 / 10/31/2027
Life / Active / 07/10/2023 / 07/10/2023 / 10/31/2027
Property / Active / 04/27/2022 / 04/27/2022 / 10/31/2027</x:v>
      </x:c>
      <x:c r="AR200" s="7" t="str">
        <x:v>Active</x:v>
      </x:c>
      <x:c r="AS200" s="7" t="str">
        <x:v>Current detail page</x:v>
      </x:c>
    </x:row>
    <x:row r="201" ht="52" customHeight="1">
      <x:c r="A201" s="7" t="str">
        <x:v>AGUILAR RICHARD</x:v>
      </x:c>
      <x:c r="B201" s="14" t="str">
        <x:f>"0M51914"</x:f>
        <x:v>0M51914</x:v>
      </x:c>
      <x:c r="C201" s="7" t="str">
        <x:v>Omitted</x:v>
      </x:c>
      <x:c r="D201" s="7" t="str">
        <x:v>FAIL</x:v>
      </x:c>
      <x:c r="E201" s="13" t="str">
        <x:v>Pending</x:v>
      </x:c>
      <x:c r="F201" s="13" t="str"/>
      <x:c r="G201" s="13" t="str"/>
      <x:c r="H201" s="13" t="str"/>
      <x:c r="I201" s="7" t="str">
        <x:v>Was this person reviewed? If rejected, give the actual rule and evidence. If acceptable, correct the omission. Resolve: No collected public business phone; Geographic scope.</x:v>
      </x:c>
      <x:c r="J201" s="7" t="str">
        <x:v>C1</x:v>
      </x:c>
      <x:c r="K201" s="7" t="str">
        <x:v>Current State Farm/Farmers relationship matches the user-confirmed exclusion. Reviewer must verify that this was the historical reason.</x:v>
      </x:c>
      <x:c r="L201" s="7" t="str">
        <x:v>Not supplied; membership is known, motive is not</x:v>
      </x:c>
      <x:c r="M201" s="7" t="n">
        <x:v>6</x:v>
      </x:c>
      <x:c r="N201" s="7" t="str">
        <x:v>Exclude under confirmed company rule</x:v>
      </x:c>
      <x:c r="O201" s="7" t="str">
        <x:v>Active</x:v>
      </x:c>
      <x:c r="P201" s="7" t="str">
        <x:v>08/22/2018</x:v>
      </x:c>
      <x:c r="Q201" s="7" t="str">
        <x:v>08/31/2028</x:v>
      </x:c>
      <x:c r="R201" s="7" t="str">
        <x:v>Accident &amp; Health or Sickness; Casualty; Life; Property</x:v>
      </x:c>
      <x:c r="S201" s="15" t="str"/>
      <x:c r="T201" s="7" t="str">
        <x:v>No public business phone in collected record</x:v>
      </x:c>
      <x:c r="U201" s="7" t="str">
        <x:v>11128 E SPRAGUE AVE SUITE B SPOKANE VALLEY WA, 99206</x:v>
      </x:c>
      <x:c r="V201" s="7" t="str">
        <x:v>Non-resident</x:v>
      </x:c>
      <x:c r="W201" s="7" t="str">
        <x:v>WA</x:v>
      </x:c>
      <x:c r="X201" s="7" t="str"/>
      <x:c r="Y201" s="7" t="str">
        <x:v>AMERICAN CONTRACTORS INDEMNITY COMPANY / Casualty / 01/19/2023
AMERICAN GENERAL LIFE INSURANCE COMPANY / Accident &amp; Health or Sickness / 10/10/2018
AMERICAN GENERAL LIFE INSURANCE COMPANY / Life / 10/10/2018
FARMERS INSURANCE EXCHANGE / Casualty / 11/01/2018
FARMERS INSURANCE EXCHANGE / Property / 11/01/2018
FARMERS NEW WORLD LIFE INSURANCE COMPANY / Accident &amp; Health or Sickness / 12/06/2018
FARMERS NEW WORLD LIFE INSURANCE COMPANY / Life / 12/06/2018
FIRE INSURANCE EXCHANGE / Casualty / 11/01/2018
FIRE INSURANCE EXCHANGE / Property / 11/01/2018
FOREMOST INSURANCE COMPANY GRAND RAPIDS, MICHIGAN / Casualty / 11/01/2018
FOREMOST INSURANCE COMPANY GRAND RAPIDS, MICHIGAN / Property / 11/01/2018
MID-CENTURY INSURANCE COMPANY / Casualty / 11/01/2018
MID-CENTURY INSURANCE COMPANY / Property / 11/01/2018
NATIONAL SPECIALTY INSURANCE COMPANY / Casualty / 08/04/2022
NATIONAL SPECIALTY INSURANCE COMPANY / Property / 08/04/2022
STATE NATIONAL INSURANCE COMPANY, INC. / Casualty / 08/04/2022
STATE NATIONAL INSURANCE COMPANY, INC. / Property / 08/04/2022
TRUCK INSURANCE EXCHANGE / Casualty / 11/01/2018
TRUCK INSURANCE EXCHANGE / Property / 11/01/2018
U.S. SPECIALTY INSURANCE COMPANY / Casualty / 01/19/2023
WESTERN SURETY COMPANY / Casualty / 04/23/2019
WESTERN SURETY COMPANY / Property / 04/23/2019</x:v>
      </x:c>
      <x:c r="Z201" s="7" t="str"/>
      <x:c r="AA201" s="7" t="str"/>
      <x:c r="AB201" s="7" t="str"/>
      <x:c r="AC201" s="7" t="str"/>
      <x:c r="AD201" s="7" t="str">
        <x:v>Active general Life authority | Direct Life appointments outside the selected health-carrier set: AMERICAN GENERAL LIFE INSURANCE COMPANY, FARMERS NEW WORLD LIFE INSURANCE COMPANY | Active A&amp;H supports optional cross-selling; not necessary for target products</x:v>
      </x:c>
      <x:c r="AE201" s="7" t="str">
        <x:v>Mixed P&amp;C/Life qualifications; not an exclusion because approved examples have both | Nonresident or address state outside CA; confirm geographic recruiting scope | No public business phone: contact enrichment needed, not proof of poor recruiting fit</x:v>
      </x:c>
      <x:c r="AF201" s="16" t="n">
        <x:v>8.1</x:v>
      </x:c>
      <x:c r="AG201" s="17" t="n">
        <x:v>693</x:v>
      </x:c>
      <x:c r="AH201" s="7" t="str">
        <x:v>2018-12-06</x:v>
      </x:c>
      <x:c r="AI201" s="7" t="str"/>
      <x:c r="AJ201" s="7" t="str"/>
      <x:c r="AK201" s="15" t="str"/>
      <x:c r="AL201" s="7" t="str"/>
      <x:c r="AM201" s="7" t="str">
        <x:v>AGUILAR  RICHARD</x:v>
      </x:c>
      <x:c r="AN201" s="7" t="str">
        <x:v>https://cdicloud.insurance.ca.gov/cal/LicenseDetail?SearchType=IND&amp;SearchLicNbr=0M51914&amp;SearchIndvId=2044054</x:v>
      </x:c>
      <x:c r="AO201" s="7" t="str">
        <x:v>2026-10-08</x:v>
      </x:c>
      <x:c r="AP201" s="7" t="str">
        <x:v>790e6c937af174b4946b0cc0f5b5022b2bcc0e861c23686357fcd1a41e6f7936</x:v>
      </x:c>
      <x:c r="AQ201" s="7" t="str">
        <x:v>Accident &amp; Health or Sickness / Active / 08/22/2018 / 08/22/2018 / 08/31/2028
Casualty / Active / 08/22/2018 / 08/22/2018 / 08/31/2028
Life / Active / 08/22/2018 / 08/22/2018 / 08/31/2028
Property / Active / 08/22/2018 / 08/22/2018 / 08/31/2028</x:v>
      </x:c>
      <x:c r="AR201" s="7" t="str">
        <x:v>Active</x:v>
      </x:c>
      <x:c r="AS201" s="7" t="str">
        <x:v>Current detail page</x:v>
      </x:c>
    </x:row>
    <x:row r="202" ht="52" customHeight="1">
      <x:c r="A202" s="7" t="str">
        <x:v>AGUILAR RICHARD PAUL</x:v>
      </x:c>
      <x:c r="B202" s="14" t="str">
        <x:f>"0B69455"</x:f>
        <x:v>0B69455</x:v>
      </x:c>
      <x:c r="C202" s="7" t="str">
        <x:v>Omitted</x:v>
      </x:c>
      <x:c r="D202" s="7" t="str">
        <x:v>FAIL</x:v>
      </x:c>
      <x:c r="E202" s="13" t="str">
        <x:v>Pending</x:v>
      </x:c>
      <x:c r="F202" s="13" t="str"/>
      <x:c r="G202" s="13" t="str"/>
      <x:c r="H202" s="13" t="str"/>
      <x:c r="I202" s="7" t="str">
        <x:v>Was this person reviewed? If rejected, give the actual rule and evidence. If acceptable, correct the omission. Resolve: No collected public business phone.</x:v>
      </x:c>
      <x:c r="J202" s="7" t="str">
        <x:v>C1</x:v>
      </x:c>
      <x:c r="K202" s="7" t="str">
        <x:v>Current State Farm/Farmers relationship matches the user-confirmed exclusion. Reviewer must verify that this was the historical reason.</x:v>
      </x:c>
      <x:c r="L202" s="7" t="str">
        <x:v>Not supplied; membership is known, motive is not</x:v>
      </x:c>
      <x:c r="M202" s="7" t="n">
        <x:v>6</x:v>
      </x:c>
      <x:c r="N202" s="7" t="str">
        <x:v>Exclude under confirmed company rule</x:v>
      </x:c>
      <x:c r="O202" s="7" t="str">
        <x:v>Active</x:v>
      </x:c>
      <x:c r="P202" s="7" t="str">
        <x:v>05/15/2015</x:v>
      </x:c>
      <x:c r="Q202" s="7" t="str">
        <x:v>02/29/2028</x:v>
      </x:c>
      <x:c r="R202" s="7" t="str">
        <x:v>Accident &amp; Health or Sickness; Casualty; Life; Property</x:v>
      </x:c>
      <x:c r="S202" s="15" t="str"/>
      <x:c r="T202" s="7" t="str">
        <x:v>No public business phone in collected record</x:v>
      </x:c>
      <x:c r="U202" s="7" t="str">
        <x:v>2345 MICHAEL DR NEWBURY PARK CA, 91320</x:v>
      </x:c>
      <x:c r="V202" s="7" t="str">
        <x:v>Resident</x:v>
      </x:c>
      <x:c r="W202" s="7" t="str">
        <x:v>CA</x:v>
      </x:c>
      <x:c r="X202" s="7" t="str"/>
      <x:c r="Y202" s="7" t="str">
        <x:v>DRIVE INSURANCE COMPANY / Casualty / 10/09/2025
DRIVE INSURANCE COMPANY / Property / 10/09/2025
FARMERS INSURANCE EXCHANGE / Casualty / 03/12/2015
FARMERS INSURANCE EXCHANGE / Property / 03/12/2015
FARMERS NEW WORLD LIFE INSURANCE COMPANY / Accident &amp; Health or Sickness / 06/16/2015
FARMERS NEW WORLD LIFE INSURANCE COMPANY / Life / 06/16/2015
FIRE INSURANCE EXCHANGE / Casualty / 03/12/2015
FIRE INSURANCE EXCHANGE / Property / 03/12/2015
FOREMOST INSURANCE COMPANY GRAND RAPIDS, MICHIGAN / Casualty / 03/12/2015
FOREMOST INSURANCE COMPANY GRAND RAPIDS, MICHIGAN / Property / 03/12/2015
INFINITY INSURANCE COMPANY / Casualty / 03/05/2024
INFINITY INSURANCE COMPANY / Property / 03/05/2024
MID-CENTURY INSURANCE COMPANY / Casualty / 03/12/2015
MID-CENTURY INSURANCE COMPANY / Property / 03/12/2015
PROGRESSIVE CASUALTY INSURANCE COMPANY / Casualty / 10/09/2025
PROGRESSIVE CASUALTY INSURANCE COMPANY / Property / 10/09/2025
TRUCK INSURANCE EXCHANGE / Casualty / 03/12/2015
TRUCK INSURANCE EXCHANGE / Property / 03/12/2015</x:v>
      </x:c>
      <x:c r="Z202" s="7" t="str"/>
      <x:c r="AA202" s="7" t="str"/>
      <x:c r="AB202" s="7" t="str"/>
      <x:c r="AC202" s="7" t="str"/>
      <x:c r="AD202" s="7" t="str">
        <x:v>Active general Life authority | Direct Life appointments outside the selected health-carrier set: FARMERS NEW WORLD LIFE INSURANCE COMPANY | Active A&amp;H supports optional cross-selling; not necessary for target products</x:v>
      </x:c>
      <x:c r="AE202" s="7" t="str">
        <x:v>Mixed P&amp;C/Life qualifications; not an exclusion because approved examples have both | No public business phone: contact enrichment needed, not proof of poor recruiting fit</x:v>
      </x:c>
      <x:c r="AF202" s="16" t="n">
        <x:v>11.4</x:v>
      </x:c>
      <x:c r="AG202" s="17" t="n">
        <x:v>509</x:v>
      </x:c>
      <x:c r="AH202" s="7" t="str">
        <x:v>2015-06-16</x:v>
      </x:c>
      <x:c r="AI202" s="7" t="str">
        <x:v>English, Spanish, Spanish</x:v>
      </x:c>
      <x:c r="AJ202" s="7" t="str"/>
      <x:c r="AK202" s="15" t="str"/>
      <x:c r="AL202" s="7" t="str"/>
      <x:c r="AM202" s="7" t="str">
        <x:v>AGUILAR PAUL RICHARD</x:v>
      </x:c>
      <x:c r="AN202" s="7" t="str">
        <x:v>https://cdicloud.insurance.ca.gov/cal/LicenseDetail?SearchType=IND&amp;SearchLicNbr=0B69455&amp;SearchIndvId=247711</x:v>
      </x:c>
      <x:c r="AO202" s="7" t="str">
        <x:v>2026-10-08</x:v>
      </x:c>
      <x:c r="AP202" s="7" t="str">
        <x:v>bcc7ac5edfea6a3521d2dc9e8daabc4e2c011277511657a74cd685d894c2318d</x:v>
      </x:c>
      <x:c r="AQ202" s="7" t="str">
        <x:v>Accident &amp; Health or Sickness / Active / 05/15/2015 / 05/15/2015 / 02/29/2028
Casualty / Active / 11/15/1995 / 03/19/2014 / 02/29/2028
Life / Active / 05/15/2015 / 05/15/2015 / 02/29/2028
Property / Active / 11/15/1995 / 03/19/2014 / 02/29/2028</x:v>
      </x:c>
      <x:c r="AR202" s="7" t="str">
        <x:v>Active</x:v>
      </x:c>
      <x:c r="AS202" s="7" t="str">
        <x:v>Current detail page</x:v>
      </x:c>
    </x:row>
    <x:row r="203" ht="52" customHeight="1">
      <x:c r="A203" s="7" t="str">
        <x:v>AGUILAR ROCIO</x:v>
      </x:c>
      <x:c r="B203" s="14" t="str">
        <x:f>"0K12325"</x:f>
        <x:v>0K12325</x:v>
      </x:c>
      <x:c r="C203" s="7" t="str">
        <x:v>Omitted</x:v>
      </x:c>
      <x:c r="D203" s="7" t="str">
        <x:v>FAIL</x:v>
      </x:c>
      <x:c r="E203" s="13" t="str">
        <x:v>Pending</x:v>
      </x:c>
      <x:c r="F203" s="13" t="str"/>
      <x:c r="G203" s="13" t="str"/>
      <x:c r="H203" s="13" t="str"/>
      <x:c r="I203" s="7" t="str">
        <x:v>Was this person reviewed? If rejected, give the actual rule and evidence. If acceptable, correct the omission. Resolve: No collected public business phone.</x:v>
      </x:c>
      <x:c r="J203" s="7" t="str">
        <x:v>C1</x:v>
      </x:c>
      <x:c r="K203" s="7" t="str">
        <x:v>Current State Farm/Farmers relationship matches the user-confirmed exclusion. Reviewer must verify that this was the historical reason.</x:v>
      </x:c>
      <x:c r="L203" s="7" t="str">
        <x:v>Not supplied; membership is known, motive is not</x:v>
      </x:c>
      <x:c r="M203" s="7" t="n">
        <x:v>6</x:v>
      </x:c>
      <x:c r="N203" s="7" t="str">
        <x:v>Exclude under confirmed company rule</x:v>
      </x:c>
      <x:c r="O203" s="7" t="str">
        <x:v>Active</x:v>
      </x:c>
      <x:c r="P203" s="7" t="str">
        <x:v>09/21/2017</x:v>
      </x:c>
      <x:c r="Q203" s="7" t="str">
        <x:v>03/31/2027</x:v>
      </x:c>
      <x:c r="R203" s="7" t="str">
        <x:v>Accident &amp; Health or Sickness; Casualty; Life; Property</x:v>
      </x:c>
      <x:c r="S203" s="15" t="str"/>
      <x:c r="T203" s="7" t="str">
        <x:v>No public business phone in collected record</x:v>
      </x:c>
      <x:c r="U203" s="7" t="str">
        <x:v>2212 RALMAR AVENUE. EAST PALO ALTO CA, 94303</x:v>
      </x:c>
      <x:c r="V203" s="7" t="str">
        <x:v>Resident</x:v>
      </x:c>
      <x:c r="W203" s="7" t="str">
        <x:v>CA</x:v>
      </x:c>
      <x:c r="X203" s="7" t="str"/>
      <x:c r="Y203" s="7" t="str">
        <x:v>FARMERS INSURANCE EXCHANGE / Casualty / 03/27/2025
FARMERS INSURANCE EXCHANGE / Property / 03/27/2025
FARMERS NEW WORLD LIFE INSURANCE COMPANY / Accident &amp; Health or Sickness / 12/18/2025
FARMERS NEW WORLD LIFE INSURANCE COMPANY / Life / 12/18/2025
FIRE INSURANCE EXCHANGE / Casualty / 03/27/2025
FIRE INSURANCE EXCHANGE / Property / 03/27/2025
FOREMOST INSURANCE COMPANY GRAND RAPIDS, MICHIGAN / Casualty / 03/27/2025
FOREMOST INSURANCE COMPANY GRAND RAPIDS, MICHIGAN / Property / 03/27/2025
MID-CENTURY INSURANCE COMPANY / Casualty / 03/27/2025
MID-CENTURY INSURANCE COMPANY / Property / 03/27/2025
TRUCK INSURANCE EXCHANGE / Casualty / 03/27/2025
TRUCK INSURANCE EXCHANGE / Property / 03/27/2025</x:v>
      </x:c>
      <x:c r="Z203" s="7" t="str"/>
      <x:c r="AA203" s="7" t="str"/>
      <x:c r="AB203" s="7" t="str"/>
      <x:c r="AC203" s="7" t="str"/>
      <x:c r="AD203" s="7" t="str">
        <x:v>Active general Life authority | Direct Life appointments outside the selected health-carrier set: FARMERS NEW WORLD LIFE INSURANCE COMPANY | Active A&amp;H supports optional cross-selling; not necessary for target products</x:v>
      </x:c>
      <x:c r="AE203" s="7" t="str">
        <x:v>Mixed P&amp;C/Life qualifications; not an exclusion because approved examples have both | No public business phone: contact enrichment needed, not proof of poor recruiting fit</x:v>
      </x:c>
      <x:c r="AF203" s="16" t="n">
        <x:v>9</x:v>
      </x:c>
      <x:c r="AG203" s="17" t="n">
        <x:v>174</x:v>
      </x:c>
      <x:c r="AH203" s="7" t="str">
        <x:v>2025-12-18</x:v>
      </x:c>
      <x:c r="AI203" s="7" t="str">
        <x:v>English, Spanish, Spanish</x:v>
      </x:c>
      <x:c r="AJ203" s="7" t="str"/>
      <x:c r="AK203" s="15" t="str"/>
      <x:c r="AL203" s="7" t="str"/>
      <x:c r="AM203" s="7" t="str">
        <x:v>AGUILAR  ROCIO</x:v>
      </x:c>
      <x:c r="AN203" s="7" t="str">
        <x:v>https://cdicloud.insurance.ca.gov/cal/LicenseDetail?SearchType=IND&amp;SearchLicNbr=0K12325&amp;SearchIndvId=1743379</x:v>
      </x:c>
      <x:c r="AO203" s="7" t="str">
        <x:v>2026-10-08</x:v>
      </x:c>
      <x:c r="AP203" s="7" t="str">
        <x:v>fbba22b7d8bcc08690e6ae495e898c37aacc330f8bf3f5a5afc5300d04c4f6ef</x:v>
      </x:c>
      <x:c r="AQ203" s="7" t="str">
        <x:v>Accident &amp; Health or Sickness / Active / 09/21/2017 / 12/10/2025 / 03/31/2027
Casualty / Active / 03/03/2015 / 03/31/2024 / 03/31/2027
Life / Active / 09/21/2017 / 12/10/2025 / 03/31/2027
Property / Active / 03/03/2015 / 03/31/2024 / 03/31/2027</x:v>
      </x:c>
      <x:c r="AR203" s="7" t="str">
        <x:v>Active</x:v>
      </x:c>
      <x:c r="AS203" s="7" t="str">
        <x:v>Current detail page</x:v>
      </x:c>
    </x:row>
    <x:row r="204" ht="52" customHeight="1">
      <x:c r="A204" s="7" t="str">
        <x:v>AGUILAR SOCORRO ANGIE</x:v>
      </x:c>
      <x:c r="B204" s="14" t="str">
        <x:f>"4250097"</x:f>
        <x:v>4250097</x:v>
      </x:c>
      <x:c r="C204" s="7" t="str">
        <x:v>Omitted</x:v>
      </x:c>
      <x:c r="D204" s="7" t="str">
        <x:v>FAIL</x:v>
      </x:c>
      <x:c r="E204" s="13" t="str">
        <x:v>Pending</x:v>
      </x:c>
      <x:c r="F204" s="13" t="str"/>
      <x:c r="G204" s="13" t="str"/>
      <x:c r="H204" s="13" t="str"/>
      <x:c r="I204" s="7" t="str">
        <x:v>Was this person reviewed? If rejected, give the actual rule and evidence. If acceptable, correct the omission. Resolve: P&amp;C emphasis without separate core-Life signal.</x:v>
      </x:c>
      <x:c r="J204" s="7" t="str">
        <x:v>C1</x:v>
      </x:c>
      <x:c r="K204" s="7" t="str">
        <x:v>Current State Farm/Farmers relationship matches the user-confirmed exclusion. Reviewer must verify that this was the historical reason.</x:v>
      </x:c>
      <x:c r="L204" s="7" t="str">
        <x:v>Not supplied; membership is known, motive is not</x:v>
      </x:c>
      <x:c r="M204" s="7" t="n">
        <x:v>6</x:v>
      </x:c>
      <x:c r="N204" s="7" t="str">
        <x:v>Exclude under confirmed company rule</x:v>
      </x:c>
      <x:c r="O204" s="7" t="str">
        <x:v>Active</x:v>
      </x:c>
      <x:c r="P204" s="7" t="str">
        <x:v>07/26/2024</x:v>
      </x:c>
      <x:c r="Q204" s="7" t="str">
        <x:v>10/31/2026</x:v>
      </x:c>
      <x:c r="R204" s="7" t="str">
        <x:v>Accident &amp; Health or Sickness; Casualty; Life; Property</x:v>
      </x:c>
      <x:c r="S204" s="15" t="str">
        <x:v>916-726-4205</x:v>
      </x:c>
      <x:c r="T204" s="7" t="str">
        <x:v>Current CDI</x:v>
      </x:c>
      <x:c r="U204" s="7" t="str">
        <x:v>6939 SUNRISE BLVD STE 117 CITRUS HEIGHTS CA, 95610-3153</x:v>
      </x:c>
      <x:c r="V204" s="7" t="str">
        <x:v>Resident</x:v>
      </x:c>
      <x:c r="W204" s="7" t="str">
        <x:v>CA</x:v>
      </x:c>
      <x:c r="X204" s="7" t="str"/>
      <x:c r="Y204" s="7" t="str">
        <x:v>COAST NATIONAL INSURANCE COMPANY / Casualty / 12/05/2022
COAST NATIONAL INSURANCE COMPANY / Property / 12/05/2022
FARMERS INSURANCE EXCHANGE / Casualty / 12/05/2022
FARMERS INSURANCE EXCHANGE / Property / 12/05/2022
FIRE INSURANCE EXCHANGE / Casualty / 12/05/2022
FIRE INSURANCE EXCHANGE / Property / 12/05/2022
FOREMOST INSURANCE COMPANY GRAND RAPIDS, MICHIGAN / Casualty / 12/05/2022
FOREMOST INSURANCE COMPANY GRAND RAPIDS, MICHIGAN / Property / 12/05/2022
MID-CENTURY INSURANCE COMPANY / Casualty / 12/05/2022
MID-CENTURY INSURANCE COMPANY / Property / 12/05/2022
TRUCK INSURANCE EXCHANGE / Casualty / 12/05/2022
TRUCK INSURANCE EXCHANGE / Property / 12/05/2022</x:v>
      </x:c>
      <x:c r="Z204" s="7" t="str"/>
      <x:c r="AA204" s="7" t="str"/>
      <x:c r="AB204" s="7" t="str"/>
      <x:c r="AC204" s="7" t="str"/>
      <x:c r="AD204" s="7" t="str">
        <x:v>Active general Life authority | Active A&amp;H supports optional cross-selling; not necessary for target products</x:v>
      </x:c>
      <x:c r="AE204" s="7" t="str">
        <x:v>P&amp;C/Personal Lines authority without displayed core Life appointments; mixed profile requires review | Life expiration in 23 days: confirm renewal during onboarding</x:v>
      </x:c>
      <x:c r="AF204" s="16" t="n">
        <x:v>2.2</x:v>
      </x:c>
      <x:c r="AG204" s="17" t="n">
        <x:v>23</x:v>
      </x:c>
      <x:c r="AH204" s="7" t="str"/>
      <x:c r="AI204" s="7" t="str">
        <x:v>English</x:v>
      </x:c>
      <x:c r="AJ204" s="7" t="str"/>
      <x:c r="AK204" s="15" t="str"/>
      <x:c r="AL204" s="7" t="str"/>
      <x:c r="AM204" s="7" t="str">
        <x:v>Aguilar Angie Socorro</x:v>
      </x:c>
      <x:c r="AN204" s="7" t="str">
        <x:v>https://cdicloud.insurance.ca.gov/cal/LicenseDetail?SearchType=IND&amp;SearchLicNbr=4250097&amp;SearchIndvId=4250097</x:v>
      </x:c>
      <x:c r="AO204" s="7" t="str">
        <x:v>2026-10-08</x:v>
      </x:c>
      <x:c r="AP204" s="7" t="str">
        <x:v>ae30ddd855df97bfcc6be65b9480a7eea0d5f72dab881623d966f904b5931ce1</x:v>
      </x:c>
      <x:c r="AQ204" s="7" t="str">
        <x:v>Accident &amp; Health or Sickness / Active / 07/26/2024 / 04/29/2025 / 10/31/2026
Casualty / Active / 10/27/2022 / 10/27/2022 / 10/31/2026
Life / Active / 07/26/2024 / 04/29/2025 / 10/31/2026
Property / Active / 10/27/2022 / 10/27/2022 / 10/31/2026</x:v>
      </x:c>
      <x:c r="AR204" s="7" t="str">
        <x:v>Active</x:v>
      </x:c>
      <x:c r="AS204" s="7" t="str">
        <x:v>Current detail page</x:v>
      </x:c>
    </x:row>
    <x:row r="205" ht="52" customHeight="1">
      <x:c r="A205" s="7" t="str">
        <x:v>FLORES JESSICA ELAINE</x:v>
      </x:c>
      <x:c r="B205" s="14" t="str">
        <x:f>"0I29023"</x:f>
        <x:v>0I29023</x:v>
      </x:c>
      <x:c r="C205" s="7" t="str">
        <x:v>Omitted</x:v>
      </x:c>
      <x:c r="D205" s="7" t="str">
        <x:v>FAIL</x:v>
      </x:c>
      <x:c r="E205" s="13" t="str">
        <x:v>Pending</x:v>
      </x:c>
      <x:c r="F205" s="13" t="str"/>
      <x:c r="G205" s="13" t="str"/>
      <x:c r="H205" s="13" t="str"/>
      <x:c r="I205" s="7" t="str">
        <x:v>Was this person reviewed? If rejected, give the actual rule and evidence. If acceptable, correct the omission. Confirm the named company exclusion.</x:v>
      </x:c>
      <x:c r="J205" s="7" t="str">
        <x:v>C1</x:v>
      </x:c>
      <x:c r="K205" s="7" t="str">
        <x:v>Current State Farm/Farmers relationship matches the user-confirmed exclusion. Reviewer must verify that this was the historical reason.</x:v>
      </x:c>
      <x:c r="L205" s="7" t="str">
        <x:v>Not supplied; membership is known, motive is not</x:v>
      </x:c>
      <x:c r="M205" s="7" t="n">
        <x:v>6</x:v>
      </x:c>
      <x:c r="N205" s="7" t="str">
        <x:v>Exclude under confirmed company rule</x:v>
      </x:c>
      <x:c r="O205" s="7" t="str">
        <x:v>Active</x:v>
      </x:c>
      <x:c r="P205" s="7" t="str">
        <x:v>12/08/2015</x:v>
      </x:c>
      <x:c r="Q205" s="7" t="str">
        <x:v>04/30/2027</x:v>
      </x:c>
      <x:c r="R205" s="7" t="str">
        <x:v>Accident &amp; Health or Sickness; Casualty; Life; Property</x:v>
      </x:c>
      <x:c r="S205" s="15" t="str">
        <x:v>415-647-9900</x:v>
      </x:c>
      <x:c r="T205" s="7" t="str">
        <x:v>Current CDI</x:v>
      </x:c>
      <x:c r="U205" s="7" t="str">
        <x:v>3425 25TH STREET SAN FRANCISCO CA, 94110</x:v>
      </x:c>
      <x:c r="V205" s="7" t="str">
        <x:v>Resident</x:v>
      </x:c>
      <x:c r="W205" s="7" t="str">
        <x:v>CA</x:v>
      </x:c>
      <x:c r="X205" s="7" t="str"/>
      <x:c r="Y205" s="7" t="str">
        <x:v>STATE FARM LIFE INSURANCE COMPANY / Life / 01/23/2016
STATE FARM MUTUAL AUTOMOBILE INSURANCE COMPANY / Accident &amp; Health or Sickness / 01/23/2016</x:v>
      </x:c>
      <x:c r="Z205" s="7" t="str"/>
      <x:c r="AA205" s="7" t="str"/>
      <x:c r="AB205" s="7" t="str">
        <x:v>CHACON DAVID GILBERTO / Casualty / 04/29/2013
CHACON DAVID GILBERTO / Property / 04/29/2013</x:v>
      </x:c>
      <x:c r="AC205" s="7" t="str"/>
      <x:c r="AD205" s="7" t="str">
        <x:v>Active general Life authority | Direct Life appointments outside the selected health-carrier set: STATE FARM LIFE INSURANCE COMPANY | Active A&amp;H supports optional cross-selling; not necessary for target products</x:v>
      </x:c>
      <x:c r="AE205" s="7" t="str">
        <x:v>Mixed P&amp;C/Life qualifications; not an exclusion because approved examples have both | Sponsor relationships displayed: CHACON DAVID GILBERTO; inspect line-specific relationship, not a blanket employment inference</x:v>
      </x:c>
      <x:c r="AF205" s="16" t="n">
        <x:v>10.8</x:v>
      </x:c>
      <x:c r="AG205" s="17" t="n">
        <x:v>204</x:v>
      </x:c>
      <x:c r="AH205" s="7" t="str">
        <x:v>2016-01-23</x:v>
      </x:c>
      <x:c r="AI205" s="7" t="str">
        <x:v>Spanish, Spanish</x:v>
      </x:c>
      <x:c r="AJ205" s="7" t="str"/>
      <x:c r="AK205" s="15" t="str"/>
      <x:c r="AL205" s="7" t="str"/>
      <x:c r="AM205" s="7" t="str">
        <x:v>Aguilar E Jessica | AGUILAR ELAINE JESSICA</x:v>
      </x:c>
      <x:c r="AN205" s="7" t="str">
        <x:v>https://cdicloud.insurance.ca.gov/cal/LicenseDetail?SearchType=IND&amp;SearchLicNbr=0I29023&amp;SearchIndvId=1574674</x:v>
      </x:c>
      <x:c r="AO205" s="7" t="str">
        <x:v>2026-10-08</x:v>
      </x:c>
      <x:c r="AP205" s="7" t="str">
        <x:v>e34ffa2487cadda1b3a68781123747ce07cc747690bfe6a6f5a49567d2965d25</x:v>
      </x:c>
      <x:c r="AQ205" s="7" t="str">
        <x:v>Accident &amp; Health or Sickness / Active / 12/08/2015 / 12/08/2015 / 04/30/2027
Casualty / Active / 04/17/2013 / 04/17/2013 / 04/30/2027
Life / Active / 12/08/2015 / 12/08/2015 / 04/30/2027
Property / Active / 04/17/2013 / 04/17/2013 / 04/30/2027</x:v>
      </x:c>
      <x:c r="AR205" s="7" t="str">
        <x:v>Active</x:v>
      </x:c>
      <x:c r="AS205" s="7" t="str">
        <x:v>Current detail page</x:v>
      </x:c>
    </x:row>
    <x:row r="206" ht="52" customHeight="1">
      <x:c r="A206" s="7" t="str">
        <x:v>GUARDADO ARISBETH</x:v>
      </x:c>
      <x:c r="B206" s="14" t="str">
        <x:f>"0I32690"</x:f>
        <x:v>0I32690</x:v>
      </x:c>
      <x:c r="C206" s="7" t="str">
        <x:v>Omitted</x:v>
      </x:c>
      <x:c r="D206" s="7" t="str">
        <x:v>FAIL</x:v>
      </x:c>
      <x:c r="E206" s="13" t="str">
        <x:v>Pending</x:v>
      </x:c>
      <x:c r="F206" s="13" t="str"/>
      <x:c r="G206" s="13" t="str"/>
      <x:c r="H206" s="13" t="str"/>
      <x:c r="I206" s="7" t="str">
        <x:v>Was this person reviewed? If rejected, give the actual rule and evidence. If acceptable, correct the omission. Resolve: No collected public business phone.</x:v>
      </x:c>
      <x:c r="J206" s="7" t="str">
        <x:v>C1</x:v>
      </x:c>
      <x:c r="K206" s="7" t="str">
        <x:v>Current State Farm/Farmers relationship matches the user-confirmed exclusion. Reviewer must verify that this was the historical reason.</x:v>
      </x:c>
      <x:c r="L206" s="7" t="str">
        <x:v>Not supplied; membership is known, motive is not</x:v>
      </x:c>
      <x:c r="M206" s="7" t="n">
        <x:v>6</x:v>
      </x:c>
      <x:c r="N206" s="7" t="str">
        <x:v>Exclude under confirmed company rule</x:v>
      </x:c>
      <x:c r="O206" s="7" t="str">
        <x:v>Active</x:v>
      </x:c>
      <x:c r="P206" s="7" t="str">
        <x:v>05/22/2013</x:v>
      </x:c>
      <x:c r="Q206" s="7" t="str">
        <x:v>05/31/2027</x:v>
      </x:c>
      <x:c r="R206" s="7" t="str">
        <x:v>Accident &amp; Health or Sickness; Casualty; Life; Property</x:v>
      </x:c>
      <x:c r="S206" s="15" t="str"/>
      <x:c r="T206" s="7" t="str">
        <x:v>No public business phone in collected record</x:v>
      </x:c>
      <x:c r="U206" s="7" t="str">
        <x:v>516 W VERNON AVE LOS ANGELES CA, 90037</x:v>
      </x:c>
      <x:c r="V206" s="7" t="str">
        <x:v>Resident</x:v>
      </x:c>
      <x:c r="W206" s="7" t="str">
        <x:v>CA</x:v>
      </x:c>
      <x:c r="X206" s="7" t="str">
        <x:v>MARIA GONZALEZ INSURANCE AGENCY INC / Property / 06/19/2026
MARIA GONZALEZ INSURANCE AGENCY INC / Life / 06/19/2026
MARIA GONZALEZ INSURANCE AGENCY INC / Casualty / 06/19/2026
MARIA GONZALEZ INSURANCE AGENCY INC / Accident &amp; Health or Sickness / 06/19/2026</x:v>
      </x:c>
      <x:c r="Y206" s="7" t="str">
        <x:v>STATE FARM LIFE INSURANCE COMPANY / Life / 06/30/2026
STATE FARM MUTUAL AUTOMOBILE INSURANCE COMPANY / Accident &amp; Health or Sickness / 06/30/2026</x:v>
      </x:c>
      <x:c r="Z206" s="7" t="str"/>
      <x:c r="AA206" s="7" t="str"/>
      <x:c r="AB206" s="7" t="str">
        <x:v>GARCIA FRANK / Casualty / 06/29/2026
GARCIA FRANK / Property / 06/29/2026</x:v>
      </x:c>
      <x:c r="AC206" s="7" t="str"/>
      <x:c r="AD206" s="7" t="str">
        <x:v>Active general Life authority | Direct Life appointments outside the selected health-carrier set: STATE FARM LIFE INSURANCE COMPANY | Active A&amp;H supports optional cross-selling; not necessary for target products</x:v>
      </x:c>
      <x:c r="AE206" s="7" t="str">
        <x:v>Mixed P&amp;C/Life qualifications; not an exclusion because approved examples have both | Sponsor relationships displayed: GARCIA FRANK; inspect line-specific relationship, not a blanket employment inference | No public business phone: contact enrichment needed, not proof of poor recruiting fit</x:v>
      </x:c>
      <x:c r="AF206" s="16" t="n">
        <x:v>13.4</x:v>
      </x:c>
      <x:c r="AG206" s="17" t="n">
        <x:v>235</x:v>
      </x:c>
      <x:c r="AH206" s="7" t="str">
        <x:v>2026-06-30</x:v>
      </x:c>
      <x:c r="AI206" s="7" t="str">
        <x:v>English</x:v>
      </x:c>
      <x:c r="AJ206" s="7" t="str"/>
      <x:c r="AK206" s="15" t="str"/>
      <x:c r="AL206" s="7" t="str"/>
      <x:c r="AM206" s="7" t="str">
        <x:v>AGUILAR  ARISBETH</x:v>
      </x:c>
      <x:c r="AN206" s="7" t="str">
        <x:v>https://cdicloud.insurance.ca.gov/cal/LicenseDetail?SearchType=IND&amp;SearchLicNbr=0I32690&amp;SearchIndvId=1575221</x:v>
      </x:c>
      <x:c r="AO206" s="7" t="str">
        <x:v>2026-10-08</x:v>
      </x:c>
      <x:c r="AP206" s="7" t="str">
        <x:v>d3c4b29e7ef1e859b4be543a9a8507c5963fec5ab3b1004652d4ecb07e6f2fa6</x:v>
      </x:c>
      <x:c r="AQ206" s="7" t="str">
        <x:v>Accident &amp; Health or Sickness / Active / 05/22/2013 / 05/22/2013 / 05/31/2027
Casualty / Active / 05/02/2013 / 05/02/2013 / 05/31/2027
Life / Active / 05/22/2013 / 05/22/2013 / 05/31/2027
Property / Active / 05/02/2013 / 05/02/2013 / 05/31/2027</x:v>
      </x:c>
      <x:c r="AR206" s="7" t="str">
        <x:v>Active</x:v>
      </x:c>
      <x:c r="AS206" s="7" t="str">
        <x:v>Current detail page</x:v>
      </x:c>
    </x:row>
    <x:row r="207" ht="52" customHeight="1">
      <x:c r="A207" s="7" t="str">
        <x:v>LUPERCIO VANESSA</x:v>
      </x:c>
      <x:c r="B207" s="14" t="str">
        <x:f>"0E92175"</x:f>
        <x:v>0E92175</x:v>
      </x:c>
      <x:c r="C207" s="7" t="str">
        <x:v>Omitted</x:v>
      </x:c>
      <x:c r="D207" s="7" t="str">
        <x:v>FAIL</x:v>
      </x:c>
      <x:c r="E207" s="13" t="str">
        <x:v>Pending</x:v>
      </x:c>
      <x:c r="F207" s="13" t="str"/>
      <x:c r="G207" s="13" t="str"/>
      <x:c r="H207" s="13" t="str"/>
      <x:c r="I207" s="7" t="str">
        <x:v>Was this person reviewed? If rejected, give the actual rule and evidence. If acceptable, correct the omission. Resolve: No collected public business phone.</x:v>
      </x:c>
      <x:c r="J207" s="7" t="str">
        <x:v>C1</x:v>
      </x:c>
      <x:c r="K207" s="7" t="str">
        <x:v>Current State Farm/Farmers relationship matches the user-confirmed exclusion. Reviewer must verify that this was the historical reason.</x:v>
      </x:c>
      <x:c r="L207" s="7" t="str">
        <x:v>Not supplied; membership is known, motive is not</x:v>
      </x:c>
      <x:c r="M207" s="7" t="n">
        <x:v>6</x:v>
      </x:c>
      <x:c r="N207" s="7" t="str">
        <x:v>Exclude under confirmed company rule</x:v>
      </x:c>
      <x:c r="O207" s="7" t="str">
        <x:v>Active</x:v>
      </x:c>
      <x:c r="P207" s="7" t="str">
        <x:v>11/10/2005</x:v>
      </x:c>
      <x:c r="Q207" s="7" t="str">
        <x:v>09/30/2027</x:v>
      </x:c>
      <x:c r="R207" s="7" t="str">
        <x:v>Accident &amp; Health or Sickness; Casualty; Life; Property</x:v>
      </x:c>
      <x:c r="S207" s="15" t="str"/>
      <x:c r="T207" s="7" t="str">
        <x:v>No public business phone in collected record</x:v>
      </x:c>
      <x:c r="U207" s="7" t="str">
        <x:v>705 N OXNARD BLVD SUITE 101 OXNARD CA, 93036</x:v>
      </x:c>
      <x:c r="V207" s="7" t="str">
        <x:v>Resident</x:v>
      </x:c>
      <x:c r="W207" s="7" t="str">
        <x:v>CA</x:v>
      </x:c>
      <x:c r="X207" s="7" t="str"/>
      <x:c r="Y207" s="7" t="str">
        <x:v>STATE FARM LIFE INSURANCE COMPANY / Life / 06/29/2016
STATE FARM MUTUAL AUTOMOBILE INSURANCE COMPANY / Accident &amp; Health or Sickness / 06/29/2016</x:v>
      </x:c>
      <x:c r="Z207" s="7" t="str"/>
      <x:c r="AA207" s="7" t="str"/>
      <x:c r="AB207" s="7" t="str">
        <x:v>ALLISON CHARLES EDMUND / Casualty / 02/10/2006
ALLISON CHARLES EDMUND / Property / 02/10/2006
CHARLES E ALLISON INSURANCE AND FINANCIAL SERVICES, INC / Casualty / 03/16/2020
CHARLES E ALLISON INSURANCE AND FINANCIAL SERVICES, INC / Property / 03/16/2020</x:v>
      </x:c>
      <x:c r="AC207" s="7" t="str"/>
      <x:c r="AD207" s="7" t="str">
        <x:v>Active general Life authority | Direct Life appointments outside the selected health-carrier set: STATE FARM LIFE INSURANCE COMPANY | Active A&amp;H supports optional cross-selling; not necessary for target products</x:v>
      </x:c>
      <x:c r="AE207" s="7" t="str">
        <x:v>Mixed P&amp;C/Life qualifications; not an exclusion because approved examples have both | Sponsor relationships displayed: ALLISON CHARLES EDMUND, CHARLES E ALLISON INSURANCE AND FINANCIAL SERVICES, INC; inspect line-specific relationship, not a blanket employment inference | No public business phone: contact enrichment needed, not proof of poor recruiting fit</x:v>
      </x:c>
      <x:c r="AF207" s="16" t="n">
        <x:v>20.9</x:v>
      </x:c>
      <x:c r="AG207" s="17" t="n">
        <x:v>357</x:v>
      </x:c>
      <x:c r="AH207" s="7" t="str">
        <x:v>2016-06-29</x:v>
      </x:c>
      <x:c r="AI207" s="7" t="str">
        <x:v>English, Spanish, Spanish</x:v>
      </x:c>
      <x:c r="AJ207" s="7" t="str"/>
      <x:c r="AK207" s="15" t="str"/>
      <x:c r="AL207" s="7" t="str"/>
      <x:c r="AM207" s="7" t="str">
        <x:v>AGUILAR  VANESSA</x:v>
      </x:c>
      <x:c r="AN207" s="7" t="str">
        <x:v>https://cdicloud.insurance.ca.gov/cal/LicenseDetail?SearchType=IND&amp;SearchLicNbr=0E92175&amp;SearchIndvId=970508</x:v>
      </x:c>
      <x:c r="AO207" s="7" t="str">
        <x:v>2026-10-08</x:v>
      </x:c>
      <x:c r="AP207" s="7" t="str">
        <x:v>1c1f04b5f6e2f00cdfdbc6c21a6212b8e0fa21190184ec864698ae6052c069f9</x:v>
      </x:c>
      <x:c r="AQ207" s="7" t="str">
        <x:v>Accident &amp; Health or Sickness / Active / 11/10/2005 / 10/18/2011 / 09/30/2027
Casualty / Active / 09/20/2005 / 10/18/2011 / 09/30/2027
Life / Active / 11/10/2005 / 10/18/2011 / 09/30/2027
Property / Active / 09/20/2005 / 10/18/2011 / 09/30/2027</x:v>
      </x:c>
      <x:c r="AR207" s="7" t="str">
        <x:v>Active</x:v>
      </x:c>
      <x:c r="AS207" s="7" t="str">
        <x:v>Current detail page</x:v>
      </x:c>
    </x:row>
    <x:row r="208" ht="52" customHeight="1">
      <x:c r="A208" s="7" t="str">
        <x:v>AGUILAR AARON</x:v>
      </x:c>
      <x:c r="B208" s="14" t="str">
        <x:f>"4574146"</x:f>
        <x:v>4574146</x:v>
      </x:c>
      <x:c r="C208" s="7" t="str">
        <x:v>Approved</x:v>
      </x:c>
      <x:c r="D208" s="7" t="str">
        <x:v>PASS</x:v>
      </x:c>
      <x:c r="E208" s="13" t="str">
        <x:v>Pending</x:v>
      </x:c>
      <x:c r="F208" s="13" t="str"/>
      <x:c r="G208" s="13" t="str"/>
      <x:c r="H208" s="13" t="str"/>
      <x:c r="I208" s="7" t="str">
        <x:v>Confirm approval criteria and any unrecorded reason.</x:v>
      </x:c>
      <x:c r="J208" s="7" t="str">
        <x:v>P1</x:v>
      </x:c>
      <x:c r="K208" s="7" t="str">
        <x:v>Passes provisional observable screen; approval is independently established by PDF membership.</x:v>
      </x:c>
      <x:c r="L208" s="7" t="str">
        <x:v>Not supplied; membership is known, motive is not</x:v>
      </x:c>
      <x:c r="M208" s="7" t="n">
        <x:v>1</x:v>
      </x:c>
      <x:c r="N208" s="7" t="str">
        <x:v>First-call fit for stated IMO focus</x:v>
      </x:c>
      <x:c r="O208" s="7" t="str">
        <x:v>Active</x:v>
      </x:c>
      <x:c r="P208" s="7" t="str">
        <x:v>09/10/2026</x:v>
      </x:c>
      <x:c r="Q208" s="7" t="str">
        <x:v>09/30/2028</x:v>
      </x:c>
      <x:c r="R208" s="7" t="str">
        <x:v>Life</x:v>
      </x:c>
      <x:c r="S208" s="15" t="str">
        <x:v>661-644-7927</x:v>
      </x:c>
      <x:c r="T208" s="7" t="str">
        <x:v>Current CDI</x:v>
      </x:c>
      <x:c r="U208" s="7" t="str">
        <x:v>1386 E TULARE AVENUE TULARE CA, 93274</x:v>
      </x:c>
      <x:c r="V208" s="7" t="str">
        <x:v>Resident</x:v>
      </x:c>
      <x:c r="W208" s="7" t="str">
        <x:v>CA</x:v>
      </x:c>
      <x:c r="X208" s="7" t="str"/>
      <x:c r="Y208" s="7" t="str"/>
      <x:c r="Z208" s="7" t="str"/>
      <x:c r="AA208" s="7" t="str"/>
      <x:c r="AB208" s="7" t="str"/>
      <x:c r="AC208" s="7" t="str"/>
      <x:c r="AD208" s="7" t="str">
        <x:v>Active general Life authority | No agency or insurer displayed: onboarding opportunity possible; existing business unknown</x:v>
      </x:c>
      <x:c r="AE208" s="7" t="str"/>
      <x:c r="AF208" s="16" t="n">
        <x:v>0.1</x:v>
      </x:c>
      <x:c r="AG208" s="17" t="n">
        <x:v>723</x:v>
      </x:c>
      <x:c r="AH208" s="7" t="str"/>
      <x:c r="AI208" s="7" t="str">
        <x:v>English</x:v>
      </x:c>
      <x:c r="AJ208" s="7" t="str">
        <x:v>Other / Affiliation Not Identified in Source (96)</x:v>
      </x:c>
      <x:c r="AK208" s="15" t="str">
        <x:v>661-644-7927</x:v>
      </x:c>
      <x:c r="AL208" s="7" t="str">
        <x:v>AGUILAR AARON</x:v>
      </x:c>
      <x:c r="AM208" s="7" t="str">
        <x:v>AGUILAR  AARON</x:v>
      </x:c>
      <x:c r="AN208" s="7" t="str">
        <x:v>https://cdicloud.insurance.ca.gov/cal/LicenseDetail?SearchType=IND&amp;SearchLicNbr=4574146&amp;SearchIndvId=4574146</x:v>
      </x:c>
      <x:c r="AO208" s="7" t="str">
        <x:v>2026-10-08</x:v>
      </x:c>
      <x:c r="AP208" s="7" t="str">
        <x:v>2a0737a08fc04ed4e189487e0586245ca62ea94ff00027764a2e5748eb46d520</x:v>
      </x:c>
      <x:c r="AQ208" s="7" t="str">
        <x:v>Life / Active / 09/10/2026 / 09/10/2026 / 09/30/2028</x:v>
      </x:c>
      <x:c r="AR208" s="7" t="str">
        <x:v>Active</x:v>
      </x:c>
      <x:c r="AS208" s="7" t="str">
        <x:v>Current detail page</x:v>
      </x:c>
    </x:row>
    <x:row r="209" ht="52" customHeight="1">
      <x:c r="A209" s="7" t="str">
        <x:v>AGUILAR ADAM JOSEPH MR.</x:v>
      </x:c>
      <x:c r="B209" s="14" t="str">
        <x:f>"4537822"</x:f>
        <x:v>4537822</x:v>
      </x:c>
      <x:c r="C209" s="7" t="str">
        <x:v>Approved</x:v>
      </x:c>
      <x:c r="D209" s="7" t="str">
        <x:v>PASS</x:v>
      </x:c>
      <x:c r="E209" s="13" t="str">
        <x:v>Pending</x:v>
      </x:c>
      <x:c r="F209" s="13" t="str"/>
      <x:c r="G209" s="13" t="str"/>
      <x:c r="H209" s="13" t="str"/>
      <x:c r="I209" s="7" t="str">
        <x:v>Confirm approval criteria and any unrecorded reason.</x:v>
      </x:c>
      <x:c r="J209" s="7" t="str">
        <x:v>P1</x:v>
      </x:c>
      <x:c r="K209" s="7" t="str">
        <x:v>Passes provisional observable screen; approval is independently established by PDF membership.</x:v>
      </x:c>
      <x:c r="L209" s="7" t="str">
        <x:v>Not supplied; membership is known, motive is not</x:v>
      </x:c>
      <x:c r="M209" s="7" t="n">
        <x:v>1</x:v>
      </x:c>
      <x:c r="N209" s="7" t="str">
        <x:v>First-call fit for stated IMO focus</x:v>
      </x:c>
      <x:c r="O209" s="7" t="str">
        <x:v>Active</x:v>
      </x:c>
      <x:c r="P209" s="7" t="str">
        <x:v>03/25/2026</x:v>
      </x:c>
      <x:c r="Q209" s="7" t="str">
        <x:v>03/31/2028</x:v>
      </x:c>
      <x:c r="R209" s="7" t="str">
        <x:v>Life</x:v>
      </x:c>
      <x:c r="S209" s="15" t="str">
        <x:v>209-587-9885</x:v>
      </x:c>
      <x:c r="T209" s="7" t="str">
        <x:v>Current CDI</x:v>
      </x:c>
      <x:c r="U209" s="7" t="str">
        <x:v>813 VERMONT AVE LOS BANOS CA, 93635</x:v>
      </x:c>
      <x:c r="V209" s="7" t="str">
        <x:v>Resident</x:v>
      </x:c>
      <x:c r="W209" s="7" t="str">
        <x:v>CA</x:v>
      </x:c>
      <x:c r="X209" s="7" t="str"/>
      <x:c r="Y209" s="7" t="str">
        <x:v>AMERICAN GENERAL LIFE INSURANCE COMPANY / Life / 04/13/2026
AMERICO FINANCIAL LIFE AND ANNUITY INSURANCE COMPANY / Life / 04/20/2026</x:v>
      </x:c>
      <x:c r="Z209" s="7" t="str"/>
      <x:c r="AA209" s="7" t="str"/>
      <x:c r="AB209" s="7" t="str"/>
      <x:c r="AC209" s="7" t="str"/>
      <x:c r="AD209" s="7" t="str">
        <x:v>Active general Life authority | Direct Life appointments outside the selected health-carrier set: AMERICAN GENERAL LIFE INSURANCE COMPANY, AMERICO FINANCIAL LIFE AND ANNUITY INSURANCE COMPANY</x:v>
      </x:c>
      <x:c r="AE209" s="7" t="str"/>
      <x:c r="AF209" s="16" t="n">
        <x:v>0.5</x:v>
      </x:c>
      <x:c r="AG209" s="17" t="n">
        <x:v>540</x:v>
      </x:c>
      <x:c r="AH209" s="7" t="str">
        <x:v>2026-04-20</x:v>
      </x:c>
      <x:c r="AI209" s="7" t="str">
        <x:v>English</x:v>
      </x:c>
      <x:c r="AJ209" s="7" t="str">
        <x:v>Other / Affiliation Not Identified in Source (96)</x:v>
      </x:c>
      <x:c r="AK209" s="15" t="str">
        <x:v>209-587-9885</x:v>
      </x:c>
      <x:c r="AL209" s="7" t="str">
        <x:v>AGUILAR ADAM JOSEPH MR.</x:v>
      </x:c>
      <x:c r="AM209" s="7" t="str">
        <x:v>AGUILAR JOSEPH ADAM</x:v>
      </x:c>
      <x:c r="AN209" s="7" t="str">
        <x:v>https://cdicloud.insurance.ca.gov/cal/LicenseDetail?SearchType=IND&amp;SearchLicNbr=4537822&amp;SearchIndvId=4537822</x:v>
      </x:c>
      <x:c r="AO209" s="7" t="str">
        <x:v>2026-10-08</x:v>
      </x:c>
      <x:c r="AP209" s="7" t="str">
        <x:v>8608e848bc3847776986d4f6800b6280a54dec28ed5ae7c17542033a8f444c57</x:v>
      </x:c>
      <x:c r="AQ209" s="7" t="str">
        <x:v>Life / Active / 03/25/2026 / 03/25/2026 / 03/31/2028</x:v>
      </x:c>
      <x:c r="AR209" s="7" t="str">
        <x:v>Active</x:v>
      </x:c>
      <x:c r="AS209" s="7" t="str">
        <x:v>Current detail page</x:v>
      </x:c>
    </x:row>
    <x:row r="210" ht="52" customHeight="1">
      <x:c r="A210" s="7" t="str">
        <x:v>AGUILAR ADELA ESGUERRA</x:v>
      </x:c>
      <x:c r="B210" s="14" t="str">
        <x:f>"0H52560"</x:f>
        <x:v>0H52560</x:v>
      </x:c>
      <x:c r="C210" s="7" t="str">
        <x:v>Approved</x:v>
      </x:c>
      <x:c r="D210" s="7" t="str">
        <x:v>PASS</x:v>
      </x:c>
      <x:c r="E210" s="13" t="str">
        <x:v>Pending</x:v>
      </x:c>
      <x:c r="F210" s="13" t="str"/>
      <x:c r="G210" s="13" t="str"/>
      <x:c r="H210" s="13" t="str"/>
      <x:c r="I210" s="7" t="str">
        <x:v>Confirm approval criteria and any unrecorded reason.</x:v>
      </x:c>
      <x:c r="J210" s="7" t="str">
        <x:v>P1</x:v>
      </x:c>
      <x:c r="K210" s="7" t="str">
        <x:v>Passes provisional observable screen; approval is independently established by PDF membership.</x:v>
      </x:c>
      <x:c r="L210" s="7" t="str">
        <x:v>Not supplied; membership is known, motive is not</x:v>
      </x:c>
      <x:c r="M210" s="7" t="n">
        <x:v>1</x:v>
      </x:c>
      <x:c r="N210" s="7" t="str">
        <x:v>First-call fit for stated IMO focus</x:v>
      </x:c>
      <x:c r="O210" s="7" t="str">
        <x:v>Active</x:v>
      </x:c>
      <x:c r="P210" s="7" t="str">
        <x:v>08/11/2011</x:v>
      </x:c>
      <x:c r="Q210" s="7" t="str">
        <x:v>08/31/2027</x:v>
      </x:c>
      <x:c r="R210" s="7" t="str">
        <x:v>Life</x:v>
      </x:c>
      <x:c r="S210" s="15" t="str">
        <x:v>510-868-4960</x:v>
      </x:c>
      <x:c r="T210" s="7" t="str">
        <x:v>Current CDI</x:v>
      </x:c>
      <x:c r="U210" s="7" t="str">
        <x:v>101 WESTMINSTER WAY VALLEJO CA, 94591</x:v>
      </x:c>
      <x:c r="V210" s="7" t="str">
        <x:v>Resident</x:v>
      </x:c>
      <x:c r="W210" s="7" t="str">
        <x:v>CA</x:v>
      </x:c>
      <x:c r="X210" s="7" t="str"/>
      <x:c r="Y210" s="7" t="str"/>
      <x:c r="Z210" s="7" t="str"/>
      <x:c r="AA210" s="7" t="str"/>
      <x:c r="AB210" s="7" t="str"/>
      <x:c r="AC210" s="7" t="str"/>
      <x:c r="AD210" s="7" t="str">
        <x:v>Active general Life authority | No agency or insurer displayed: onboarding opportunity possible; existing business unknown</x:v>
      </x:c>
      <x:c r="AE210" s="7" t="str"/>
      <x:c r="AF210" s="16" t="n">
        <x:v>15.2</x:v>
      </x:c>
      <x:c r="AG210" s="17" t="n">
        <x:v>327</x:v>
      </x:c>
      <x:c r="AH210" s="7" t="str"/>
      <x:c r="AI210" s="7" t="str">
        <x:v>English</x:v>
      </x:c>
      <x:c r="AJ210" s="7" t="str">
        <x:v>Other / Affiliation Not Identified in Source (96)</x:v>
      </x:c>
      <x:c r="AK210" s="15" t="str">
        <x:v>510-868-4960</x:v>
      </x:c>
      <x:c r="AL210" s="7" t="str">
        <x:v>AGUILAR ADELA ESGUERRA</x:v>
      </x:c>
      <x:c r="AM210" s="7" t="str">
        <x:v>AGUILAR ESGUERRA ADELA</x:v>
      </x:c>
      <x:c r="AN210" s="7" t="str">
        <x:v>https://cdicloud.insurance.ca.gov/cal/LicenseDetail?SearchType=IND&amp;SearchLicNbr=0H52560&amp;SearchIndvId=1468734</x:v>
      </x:c>
      <x:c r="AO210" s="7" t="str">
        <x:v>2026-10-08</x:v>
      </x:c>
      <x:c r="AP210" s="7" t="str">
        <x:v>8e12ca1ee45d3596ef400f0902e7c1d5b35e49e74a5525c8f3daa38b4ef571ce</x:v>
      </x:c>
      <x:c r="AQ210" s="7" t="str">
        <x:v>Life / Active / 08/11/2011 / 09/17/2025 / 08/31/2027</x:v>
      </x:c>
      <x:c r="AR210" s="7" t="str">
        <x:v>Active</x:v>
      </x:c>
      <x:c r="AS210" s="7" t="str">
        <x:v>Current detail page</x:v>
      </x:c>
    </x:row>
    <x:row r="211" ht="52" customHeight="1">
      <x:c r="A211" s="7" t="str">
        <x:v>AGUILAR ADRIAN SANTOS</x:v>
      </x:c>
      <x:c r="B211" s="14" t="str">
        <x:f>"4553996"</x:f>
        <x:v>4553996</x:v>
      </x:c>
      <x:c r="C211" s="7" t="str">
        <x:v>Approved</x:v>
      </x:c>
      <x:c r="D211" s="7" t="str">
        <x:v>PASS</x:v>
      </x:c>
      <x:c r="E211" s="13" t="str">
        <x:v>Pending</x:v>
      </x:c>
      <x:c r="F211" s="13" t="str"/>
      <x:c r="G211" s="13" t="str"/>
      <x:c r="H211" s="13" t="str"/>
      <x:c r="I211" s="7" t="str">
        <x:v>Confirm approval criteria and any unrecorded reason.</x:v>
      </x:c>
      <x:c r="J211" s="7" t="str">
        <x:v>P1</x:v>
      </x:c>
      <x:c r="K211" s="7" t="str">
        <x:v>Passes provisional observable screen; approval is independently established by PDF membership.</x:v>
      </x:c>
      <x:c r="L211" s="7" t="str">
        <x:v>Not supplied; membership is known, motive is not</x:v>
      </x:c>
      <x:c r="M211" s="7" t="n">
        <x:v>1</x:v>
      </x:c>
      <x:c r="N211" s="7" t="str">
        <x:v>First-call fit for stated IMO focus</x:v>
      </x:c>
      <x:c r="O211" s="7" t="str">
        <x:v>Active</x:v>
      </x:c>
      <x:c r="P211" s="7" t="str">
        <x:v>06/01/2026</x:v>
      </x:c>
      <x:c r="Q211" s="7" t="str">
        <x:v>06/30/2028</x:v>
      </x:c>
      <x:c r="R211" s="7" t="str">
        <x:v>Life</x:v>
      </x:c>
      <x:c r="S211" s="15" t="str">
        <x:v>408-767-1470</x:v>
      </x:c>
      <x:c r="T211" s="7" t="str">
        <x:v>Current CDI</x:v>
      </x:c>
      <x:c r="U211" s="7" t="str">
        <x:v>8200 KERN AVENUE A102 GILROY CA, 95020</x:v>
      </x:c>
      <x:c r="V211" s="7" t="str">
        <x:v>Resident</x:v>
      </x:c>
      <x:c r="W211" s="7" t="str">
        <x:v>CA</x:v>
      </x:c>
      <x:c r="X211" s="7" t="str"/>
      <x:c r="Y211" s="7" t="str"/>
      <x:c r="Z211" s="7" t="str"/>
      <x:c r="AA211" s="7" t="str"/>
      <x:c r="AB211" s="7" t="str"/>
      <x:c r="AC211" s="7" t="str"/>
      <x:c r="AD211" s="7" t="str">
        <x:v>Active general Life authority | No agency or insurer displayed: onboarding opportunity possible; existing business unknown</x:v>
      </x:c>
      <x:c r="AE211" s="7" t="str"/>
      <x:c r="AF211" s="16" t="n">
        <x:v>0.4</x:v>
      </x:c>
      <x:c r="AG211" s="17" t="n">
        <x:v>631</x:v>
      </x:c>
      <x:c r="AH211" s="7" t="str"/>
      <x:c r="AI211" s="7" t="str">
        <x:v>English</x:v>
      </x:c>
      <x:c r="AJ211" s="7" t="str">
        <x:v>Other / Affiliation Not Identified in Source (96)</x:v>
      </x:c>
      <x:c r="AK211" s="15" t="str">
        <x:v>408-767-1470</x:v>
      </x:c>
      <x:c r="AL211" s="7" t="str">
        <x:v>AGUILAR ADRIAN SANTOS</x:v>
      </x:c>
      <x:c r="AM211" s="7" t="str">
        <x:v>AGUILAR SANTOS ADRIAN</x:v>
      </x:c>
      <x:c r="AN211" s="7" t="str">
        <x:v>https://cdicloud.insurance.ca.gov/cal/LicenseDetail?SearchType=IND&amp;SearchLicNbr=4553996&amp;SearchIndvId=4553996</x:v>
      </x:c>
      <x:c r="AO211" s="7" t="str">
        <x:v>2026-10-08</x:v>
      </x:c>
      <x:c r="AP211" s="7" t="str">
        <x:v>ed4b9a96d3c91f89ca7c0af7c3541a75e17eff6dc555badd90886e19c41c8f46</x:v>
      </x:c>
      <x:c r="AQ211" s="7" t="str">
        <x:v>Life / Active / 06/01/2026 / 06/01/2026 / 06/30/2028</x:v>
      </x:c>
      <x:c r="AR211" s="7" t="str">
        <x:v>Active</x:v>
      </x:c>
      <x:c r="AS211" s="7" t="str">
        <x:v>Current detail page</x:v>
      </x:c>
    </x:row>
    <x:row r="212" ht="52" customHeight="1">
      <x:c r="A212" s="7" t="str">
        <x:v>AGUILAR AIRAM</x:v>
      </x:c>
      <x:c r="B212" s="14" t="str">
        <x:f>"4554331"</x:f>
        <x:v>4554331</x:v>
      </x:c>
      <x:c r="C212" s="7" t="str">
        <x:v>Approved</x:v>
      </x:c>
      <x:c r="D212" s="7" t="str">
        <x:v>PASS</x:v>
      </x:c>
      <x:c r="E212" s="13" t="str">
        <x:v>Pending</x:v>
      </x:c>
      <x:c r="F212" s="13" t="str"/>
      <x:c r="G212" s="13" t="str"/>
      <x:c r="H212" s="13" t="str"/>
      <x:c r="I212" s="7" t="str">
        <x:v>Confirm approval criteria and any unrecorded reason.</x:v>
      </x:c>
      <x:c r="J212" s="7" t="str">
        <x:v>P1</x:v>
      </x:c>
      <x:c r="K212" s="7" t="str">
        <x:v>Passes provisional observable screen; approval is independently established by PDF membership.</x:v>
      </x:c>
      <x:c r="L212" s="7" t="str">
        <x:v>Not supplied; membership is known, motive is not</x:v>
      </x:c>
      <x:c r="M212" s="7" t="n">
        <x:v>1</x:v>
      </x:c>
      <x:c r="N212" s="7" t="str">
        <x:v>First-call fit for stated IMO focus</x:v>
      </x:c>
      <x:c r="O212" s="7" t="str">
        <x:v>Active</x:v>
      </x:c>
      <x:c r="P212" s="7" t="str">
        <x:v>06/10/2026</x:v>
      </x:c>
      <x:c r="Q212" s="7" t="str">
        <x:v>06/30/2028</x:v>
      </x:c>
      <x:c r="R212" s="7" t="str">
        <x:v>Accident &amp; Health or Sickness; Life</x:v>
      </x:c>
      <x:c r="S212" s="15" t="str">
        <x:v>619-755-0663</x:v>
      </x:c>
      <x:c r="T212" s="7" t="str">
        <x:v>Current CDI</x:v>
      </x:c>
      <x:c r="U212" s="7" t="str">
        <x:v>5688 CERVANTES AVE SAN DIEGO CA, 92114-6334</x:v>
      </x:c>
      <x:c r="V212" s="7" t="str">
        <x:v>Resident</x:v>
      </x:c>
      <x:c r="W212" s="7" t="str">
        <x:v>CA</x:v>
      </x:c>
      <x:c r="X212" s="7" t="str"/>
      <x:c r="Y212" s="7" t="str">
        <x:v>ACCENDO INSURANCE COMPANY / Life / 07/15/2026
AMERICAN GENERAL LIFE INSURANCE COMPANY / Accident &amp; Health or Sickness / 07/01/2026
AMERICAN GENERAL LIFE INSURANCE COMPANY / Life / 07/01/2026
FIDELITY LIFE ASSOCIATION, A LEGAL RESERVE LIFE INSURANCE COMPANY / Life / 08/04/2026
TRANSAMERICA LIFE INSURANCE COMPANY / Accident &amp; Health or Sickness / 07/30/2026
TRANSAMERICA LIFE INSURANCE COMPANY / Life / 07/30/2026
UNITED OF OMAHA LIFE INSURANCE COMPANY / Accident &amp; Health or Sickness / 07/03/2026
UNITED OF OMAHA LIFE INSURANCE COMPANY / Life / 07/03/2026</x:v>
      </x:c>
      <x:c r="Z212" s="7" t="str"/>
      <x:c r="AA212" s="7" t="str"/>
      <x:c r="AB212" s="7" t="str"/>
      <x:c r="AC212" s="7" t="str"/>
      <x:c r="AD212" s="7" t="str">
        <x:v>Active general Life authority | Direct Life appointments outside the selected health-carrier set: ACCENDO INSURANCE COMPANY, AMERICAN GENERAL LIFE INSURANCE COMPANY, FIDELITY LIFE ASSOCIATION, A LEGAL RESERVE LIFE INSURANCE COMPANY, TRANSAMERICA LIFE INSURANCE COMPANY, UNITED OF OMAHA LIFE INSURANCE COMPANY | Active A&amp;H supports optional cross-selling; not necessary for target products</x:v>
      </x:c>
      <x:c r="AE212" s="7" t="str"/>
      <x:c r="AF212" s="16" t="n">
        <x:v>0.3</x:v>
      </x:c>
      <x:c r="AG212" s="17" t="n">
        <x:v>631</x:v>
      </x:c>
      <x:c r="AH212" s="7" t="str">
        <x:v>2026-08-04</x:v>
      </x:c>
      <x:c r="AI212" s="7" t="str">
        <x:v>English</x:v>
      </x:c>
      <x:c r="AJ212" s="7" t="str">
        <x:v>Other / Affiliation Not Identified in Source (96)</x:v>
      </x:c>
      <x:c r="AK212" s="15" t="str">
        <x:v>619-755-0663</x:v>
      </x:c>
      <x:c r="AL212" s="7" t="str">
        <x:v>AGUILAR AIRAM</x:v>
      </x:c>
      <x:c r="AM212" s="7" t="str">
        <x:v>AGUILAR  AIRAM | Aguilar Cerna  Airam</x:v>
      </x:c>
      <x:c r="AN212" s="7" t="str">
        <x:v>https://cdicloud.insurance.ca.gov/cal/LicenseDetail?SearchType=IND&amp;SearchLicNbr=4554331&amp;SearchIndvId=4554331</x:v>
      </x:c>
      <x:c r="AO212" s="7" t="str">
        <x:v>2026-10-08</x:v>
      </x:c>
      <x:c r="AP212" s="7" t="str">
        <x:v>8d40b7c496562f844281874aa9c5800409ba155279fcccf472424b1750c2e0a2</x:v>
      </x:c>
      <x:c r="AQ212" s="7" t="str">
        <x:v>Accident &amp; Health or Sickness / Active / 06/10/2026 / 06/10/2026 / 06/30/2028
Life / Active / 06/10/2026 / 06/10/2026 / 06/30/2028</x:v>
      </x:c>
      <x:c r="AR212" s="7" t="str">
        <x:v>Active</x:v>
      </x:c>
      <x:c r="AS212" s="7" t="str">
        <x:v>Current detail page</x:v>
      </x:c>
    </x:row>
    <x:row r="213" ht="52" customHeight="1">
      <x:c r="A213" s="7" t="str">
        <x:v>AGUILAR ALENDY G</x:v>
      </x:c>
      <x:c r="B213" s="14" t="str">
        <x:f>"4383763"</x:f>
        <x:v>4383763</x:v>
      </x:c>
      <x:c r="C213" s="7" t="str">
        <x:v>Approved</x:v>
      </x:c>
      <x:c r="D213" s="7" t="str">
        <x:v>PASS</x:v>
      </x:c>
      <x:c r="E213" s="13" t="str">
        <x:v>Pending</x:v>
      </x:c>
      <x:c r="F213" s="13" t="str"/>
      <x:c r="G213" s="13" t="str"/>
      <x:c r="H213" s="13" t="str"/>
      <x:c r="I213" s="7" t="str">
        <x:v>Confirm approval criteria and any unrecorded reason.</x:v>
      </x:c>
      <x:c r="J213" s="7" t="str">
        <x:v>P1</x:v>
      </x:c>
      <x:c r="K213" s="7" t="str">
        <x:v>Passes provisional observable screen; approval is independently established by PDF membership.</x:v>
      </x:c>
      <x:c r="L213" s="7" t="str">
        <x:v>Not supplied; membership is known, motive is not</x:v>
      </x:c>
      <x:c r="M213" s="7" t="n">
        <x:v>1</x:v>
      </x:c>
      <x:c r="N213" s="7" t="str">
        <x:v>First-call fit for stated IMO focus</x:v>
      </x:c>
      <x:c r="O213" s="7" t="str">
        <x:v>Active</x:v>
      </x:c>
      <x:c r="P213" s="7" t="str">
        <x:v>06/05/2024</x:v>
      </x:c>
      <x:c r="Q213" s="7" t="str">
        <x:v>06/30/2028</x:v>
      </x:c>
      <x:c r="R213" s="7" t="str">
        <x:v>Accident &amp; Health or Sickness; Life</x:v>
      </x:c>
      <x:c r="S213" s="15" t="str">
        <x:v>760-981-9223</x:v>
      </x:c>
      <x:c r="T213" s="7" t="str">
        <x:v>Current CDI</x:v>
      </x:c>
      <x:c r="U213" s="7" t="str">
        <x:v>12972 SUSANVILLE ST HESPERIA CA, 92344</x:v>
      </x:c>
      <x:c r="V213" s="7" t="str">
        <x:v>Resident</x:v>
      </x:c>
      <x:c r="W213" s="7" t="str">
        <x:v>CA</x:v>
      </x:c>
      <x:c r="X213" s="7" t="str"/>
      <x:c r="Y213" s="7" t="str">
        <x:v>COLONIAL LIFE &amp; ACCIDENT INSURANCE COMPANY / Accident &amp; Health or Sickness / 07/02/2026
COLONIAL LIFE &amp; ACCIDENT INSURANCE COMPANY / Life / 07/02/2026
TIER ONE INSURANCE COMPANY / Accident &amp; Health or Sickness / 07/31/2026
TIER ONE INSURANCE COMPANY / Disability Only / 07/31/2026
TIER ONE INSURANCE COMPANY / Life / 07/31/2026</x:v>
      </x:c>
      <x:c r="Z213" s="7" t="str"/>
      <x:c r="AA213" s="7" t="str"/>
      <x:c r="AB213" s="7" t="str"/>
      <x:c r="AC213" s="7" t="str"/>
      <x:c r="AD213" s="7" t="str">
        <x:v>Active general Life authority | Direct Life appointments outside the selected health-carrier set: COLONIAL LIFE &amp; ACCIDENT INSURANCE COMPANY, TIER ONE INSURANCE COMPANY | Active A&amp;H supports optional cross-selling; not necessary for target products</x:v>
      </x:c>
      <x:c r="AE213" s="7" t="str"/>
      <x:c r="AF213" s="16" t="n">
        <x:v>2.3</x:v>
      </x:c>
      <x:c r="AG213" s="17" t="n">
        <x:v>631</x:v>
      </x:c>
      <x:c r="AH213" s="7" t="str">
        <x:v>2026-07-31</x:v>
      </x:c>
      <x:c r="AI213" s="7" t="str">
        <x:v>English</x:v>
      </x:c>
      <x:c r="AJ213" s="7" t="str">
        <x:v>Other / Affiliation Not Identified in Source (96)</x:v>
      </x:c>
      <x:c r="AK213" s="15" t="str">
        <x:v>760-981-9223</x:v>
      </x:c>
      <x:c r="AL213" s="7" t="str">
        <x:v>AGUILAR ALENDY G</x:v>
      </x:c>
      <x:c r="AM213" s="7" t="str">
        <x:v>AGUILAR G ALENDY</x:v>
      </x:c>
      <x:c r="AN213" s="7" t="str">
        <x:v>https://cdicloud.insurance.ca.gov/cal/LicenseDetail?SearchType=IND&amp;SearchLicNbr=4383763&amp;SearchIndvId=4383763</x:v>
      </x:c>
      <x:c r="AO213" s="7" t="str">
        <x:v>2026-10-08</x:v>
      </x:c>
      <x:c r="AP213" s="7" t="str">
        <x:v>a2cb9e3ee0620e6ce5ed989ff5b99d6498783c7dc64f3d8e375b32459001e473</x:v>
      </x:c>
      <x:c r="AQ213" s="7" t="str">
        <x:v>Accident &amp; Health or Sickness / Active / 06/05/2024 / 07/02/2026 / 06/30/2028
Life / Active / 06/05/2024 / 07/02/2026 / 06/30/2028</x:v>
      </x:c>
      <x:c r="AR213" s="7" t="str">
        <x:v>Active</x:v>
      </x:c>
      <x:c r="AS213" s="7" t="str">
        <x:v>Current detail page</x:v>
      </x:c>
    </x:row>
    <x:row r="214" ht="52" customHeight="1">
      <x:c r="A214" s="7" t="str">
        <x:v>AGUILAR ALEXIA</x:v>
      </x:c>
      <x:c r="B214" s="14" t="str">
        <x:f>"4484921"</x:f>
        <x:v>4484921</x:v>
      </x:c>
      <x:c r="C214" s="7" t="str">
        <x:v>Approved</x:v>
      </x:c>
      <x:c r="D214" s="7" t="str">
        <x:v>PASS</x:v>
      </x:c>
      <x:c r="E214" s="13" t="str">
        <x:v>Pending</x:v>
      </x:c>
      <x:c r="F214" s="13" t="str"/>
      <x:c r="G214" s="13" t="str"/>
      <x:c r="H214" s="13" t="str"/>
      <x:c r="I214" s="7" t="str">
        <x:v>Confirm approval criteria and any unrecorded reason.</x:v>
      </x:c>
      <x:c r="J214" s="7" t="str">
        <x:v>P1</x:v>
      </x:c>
      <x:c r="K214" s="7" t="str">
        <x:v>Passes provisional observable screen; approval is independently established by PDF membership.</x:v>
      </x:c>
      <x:c r="L214" s="7" t="str">
        <x:v>Not supplied; membership is known, motive is not</x:v>
      </x:c>
      <x:c r="M214" s="7" t="n">
        <x:v>1</x:v>
      </x:c>
      <x:c r="N214" s="7" t="str">
        <x:v>First-call fit for stated IMO focus</x:v>
      </x:c>
      <x:c r="O214" s="7" t="str">
        <x:v>Active</x:v>
      </x:c>
      <x:c r="P214" s="7" t="str">
        <x:v>08/20/2025</x:v>
      </x:c>
      <x:c r="Q214" s="7" t="str">
        <x:v>08/31/2027</x:v>
      </x:c>
      <x:c r="R214" s="7" t="str">
        <x:v>Accident &amp; Health or Sickness; Life</x:v>
      </x:c>
      <x:c r="S214" s="15" t="str">
        <x:v>562-832-2686</x:v>
      </x:c>
      <x:c r="T214" s="7" t="str">
        <x:v>Current CDI</x:v>
      </x:c>
      <x:c r="U214" s="7" t="str">
        <x:v>12024 CARMENITA ROAD WHITTIER CA, 90605</x:v>
      </x:c>
      <x:c r="V214" s="7" t="str">
        <x:v>Resident</x:v>
      </x:c>
      <x:c r="W214" s="7" t="str">
        <x:v>CA</x:v>
      </x:c>
      <x:c r="X214" s="7" t="str"/>
      <x:c r="Y214" s="7" t="str">
        <x:v>AMERICAN GENERAL LIFE INSURANCE COMPANY / Accident &amp; Health or Sickness / 08/14/2026
AMERICAN GENERAL LIFE INSURANCE COMPANY / Life / 08/14/2026
ATHENE ANNUITY AND LIFE COMPANY / Life / 04/07/2026
FIDELITY &amp; GUARANTY LIFE INSURANCE COMPANY / Life / 06/12/2026
LIFE INSURANCE COMPANY OF THE SOUTHWEST / Accident &amp; Health or Sickness / 06/17/2026
LIFE INSURANCE COMPANY OF THE SOUTHWEST / Life / 06/17/2026
NATIONWIDE LIFE AND ANNUITY INSURANCE COMPANY / Accident &amp; Health or Sickness / 01/20/2026
NATIONWIDE LIFE AND ANNUITY INSURANCE COMPANY / Life / 01/20/2026</x:v>
      </x:c>
      <x:c r="Z214" s="7" t="str"/>
      <x:c r="AA214" s="7" t="str"/>
      <x:c r="AB214" s="7" t="str"/>
      <x:c r="AC214" s="7" t="str"/>
      <x:c r="AD214" s="7" t="str">
        <x:v>Active general Life authority | Direct Life appointments outside the selected health-carrier set: AMERICAN GENERAL LIFE INSURANCE COMPANY, ATHENE ANNUITY AND LIFE COMPANY, FIDELITY &amp; GUARANTY LIFE INSURANCE COMPANY, LIFE INSURANCE COMPANY OF THE SOUTHWEST, NATIONWIDE LIFE AND ANNUITY INSURANCE COMPANY | Active A&amp;H supports optional cross-selling; not necessary for target products</x:v>
      </x:c>
      <x:c r="AE214" s="7" t="str"/>
      <x:c r="AF214" s="16" t="n">
        <x:v>1.1</x:v>
      </x:c>
      <x:c r="AG214" s="17" t="n">
        <x:v>327</x:v>
      </x:c>
      <x:c r="AH214" s="7" t="str">
        <x:v>2026-08-14</x:v>
      </x:c>
      <x:c r="AI214" s="7" t="str">
        <x:v>English</x:v>
      </x:c>
      <x:c r="AJ214" s="7" t="str">
        <x:v>Other / Affiliation Not Identified in Source (96)</x:v>
      </x:c>
      <x:c r="AK214" s="15" t="str">
        <x:v>562-832-2686</x:v>
      </x:c>
      <x:c r="AL214" s="7" t="str">
        <x:v>AGUILAR ALEXIA</x:v>
      </x:c>
      <x:c r="AM214" s="7" t="str">
        <x:v>AGUILAR  ALEXIA</x:v>
      </x:c>
      <x:c r="AN214" s="7" t="str">
        <x:v>https://cdicloud.insurance.ca.gov/cal/LicenseDetail?SearchType=IND&amp;SearchLicNbr=4484921&amp;SearchIndvId=4484921</x:v>
      </x:c>
      <x:c r="AO214" s="7" t="str">
        <x:v>2026-10-08</x:v>
      </x:c>
      <x:c r="AP214" s="7" t="str">
        <x:v>cb291728e4e502f783aa7a300fded29ee843b834882dbad689d1bc9e25d4e4fe</x:v>
      </x:c>
      <x:c r="AQ214" s="7" t="str">
        <x:v>Accident &amp; Health or Sickness / Active / 08/20/2025 / 08/20/2025 / 08/31/2027
Life / Active / 08/20/2025 / 08/20/2025 / 08/31/2027</x:v>
      </x:c>
      <x:c r="AR214" s="7" t="str">
        <x:v>Active</x:v>
      </x:c>
      <x:c r="AS214" s="7" t="str">
        <x:v>Current detail page</x:v>
      </x:c>
    </x:row>
    <x:row r="215" ht="52" customHeight="1">
      <x:c r="A215" s="7" t="str">
        <x:v>AGUILAR ALFONSO JR</x:v>
      </x:c>
      <x:c r="B215" s="14" t="str">
        <x:f>"0M62601"</x:f>
        <x:v>0M62601</x:v>
      </x:c>
      <x:c r="C215" s="7" t="str">
        <x:v>Approved</x:v>
      </x:c>
      <x:c r="D215" s="7" t="str">
        <x:v>PASS</x:v>
      </x:c>
      <x:c r="E215" s="13" t="str">
        <x:v>Pending</x:v>
      </x:c>
      <x:c r="F215" s="13" t="str"/>
      <x:c r="G215" s="13" t="str"/>
      <x:c r="H215" s="13" t="str"/>
      <x:c r="I215" s="7" t="str">
        <x:v>Confirm approval criteria and any unrecorded reason.</x:v>
      </x:c>
      <x:c r="J215" s="7" t="str">
        <x:v>P1</x:v>
      </x:c>
      <x:c r="K215" s="7" t="str">
        <x:v>Passes provisional observable screen; approval is independently established by PDF membership.</x:v>
      </x:c>
      <x:c r="L215" s="7" t="str">
        <x:v>Not supplied; membership is known, motive is not</x:v>
      </x:c>
      <x:c r="M215" s="7" t="n">
        <x:v>1</x:v>
      </x:c>
      <x:c r="N215" s="7" t="str">
        <x:v>First-call fit for stated IMO focus</x:v>
      </x:c>
      <x:c r="O215" s="7" t="str">
        <x:v>Active</x:v>
      </x:c>
      <x:c r="P215" s="7" t="str">
        <x:v>10/15/2018</x:v>
      </x:c>
      <x:c r="Q215" s="7" t="str">
        <x:v>10/31/2026</x:v>
      </x:c>
      <x:c r="R215" s="7" t="str">
        <x:v>Accident &amp; Health or Sickness; Life; Var Life and Var Annuity</x:v>
      </x:c>
      <x:c r="S215" s="15" t="str">
        <x:v>704-595-1000</x:v>
      </x:c>
      <x:c r="T215" s="7" t="str">
        <x:v>Current CDI</x:v>
      </x:c>
      <x:c r="U215" s="7" t="str">
        <x:v>35 N LAKE AVE PASADENA CA, 91101-4110</x:v>
      </x:c>
      <x:c r="V215" s="7" t="str">
        <x:v>Resident</x:v>
      </x:c>
      <x:c r="W215" s="7" t="str">
        <x:v>CA</x:v>
      </x:c>
      <x:c r="X215" s="7" t="str"/>
      <x:c r="Y215" s="7" t="str">
        <x:v>ALLIANZ LIFE INSURANCE COMPANY OF NORTH AMERICA / Life / 11/25/2024
ALLIANZ LIFE INSURANCE COMPANY OF NORTH AMERICA / Var Life and Var Annuity / 12/04/2024
BERKSHIRE LIFE INSURANCE COMPANY OF AMERICA / Accident &amp; Health or Sickness / 11/18/2024
BERKSHIRE LIFE INSURANCE COMPANY OF AMERICA / Life / 11/18/2024
GUARDIAN INSURANCE &amp; ANNUITY COMPANY, INC. (THE) / Life / 11/18/2024
GUARDIAN INSURANCE &amp; ANNUITY COMPANY, INC. (THE) / Var Life and Var Annuity / 11/18/2024
GUARDIAN LIFE INSURANCE COMPANY OF AMERICA (THE) / Accident &amp; Health or Sickness / 11/18/2024
GUARDIAN LIFE INSURANCE COMPANY OF AMERICA (THE) / Life / 11/18/2024
NATIONWIDE LIFE AND ANNUITY INSURANCE COMPANY / Accident &amp; Health or Sickness / 04/01/2026
NATIONWIDE LIFE AND ANNUITY INSURANCE COMPANY / Life / 04/01/2026
NATIONWIDE LIFE AND ANNUITY INSURANCE COMPANY / Var Life and Var Annuity / 04/01/2026
TEACHERS INSURANCE AND ANNUITY ASSOCIATION OF AMERICA / Accident &amp; Health or Sickness / 05/05/2026
TEACHERS INSURANCE AND ANNUITY ASSOCIATION OF AMERICA / Life / 05/05/2026
TEACHERS INSURANCE AND ANNUITY ASSOCIATION OF AMERICA / Var Life and Var Annuity / 05/05/2026</x:v>
      </x:c>
      <x:c r="Z215" s="7" t="str"/>
      <x:c r="AA215" s="7" t="str"/>
      <x:c r="AB215" s="7" t="str"/>
      <x:c r="AC215" s="7" t="str"/>
      <x:c r="AD215" s="7" t="str">
        <x:v>Active general Life authority | Direct Life appointments outside the selected health-carrier set: ALLIANZ LIFE INSURANCE COMPANY OF NORTH AMERICA, BERKSHIRE LIFE INSURANCE COMPANY OF AMERICA, GUARDIAN INSURANCE &amp; ANNUITY COMPANY, INC. (THE), GUARDIAN LIFE INSURANCE COMPANY OF AMERICA (THE), NATIONWIDE LIFE AND ANNUITY INSURANCE COMPANY, TEACHERS INSURANCE AND ANNUITY ASSOCIATION OF AMERICA | Active A&amp;H supports optional cross-selling; not necessary for target products</x:v>
      </x:c>
      <x:c r="AE215" s="7" t="str">
        <x:v>Variable authority: financial-advice/variable-product capability; not needed for fixed annuities and not an automatic exclusion | Life expiration in 23 days: confirm renewal during onboarding</x:v>
      </x:c>
      <x:c r="AF215" s="16" t="n">
        <x:v>8</x:v>
      </x:c>
      <x:c r="AG215" s="17" t="n">
        <x:v>23</x:v>
      </x:c>
      <x:c r="AH215" s="7" t="str">
        <x:v>2026-05-05</x:v>
      </x:c>
      <x:c r="AI215" s="7" t="str">
        <x:v>English</x:v>
      </x:c>
      <x:c r="AJ215" s="7" t="str">
        <x:v>Other / Affiliation Not Identified in Source (96)</x:v>
      </x:c>
      <x:c r="AK215" s="15" t="str">
        <x:v>704-595-1000</x:v>
      </x:c>
      <x:c r="AL215" s="7" t="str">
        <x:v>AGUILAR ALFONSO JR</x:v>
      </x:c>
      <x:c r="AM215" s="7" t="str">
        <x:v>AGUILAR  ALFONSO</x:v>
      </x:c>
      <x:c r="AN215" s="7" t="str">
        <x:v>https://cdicloud.insurance.ca.gov/cal/LicenseDetail?SearchType=IND&amp;SearchLicNbr=0M62601&amp;SearchIndvId=2061114</x:v>
      </x:c>
      <x:c r="AO215" s="7" t="str">
        <x:v>2026-10-08</x:v>
      </x:c>
      <x:c r="AP215" s="7" t="str">
        <x:v>714e7865e129b90f5786f82897e38cc22a1dd47837a3359c2a584255511fc67e</x:v>
      </x:c>
      <x:c r="AQ215" s="7" t="str">
        <x:v>Accident &amp; Health or Sickness / Active / 10/15/2018 / 11/15/2024 / 10/31/2026
Life / Active / 10/15/2018 / 11/15/2024 / 10/31/2026
Var Life and Var Annuity / Active / 12/13/2019 / 11/15/2024 / 10/31/2026</x:v>
      </x:c>
      <x:c r="AR215" s="7" t="str">
        <x:v>Active</x:v>
      </x:c>
      <x:c r="AS215" s="7" t="str">
        <x:v>Current detail page</x:v>
      </x:c>
    </x:row>
    <x:row r="216" ht="52" customHeight="1">
      <x:c r="A216" s="7" t="str">
        <x:v>AGUILAR ALICIA</x:v>
      </x:c>
      <x:c r="B216" s="14" t="str">
        <x:f>"0L68350"</x:f>
        <x:v>0L68350</x:v>
      </x:c>
      <x:c r="C216" s="7" t="str">
        <x:v>Approved</x:v>
      </x:c>
      <x:c r="D216" s="7" t="str">
        <x:v>PASS</x:v>
      </x:c>
      <x:c r="E216" s="13" t="str">
        <x:v>Pending</x:v>
      </x:c>
      <x:c r="F216" s="13" t="str"/>
      <x:c r="G216" s="13" t="str"/>
      <x:c r="H216" s="13" t="str"/>
      <x:c r="I216" s="7" t="str">
        <x:v>Confirm approval criteria and any unrecorded reason.</x:v>
      </x:c>
      <x:c r="J216" s="7" t="str">
        <x:v>P1</x:v>
      </x:c>
      <x:c r="K216" s="7" t="str">
        <x:v>Passes provisional observable screen; approval is independently established by PDF membership.</x:v>
      </x:c>
      <x:c r="L216" s="7" t="str">
        <x:v>Not supplied; membership is known, motive is not</x:v>
      </x:c>
      <x:c r="M216" s="7" t="n">
        <x:v>1</x:v>
      </x:c>
      <x:c r="N216" s="7" t="str">
        <x:v>First-call fit for stated IMO focus</x:v>
      </x:c>
      <x:c r="O216" s="7" t="str">
        <x:v>Active</x:v>
      </x:c>
      <x:c r="P216" s="7" t="str">
        <x:v>04/06/2017</x:v>
      </x:c>
      <x:c r="Q216" s="7" t="str">
        <x:v>04/30/2027</x:v>
      </x:c>
      <x:c r="R216" s="7" t="str">
        <x:v>Accident &amp; Health or Sickness; Life</x:v>
      </x:c>
      <x:c r="S216" s="15" t="str">
        <x:v>714-412-2955</x:v>
      </x:c>
      <x:c r="T216" s="7" t="str">
        <x:v>Current CDI</x:v>
      </x:c>
      <x:c r="U216" s="7" t="str">
        <x:v>3209 S. LINDA WAY 3209 S LINDA WAY SANTA ANA CA, 92704</x:v>
      </x:c>
      <x:c r="V216" s="7" t="str">
        <x:v>Resident</x:v>
      </x:c>
      <x:c r="W216" s="7" t="str">
        <x:v>CA</x:v>
      </x:c>
      <x:c r="X216" s="7" t="str"/>
      <x:c r="Y216" s="7" t="str"/>
      <x:c r="Z216" s="7" t="str"/>
      <x:c r="AA216" s="7" t="str"/>
      <x:c r="AB216" s="7" t="str"/>
      <x:c r="AC216" s="7" t="str"/>
      <x:c r="AD216" s="7" t="str">
        <x:v>Active general Life authority | No agency or insurer displayed: onboarding opportunity possible; existing business unknown | Active A&amp;H supports optional cross-selling; not necessary for target products</x:v>
      </x:c>
      <x:c r="AE216" s="7" t="str"/>
      <x:c r="AF216" s="16" t="n">
        <x:v>9.5</x:v>
      </x:c>
      <x:c r="AG216" s="17" t="n">
        <x:v>204</x:v>
      </x:c>
      <x:c r="AH216" s="7" t="str"/>
      <x:c r="AI216" s="7" t="str">
        <x:v>English</x:v>
      </x:c>
      <x:c r="AJ216" s="7" t="str">
        <x:v>Other / Affiliation Not Identified in Source (96)</x:v>
      </x:c>
      <x:c r="AK216" s="15" t="str">
        <x:v>714-412-2955</x:v>
      </x:c>
      <x:c r="AL216" s="7" t="str">
        <x:v>AGUILAR ALICIA</x:v>
      </x:c>
      <x:c r="AM216" s="7" t="str">
        <x:v>AGUILAR  ALICIA</x:v>
      </x:c>
      <x:c r="AN216" s="7" t="str">
        <x:v>https://cdicloud.insurance.ca.gov/cal/LicenseDetail?SearchType=IND&amp;SearchLicNbr=0L68350&amp;SearchIndvId=1925682</x:v>
      </x:c>
      <x:c r="AO216" s="7" t="str">
        <x:v>2026-10-08</x:v>
      </x:c>
      <x:c r="AP216" s="7" t="str">
        <x:v>d67c54fe2614ea892a60c67dfc7d3165dafff1f225f259e9024609057cc13182</x:v>
      </x:c>
      <x:c r="AQ216" s="7" t="str">
        <x:v>Accident &amp; Health or Sickness / Active / 04/06/2017 / 04/06/2017 / 04/30/2027
Life / Active / 04/06/2017 / 04/06/2017 / 04/30/2027</x:v>
      </x:c>
      <x:c r="AR216" s="7" t="str">
        <x:v>Active</x:v>
      </x:c>
      <x:c r="AS216" s="7" t="str">
        <x:v>Current detail page</x:v>
      </x:c>
    </x:row>
    <x:row r="217" ht="52" customHeight="1">
      <x:c r="A217" s="7" t="str">
        <x:v>AGUILAR ALLAN FERNANDO</x:v>
      </x:c>
      <x:c r="B217" s="14" t="str">
        <x:f>"4087474"</x:f>
        <x:v>4087474</x:v>
      </x:c>
      <x:c r="C217" s="7" t="str">
        <x:v>Approved</x:v>
      </x:c>
      <x:c r="D217" s="7" t="str">
        <x:v>PASS</x:v>
      </x:c>
      <x:c r="E217" s="13" t="str">
        <x:v>Pending</x:v>
      </x:c>
      <x:c r="F217" s="13" t="str"/>
      <x:c r="G217" s="13" t="str"/>
      <x:c r="H217" s="13" t="str"/>
      <x:c r="I217" s="7" t="str">
        <x:v>Confirm approval criteria and any unrecorded reason.</x:v>
      </x:c>
      <x:c r="J217" s="7" t="str">
        <x:v>P1</x:v>
      </x:c>
      <x:c r="K217" s="7" t="str">
        <x:v>Passes provisional observable screen; approval is independently established by PDF membership.</x:v>
      </x:c>
      <x:c r="L217" s="7" t="str">
        <x:v>Not supplied; membership is known, motive is not</x:v>
      </x:c>
      <x:c r="M217" s="7" t="n">
        <x:v>1</x:v>
      </x:c>
      <x:c r="N217" s="7" t="str">
        <x:v>First-call fit for stated IMO focus</x:v>
      </x:c>
      <x:c r="O217" s="7" t="str">
        <x:v>Active</x:v>
      </x:c>
      <x:c r="P217" s="7" t="str">
        <x:v>12/21/2020</x:v>
      </x:c>
      <x:c r="Q217" s="7" t="str">
        <x:v>12/31/2026</x:v>
      </x:c>
      <x:c r="R217" s="7" t="str">
        <x:v>Accident &amp; Health or Sickness; Life</x:v>
      </x:c>
      <x:c r="S217" s="15" t="str">
        <x:v>714-393-4666</x:v>
      </x:c>
      <x:c r="T217" s="7" t="str">
        <x:v>Current CDI</x:v>
      </x:c>
      <x:c r="U217" s="7" t="str">
        <x:v>100 BAYVIEW CIR STE 120 NEWPORT BEACH CA, 92660</x:v>
      </x:c>
      <x:c r="V217" s="7" t="str">
        <x:v>Resident</x:v>
      </x:c>
      <x:c r="W217" s="7" t="str">
        <x:v>CA</x:v>
      </x:c>
      <x:c r="X217" s="7" t="str"/>
      <x:c r="Y217" s="7" t="str">
        <x:v>FIDELITY &amp; GUARANTY LIFE INSURANCE COMPANY / Life / 01/30/2026
NORTH AMERICAN COMPANY FOR LIFE AND HEALTH INSURANCE / Life / 01/22/2026</x:v>
      </x:c>
      <x:c r="Z217" s="7" t="str"/>
      <x:c r="AA217" s="7" t="str"/>
      <x:c r="AB217" s="7" t="str"/>
      <x:c r="AC217" s="7" t="str"/>
      <x:c r="AD217" s="7" t="str">
        <x:v>Active general Life authority | Direct Life appointments outside the selected health-carrier set: FIDELITY &amp; GUARANTY LIFE INSURANCE COMPANY, NORTH AMERICAN COMPANY FOR LIFE AND HEALTH INSURANCE | Active A&amp;H supports optional cross-selling; not necessary for target products</x:v>
      </x:c>
      <x:c r="AE217" s="7" t="str"/>
      <x:c r="AF217" s="16" t="n">
        <x:v>5.8</x:v>
      </x:c>
      <x:c r="AG217" s="17" t="n">
        <x:v>84</x:v>
      </x:c>
      <x:c r="AH217" s="7" t="str">
        <x:v>2026-01-30</x:v>
      </x:c>
      <x:c r="AI217" s="7" t="str">
        <x:v>English</x:v>
      </x:c>
      <x:c r="AJ217" s="7" t="str">
        <x:v>Other / Affiliation Not Identified in Source (96)</x:v>
      </x:c>
      <x:c r="AK217" s="15" t="str">
        <x:v>714-393-4666</x:v>
      </x:c>
      <x:c r="AL217" s="7" t="str">
        <x:v>AGUILAR ALLAN FERNANDO</x:v>
      </x:c>
      <x:c r="AM217" s="7" t="str">
        <x:v>AGUILAR FERNANDO ALLAN</x:v>
      </x:c>
      <x:c r="AN217" s="7" t="str">
        <x:v>https://cdicloud.insurance.ca.gov/cal/LicenseDetail?SearchType=IND&amp;SearchLicNbr=4087474&amp;SearchIndvId=4087474</x:v>
      </x:c>
      <x:c r="AO217" s="7" t="str">
        <x:v>2026-10-08</x:v>
      </x:c>
      <x:c r="AP217" s="7" t="str">
        <x:v>b16ed15299fbe88a24846f8f0dab3a252ecea5c466663a45398284c7d8b6beb6</x:v>
      </x:c>
      <x:c r="AQ217" s="7" t="str">
        <x:v>Accident &amp; Health or Sickness / Active / 12/21/2020 / 12/31/2025 / 12/31/2026
Life / Active / 12/21/2020 / 12/31/2025 / 12/31/2026</x:v>
      </x:c>
      <x:c r="AR217" s="7" t="str">
        <x:v>Active</x:v>
      </x:c>
      <x:c r="AS217" s="7" t="str">
        <x:v>Current detail page</x:v>
      </x:c>
    </x:row>
    <x:row r="218" ht="52" customHeight="1">
      <x:c r="A218" s="7" t="str">
        <x:v>AGUILAR ALMA ISABEL</x:v>
      </x:c>
      <x:c r="B218" s="14" t="str">
        <x:f>"0K18415"</x:f>
        <x:v>0K18415</x:v>
      </x:c>
      <x:c r="C218" s="7" t="str">
        <x:v>Approved</x:v>
      </x:c>
      <x:c r="D218" s="7" t="str">
        <x:v>PASS</x:v>
      </x:c>
      <x:c r="E218" s="13" t="str">
        <x:v>Pending</x:v>
      </x:c>
      <x:c r="F218" s="13" t="str"/>
      <x:c r="G218" s="13" t="str"/>
      <x:c r="H218" s="13" t="str"/>
      <x:c r="I218" s="7" t="str">
        <x:v>Confirm approval criteria and any unrecorded reason.</x:v>
      </x:c>
      <x:c r="J218" s="7" t="str">
        <x:v>P1</x:v>
      </x:c>
      <x:c r="K218" s="7" t="str">
        <x:v>Passes provisional observable screen; approval is independently established by PDF membership.</x:v>
      </x:c>
      <x:c r="L218" s="7" t="str">
        <x:v>Not supplied; membership is known, motive is not</x:v>
      </x:c>
      <x:c r="M218" s="7" t="n">
        <x:v>1</x:v>
      </x:c>
      <x:c r="N218" s="7" t="str">
        <x:v>First-call fit for stated IMO focus</x:v>
      </x:c>
      <x:c r="O218" s="7" t="str">
        <x:v>Active</x:v>
      </x:c>
      <x:c r="P218" s="7" t="str">
        <x:v>04/13/2015</x:v>
      </x:c>
      <x:c r="Q218" s="7" t="str">
        <x:v>04/30/2027</x:v>
      </x:c>
      <x:c r="R218" s="7" t="str">
        <x:v>Accident &amp; Health or Sickness; Life</x:v>
      </x:c>
      <x:c r="S218" s="15" t="str">
        <x:v>949-394-4234</x:v>
      </x:c>
      <x:c r="T218" s="7" t="str">
        <x:v>Current CDI</x:v>
      </x:c>
      <x:c r="U218" s="7" t="str">
        <x:v>340 COMMERCE 100 IRVINE CA, 92602</x:v>
      </x:c>
      <x:c r="V218" s="7" t="str">
        <x:v>Resident</x:v>
      </x:c>
      <x:c r="W218" s="7" t="str">
        <x:v>CA</x:v>
      </x:c>
      <x:c r="X218" s="7" t="str"/>
      <x:c r="Y218" s="7" t="str"/>
      <x:c r="Z218" s="7" t="str"/>
      <x:c r="AA218" s="7" t="str"/>
      <x:c r="AB218" s="7" t="str"/>
      <x:c r="AC218" s="7" t="str"/>
      <x:c r="AD218" s="7" t="str">
        <x:v>Active general Life authority | No agency or insurer displayed: onboarding opportunity possible; existing business unknown | Active A&amp;H supports optional cross-selling; not necessary for target products</x:v>
      </x:c>
      <x:c r="AE218" s="7" t="str"/>
      <x:c r="AF218" s="16" t="n">
        <x:v>11.5</x:v>
      </x:c>
      <x:c r="AG218" s="17" t="n">
        <x:v>204</x:v>
      </x:c>
      <x:c r="AH218" s="7" t="str"/>
      <x:c r="AI218" s="7" t="str">
        <x:v>English</x:v>
      </x:c>
      <x:c r="AJ218" s="7" t="str">
        <x:v>Other / Affiliation Not Identified in Source (96)</x:v>
      </x:c>
      <x:c r="AK218" s="15" t="str">
        <x:v>949-394-4234</x:v>
      </x:c>
      <x:c r="AL218" s="7" t="str">
        <x:v>AGUILAR ALMA ISABEL</x:v>
      </x:c>
      <x:c r="AM218" s="7" t="str">
        <x:v>AGUILAR ISABEL ALMA</x:v>
      </x:c>
      <x:c r="AN218" s="7" t="str">
        <x:v>https://cdicloud.insurance.ca.gov/cal/LicenseDetail?SearchType=IND&amp;SearchLicNbr=0K18415&amp;SearchIndvId=1750284</x:v>
      </x:c>
      <x:c r="AO218" s="7" t="str">
        <x:v>2026-10-08</x:v>
      </x:c>
      <x:c r="AP218" s="7" t="str">
        <x:v>f8fefcccfed808910af604d973813183df87a1b8f8ab09a9a7511a87388009c8</x:v>
      </x:c>
      <x:c r="AQ218" s="7" t="str">
        <x:v>Accident &amp; Health or Sickness / Active / 04/13/2015 / 04/13/2015 / 04/30/2027
Life / Active / 04/13/2015 / 04/13/2015 / 04/30/2027</x:v>
      </x:c>
      <x:c r="AR218" s="7" t="str">
        <x:v>Active</x:v>
      </x:c>
      <x:c r="AS218" s="7" t="str">
        <x:v>Current detail page</x:v>
      </x:c>
    </x:row>
    <x:row r="219" ht="52" customHeight="1">
      <x:c r="A219" s="7" t="str">
        <x:v>AGUILAR ALMA MARISOL</x:v>
      </x:c>
      <x:c r="B219" s="14" t="str">
        <x:f>"4050820"</x:f>
        <x:v>4050820</x:v>
      </x:c>
      <x:c r="C219" s="7" t="str">
        <x:v>Approved</x:v>
      </x:c>
      <x:c r="D219" s="7" t="str">
        <x:v>PASS</x:v>
      </x:c>
      <x:c r="E219" s="13" t="str">
        <x:v>Pending</x:v>
      </x:c>
      <x:c r="F219" s="13" t="str"/>
      <x:c r="G219" s="13" t="str"/>
      <x:c r="H219" s="13" t="str"/>
      <x:c r="I219" s="7" t="str">
        <x:v>Confirm approval criteria and any unrecorded reason.</x:v>
      </x:c>
      <x:c r="J219" s="7" t="str">
        <x:v>P1</x:v>
      </x:c>
      <x:c r="K219" s="7" t="str">
        <x:v>Passes provisional observable screen; approval is independently established by PDF membership.</x:v>
      </x:c>
      <x:c r="L219" s="7" t="str">
        <x:v>Not supplied; membership is known, motive is not</x:v>
      </x:c>
      <x:c r="M219" s="7" t="n">
        <x:v>1</x:v>
      </x:c>
      <x:c r="N219" s="7" t="str">
        <x:v>First-call fit for stated IMO focus</x:v>
      </x:c>
      <x:c r="O219" s="7" t="str">
        <x:v>Active</x:v>
      </x:c>
      <x:c r="P219" s="7" t="str">
        <x:v>06/18/2020</x:v>
      </x:c>
      <x:c r="Q219" s="7" t="str">
        <x:v>06/30/2028</x:v>
      </x:c>
      <x:c r="R219" s="7" t="str">
        <x:v>Accident &amp; Health or Sickness; Life</x:v>
      </x:c>
      <x:c r="S219" s="15" t="str">
        <x:v>209-241-1293</x:v>
      </x:c>
      <x:c r="T219" s="7" t="str">
        <x:v>Current CDI</x:v>
      </x:c>
      <x:c r="U219" s="7" t="str">
        <x:v>355 CABERNET DR OAKDALE CA, 95361</x:v>
      </x:c>
      <x:c r="V219" s="7" t="str">
        <x:v>Resident</x:v>
      </x:c>
      <x:c r="W219" s="7" t="str">
        <x:v>CA</x:v>
      </x:c>
      <x:c r="X219" s="7" t="str"/>
      <x:c r="Y219" s="7" t="str">
        <x:v>AMERICAN NATIONAL INSURANCE COMPANY / Life / 08/07/2024
AMERITAS LIFE INSURANCE CORP. / Life / 08/13/2024
CMFG LIFE INSURANCE COMPANY / Life / 07/20/2024
FIDELITY &amp; GUARANTY LIFE INSURANCE COMPANY / Life / 08/27/2025
MEMBERS LIFE INSURANCE COMPANY / Life / 02/07/2025</x:v>
      </x:c>
      <x:c r="Z219" s="7" t="str"/>
      <x:c r="AA219" s="7" t="str"/>
      <x:c r="AB219" s="7" t="str"/>
      <x:c r="AC219" s="7" t="str"/>
      <x:c r="AD219" s="7" t="str">
        <x:v>Active general Life authority | Direct Life appointments outside the selected health-carrier set: AMERICAN NATIONAL INSURANCE COMPANY, AMERITAS LIFE INSURANCE CORP., CMFG LIFE INSURANCE COMPANY, FIDELITY &amp; GUARANTY LIFE INSURANCE COMPANY, MEMBERS LIFE INSURANCE COMPANY | Active A&amp;H supports optional cross-selling; not necessary for target products</x:v>
      </x:c>
      <x:c r="AE219" s="7" t="str"/>
      <x:c r="AF219" s="16" t="n">
        <x:v>6.3</x:v>
      </x:c>
      <x:c r="AG219" s="17" t="n">
        <x:v>631</x:v>
      </x:c>
      <x:c r="AH219" s="7" t="str">
        <x:v>2025-08-27</x:v>
      </x:c>
      <x:c r="AI219" s="7" t="str">
        <x:v>English</x:v>
      </x:c>
      <x:c r="AJ219" s="7" t="str">
        <x:v>Other / Affiliation Not Identified in Source (96)</x:v>
      </x:c>
      <x:c r="AK219" s="15" t="str">
        <x:v>209-241-1293</x:v>
      </x:c>
      <x:c r="AL219" s="7" t="str">
        <x:v>AGUILAR ALMA MARISOL</x:v>
      </x:c>
      <x:c r="AM219" s="7" t="str">
        <x:v>Aguilar M Alma | AGUILAR MARISOL ALMA</x:v>
      </x:c>
      <x:c r="AN219" s="7" t="str">
        <x:v>https://cdicloud.insurance.ca.gov/cal/LicenseDetail?SearchType=IND&amp;SearchLicNbr=4050820&amp;SearchIndvId=4050820</x:v>
      </x:c>
      <x:c r="AO219" s="7" t="str">
        <x:v>2026-10-08</x:v>
      </x:c>
      <x:c r="AP219" s="7" t="str">
        <x:v>636ef1e7e92ff895fc61a69e6edb88aa6afde4c407eed24f39fddb229d03d650</x:v>
      </x:c>
      <x:c r="AQ219" s="7" t="str">
        <x:v>Accident &amp; Health or Sickness / Active / 06/18/2020 / 07/12/2024 / 06/30/2028
Life / Active / 06/18/2020 / 07/12/2024 / 06/30/2028</x:v>
      </x:c>
      <x:c r="AR219" s="7" t="str">
        <x:v>Active</x:v>
      </x:c>
      <x:c r="AS219" s="7" t="str">
        <x:v>Current detail page</x:v>
      </x:c>
    </x:row>
    <x:row r="220" ht="52" customHeight="1">
      <x:c r="A220" s="7" t="str">
        <x:v>AGUILAR AMALIA</x:v>
      </x:c>
      <x:c r="B220" s="14" t="str">
        <x:f>"4487254"</x:f>
        <x:v>4487254</x:v>
      </x:c>
      <x:c r="C220" s="7" t="str">
        <x:v>Approved</x:v>
      </x:c>
      <x:c r="D220" s="7" t="str">
        <x:v>PASS</x:v>
      </x:c>
      <x:c r="E220" s="13" t="str">
        <x:v>Pending</x:v>
      </x:c>
      <x:c r="F220" s="13" t="str"/>
      <x:c r="G220" s="13" t="str"/>
      <x:c r="H220" s="13" t="str"/>
      <x:c r="I220" s="7" t="str">
        <x:v>Confirm approval criteria and any unrecorded reason.</x:v>
      </x:c>
      <x:c r="J220" s="7" t="str">
        <x:v>P1</x:v>
      </x:c>
      <x:c r="K220" s="7" t="str">
        <x:v>Passes provisional observable screen; approval is independently established by PDF membership.</x:v>
      </x:c>
      <x:c r="L220" s="7" t="str">
        <x:v>Not supplied; membership is known, motive is not</x:v>
      </x:c>
      <x:c r="M220" s="7" t="n">
        <x:v>1</x:v>
      </x:c>
      <x:c r="N220" s="7" t="str">
        <x:v>First-call fit for stated IMO focus</x:v>
      </x:c>
      <x:c r="O220" s="7" t="str">
        <x:v>Active</x:v>
      </x:c>
      <x:c r="P220" s="7" t="str">
        <x:v>08/29/2025</x:v>
      </x:c>
      <x:c r="Q220" s="7" t="str">
        <x:v>08/31/2027</x:v>
      </x:c>
      <x:c r="R220" s="7" t="str">
        <x:v>Life</x:v>
      </x:c>
      <x:c r="S220" s="15" t="str">
        <x:v>661-736-2027</x:v>
      </x:c>
      <x:c r="T220" s="7" t="str">
        <x:v>Current CDI</x:v>
      </x:c>
      <x:c r="U220" s="7" t="str">
        <x:v>22324 TEMESCAL CANYON RD CORONA CA, 92883</x:v>
      </x:c>
      <x:c r="V220" s="7" t="str">
        <x:v>Resident</x:v>
      </x:c>
      <x:c r="W220" s="7" t="str">
        <x:v>CA</x:v>
      </x:c>
      <x:c r="X220" s="7" t="str"/>
      <x:c r="Y220" s="7" t="str"/>
      <x:c r="Z220" s="7" t="str"/>
      <x:c r="AA220" s="7" t="str"/>
      <x:c r="AB220" s="7" t="str"/>
      <x:c r="AC220" s="7" t="str"/>
      <x:c r="AD220" s="7" t="str">
        <x:v>Active general Life authority | No agency or insurer displayed: onboarding opportunity possible; existing business unknown</x:v>
      </x:c>
      <x:c r="AE220" s="7" t="str"/>
      <x:c r="AF220" s="16" t="n">
        <x:v>1.1</x:v>
      </x:c>
      <x:c r="AG220" s="17" t="n">
        <x:v>327</x:v>
      </x:c>
      <x:c r="AH220" s="7" t="str"/>
      <x:c r="AI220" s="7" t="str">
        <x:v>English</x:v>
      </x:c>
      <x:c r="AJ220" s="7" t="str">
        <x:v>Other / Affiliation Not Identified in Source (96)</x:v>
      </x:c>
      <x:c r="AK220" s="15" t="str">
        <x:v>661-736-2027</x:v>
      </x:c>
      <x:c r="AL220" s="7" t="str">
        <x:v>AGUILAR AMALIA</x:v>
      </x:c>
      <x:c r="AM220" s="7" t="str">
        <x:v>AGUILAR  AMALIA</x:v>
      </x:c>
      <x:c r="AN220" s="7" t="str">
        <x:v>https://cdicloud.insurance.ca.gov/cal/LicenseDetail?SearchType=IND&amp;SearchLicNbr=4487254&amp;SearchIndvId=4487254</x:v>
      </x:c>
      <x:c r="AO220" s="7" t="str">
        <x:v>2026-10-08</x:v>
      </x:c>
      <x:c r="AP220" s="7" t="str">
        <x:v>249b0bb17706b37f60abb816ccb817720fb4a3099da03d82c1bb6f37d2eec9e8</x:v>
      </x:c>
      <x:c r="AQ220" s="7" t="str">
        <x:v>Life / Active / 08/29/2025 / 08/29/2025 / 08/31/2027</x:v>
      </x:c>
      <x:c r="AR220" s="7" t="str">
        <x:v>Active</x:v>
      </x:c>
      <x:c r="AS220" s="7" t="str">
        <x:v>Current detail page</x:v>
      </x:c>
    </x:row>
    <x:row r="221" ht="52" customHeight="1">
      <x:c r="A221" s="7" t="str">
        <x:v>AGUILAR ANA ISABEL</x:v>
      </x:c>
      <x:c r="B221" s="14" t="str">
        <x:f>"0N06406"</x:f>
        <x:v>0N06406</x:v>
      </x:c>
      <x:c r="C221" s="7" t="str">
        <x:v>Approved</x:v>
      </x:c>
      <x:c r="D221" s="7" t="str">
        <x:v>PASS</x:v>
      </x:c>
      <x:c r="E221" s="13" t="str">
        <x:v>Pending</x:v>
      </x:c>
      <x:c r="F221" s="13" t="str"/>
      <x:c r="G221" s="13" t="str"/>
      <x:c r="H221" s="13" t="str"/>
      <x:c r="I221" s="7" t="str">
        <x:v>Confirm approval criteria and any unrecorded reason.</x:v>
      </x:c>
      <x:c r="J221" s="7" t="str">
        <x:v>P1</x:v>
      </x:c>
      <x:c r="K221" s="7" t="str">
        <x:v>Passes provisional observable screen; approval is independently established by PDF membership.</x:v>
      </x:c>
      <x:c r="L221" s="7" t="str">
        <x:v>Not supplied; membership is known, motive is not</x:v>
      </x:c>
      <x:c r="M221" s="7" t="n">
        <x:v>1</x:v>
      </x:c>
      <x:c r="N221" s="7" t="str">
        <x:v>First-call fit for stated IMO focus</x:v>
      </x:c>
      <x:c r="O221" s="7" t="str">
        <x:v>Active</x:v>
      </x:c>
      <x:c r="P221" s="7" t="str">
        <x:v>07/03/2019</x:v>
      </x:c>
      <x:c r="Q221" s="7" t="str">
        <x:v>12/31/2027</x:v>
      </x:c>
      <x:c r="R221" s="7" t="str">
        <x:v>Accident &amp; Health or Sickness; Life</x:v>
      </x:c>
      <x:c r="S221" s="15" t="str">
        <x:v>805-263-3953</x:v>
      </x:c>
      <x:c r="T221" s="7" t="str">
        <x:v>Current CDI</x:v>
      </x:c>
      <x:c r="U221" s="7" t="str">
        <x:v>2051 SNOW AVE OXNARD CA, 93036</x:v>
      </x:c>
      <x:c r="V221" s="7" t="str">
        <x:v>Resident</x:v>
      </x:c>
      <x:c r="W221" s="7" t="str">
        <x:v>CA</x:v>
      </x:c>
      <x:c r="X221" s="7" t="str">
        <x:v>WORLD FINANCIAL GROUP INSURANCE AGENCY, LLC / Accident &amp; Health or Sickness / 12/18/2025
WORLD FINANCIAL GROUP INSURANCE AGENCY, LLC / Life / 12/18/2025</x:v>
      </x:c>
      <x:c r="Y221" s="7" t="str"/>
      <x:c r="Z221" s="7" t="str"/>
      <x:c r="AA221" s="7" t="str"/>
      <x:c r="AB221" s="7" t="str"/>
      <x:c r="AC221" s="7" t="str"/>
      <x:c r="AD221" s="7" t="str">
        <x:v>Active general Life authority | WFG relationship: matches an explicitly targeted recruiting segment | Active A&amp;H supports optional cross-selling; not necessary for target products</x:v>
      </x:c>
      <x:c r="AE221" s="7" t="str"/>
      <x:c r="AF221" s="16" t="n">
        <x:v>7.3</x:v>
      </x:c>
      <x:c r="AG221" s="17" t="n">
        <x:v>449</x:v>
      </x:c>
      <x:c r="AH221" s="7" t="str"/>
      <x:c r="AI221" s="7" t="str">
        <x:v>English</x:v>
      </x:c>
      <x:c r="AJ221" s="7" t="str">
        <x:v>WFG / World Financial Group (7)</x:v>
      </x:c>
      <x:c r="AK221" s="15" t="str">
        <x:v>805-263-3953</x:v>
      </x:c>
      <x:c r="AL221" s="7" t="str">
        <x:v>AGUILAR ANA ISABEL</x:v>
      </x:c>
      <x:c r="AM221" s="7" t="str">
        <x:v>Aguilar I Ana | AGUILAR ISABEL ANA</x:v>
      </x:c>
      <x:c r="AN221" s="7" t="str">
        <x:v>https://cdicloud.insurance.ca.gov/cal/LicenseDetail?SearchType=IND&amp;SearchLicNbr=0N06406&amp;SearchIndvId=2102224</x:v>
      </x:c>
      <x:c r="AO221" s="7" t="str">
        <x:v>2026-10-08</x:v>
      </x:c>
      <x:c r="AP221" s="7" t="str">
        <x:v>8dc24e129d970f599a75f9b4397cdf8fc96b921793c754e1c233fb4856f0c38f</x:v>
      </x:c>
      <x:c r="AQ221" s="7" t="str">
        <x:v>Accident &amp; Health or Sickness / Active / 07/03/2019 / 12/03/2025 / 12/31/2027
Life / Active / 07/03/2019 / 12/03/2025 / 12/31/2027</x:v>
      </x:c>
      <x:c r="AR221" s="7" t="str">
        <x:v>Active</x:v>
      </x:c>
      <x:c r="AS221" s="7" t="str">
        <x:v>Current detail page</x:v>
      </x:c>
    </x:row>
    <x:row r="222" ht="52" customHeight="1">
      <x:c r="A222" s="7" t="str">
        <x:v>AGUILAR ANAYA MANUEL AGUILAR</x:v>
      </x:c>
      <x:c r="B222" s="14" t="str">
        <x:f>"4409268"</x:f>
        <x:v>4409268</x:v>
      </x:c>
      <x:c r="C222" s="7" t="str">
        <x:v>Approved</x:v>
      </x:c>
      <x:c r="D222" s="7" t="str">
        <x:v>PASS</x:v>
      </x:c>
      <x:c r="E222" s="13" t="str">
        <x:v>Pending</x:v>
      </x:c>
      <x:c r="F222" s="13" t="str"/>
      <x:c r="G222" s="13" t="str"/>
      <x:c r="H222" s="13" t="str"/>
      <x:c r="I222" s="7" t="str">
        <x:v>Confirm approval criteria and any unrecorded reason.</x:v>
      </x:c>
      <x:c r="J222" s="7" t="str">
        <x:v>P1</x:v>
      </x:c>
      <x:c r="K222" s="7" t="str">
        <x:v>Passes provisional observable screen; approval is independently established by PDF membership.</x:v>
      </x:c>
      <x:c r="L222" s="7" t="str">
        <x:v>Not supplied; membership is known, motive is not</x:v>
      </x:c>
      <x:c r="M222" s="7" t="n">
        <x:v>1</x:v>
      </x:c>
      <x:c r="N222" s="7" t="str">
        <x:v>First-call fit for stated IMO focus</x:v>
      </x:c>
      <x:c r="O222" s="7" t="str">
        <x:v>Active</x:v>
      </x:c>
      <x:c r="P222" s="7" t="str">
        <x:v>02/12/2025</x:v>
      </x:c>
      <x:c r="Q222" s="7" t="str">
        <x:v>02/28/2027</x:v>
      </x:c>
      <x:c r="R222" s="7" t="str">
        <x:v>Life</x:v>
      </x:c>
      <x:c r="S222" s="15" t="str">
        <x:v>760-565-2235</x:v>
      </x:c>
      <x:c r="T222" s="7" t="str">
        <x:v>Current CDI</x:v>
      </x:c>
      <x:c r="U222" s="7" t="str">
        <x:v>35325 DATE PALM DR SUITE 238 CATHEDRAL CITY CA, 92234</x:v>
      </x:c>
      <x:c r="V222" s="7" t="str">
        <x:v>Resident</x:v>
      </x:c>
      <x:c r="W222" s="7" t="str">
        <x:v>CA</x:v>
      </x:c>
      <x:c r="X222" s="7" t="str"/>
      <x:c r="Y222" s="7" t="str">
        <x:v>PRIMERICA LIFE INSURANCE COMPANY / Life / 02/13/2025</x:v>
      </x:c>
      <x:c r="Z222" s="7" t="str"/>
      <x:c r="AA222" s="7" t="str"/>
      <x:c r="AB222" s="7" t="str"/>
      <x:c r="AC222" s="7" t="str"/>
      <x:c r="AD222" s="7" t="str">
        <x:v>Active general Life authority | Primerica relationship: matches an explicitly targeted recruiting segment | Direct Life appointments outside the selected health-carrier set: PRIMERICA LIFE INSURANCE COMPANY</x:v>
      </x:c>
      <x:c r="AE222" s="7" t="str"/>
      <x:c r="AF222" s="16" t="n">
        <x:v>1.7</x:v>
      </x:c>
      <x:c r="AG222" s="17" t="n">
        <x:v>143</x:v>
      </x:c>
      <x:c r="AH222" s="7" t="str">
        <x:v>2025-02-13</x:v>
      </x:c>
      <x:c r="AI222" s="7" t="str">
        <x:v>English</x:v>
      </x:c>
      <x:c r="AJ222" s="7" t="str">
        <x:v>Primerica (33)</x:v>
      </x:c>
      <x:c r="AK222" s="15" t="str">
        <x:v>760-565-2235</x:v>
      </x:c>
      <x:c r="AL222" s="7" t="str">
        <x:v>AGUILAR ANAYA MANUEL AGUILAR</x:v>
      </x:c>
      <x:c r="AM222" s="7" t="str">
        <x:v>AGUILAR ANAYA AGUILAR MANUEL</x:v>
      </x:c>
      <x:c r="AN222" s="7" t="str">
        <x:v>https://cdicloud.insurance.ca.gov/cal/LicenseDetail?SearchType=IND&amp;SearchLicNbr=4409268&amp;SearchIndvId=4409268</x:v>
      </x:c>
      <x:c r="AO222" s="7" t="str">
        <x:v>2026-10-08</x:v>
      </x:c>
      <x:c r="AP222" s="7" t="str">
        <x:v>4371fb9d785d0c7a6bd705ec24ef031bc6750983df2f9f4496f39cb94eaf0019</x:v>
      </x:c>
      <x:c r="AQ222" s="7" t="str">
        <x:v>Life / Active / 02/12/2025 / 02/12/2025 / 02/28/2027</x:v>
      </x:c>
      <x:c r="AR222" s="7" t="str">
        <x:v>Active</x:v>
      </x:c>
      <x:c r="AS222" s="7" t="str">
        <x:v>Current detail page</x:v>
      </x:c>
    </x:row>
    <x:row r="223" ht="52" customHeight="1">
      <x:c r="A223" s="7" t="str">
        <x:v>AGUILAR ANDREW NICHOLAS</x:v>
      </x:c>
      <x:c r="B223" s="14" t="str">
        <x:f>"4552333"</x:f>
        <x:v>4552333</x:v>
      </x:c>
      <x:c r="C223" s="7" t="str">
        <x:v>Approved</x:v>
      </x:c>
      <x:c r="D223" s="7" t="str">
        <x:v>PASS</x:v>
      </x:c>
      <x:c r="E223" s="13" t="str">
        <x:v>Pending</x:v>
      </x:c>
      <x:c r="F223" s="13" t="str"/>
      <x:c r="G223" s="13" t="str"/>
      <x:c r="H223" s="13" t="str"/>
      <x:c r="I223" s="7" t="str">
        <x:v>Confirm approval criteria and any unrecorded reason.</x:v>
      </x:c>
      <x:c r="J223" s="7" t="str">
        <x:v>P1</x:v>
      </x:c>
      <x:c r="K223" s="7" t="str">
        <x:v>Passes provisional observable screen; approval is independently established by PDF membership.</x:v>
      </x:c>
      <x:c r="L223" s="7" t="str">
        <x:v>Not supplied; membership is known, motive is not</x:v>
      </x:c>
      <x:c r="M223" s="7" t="n">
        <x:v>1</x:v>
      </x:c>
      <x:c r="N223" s="7" t="str">
        <x:v>First-call fit for stated IMO focus</x:v>
      </x:c>
      <x:c r="O223" s="7" t="str">
        <x:v>Active</x:v>
      </x:c>
      <x:c r="P223" s="7" t="str">
        <x:v>05/28/2026</x:v>
      </x:c>
      <x:c r="Q223" s="7" t="str">
        <x:v>05/31/2028</x:v>
      </x:c>
      <x:c r="R223" s="7" t="str">
        <x:v>Life</x:v>
      </x:c>
      <x:c r="S223" s="15" t="str">
        <x:v>909-987-0375</x:v>
      </x:c>
      <x:c r="T223" s="7" t="str">
        <x:v>Current CDI</x:v>
      </x:c>
      <x:c r="U223" s="7" t="str">
        <x:v>11910 FOOTHILL BLVD STE 100 RANCHO CUCAMONGA CA, 91739</x:v>
      </x:c>
      <x:c r="V223" s="7" t="str">
        <x:v>Resident</x:v>
      </x:c>
      <x:c r="W223" s="7" t="str">
        <x:v>CA</x:v>
      </x:c>
      <x:c r="X223" s="7" t="str"/>
      <x:c r="Y223" s="7" t="str">
        <x:v>ACCENDO INSURANCE COMPANY / Life / 09/16/2026
AMERICAN GENERAL LIFE INSURANCE COMPANY / Life / 09/04/2026
PRIMERICA LIFE INSURANCE COMPANY / Life / 05/28/2026</x:v>
      </x:c>
      <x:c r="Z223" s="7" t="str"/>
      <x:c r="AA223" s="7" t="str"/>
      <x:c r="AB223" s="7" t="str"/>
      <x:c r="AC223" s="7" t="str"/>
      <x:c r="AD223" s="7" t="str">
        <x:v>Active general Life authority | Primerica relationship: matches an explicitly targeted recruiting segment | Direct Life appointments outside the selected health-carrier set: ACCENDO INSURANCE COMPANY, AMERICAN GENERAL LIFE INSURANCE COMPANY, PRIMERICA LIFE INSURANCE COMPANY</x:v>
      </x:c>
      <x:c r="AE223" s="7" t="str"/>
      <x:c r="AF223" s="16" t="n">
        <x:v>0.4</x:v>
      </x:c>
      <x:c r="AG223" s="17" t="n">
        <x:v>601</x:v>
      </x:c>
      <x:c r="AH223" s="7" t="str">
        <x:v>2026-09-16</x:v>
      </x:c>
      <x:c r="AI223" s="7" t="str">
        <x:v>English</x:v>
      </x:c>
      <x:c r="AJ223" s="7" t="str">
        <x:v>Other / Affiliation Not Identified in Source (96)</x:v>
      </x:c>
      <x:c r="AK223" s="15" t="str">
        <x:v>909-987-0375</x:v>
      </x:c>
      <x:c r="AL223" s="7" t="str">
        <x:v>AGUILAR ANDREW NICHOLAS</x:v>
      </x:c>
      <x:c r="AM223" s="7" t="str">
        <x:v>AGUILAR NICHOLAS ANDREW</x:v>
      </x:c>
      <x:c r="AN223" s="7" t="str">
        <x:v>https://cdicloud.insurance.ca.gov/cal/LicenseDetail?SearchType=IND&amp;SearchLicNbr=4552333&amp;SearchIndvId=4552333</x:v>
      </x:c>
      <x:c r="AO223" s="7" t="str">
        <x:v>2026-10-08</x:v>
      </x:c>
      <x:c r="AP223" s="7" t="str">
        <x:v>286f551108e9576287f38ee9770c72821bbed890d5a061d1f0b6552bbc44a5e0</x:v>
      </x:c>
      <x:c r="AQ223" s="7" t="str">
        <x:v>Life / Active / 05/28/2026 / 05/28/2026 / 05/31/2028</x:v>
      </x:c>
      <x:c r="AR223" s="7" t="str">
        <x:v>Active</x:v>
      </x:c>
      <x:c r="AS223" s="7" t="str">
        <x:v>Current detail page</x:v>
      </x:c>
    </x:row>
    <x:row r="224" ht="52" customHeight="1">
      <x:c r="A224" s="7" t="str">
        <x:v>AGUILAR ANTONIO PERFECTO</x:v>
      </x:c>
      <x:c r="B224" s="14" t="str">
        <x:f>"0J04493"</x:f>
        <x:v>0J04493</x:v>
      </x:c>
      <x:c r="C224" s="7" t="str">
        <x:v>Approved</x:v>
      </x:c>
      <x:c r="D224" s="7" t="str">
        <x:v>PASS</x:v>
      </x:c>
      <x:c r="E224" s="13" t="str">
        <x:v>Pending</x:v>
      </x:c>
      <x:c r="F224" s="13" t="str"/>
      <x:c r="G224" s="13" t="str"/>
      <x:c r="H224" s="13" t="str"/>
      <x:c r="I224" s="7" t="str">
        <x:v>Confirm approval criteria and any unrecorded reason.</x:v>
      </x:c>
      <x:c r="J224" s="7" t="str">
        <x:v>P1</x:v>
      </x:c>
      <x:c r="K224" s="7" t="str">
        <x:v>Passes provisional observable screen; approval is independently established by PDF membership.</x:v>
      </x:c>
      <x:c r="L224" s="7" t="str">
        <x:v>Not supplied; membership is known, motive is not</x:v>
      </x:c>
      <x:c r="M224" s="7" t="n">
        <x:v>1</x:v>
      </x:c>
      <x:c r="N224" s="7" t="str">
        <x:v>First-call fit for stated IMO focus</x:v>
      </x:c>
      <x:c r="O224" s="7" t="str">
        <x:v>Active</x:v>
      </x:c>
      <x:c r="P224" s="7" t="str">
        <x:v>02/28/2025</x:v>
      </x:c>
      <x:c r="Q224" s="7" t="str">
        <x:v>02/28/2027</x:v>
      </x:c>
      <x:c r="R224" s="7" t="str">
        <x:v>Accident &amp; Health or Sickness; Life</x:v>
      </x:c>
      <x:c r="S224" s="15" t="str">
        <x:v>913-205-7024</x:v>
      </x:c>
      <x:c r="T224" s="7" t="str">
        <x:v>Current CDI</x:v>
      </x:c>
      <x:c r="U224" s="7" t="str">
        <x:v>5540 OWENSMOUTH AVE APT 318 WOODLAND HILLS CA, 91367</x:v>
      </x:c>
      <x:c r="V224" s="7" t="str">
        <x:v>Resident</x:v>
      </x:c>
      <x:c r="W224" s="7" t="str">
        <x:v>CA</x:v>
      </x:c>
      <x:c r="X224" s="7" t="str"/>
      <x:c r="Y224" s="7" t="str"/>
      <x:c r="Z224" s="7" t="str"/>
      <x:c r="AA224" s="7" t="str"/>
      <x:c r="AB224" s="7" t="str"/>
      <x:c r="AC224" s="7" t="str"/>
      <x:c r="AD224" s="7" t="str">
        <x:v>Active general Life authority | No agency or insurer displayed: onboarding opportunity possible; existing business unknown | Active A&amp;H supports optional cross-selling; not necessary for target products</x:v>
      </x:c>
      <x:c r="AE224" s="7" t="str"/>
      <x:c r="AF224" s="16" t="n">
        <x:v>1.6</x:v>
      </x:c>
      <x:c r="AG224" s="17" t="n">
        <x:v>143</x:v>
      </x:c>
      <x:c r="AH224" s="7" t="str"/>
      <x:c r="AI224" s="7" t="str">
        <x:v>English</x:v>
      </x:c>
      <x:c r="AJ224" s="7" t="str">
        <x:v>Other / Affiliation Not Identified in Source (96)</x:v>
      </x:c>
      <x:c r="AK224" s="15" t="str">
        <x:v>913-205-7024</x:v>
      </x:c>
      <x:c r="AL224" s="7" t="str">
        <x:v>AGUILAR ANTONIO PERFECTO</x:v>
      </x:c>
      <x:c r="AM224" s="7" t="str">
        <x:v>Aguilar P Antonio | AGUILAR PERFECTO ANTONIO</x:v>
      </x:c>
      <x:c r="AN224" s="7" t="str">
        <x:v>https://cdicloud.insurance.ca.gov/cal/LicenseDetail?SearchType=IND&amp;SearchLicNbr=0J04493&amp;SearchIndvId=1697420</x:v>
      </x:c>
      <x:c r="AO224" s="7" t="str">
        <x:v>2026-10-08</x:v>
      </x:c>
      <x:c r="AP224" s="7" t="str">
        <x:v>26946802cba0f4d1fc5643617b6a3899c26a762ac980c2d4afe19570f5885f3f</x:v>
      </x:c>
      <x:c r="AQ224" s="7" t="str">
        <x:v>Accident &amp; Health or Sickness / Active / 02/28/2025 / 02/28/2025 / 02/28/2027
Life / Active / 02/28/2025 / 02/28/2025 / 02/28/2027</x:v>
      </x:c>
      <x:c r="AR224" s="7" t="str">
        <x:v>Active</x:v>
      </x:c>
      <x:c r="AS224" s="7" t="str">
        <x:v>Current detail page</x:v>
      </x:c>
    </x:row>
    <x:row r="225" ht="52" customHeight="1">
      <x:c r="A225" s="7" t="str">
        <x:v>AGUILAR APODACA VICTOR DANIEL</x:v>
      </x:c>
      <x:c r="B225" s="14" t="str">
        <x:f>"4553917"</x:f>
        <x:v>4553917</x:v>
      </x:c>
      <x:c r="C225" s="7" t="str">
        <x:v>Approved</x:v>
      </x:c>
      <x:c r="D225" s="7" t="str">
        <x:v>PASS</x:v>
      </x:c>
      <x:c r="E225" s="13" t="str">
        <x:v>Pending</x:v>
      </x:c>
      <x:c r="F225" s="13" t="str"/>
      <x:c r="G225" s="13" t="str"/>
      <x:c r="H225" s="13" t="str"/>
      <x:c r="I225" s="7" t="str">
        <x:v>Confirm approval criteria and any unrecorded reason.</x:v>
      </x:c>
      <x:c r="J225" s="7" t="str">
        <x:v>P1</x:v>
      </x:c>
      <x:c r="K225" s="7" t="str">
        <x:v>Passes provisional observable screen; approval is independently established by PDF membership.</x:v>
      </x:c>
      <x:c r="L225" s="7" t="str">
        <x:v>Not supplied; membership is known, motive is not</x:v>
      </x:c>
      <x:c r="M225" s="7" t="n">
        <x:v>1</x:v>
      </x:c>
      <x:c r="N225" s="7" t="str">
        <x:v>First-call fit for stated IMO focus</x:v>
      </x:c>
      <x:c r="O225" s="7" t="str">
        <x:v>Active</x:v>
      </x:c>
      <x:c r="P225" s="7" t="str">
        <x:v>05/29/2026</x:v>
      </x:c>
      <x:c r="Q225" s="7" t="str">
        <x:v>05/31/2028</x:v>
      </x:c>
      <x:c r="R225" s="7" t="str">
        <x:v>Life</x:v>
      </x:c>
      <x:c r="S225" s="15" t="str">
        <x:v>209-354-6102</x:v>
      </x:c>
      <x:c r="T225" s="7" t="str">
        <x:v>Current CDI</x:v>
      </x:c>
      <x:c r="U225" s="7" t="str">
        <x:v>1101 SYLVAN AVE SUITE A25A MODESTO CA, 95350</x:v>
      </x:c>
      <x:c r="V225" s="7" t="str">
        <x:v>Resident</x:v>
      </x:c>
      <x:c r="W225" s="7" t="str">
        <x:v>CA</x:v>
      </x:c>
      <x:c r="X225" s="7" t="str"/>
      <x:c r="Y225" s="7" t="str">
        <x:v>AMERICAN NATIONAL INSURANCE COMPANY / Life / 07/09/2026
LIFE INSURANCE COMPANY OF THE SOUTHWEST / Life / 09/03/2026</x:v>
      </x:c>
      <x:c r="Z225" s="7" t="str"/>
      <x:c r="AA225" s="7" t="str"/>
      <x:c r="AB225" s="7" t="str"/>
      <x:c r="AC225" s="7" t="str"/>
      <x:c r="AD225" s="7" t="str">
        <x:v>Active general Life authority | Direct Life appointments outside the selected health-carrier set: AMERICAN NATIONAL INSURANCE COMPANY, LIFE INSURANCE COMPANY OF THE SOUTHWEST</x:v>
      </x:c>
      <x:c r="AE225" s="7" t="str"/>
      <x:c r="AF225" s="16" t="n">
        <x:v>0.4</x:v>
      </x:c>
      <x:c r="AG225" s="17" t="n">
        <x:v>601</x:v>
      </x:c>
      <x:c r="AH225" s="7" t="str">
        <x:v>2026-09-03</x:v>
      </x:c>
      <x:c r="AI225" s="7" t="str">
        <x:v>English</x:v>
      </x:c>
      <x:c r="AJ225" s="7" t="str">
        <x:v>Other / Affiliation Not Identified in Source (96)</x:v>
      </x:c>
      <x:c r="AK225" s="15" t="str">
        <x:v>209-354-6102</x:v>
      </x:c>
      <x:c r="AL225" s="7" t="str">
        <x:v>AGUILAR APODACA VICTOR DANIEL</x:v>
      </x:c>
      <x:c r="AM225" s="7" t="str">
        <x:v>AGUILAR APODACA DANIEL VICTOR</x:v>
      </x:c>
      <x:c r="AN225" s="7" t="str">
        <x:v>https://cdicloud.insurance.ca.gov/cal/LicenseDetail?SearchType=IND&amp;SearchLicNbr=4553917&amp;SearchIndvId=4553917</x:v>
      </x:c>
      <x:c r="AO225" s="7" t="str">
        <x:v>2026-10-08</x:v>
      </x:c>
      <x:c r="AP225" s="7" t="str">
        <x:v>192411e31710d77d21a989e1973f82cdafc7c880d3101f7282c3f6c7993f4468</x:v>
      </x:c>
      <x:c r="AQ225" s="7" t="str">
        <x:v>Life / Active / 05/29/2026 / 05/29/2026 / 05/31/2028</x:v>
      </x:c>
      <x:c r="AR225" s="7" t="str">
        <x:v>Active</x:v>
      </x:c>
      <x:c r="AS225" s="7" t="str">
        <x:v>Current detail page</x:v>
      </x:c>
    </x:row>
    <x:row r="226" ht="52" customHeight="1">
      <x:c r="A226" s="7" t="str">
        <x:v>AGUILAR APPELL CHRISTIAN ALEXANDER</x:v>
      </x:c>
      <x:c r="B226" s="14" t="str">
        <x:f>"4470549"</x:f>
        <x:v>4470549</x:v>
      </x:c>
      <x:c r="C226" s="7" t="str">
        <x:v>Approved</x:v>
      </x:c>
      <x:c r="D226" s="7" t="str">
        <x:v>PASS</x:v>
      </x:c>
      <x:c r="E226" s="13" t="str">
        <x:v>Pending</x:v>
      </x:c>
      <x:c r="F226" s="13" t="str"/>
      <x:c r="G226" s="13" t="str"/>
      <x:c r="H226" s="13" t="str"/>
      <x:c r="I226" s="7" t="str">
        <x:v>Confirm approval criteria and any unrecorded reason.</x:v>
      </x:c>
      <x:c r="J226" s="7" t="str">
        <x:v>P1</x:v>
      </x:c>
      <x:c r="K226" s="7" t="str">
        <x:v>Passes provisional observable screen; approval is independently established by PDF membership.</x:v>
      </x:c>
      <x:c r="L226" s="7" t="str">
        <x:v>Not supplied; membership is known, motive is not</x:v>
      </x:c>
      <x:c r="M226" s="7" t="n">
        <x:v>1</x:v>
      </x:c>
      <x:c r="N226" s="7" t="str">
        <x:v>First-call fit for stated IMO focus</x:v>
      </x:c>
      <x:c r="O226" s="7" t="str">
        <x:v>Active</x:v>
      </x:c>
      <x:c r="P226" s="7" t="str">
        <x:v>06/20/2025</x:v>
      </x:c>
      <x:c r="Q226" s="7" t="str">
        <x:v>06/30/2027</x:v>
      </x:c>
      <x:c r="R226" s="7" t="str">
        <x:v>Accident &amp; Health or Sickness; Life</x:v>
      </x:c>
      <x:c r="S226" s="15" t="str">
        <x:v>951-293-9699</x:v>
      </x:c>
      <x:c r="T226" s="7" t="str">
        <x:v>Current CDI</x:v>
      </x:c>
      <x:c r="U226" s="7" t="str">
        <x:v>690 N GRAPE ST ESCONDIDO CA, 92025</x:v>
      </x:c>
      <x:c r="V226" s="7" t="str">
        <x:v>Resident</x:v>
      </x:c>
      <x:c r="W226" s="7" t="str">
        <x:v>CA</x:v>
      </x:c>
      <x:c r="X226" s="7" t="str"/>
      <x:c r="Y226" s="7" t="str">
        <x:v>INDEPENDENT ORDER OF FORESTERS (THE) / Accident &amp; Health or Sickness / 09/05/2025
INDEPENDENT ORDER OF FORESTERS (THE) / Life / 09/05/2025</x:v>
      </x:c>
      <x:c r="Z226" s="7" t="str"/>
      <x:c r="AA226" s="7" t="str"/>
      <x:c r="AB226" s="7" t="str"/>
      <x:c r="AC226" s="7" t="str"/>
      <x:c r="AD226" s="7" t="str">
        <x:v>Active general Life authority | Direct Life appointments outside the selected health-carrier set: INDEPENDENT ORDER OF FORESTERS (THE) | Active A&amp;H supports optional cross-selling; not necessary for target products</x:v>
      </x:c>
      <x:c r="AE226" s="7" t="str"/>
      <x:c r="AF226" s="16" t="n">
        <x:v>1.3</x:v>
      </x:c>
      <x:c r="AG226" s="17" t="n">
        <x:v>265</x:v>
      </x:c>
      <x:c r="AH226" s="7" t="str">
        <x:v>2025-09-05</x:v>
      </x:c>
      <x:c r="AI226" s="7" t="str">
        <x:v>English</x:v>
      </x:c>
      <x:c r="AJ226" s="7" t="str">
        <x:v>Other / Affiliation Not Identified in Source (96)</x:v>
      </x:c>
      <x:c r="AK226" s="15" t="str">
        <x:v>951-293-9699</x:v>
      </x:c>
      <x:c r="AL226" s="7" t="str">
        <x:v>AGUILAR APPELL CHRISTIAN ALEXANDER</x:v>
      </x:c>
      <x:c r="AM226" s="7" t="str">
        <x:v>Aguilar Alexander Christian | AGUILAR APPELL ALEXANDER CHRISTIAN</x:v>
      </x:c>
      <x:c r="AN226" s="7" t="str">
        <x:v>https://cdicloud.insurance.ca.gov/cal/LicenseDetail?SearchType=IND&amp;SearchLicNbr=4470549&amp;SearchIndvId=4470549</x:v>
      </x:c>
      <x:c r="AO226" s="7" t="str">
        <x:v>2026-10-08</x:v>
      </x:c>
      <x:c r="AP226" s="7" t="str">
        <x:v>a77b7d89f654a224809d6a6c8b77658140086a6d60b249eb8b3edc0906dacad7</x:v>
      </x:c>
      <x:c r="AQ226" s="7" t="str">
        <x:v>Accident &amp; Health or Sickness / Active / 06/20/2025 / 06/20/2025 / 06/30/2027
Life / Active / 06/20/2025 / 06/20/2025 / 06/30/2027</x:v>
      </x:c>
      <x:c r="AR226" s="7" t="str">
        <x:v>Active</x:v>
      </x:c>
      <x:c r="AS226" s="7" t="str">
        <x:v>Current detail page</x:v>
      </x:c>
    </x:row>
    <x:row r="227" ht="52" customHeight="1">
      <x:c r="A227" s="7" t="str">
        <x:v>AGUILAR ASHLEY NICOLE</x:v>
      </x:c>
      <x:c r="B227" s="14" t="str">
        <x:f>"2090008"</x:f>
        <x:v>2090008</x:v>
      </x:c>
      <x:c r="C227" s="7" t="str">
        <x:v>Approved</x:v>
      </x:c>
      <x:c r="D227" s="7" t="str">
        <x:v>PASS</x:v>
      </x:c>
      <x:c r="E227" s="13" t="str">
        <x:v>Pending</x:v>
      </x:c>
      <x:c r="F227" s="13" t="str"/>
      <x:c r="G227" s="13" t="str"/>
      <x:c r="H227" s="13" t="str"/>
      <x:c r="I227" s="7" t="str">
        <x:v>Confirm approval criteria and any unrecorded reason.</x:v>
      </x:c>
      <x:c r="J227" s="7" t="str">
        <x:v>P1</x:v>
      </x:c>
      <x:c r="K227" s="7" t="str">
        <x:v>Passes provisional observable screen; approval is independently established by PDF membership.</x:v>
      </x:c>
      <x:c r="L227" s="7" t="str">
        <x:v>Not supplied; membership is known, motive is not</x:v>
      </x:c>
      <x:c r="M227" s="7" t="n">
        <x:v>1</x:v>
      </x:c>
      <x:c r="N227" s="7" t="str">
        <x:v>First-call fit for stated IMO focus</x:v>
      </x:c>
      <x:c r="O227" s="7" t="str">
        <x:v>Active</x:v>
      </x:c>
      <x:c r="P227" s="7" t="str">
        <x:v>06/28/2022</x:v>
      </x:c>
      <x:c r="Q227" s="7" t="str">
        <x:v>06/30/2028</x:v>
      </x:c>
      <x:c r="R227" s="7" t="str">
        <x:v>Accident &amp; Health or Sickness; Life</x:v>
      </x:c>
      <x:c r="S227" s="15" t="str">
        <x:v>213-335-8118</x:v>
      </x:c>
      <x:c r="T227" s="7" t="str">
        <x:v>Current CDI</x:v>
      </x:c>
      <x:c r="U227" s="7" t="str">
        <x:v>8644 1/2 S GATE AVE SOUTH GATE CA, 90280</x:v>
      </x:c>
      <x:c r="V227" s="7" t="str">
        <x:v>Resident</x:v>
      </x:c>
      <x:c r="W227" s="7" t="str">
        <x:v>CA</x:v>
      </x:c>
      <x:c r="X227" s="7" t="str">
        <x:v>WORLD FINANCIAL GROUP INSURANCE AGENCY, LLC / Life / 03/22/2024
WORLD FINANCIAL GROUP INSURANCE AGENCY, LLC / Accident &amp; Health or Sickness / 03/22/2024</x:v>
      </x:c>
      <x:c r="Y227" s="7" t="str">
        <x:v>NATIONWIDE LIFE AND ANNUITY INSURANCE COMPANY / Accident &amp; Health or Sickness / 07/30/2024
NATIONWIDE LIFE AND ANNUITY INSURANCE COMPANY / Life / 07/30/2024
PRIMERICA LIFE INSURANCE COMPANY / Accident &amp; Health or Sickness / 07/12/2023
PRIMERICA LIFE INSURANCE COMPANY / Life / 07/12/2023</x:v>
      </x:c>
      <x:c r="Z227" s="7" t="str"/>
      <x:c r="AA227" s="7" t="str"/>
      <x:c r="AB227" s="7" t="str"/>
      <x:c r="AC227" s="7" t="str"/>
      <x:c r="AD227" s="7" t="str">
        <x:v>Active general Life authority | WFG relationship: matches an explicitly targeted recruiting segment | Primerica relationship: matches an explicitly targeted recruiting segment | Direct Life appointments outside the selected health-carrier set: NATIONWIDE LIFE AND ANNUITY INSURANCE COMPANY, PRIMERICA LIFE INSURANCE COMPANY | Active A&amp;H supports optional cross-selling; not necessary for target products</x:v>
      </x:c>
      <x:c r="AE227" s="7" t="str"/>
      <x:c r="AF227" s="16" t="n">
        <x:v>4.3</x:v>
      </x:c>
      <x:c r="AG227" s="17" t="n">
        <x:v>631</x:v>
      </x:c>
      <x:c r="AH227" s="7" t="str">
        <x:v>2024-07-30</x:v>
      </x:c>
      <x:c r="AI227" s="7" t="str">
        <x:v>English</x:v>
      </x:c>
      <x:c r="AJ227" s="7" t="str">
        <x:v>Other / Affiliation Not Identified in Source (96)</x:v>
      </x:c>
      <x:c r="AK227" s="15" t="str">
        <x:v>213-335-8118</x:v>
      </x:c>
      <x:c r="AL227" s="7" t="str">
        <x:v>AGUILAR ASHLEY NICOLE</x:v>
      </x:c>
      <x:c r="AM227" s="7" t="str">
        <x:v>AGUILAR NICOLE ASHLEY</x:v>
      </x:c>
      <x:c r="AN227" s="7" t="str">
        <x:v>https://cdicloud.insurance.ca.gov/cal/LicenseDetail?SearchType=IND&amp;SearchLicNbr=2090008&amp;SearchIndvId=2090008</x:v>
      </x:c>
      <x:c r="AO227" s="7" t="str">
        <x:v>2026-10-08</x:v>
      </x:c>
      <x:c r="AP227" s="7" t="str">
        <x:v>20dd220626adb27533cb8826f9d3a44fd4f6b0e672e2d929f61f86331cd5ba39</x:v>
      </x:c>
      <x:c r="AQ227" s="7" t="str">
        <x:v>Accident &amp; Health or Sickness / Active / 06/28/2022 / 06/28/2022 / 06/30/2028
Life / Active / 06/28/2022 / 06/28/2022 / 06/30/2028</x:v>
      </x:c>
      <x:c r="AR227" s="7" t="str">
        <x:v>Active</x:v>
      </x:c>
      <x:c r="AS227" s="7" t="str">
        <x:v>Current detail page</x:v>
      </x:c>
    </x:row>
    <x:row r="228" ht="52" customHeight="1">
      <x:c r="A228" s="7" t="str">
        <x:v>AGUILAR BEATRIZ DEL SOCORRO</x:v>
      </x:c>
      <x:c r="B228" s="14" t="str">
        <x:f>"4441723"</x:f>
        <x:v>4441723</x:v>
      </x:c>
      <x:c r="C228" s="7" t="str">
        <x:v>Approved</x:v>
      </x:c>
      <x:c r="D228" s="7" t="str">
        <x:v>PASS</x:v>
      </x:c>
      <x:c r="E228" s="13" t="str">
        <x:v>Pending</x:v>
      </x:c>
      <x:c r="F228" s="13" t="str"/>
      <x:c r="G228" s="13" t="str"/>
      <x:c r="H228" s="13" t="str"/>
      <x:c r="I228" s="7" t="str">
        <x:v>Confirm approval criteria and any unrecorded reason.</x:v>
      </x:c>
      <x:c r="J228" s="7" t="str">
        <x:v>P1</x:v>
      </x:c>
      <x:c r="K228" s="7" t="str">
        <x:v>Passes provisional observable screen; approval is independently established by PDF membership.</x:v>
      </x:c>
      <x:c r="L228" s="7" t="str">
        <x:v>Not supplied; membership is known, motive is not</x:v>
      </x:c>
      <x:c r="M228" s="7" t="n">
        <x:v>1</x:v>
      </x:c>
      <x:c r="N228" s="7" t="str">
        <x:v>First-call fit for stated IMO focus</x:v>
      </x:c>
      <x:c r="O228" s="7" t="str">
        <x:v>Active</x:v>
      </x:c>
      <x:c r="P228" s="7" t="str">
        <x:v>02/21/2025</x:v>
      </x:c>
      <x:c r="Q228" s="7" t="str">
        <x:v>02/28/2027</x:v>
      </x:c>
      <x:c r="R228" s="7" t="str">
        <x:v>Life</x:v>
      </x:c>
      <x:c r="S228" s="15" t="str">
        <x:v>626-610-4477</x:v>
      </x:c>
      <x:c r="T228" s="7" t="str">
        <x:v>Current CDI</x:v>
      </x:c>
      <x:c r="U228" s="7" t="str">
        <x:v>337 N VINEYARD AVE STE 100 ONTARIO CA, 91764</x:v>
      </x:c>
      <x:c r="V228" s="7" t="str">
        <x:v>Resident</x:v>
      </x:c>
      <x:c r="W228" s="7" t="str">
        <x:v>CA</x:v>
      </x:c>
      <x:c r="X228" s="7" t="str"/>
      <x:c r="Y228" s="7" t="str">
        <x:v>PRIMERICA LIFE INSURANCE COMPANY / Life / 02/24/2025</x:v>
      </x:c>
      <x:c r="Z228" s="7" t="str"/>
      <x:c r="AA228" s="7" t="str"/>
      <x:c r="AB228" s="7" t="str"/>
      <x:c r="AC228" s="7" t="str"/>
      <x:c r="AD228" s="7" t="str">
        <x:v>Active general Life authority | Primerica relationship: matches an explicitly targeted recruiting segment | Direct Life appointments outside the selected health-carrier set: PRIMERICA LIFE INSURANCE COMPANY</x:v>
      </x:c>
      <x:c r="AE228" s="7" t="str"/>
      <x:c r="AF228" s="16" t="n">
        <x:v>1.6</x:v>
      </x:c>
      <x:c r="AG228" s="17" t="n">
        <x:v>143</x:v>
      </x:c>
      <x:c r="AH228" s="7" t="str">
        <x:v>2025-02-24</x:v>
      </x:c>
      <x:c r="AI228" s="7" t="str">
        <x:v>English</x:v>
      </x:c>
      <x:c r="AJ228" s="7" t="str">
        <x:v>Primerica (33)</x:v>
      </x:c>
      <x:c r="AK228" s="15" t="str">
        <x:v>626-610-4477</x:v>
      </x:c>
      <x:c r="AL228" s="7" t="str">
        <x:v>AGUILAR BEATRIZ DEL SOCORRO</x:v>
      </x:c>
      <x:c r="AM228" s="7" t="str">
        <x:v>AGUILAR DEL SOCORRO BEATRIZ</x:v>
      </x:c>
      <x:c r="AN228" s="7" t="str">
        <x:v>https://cdicloud.insurance.ca.gov/cal/LicenseDetail?SearchType=IND&amp;SearchLicNbr=4441723&amp;SearchIndvId=4441723</x:v>
      </x:c>
      <x:c r="AO228" s="7" t="str">
        <x:v>2026-10-08</x:v>
      </x:c>
      <x:c r="AP228" s="7" t="str">
        <x:v>cbed7a9119979d4cfc312caf842263218a5d7fc9b684c2f3190128925577a7ec</x:v>
      </x:c>
      <x:c r="AQ228" s="7" t="str">
        <x:v>Life / Active / 02/21/2025 / 02/21/2025 / 02/28/2027</x:v>
      </x:c>
      <x:c r="AR228" s="7" t="str">
        <x:v>Active</x:v>
      </x:c>
      <x:c r="AS228" s="7" t="str">
        <x:v>Current detail page</x:v>
      </x:c>
    </x:row>
    <x:row r="229" ht="52" customHeight="1">
      <x:c r="A229" s="7" t="str">
        <x:v>AGUILAR BRENDA</x:v>
      </x:c>
      <x:c r="B229" s="14" t="str">
        <x:f>"0I33093"</x:f>
        <x:v>0I33093</x:v>
      </x:c>
      <x:c r="C229" s="7" t="str">
        <x:v>Approved</x:v>
      </x:c>
      <x:c r="D229" s="7" t="str">
        <x:v>PASS</x:v>
      </x:c>
      <x:c r="E229" s="13" t="str">
        <x:v>Pending</x:v>
      </x:c>
      <x:c r="F229" s="13" t="str"/>
      <x:c r="G229" s="13" t="str"/>
      <x:c r="H229" s="13" t="str"/>
      <x:c r="I229" s="7" t="str">
        <x:v>Confirm approval criteria and any unrecorded reason.</x:v>
      </x:c>
      <x:c r="J229" s="7" t="str">
        <x:v>P1</x:v>
      </x:c>
      <x:c r="K229" s="7" t="str">
        <x:v>Passes provisional observable screen; approval is independently established by PDF membership.</x:v>
      </x:c>
      <x:c r="L229" s="7" t="str">
        <x:v>Not supplied; membership is known, motive is not</x:v>
      </x:c>
      <x:c r="M229" s="7" t="n">
        <x:v>1</x:v>
      </x:c>
      <x:c r="N229" s="7" t="str">
        <x:v>First-call fit for stated IMO focus</x:v>
      </x:c>
      <x:c r="O229" s="7" t="str">
        <x:v>Active</x:v>
      </x:c>
      <x:c r="P229" s="7" t="str">
        <x:v>04/26/2013</x:v>
      </x:c>
      <x:c r="Q229" s="7" t="str">
        <x:v>04/30/2027</x:v>
      </x:c>
      <x:c r="R229" s="7" t="str">
        <x:v>Accident &amp; Health or Sickness; Life</x:v>
      </x:c>
      <x:c r="S229" s="15" t="str">
        <x:v>661-345-4874</x:v>
      </x:c>
      <x:c r="T229" s="7" t="str">
        <x:v>Current CDI</x:v>
      </x:c>
      <x:c r="U229" s="7" t="str">
        <x:v>17192 MURPHY AVE UNIT 15704 IRVINE CA, 92623</x:v>
      </x:c>
      <x:c r="V229" s="7" t="str">
        <x:v>Resident</x:v>
      </x:c>
      <x:c r="W229" s="7" t="str">
        <x:v>CA</x:v>
      </x:c>
      <x:c r="X229" s="7" t="str">
        <x:v>WORLD FINANCIAL GROUP INSURANCE AGENCY, LLC / Life / 04/20/2026
WORLD FINANCIAL GROUP INSURANCE AGENCY, LLC / Accident &amp; Health or Sickness / 04/20/2026</x:v>
      </x:c>
      <x:c r="Y229" s="7" t="str">
        <x:v>AETNA LIFE INSURANCE COMPANY / Accident &amp; Health or Sickness / 12/04/2024
ANTHEM BLUE CROSS LIFE AND HEALTH INSURANCE COMPANY / Accident &amp; Health or Sickness / 09/16/2024
ANTHEM BLUE CROSS LIFE AND HEALTH INSURANCE COMPANY / Life / 09/16/2024
ANTHEM INSURANCE COMPANIES, INC. / Accident &amp; Health or Sickness / 07/23/2026
HEALTH NET LIFE INSURANCE COMPANY / Accident &amp; Health or Sickness / 05/04/2025</x:v>
      </x:c>
      <x:c r="Z229" s="7" t="str"/>
      <x:c r="AA229" s="7" t="str"/>
      <x:c r="AB229" s="7" t="str"/>
      <x:c r="AC229" s="7" t="str"/>
      <x:c r="AD229" s="7" t="str">
        <x:v>Active general Life authority | WFG relationship: matches an explicitly targeted recruiting segment | Active A&amp;H supports optional cross-selling; not necessary for target products</x:v>
      </x:c>
      <x:c r="AE229" s="7" t="str"/>
      <x:c r="AF229" s="16" t="n">
        <x:v>13.5</x:v>
      </x:c>
      <x:c r="AG229" s="17" t="n">
        <x:v>204</x:v>
      </x:c>
      <x:c r="AH229" s="7" t="str">
        <x:v>2024-09-16</x:v>
      </x:c>
      <x:c r="AI229" s="7" t="str">
        <x:v>English, Spanish, Spanish</x:v>
      </x:c>
      <x:c r="AJ229" s="7" t="str">
        <x:v>WFG / World Financial Group (7)</x:v>
      </x:c>
      <x:c r="AK229" s="15" t="str">
        <x:v>661-345-4874</x:v>
      </x:c>
      <x:c r="AL229" s="7" t="str">
        <x:v>AGUILAR BRENDA</x:v>
      </x:c>
      <x:c r="AM229" s="7" t="str">
        <x:v>AGUILAR  BRENDA</x:v>
      </x:c>
      <x:c r="AN229" s="7" t="str">
        <x:v>https://cdicloud.insurance.ca.gov/cal/LicenseDetail?SearchType=IND&amp;SearchLicNbr=0I33093&amp;SearchIndvId=1574448</x:v>
      </x:c>
      <x:c r="AO229" s="7" t="str">
        <x:v>2026-10-08</x:v>
      </x:c>
      <x:c r="AP229" s="7" t="str">
        <x:v>3988e4aeba5c9ead5954aed72e8eaee4545e3cdc1d235c027fb83e476f318ac0</x:v>
      </x:c>
      <x:c r="AQ229" s="7" t="str">
        <x:v>Accident &amp; Health or Sickness / Active / 04/26/2013 / 04/26/2013 / 04/30/2027
Life / Active / 04/26/2013 / 04/26/2013 / 04/30/2027</x:v>
      </x:c>
      <x:c r="AR229" s="7" t="str">
        <x:v>Active</x:v>
      </x:c>
      <x:c r="AS229" s="7" t="str">
        <x:v>Current detail page</x:v>
      </x:c>
    </x:row>
    <x:row r="230" ht="52" customHeight="1">
      <x:c r="A230" s="7" t="str">
        <x:v>AGUILAR BRYAN STEVEN</x:v>
      </x:c>
      <x:c r="B230" s="14" t="str">
        <x:f>"4492942"</x:f>
        <x:v>4492942</x:v>
      </x:c>
      <x:c r="C230" s="7" t="str">
        <x:v>Approved</x:v>
      </x:c>
      <x:c r="D230" s="7" t="str">
        <x:v>PASS</x:v>
      </x:c>
      <x:c r="E230" s="13" t="str">
        <x:v>Pending</x:v>
      </x:c>
      <x:c r="F230" s="13" t="str"/>
      <x:c r="G230" s="13" t="str"/>
      <x:c r="H230" s="13" t="str"/>
      <x:c r="I230" s="7" t="str">
        <x:v>Confirm approval criteria and any unrecorded reason.</x:v>
      </x:c>
      <x:c r="J230" s="7" t="str">
        <x:v>P1</x:v>
      </x:c>
      <x:c r="K230" s="7" t="str">
        <x:v>Passes provisional observable screen; approval is independently established by PDF membership.</x:v>
      </x:c>
      <x:c r="L230" s="7" t="str">
        <x:v>Not supplied; membership is known, motive is not</x:v>
      </x:c>
      <x:c r="M230" s="7" t="n">
        <x:v>1</x:v>
      </x:c>
      <x:c r="N230" s="7" t="str">
        <x:v>First-call fit for stated IMO focus</x:v>
      </x:c>
      <x:c r="O230" s="7" t="str">
        <x:v>Active</x:v>
      </x:c>
      <x:c r="P230" s="7" t="str">
        <x:v>09/17/2025</x:v>
      </x:c>
      <x:c r="Q230" s="7" t="str">
        <x:v>09/30/2027</x:v>
      </x:c>
      <x:c r="R230" s="7" t="str">
        <x:v>Life</x:v>
      </x:c>
      <x:c r="S230" s="15" t="str">
        <x:v>916-246-8321</x:v>
      </x:c>
      <x:c r="T230" s="7" t="str">
        <x:v>Current CDI</x:v>
      </x:c>
      <x:c r="U230" s="7" t="str">
        <x:v>4219 SOUTH MARKET CT SUITE A SACRAMENTO CA, 95834</x:v>
      </x:c>
      <x:c r="V230" s="7" t="str">
        <x:v>Resident</x:v>
      </x:c>
      <x:c r="W230" s="7" t="str">
        <x:v>CA</x:v>
      </x:c>
      <x:c r="X230" s="7" t="str"/>
      <x:c r="Y230" s="7" t="str">
        <x:v>PRIMERICA LIFE INSURANCE COMPANY / Life / 09/18/2025</x:v>
      </x:c>
      <x:c r="Z230" s="7" t="str"/>
      <x:c r="AA230" s="7" t="str"/>
      <x:c r="AB230" s="7" t="str"/>
      <x:c r="AC230" s="7" t="str"/>
      <x:c r="AD230" s="7" t="str">
        <x:v>Active general Life authority | Primerica relationship: matches an explicitly targeted recruiting segment | Direct Life appointments outside the selected health-carrier set: PRIMERICA LIFE INSURANCE COMPANY</x:v>
      </x:c>
      <x:c r="AE230" s="7" t="str"/>
      <x:c r="AF230" s="16" t="n">
        <x:v>1.1</x:v>
      </x:c>
      <x:c r="AG230" s="17" t="n">
        <x:v>357</x:v>
      </x:c>
      <x:c r="AH230" s="7" t="str">
        <x:v>2025-09-18</x:v>
      </x:c>
      <x:c r="AI230" s="7" t="str">
        <x:v>English</x:v>
      </x:c>
      <x:c r="AJ230" s="7" t="str">
        <x:v>Primerica (33)</x:v>
      </x:c>
      <x:c r="AK230" s="15" t="str">
        <x:v>916-246-8321</x:v>
      </x:c>
      <x:c r="AL230" s="7" t="str">
        <x:v>AGUILAR BRYAN STEVEN</x:v>
      </x:c>
      <x:c r="AM230" s="7" t="str">
        <x:v>AGUILAR STEVEN BRYAN</x:v>
      </x:c>
      <x:c r="AN230" s="7" t="str">
        <x:v>https://cdicloud.insurance.ca.gov/cal/LicenseDetail?SearchType=IND&amp;SearchLicNbr=4492942&amp;SearchIndvId=4492942</x:v>
      </x:c>
      <x:c r="AO230" s="7" t="str">
        <x:v>2026-10-08</x:v>
      </x:c>
      <x:c r="AP230" s="7" t="str">
        <x:v>e0e7d01ef214bc734763ccd1177840bba3534415dea5a85504cbb27cf8f20adf</x:v>
      </x:c>
      <x:c r="AQ230" s="7" t="str">
        <x:v>Life / Active / 09/17/2025 / 09/17/2025 / 09/30/2027</x:v>
      </x:c>
      <x:c r="AR230" s="7" t="str">
        <x:v>Active</x:v>
      </x:c>
      <x:c r="AS230" s="7" t="str">
        <x:v>Current detail page</x:v>
      </x:c>
    </x:row>
    <x:row r="231" ht="52" customHeight="1">
      <x:c r="A231" s="7" t="str">
        <x:v>AGUILAR BUCIO JOSE ANTONIO</x:v>
      </x:c>
      <x:c r="B231" s="14" t="str">
        <x:f>"4302923"</x:f>
        <x:v>4302923</x:v>
      </x:c>
      <x:c r="C231" s="7" t="str">
        <x:v>Approved</x:v>
      </x:c>
      <x:c r="D231" s="7" t="str">
        <x:v>PASS</x:v>
      </x:c>
      <x:c r="E231" s="13" t="str">
        <x:v>Pending</x:v>
      </x:c>
      <x:c r="F231" s="13" t="str"/>
      <x:c r="G231" s="13" t="str"/>
      <x:c r="H231" s="13" t="str"/>
      <x:c r="I231" s="7" t="str">
        <x:v>Confirm approval criteria and any unrecorded reason.</x:v>
      </x:c>
      <x:c r="J231" s="7" t="str">
        <x:v>P1</x:v>
      </x:c>
      <x:c r="K231" s="7" t="str">
        <x:v>Passes provisional observable screen; approval is independently established by PDF membership.</x:v>
      </x:c>
      <x:c r="L231" s="7" t="str">
        <x:v>Not supplied; membership is known, motive is not</x:v>
      </x:c>
      <x:c r="M231" s="7" t="n">
        <x:v>1</x:v>
      </x:c>
      <x:c r="N231" s="7" t="str">
        <x:v>First-call fit for stated IMO focus</x:v>
      </x:c>
      <x:c r="O231" s="7" t="str">
        <x:v>Active</x:v>
      </x:c>
      <x:c r="P231" s="7" t="str">
        <x:v>07/21/2023</x:v>
      </x:c>
      <x:c r="Q231" s="7" t="str">
        <x:v>07/31/2027</x:v>
      </x:c>
      <x:c r="R231" s="7" t="str">
        <x:v>Life</x:v>
      </x:c>
      <x:c r="S231" s="15" t="str">
        <x:v>209-600-1597</x:v>
      </x:c>
      <x:c r="T231" s="7" t="str">
        <x:v>Current CDI</x:v>
      </x:c>
      <x:c r="U231" s="7" t="str">
        <x:v>1105 14TH ST MODESTO CA, 95354</x:v>
      </x:c>
      <x:c r="V231" s="7" t="str">
        <x:v>Resident</x:v>
      </x:c>
      <x:c r="W231" s="7" t="str">
        <x:v>CA</x:v>
      </x:c>
      <x:c r="X231" s="7" t="str"/>
      <x:c r="Y231" s="7" t="str">
        <x:v>AMERICAN NATIONAL INSURANCE COMPANY / Life / 08/07/2023
FIDELITY &amp; GUARANTY LIFE INSURANCE COMPANY / Life / 08/11/2023
INDEPENDENT ORDER OF FORESTERS (THE) / Life / 07/16/2024</x:v>
      </x:c>
      <x:c r="Z231" s="7" t="str"/>
      <x:c r="AA231" s="7" t="str"/>
      <x:c r="AB231" s="7" t="str"/>
      <x:c r="AC231" s="7" t="str"/>
      <x:c r="AD231" s="7" t="str">
        <x:v>Active general Life authority | Direct Life appointments outside the selected health-carrier set: AMERICAN NATIONAL INSURANCE COMPANY, FIDELITY &amp; GUARANTY LIFE INSURANCE COMPANY, INDEPENDENT ORDER OF FORESTERS (THE)</x:v>
      </x:c>
      <x:c r="AE231" s="7" t="str"/>
      <x:c r="AF231" s="16" t="n">
        <x:v>3.2</x:v>
      </x:c>
      <x:c r="AG231" s="17" t="n">
        <x:v>296</x:v>
      </x:c>
      <x:c r="AH231" s="7" t="str">
        <x:v>2024-07-16</x:v>
      </x:c>
      <x:c r="AI231" s="7" t="str">
        <x:v>English</x:v>
      </x:c>
      <x:c r="AJ231" s="7" t="str">
        <x:v>Other / Affiliation Not Identified in Source (96)</x:v>
      </x:c>
      <x:c r="AK231" s="15" t="str">
        <x:v>209-600-1597</x:v>
      </x:c>
      <x:c r="AL231" s="7" t="str">
        <x:v>AGUILAR BUCIO JOSE ANTONIO</x:v>
      </x:c>
      <x:c r="AM231" s="7" t="str">
        <x:v>Aguilar Antonio Jose | AGUILAR BUCIO ANTONIO JOSE</x:v>
      </x:c>
      <x:c r="AN231" s="7" t="str">
        <x:v>https://cdicloud.insurance.ca.gov/cal/LicenseDetail?SearchType=IND&amp;SearchLicNbr=4302923&amp;SearchIndvId=4302923</x:v>
      </x:c>
      <x:c r="AO231" s="7" t="str">
        <x:v>2026-10-08</x:v>
      </x:c>
      <x:c r="AP231" s="7" t="str">
        <x:v>a35f55941bd398e68f1b2a8fdbcfd39df5014b95d6c19232d99061180766f033</x:v>
      </x:c>
      <x:c r="AQ231" s="7" t="str">
        <x:v>Life / Active / 07/21/2023 / 07/21/2023 / 07/31/2027</x:v>
      </x:c>
      <x:c r="AR231" s="7" t="str">
        <x:v>Active</x:v>
      </x:c>
      <x:c r="AS231" s="7" t="str">
        <x:v>Current detail page</x:v>
      </x:c>
    </x:row>
    <x:row r="232" ht="52" customHeight="1">
      <x:c r="A232" s="7" t="str">
        <x:v>AGUILAR CAESAR STEVE</x:v>
      </x:c>
      <x:c r="B232" s="14" t="str">
        <x:f>"4210832"</x:f>
        <x:v>4210832</x:v>
      </x:c>
      <x:c r="C232" s="7" t="str">
        <x:v>Approved</x:v>
      </x:c>
      <x:c r="D232" s="7" t="str">
        <x:v>PASS</x:v>
      </x:c>
      <x:c r="E232" s="13" t="str">
        <x:v>Pending</x:v>
      </x:c>
      <x:c r="F232" s="13" t="str"/>
      <x:c r="G232" s="13" t="str"/>
      <x:c r="H232" s="13" t="str"/>
      <x:c r="I232" s="7" t="str">
        <x:v>Confirm approval criteria and any unrecorded reason.</x:v>
      </x:c>
      <x:c r="J232" s="7" t="str">
        <x:v>P1</x:v>
      </x:c>
      <x:c r="K232" s="7" t="str">
        <x:v>Passes provisional observable screen; approval is independently established by PDF membership.</x:v>
      </x:c>
      <x:c r="L232" s="7" t="str">
        <x:v>Not supplied; membership is known, motive is not</x:v>
      </x:c>
      <x:c r="M232" s="7" t="n">
        <x:v>1</x:v>
      </x:c>
      <x:c r="N232" s="7" t="str">
        <x:v>First-call fit for stated IMO focus</x:v>
      </x:c>
      <x:c r="O232" s="7" t="str">
        <x:v>Active</x:v>
      </x:c>
      <x:c r="P232" s="7" t="str">
        <x:v>05/16/2022</x:v>
      </x:c>
      <x:c r="Q232" s="7" t="str">
        <x:v>05/31/2028</x:v>
      </x:c>
      <x:c r="R232" s="7" t="str">
        <x:v>Accident &amp; Health or Sickness; Life</x:v>
      </x:c>
      <x:c r="S232" s="15" t="str">
        <x:v>818-599-4140</x:v>
      </x:c>
      <x:c r="T232" s="7" t="str">
        <x:v>Current CDI</x:v>
      </x:c>
      <x:c r="U232" s="7" t="str">
        <x:v>6929 COLDWATER CYN AVE APT 107 NORTH HOLLYWOOD CA, 91605</x:v>
      </x:c>
      <x:c r="V232" s="7" t="str">
        <x:v>Resident</x:v>
      </x:c>
      <x:c r="W232" s="7" t="str">
        <x:v>CA</x:v>
      </x:c>
      <x:c r="X232" s="7" t="str"/>
      <x:c r="Y232" s="7" t="str">
        <x:v>AMERICAN NATIONAL INSURANCE COMPANY / Life / 06/22/2022
FIDELITY &amp; GUARANTY LIFE INSURANCE COMPANY / Life / 01/03/2023
INDEPENDENT ORDER OF FORESTERS (THE) / Life / 05/28/2025
LIFE INSURANCE COMPANY OF THE SOUTHWEST / Life / 06/24/2022
NATIONAL WESTERN LIFE INSURANCE COMPANY / Life / 10/19/2023
NATIONWIDE LIFE AND ANNUITY INSURANCE COMPANY / Accident &amp; Health or Sickness / 09/09/2025
NATIONWIDE LIFE AND ANNUITY INSURANCE COMPANY / Life / 09/09/2025</x:v>
      </x:c>
      <x:c r="Z232" s="7" t="str"/>
      <x:c r="AA232" s="7" t="str"/>
      <x:c r="AB232" s="7" t="str"/>
      <x:c r="AC232" s="7" t="str"/>
      <x:c r="AD232" s="7" t="str">
        <x:v>Active general Life authority | Direct Life appointments outside the selected health-carrier set: AMERICAN NATIONAL INSURANCE COMPANY, FIDELITY &amp; GUARANTY LIFE INSURANCE COMPANY, INDEPENDENT ORDER OF FORESTERS (THE), LIFE INSURANCE COMPANY OF THE SOUTHWEST, NATIONAL WESTERN LIFE INSURANCE COMPANY, NATIONWIDE LIFE AND ANNUITY INSURANCE COMPANY | Active A&amp;H supports optional cross-selling; not necessary for target products</x:v>
      </x:c>
      <x:c r="AE232" s="7" t="str"/>
      <x:c r="AF232" s="16" t="n">
        <x:v>4.4</x:v>
      </x:c>
      <x:c r="AG232" s="17" t="n">
        <x:v>601</x:v>
      </x:c>
      <x:c r="AH232" s="7" t="str">
        <x:v>2025-09-09</x:v>
      </x:c>
      <x:c r="AI232" s="7" t="str">
        <x:v>English</x:v>
      </x:c>
      <x:c r="AJ232" s="7" t="str">
        <x:v>Other / Affiliation Not Identified in Source (96)</x:v>
      </x:c>
      <x:c r="AK232" s="15" t="str">
        <x:v>818-599-4140</x:v>
      </x:c>
      <x:c r="AL232" s="7" t="str">
        <x:v>AGUILAR CAESAR STEVE</x:v>
      </x:c>
      <x:c r="AM232" s="7" t="str">
        <x:v>AGUILAR STEVE CAESAR</x:v>
      </x:c>
      <x:c r="AN232" s="7" t="str">
        <x:v>https://cdicloud.insurance.ca.gov/cal/LicenseDetail?SearchType=IND&amp;SearchLicNbr=4210832&amp;SearchIndvId=4210832</x:v>
      </x:c>
      <x:c r="AO232" s="7" t="str">
        <x:v>2026-10-08</x:v>
      </x:c>
      <x:c r="AP232" s="7" t="str">
        <x:v>da5931a53b9452ac6f372c9fbd42fa444be3dadb244e998460082b4c109ac88c</x:v>
      </x:c>
      <x:c r="AQ232" s="7" t="str">
        <x:v>Accident &amp; Health or Sickness / Active / 05/16/2022 / 05/16/2022 / 05/31/2028
Life / Active / 05/16/2022 / 05/16/2022 / 05/31/2028</x:v>
      </x:c>
      <x:c r="AR232" s="7" t="str">
        <x:v>Active</x:v>
      </x:c>
      <x:c r="AS232" s="7" t="str">
        <x:v>Current detail page</x:v>
      </x:c>
    </x:row>
    <x:row r="233" ht="52" customHeight="1">
      <x:c r="A233" s="7" t="str">
        <x:v>AGUILAR CALDERON OLIVIA</x:v>
      </x:c>
      <x:c r="B233" s="14" t="str">
        <x:f>"4559027"</x:f>
        <x:v>4559027</x:v>
      </x:c>
      <x:c r="C233" s="7" t="str">
        <x:v>Approved</x:v>
      </x:c>
      <x:c r="D233" s="7" t="str">
        <x:v>PASS</x:v>
      </x:c>
      <x:c r="E233" s="13" t="str">
        <x:v>Pending</x:v>
      </x:c>
      <x:c r="F233" s="13" t="str"/>
      <x:c r="G233" s="13" t="str"/>
      <x:c r="H233" s="13" t="str"/>
      <x:c r="I233" s="7" t="str">
        <x:v>Confirm approval criteria and any unrecorded reason.</x:v>
      </x:c>
      <x:c r="J233" s="7" t="str">
        <x:v>P1</x:v>
      </x:c>
      <x:c r="K233" s="7" t="str">
        <x:v>Passes provisional observable screen; approval is independently established by PDF membership.</x:v>
      </x:c>
      <x:c r="L233" s="7" t="str">
        <x:v>Not supplied; membership is known, motive is not</x:v>
      </x:c>
      <x:c r="M233" s="7" t="n">
        <x:v>1</x:v>
      </x:c>
      <x:c r="N233" s="7" t="str">
        <x:v>First-call fit for stated IMO focus</x:v>
      </x:c>
      <x:c r="O233" s="7" t="str">
        <x:v>Active</x:v>
      </x:c>
      <x:c r="P233" s="7" t="str">
        <x:v>08/12/2026</x:v>
      </x:c>
      <x:c r="Q233" s="7" t="str">
        <x:v>07/31/2028</x:v>
      </x:c>
      <x:c r="R233" s="7" t="str">
        <x:v>Accident &amp; Health or Sickness; Life</x:v>
      </x:c>
      <x:c r="S233" s="15" t="str">
        <x:v>669-238-1466</x:v>
      </x:c>
      <x:c r="T233" s="7" t="str">
        <x:v>Current CDI</x:v>
      </x:c>
      <x:c r="U233" s="7" t="str">
        <x:v>1065 CECEILA CT SAN LEANDRO CA, 94577</x:v>
      </x:c>
      <x:c r="V233" s="7" t="str">
        <x:v>Resident</x:v>
      </x:c>
      <x:c r="W233" s="7" t="str">
        <x:v>CA</x:v>
      </x:c>
      <x:c r="X233" s="7" t="str"/>
      <x:c r="Y233" s="7" t="str">
        <x:v>AMERICAN INCOME LIFE INSURANCE COMPANY / Accident &amp; Health or Sickness / 08/29/2026
AMERICAN INCOME LIFE INSURANCE COMPANY / Life / 08/29/2026</x:v>
      </x:c>
      <x:c r="Z233" s="7" t="str"/>
      <x:c r="AA233" s="7" t="str"/>
      <x:c r="AB233" s="7" t="str"/>
      <x:c r="AC233" s="7" t="str"/>
      <x:c r="AD233" s="7" t="str">
        <x:v>Active general Life authority | Direct Life appointments outside the selected health-carrier set: AMERICAN INCOME LIFE INSURANCE COMPANY | Active A&amp;H supports optional cross-selling; not necessary for target products</x:v>
      </x:c>
      <x:c r="AE233" s="7" t="str"/>
      <x:c r="AF233" s="16" t="n">
        <x:v>0.2</x:v>
      </x:c>
      <x:c r="AG233" s="17" t="n">
        <x:v>662</x:v>
      </x:c>
      <x:c r="AH233" s="7" t="str">
        <x:v>2026-08-29</x:v>
      </x:c>
      <x:c r="AI233" s="7" t="str">
        <x:v>English</x:v>
      </x:c>
      <x:c r="AJ233" s="7" t="str">
        <x:v>Other / Affiliation Not Identified in Source (96)</x:v>
      </x:c>
      <x:c r="AK233" s="15" t="str">
        <x:v>669-238-1466</x:v>
      </x:c>
      <x:c r="AL233" s="7" t="str">
        <x:v>AGUILAR CALDERON OLIVIA</x:v>
      </x:c>
      <x:c r="AM233" s="7" t="str">
        <x:v>AGUILAR CALDERON  OLIVIA</x:v>
      </x:c>
      <x:c r="AN233" s="7" t="str">
        <x:v>https://cdicloud.insurance.ca.gov/cal/LicenseDetail?SearchType=IND&amp;SearchLicNbr=4559027&amp;SearchIndvId=4559027</x:v>
      </x:c>
      <x:c r="AO233" s="7" t="str">
        <x:v>2026-10-08</x:v>
      </x:c>
      <x:c r="AP233" s="7" t="str">
        <x:v>bd606b95a0d49914d675051a82c3b84a9642d645d193aa9f0b9d244ffd56d346</x:v>
      </x:c>
      <x:c r="AQ233" s="7" t="str">
        <x:v>Accident &amp; Health or Sickness / Active / 07/02/2026 / 07/02/2026 / 07/31/2028
Life / Active / 08/12/2026 / 08/12/2026 / 07/31/2028</x:v>
      </x:c>
      <x:c r="AR233" s="7" t="str">
        <x:v>Active</x:v>
      </x:c>
      <x:c r="AS233" s="7" t="str">
        <x:v>Current detail page</x:v>
      </x:c>
    </x:row>
    <x:row r="234" ht="52" customHeight="1">
      <x:c r="A234" s="7" t="str">
        <x:v>AGUILAR CANAS SOFIA ISELA</x:v>
      </x:c>
      <x:c r="B234" s="14" t="str">
        <x:f>"4544041"</x:f>
        <x:v>4544041</x:v>
      </x:c>
      <x:c r="C234" s="7" t="str">
        <x:v>Approved</x:v>
      </x:c>
      <x:c r="D234" s="7" t="str">
        <x:v>PASS</x:v>
      </x:c>
      <x:c r="E234" s="13" t="str">
        <x:v>Pending</x:v>
      </x:c>
      <x:c r="F234" s="13" t="str"/>
      <x:c r="G234" s="13" t="str"/>
      <x:c r="H234" s="13" t="str"/>
      <x:c r="I234" s="7" t="str">
        <x:v>Confirm approval criteria and any unrecorded reason.</x:v>
      </x:c>
      <x:c r="J234" s="7" t="str">
        <x:v>P1</x:v>
      </x:c>
      <x:c r="K234" s="7" t="str">
        <x:v>Passes provisional observable screen; approval is independently established by PDF membership.</x:v>
      </x:c>
      <x:c r="L234" s="7" t="str">
        <x:v>Not supplied; membership is known, motive is not</x:v>
      </x:c>
      <x:c r="M234" s="7" t="n">
        <x:v>1</x:v>
      </x:c>
      <x:c r="N234" s="7" t="str">
        <x:v>First-call fit for stated IMO focus</x:v>
      </x:c>
      <x:c r="O234" s="7" t="str">
        <x:v>Active</x:v>
      </x:c>
      <x:c r="P234" s="7" t="str">
        <x:v>04/27/2026</x:v>
      </x:c>
      <x:c r="Q234" s="7" t="str">
        <x:v>04/30/2028</x:v>
      </x:c>
      <x:c r="R234" s="7" t="str">
        <x:v>Life</x:v>
      </x:c>
      <x:c r="S234" s="15" t="str">
        <x:v>310-306-1594</x:v>
      </x:c>
      <x:c r="T234" s="7" t="str">
        <x:v>Current CDI</x:v>
      </x:c>
      <x:c r="U234" s="7" t="str">
        <x:v>8901 S LA CIENEGA BLVD STE 205 INGLEWOOD CA, 90301</x:v>
      </x:c>
      <x:c r="V234" s="7" t="str">
        <x:v>Resident</x:v>
      </x:c>
      <x:c r="W234" s="7" t="str">
        <x:v>CA</x:v>
      </x:c>
      <x:c r="X234" s="7" t="str"/>
      <x:c r="Y234" s="7" t="str">
        <x:v>PRIMERICA LIFE INSURANCE COMPANY / Life / 04/27/2026</x:v>
      </x:c>
      <x:c r="Z234" s="7" t="str"/>
      <x:c r="AA234" s="7" t="str"/>
      <x:c r="AB234" s="7" t="str"/>
      <x:c r="AC234" s="7" t="str"/>
      <x:c r="AD234" s="7" t="str">
        <x:v>Active general Life authority | Primerica relationship: matches an explicitly targeted recruiting segment | Direct Life appointments outside the selected health-carrier set: PRIMERICA LIFE INSURANCE COMPANY</x:v>
      </x:c>
      <x:c r="AE234" s="7" t="str"/>
      <x:c r="AF234" s="16" t="n">
        <x:v>0.4</x:v>
      </x:c>
      <x:c r="AG234" s="17" t="n">
        <x:v>570</x:v>
      </x:c>
      <x:c r="AH234" s="7" t="str">
        <x:v>2026-04-27</x:v>
      </x:c>
      <x:c r="AI234" s="7" t="str">
        <x:v>English</x:v>
      </x:c>
      <x:c r="AJ234" s="7" t="str">
        <x:v>Other / Affiliation Not Identified in Source (96)</x:v>
      </x:c>
      <x:c r="AK234" s="15" t="str">
        <x:v>310-306-1594</x:v>
      </x:c>
      <x:c r="AL234" s="7" t="str">
        <x:v>AGUILAR CANAS SOFIA ISELA</x:v>
      </x:c>
      <x:c r="AM234" s="7" t="str">
        <x:v>AGUILAR CANAS ISELA SOFIA</x:v>
      </x:c>
      <x:c r="AN234" s="7" t="str">
        <x:v>https://cdicloud.insurance.ca.gov/cal/LicenseDetail?SearchType=IND&amp;SearchLicNbr=4544041&amp;SearchIndvId=4544041</x:v>
      </x:c>
      <x:c r="AO234" s="7" t="str">
        <x:v>2026-10-08</x:v>
      </x:c>
      <x:c r="AP234" s="7" t="str">
        <x:v>9dfaa3a04d27e0300dd2fef42445e5b954cd2031f07a530583df297440a342f0</x:v>
      </x:c>
      <x:c r="AQ234" s="7" t="str">
        <x:v>Life / Active / 04/27/2026 / 04/27/2026 / 04/30/2028</x:v>
      </x:c>
      <x:c r="AR234" s="7" t="str">
        <x:v>Active</x:v>
      </x:c>
      <x:c r="AS234" s="7" t="str">
        <x:v>Current detail page</x:v>
      </x:c>
    </x:row>
    <x:row r="235" ht="52" customHeight="1">
      <x:c r="A235" s="7" t="str">
        <x:v>AGUILAR CANDELARIA</x:v>
      </x:c>
      <x:c r="B235" s="14" t="str">
        <x:f>"0I85484"</x:f>
        <x:v>0I85484</x:v>
      </x:c>
      <x:c r="C235" s="7" t="str">
        <x:v>Approved</x:v>
      </x:c>
      <x:c r="D235" s="7" t="str">
        <x:v>PASS</x:v>
      </x:c>
      <x:c r="E235" s="13" t="str">
        <x:v>Pending</x:v>
      </x:c>
      <x:c r="F235" s="13" t="str"/>
      <x:c r="G235" s="13" t="str"/>
      <x:c r="H235" s="13" t="str"/>
      <x:c r="I235" s="7" t="str">
        <x:v>Confirm approval criteria and any unrecorded reason.</x:v>
      </x:c>
      <x:c r="J235" s="7" t="str">
        <x:v>P1</x:v>
      </x:c>
      <x:c r="K235" s="7" t="str">
        <x:v>Passes provisional observable screen; approval is independently established by PDF membership.</x:v>
      </x:c>
      <x:c r="L235" s="7" t="str">
        <x:v>Not supplied; membership is known, motive is not</x:v>
      </x:c>
      <x:c r="M235" s="7" t="n">
        <x:v>1</x:v>
      </x:c>
      <x:c r="N235" s="7" t="str">
        <x:v>First-call fit for stated IMO focus</x:v>
      </x:c>
      <x:c r="O235" s="7" t="str">
        <x:v>Active</x:v>
      </x:c>
      <x:c r="P235" s="7" t="str">
        <x:v>04/24/2014</x:v>
      </x:c>
      <x:c r="Q235" s="7" t="str">
        <x:v>04/30/2028</x:v>
      </x:c>
      <x:c r="R235" s="7" t="str">
        <x:v>Life</x:v>
      </x:c>
      <x:c r="S235" s="15" t="str">
        <x:v>310-658-0208</x:v>
      </x:c>
      <x:c r="T235" s="7" t="str">
        <x:v>Current CDI</x:v>
      </x:c>
      <x:c r="U235" s="7" t="str">
        <x:v>12614 LEFFINGWELL ROAD SANTA FE SPRINGS CA, 90670</x:v>
      </x:c>
      <x:c r="V235" s="7" t="str">
        <x:v>Resident</x:v>
      </x:c>
      <x:c r="W235" s="7" t="str">
        <x:v>CA</x:v>
      </x:c>
      <x:c r="X235" s="7" t="str"/>
      <x:c r="Y235" s="7" t="str">
        <x:v>PRIMERICA LIFE INSURANCE COMPANY / Life / 10/29/2024</x:v>
      </x:c>
      <x:c r="Z235" s="7" t="str"/>
      <x:c r="AA235" s="7" t="str"/>
      <x:c r="AB235" s="7" t="str"/>
      <x:c r="AC235" s="7" t="str"/>
      <x:c r="AD235" s="7" t="str">
        <x:v>Active general Life authority | Primerica relationship: matches an explicitly targeted recruiting segment | Direct Life appointments outside the selected health-carrier set: PRIMERICA LIFE INSURANCE COMPANY</x:v>
      </x:c>
      <x:c r="AE235" s="7" t="str"/>
      <x:c r="AF235" s="16" t="n">
        <x:v>12.5</x:v>
      </x:c>
      <x:c r="AG235" s="17" t="n">
        <x:v>570</x:v>
      </x:c>
      <x:c r="AH235" s="7" t="str">
        <x:v>2024-10-29</x:v>
      </x:c>
      <x:c r="AI235" s="7" t="str">
        <x:v>English, Spanish, Spanish</x:v>
      </x:c>
      <x:c r="AJ235" s="7" t="str">
        <x:v>Other / Affiliation Not Identified in Source (96)</x:v>
      </x:c>
      <x:c r="AK235" s="15" t="str">
        <x:v>310-658-0208</x:v>
      </x:c>
      <x:c r="AL235" s="7" t="str">
        <x:v>AGUILAR CANDELARIA</x:v>
      </x:c>
      <x:c r="AM235" s="7" t="str">
        <x:v>AGUILAR  CANDELARIA</x:v>
      </x:c>
      <x:c r="AN235" s="7" t="str">
        <x:v>https://cdicloud.insurance.ca.gov/cal/LicenseDetail?SearchType=IND&amp;SearchLicNbr=0I85484&amp;SearchIndvId=1665979</x:v>
      </x:c>
      <x:c r="AO235" s="7" t="str">
        <x:v>2026-10-08</x:v>
      </x:c>
      <x:c r="AP235" s="7" t="str">
        <x:v>c7a7cd8e4c093583678d4066ef0670a295588d4707d31648adfc9baa1a3e5b52</x:v>
      </x:c>
      <x:c r="AQ235" s="7" t="str">
        <x:v>Life / Active / 04/24/2014 / 12/09/2020 / 04/30/2028</x:v>
      </x:c>
      <x:c r="AR235" s="7" t="str">
        <x:v>Active</x:v>
      </x:c>
      <x:c r="AS235" s="7" t="str">
        <x:v>Current detail page</x:v>
      </x:c>
    </x:row>
    <x:row r="236" ht="52" customHeight="1">
      <x:c r="A236" s="7" t="str">
        <x:v>AGUILAR CANEEL TOBIAS</x:v>
      </x:c>
      <x:c r="B236" s="14" t="str">
        <x:f>"0M84764"</x:f>
        <x:v>0M84764</x:v>
      </x:c>
      <x:c r="C236" s="7" t="str">
        <x:v>Approved</x:v>
      </x:c>
      <x:c r="D236" s="7" t="str">
        <x:v>PASS</x:v>
      </x:c>
      <x:c r="E236" s="13" t="str">
        <x:v>Pending</x:v>
      </x:c>
      <x:c r="F236" s="13" t="str"/>
      <x:c r="G236" s="13" t="str"/>
      <x:c r="H236" s="13" t="str"/>
      <x:c r="I236" s="7" t="str">
        <x:v>Confirm approval criteria and any unrecorded reason.</x:v>
      </x:c>
      <x:c r="J236" s="7" t="str">
        <x:v>P1</x:v>
      </x:c>
      <x:c r="K236" s="7" t="str">
        <x:v>Passes provisional observable screen; approval is independently established by PDF membership.</x:v>
      </x:c>
      <x:c r="L236" s="7" t="str">
        <x:v>Not supplied; membership is known, motive is not</x:v>
      </x:c>
      <x:c r="M236" s="7" t="n">
        <x:v>1</x:v>
      </x:c>
      <x:c r="N236" s="7" t="str">
        <x:v>First-call fit for stated IMO focus</x:v>
      </x:c>
      <x:c r="O236" s="7" t="str">
        <x:v>Active</x:v>
      </x:c>
      <x:c r="P236" s="7" t="str">
        <x:v>02/28/2019</x:v>
      </x:c>
      <x:c r="Q236" s="7" t="str">
        <x:v>02/28/2027</x:v>
      </x:c>
      <x:c r="R236" s="7" t="str">
        <x:v>Accident &amp; Health or Sickness; Life</x:v>
      </x:c>
      <x:c r="S236" s="15" t="str">
        <x:v>661-619-6331</x:v>
      </x:c>
      <x:c r="T236" s="7" t="str">
        <x:v>Current CDI</x:v>
      </x:c>
      <x:c r="U236" s="7" t="str">
        <x:v>9605 VALLEY FOREST CT BAKERSFIELD CA, 93311-1650</x:v>
      </x:c>
      <x:c r="V236" s="7" t="str">
        <x:v>Resident</x:v>
      </x:c>
      <x:c r="W236" s="7" t="str">
        <x:v>CA</x:v>
      </x:c>
      <x:c r="X236" s="7" t="str"/>
      <x:c r="Y236" s="7" t="str">
        <x:v>AMERICAN FAMILY LIFE ASSURANCE COMPANY OF COLUMBUS / Accident &amp; Health or Sickness / 02/28/2019
AMERICAN FAMILY LIFE ASSURANCE COMPANY OF COLUMBUS / Life / 02/28/2019
AMERICAN NATIONAL INSURANCE COMPANY / Life / 07/21/2022
CONTINENTAL AMERICAN INSURANCE COMPANY / Accident &amp; Health or Sickness / 06/14/2020
CONTINENTAL AMERICAN INSURANCE COMPANY / Disability Only / 10/22/2024
CONTINENTAL AMERICAN INSURANCE COMPANY / Life / 06/14/2020
FIDELITY &amp; GUARANTY LIFE INSURANCE COMPANY / Life / 06/13/2022</x:v>
      </x:c>
      <x:c r="Z236" s="7" t="str"/>
      <x:c r="AA236" s="7" t="str"/>
      <x:c r="AB236" s="7" t="str"/>
      <x:c r="AC236" s="7" t="str"/>
      <x:c r="AD236" s="7" t="str">
        <x:v>Active general Life authority | Direct Life appointments outside the selected health-carrier set: AMERICAN FAMILY LIFE ASSURANCE COMPANY OF COLUMBUS, AMERICAN NATIONAL INSURANCE COMPANY, CONTINENTAL AMERICAN INSURANCE COMPANY, FIDELITY &amp; GUARANTY LIFE INSURANCE COMPANY | Active A&amp;H supports optional cross-selling; not necessary for target products</x:v>
      </x:c>
      <x:c r="AE236" s="7" t="str"/>
      <x:c r="AF236" s="16" t="n">
        <x:v>7.6</x:v>
      </x:c>
      <x:c r="AG236" s="17" t="n">
        <x:v>143</x:v>
      </x:c>
      <x:c r="AH236" s="7" t="str">
        <x:v>2022-07-21</x:v>
      </x:c>
      <x:c r="AI236" s="7" t="str">
        <x:v>English</x:v>
      </x:c>
      <x:c r="AJ236" s="7" t="str">
        <x:v>Other / Affiliation Not Identified in Source (96)</x:v>
      </x:c>
      <x:c r="AK236" s="15" t="str">
        <x:v>661-619-6331</x:v>
      </x:c>
      <x:c r="AL236" s="7" t="str">
        <x:v>AGUILAR CANEEL TOBIAS</x:v>
      </x:c>
      <x:c r="AM236" s="7" t="str">
        <x:v>Aguilar T Caneel | AGUILAR TOBIAS CANEEL</x:v>
      </x:c>
      <x:c r="AN236" s="7" t="str">
        <x:v>https://cdicloud.insurance.ca.gov/cal/LicenseDetail?SearchType=IND&amp;SearchLicNbr=0M84764&amp;SearchIndvId=2088550</x:v>
      </x:c>
      <x:c r="AO236" s="7" t="str">
        <x:v>2026-10-08</x:v>
      </x:c>
      <x:c r="AP236" s="7" t="str">
        <x:v>774d371807c2294c4058db1855de23a3c31c05b834353b49474f55191c309667</x:v>
      </x:c>
      <x:c r="AQ236" s="7" t="str">
        <x:v>Accident &amp; Health or Sickness / Active / 02/28/2019 / 02/28/2019 / 02/28/2027
Life / Active / 02/28/2019 / 02/28/2019 / 02/28/2027</x:v>
      </x:c>
      <x:c r="AR236" s="7" t="str">
        <x:v>Active</x:v>
      </x:c>
      <x:c r="AS236" s="7" t="str">
        <x:v>Current detail page</x:v>
      </x:c>
    </x:row>
    <x:row r="237" ht="52" customHeight="1">
      <x:c r="A237" s="7" t="str">
        <x:v>AGUILAR CARLOS JONATHAN</x:v>
      </x:c>
      <x:c r="B237" s="14" t="str">
        <x:f>"0M45105"</x:f>
        <x:v>0M45105</x:v>
      </x:c>
      <x:c r="C237" s="7" t="str">
        <x:v>Approved</x:v>
      </x:c>
      <x:c r="D237" s="7" t="str">
        <x:v>PASS</x:v>
      </x:c>
      <x:c r="E237" s="13" t="str">
        <x:v>Pending</x:v>
      </x:c>
      <x:c r="F237" s="13" t="str"/>
      <x:c r="G237" s="13" t="str"/>
      <x:c r="H237" s="13" t="str"/>
      <x:c r="I237" s="7" t="str">
        <x:v>Confirm approval criteria and any unrecorded reason.</x:v>
      </x:c>
      <x:c r="J237" s="7" t="str">
        <x:v>P1</x:v>
      </x:c>
      <x:c r="K237" s="7" t="str">
        <x:v>Passes provisional observable screen; approval is independently established by PDF membership.</x:v>
      </x:c>
      <x:c r="L237" s="7" t="str">
        <x:v>Not supplied; membership is known, motive is not</x:v>
      </x:c>
      <x:c r="M237" s="7" t="n">
        <x:v>1</x:v>
      </x:c>
      <x:c r="N237" s="7" t="str">
        <x:v>First-call fit for stated IMO focus</x:v>
      </x:c>
      <x:c r="O237" s="7" t="str">
        <x:v>Active</x:v>
      </x:c>
      <x:c r="P237" s="7" t="str">
        <x:v>09/22/2023</x:v>
      </x:c>
      <x:c r="Q237" s="7" t="str">
        <x:v>07/31/2028</x:v>
      </x:c>
      <x:c r="R237" s="7" t="str">
        <x:v>Life; Personal Lines</x:v>
      </x:c>
      <x:c r="S237" s="15" t="str">
        <x:v>310-387-8775</x:v>
      </x:c>
      <x:c r="T237" s="7" t="str">
        <x:v>Current CDI</x:v>
      </x:c>
      <x:c r="U237" s="7" t="str">
        <x:v>2601 S FIGUEROA LOS ANGELES CA, 90007</x:v>
      </x:c>
      <x:c r="V237" s="7" t="str">
        <x:v>Resident</x:v>
      </x:c>
      <x:c r="W237" s="7" t="str">
        <x:v>CA</x:v>
      </x:c>
      <x:c r="X237" s="7" t="str">
        <x:v>AAA LIFE AGENCY LLC / Life / 12/19/2023
AUTOMOBILE CLUB OF SOUTHERN CALIFORNIA / Personal Lines / 11/21/2022</x:v>
      </x:c>
      <x:c r="Y237" s="7" t="str">
        <x:v>AAA LIFE INSURANCE COMPANY / Life / 09/26/2023
MINNESOTA LIFE INSURANCE COMPANY / Life / 01/02/2024</x:v>
      </x:c>
      <x:c r="Z237" s="7" t="str"/>
      <x:c r="AA237" s="7" t="str"/>
      <x:c r="AB237" s="7" t="str"/>
      <x:c r="AC237" s="7" t="str"/>
      <x:c r="AD237" s="7" t="str">
        <x:v>Active general Life authority | Direct Life appointments outside the selected health-carrier set: AAA LIFE INSURANCE COMPANY, MINNESOTA LIFE INSURANCE COMPANY</x:v>
      </x:c>
      <x:c r="AE237" s="7" t="str">
        <x:v>Mixed P&amp;C/Life qualifications; not an exclusion because approved examples have both</x:v>
      </x:c>
      <x:c r="AF237" s="16" t="n">
        <x:v>3</x:v>
      </x:c>
      <x:c r="AG237" s="17" t="n">
        <x:v>662</x:v>
      </x:c>
      <x:c r="AH237" s="7" t="str">
        <x:v>2024-01-02</x:v>
      </x:c>
      <x:c r="AI237" s="7" t="str">
        <x:v>English</x:v>
      </x:c>
      <x:c r="AJ237" s="7" t="str">
        <x:v>Other / Affiliation Not Identified in Source (96)</x:v>
      </x:c>
      <x:c r="AK237" s="15" t="str">
        <x:v>310-387-8775</x:v>
      </x:c>
      <x:c r="AL237" s="7" t="str">
        <x:v>AGUILAR CARLOS JONATHAN</x:v>
      </x:c>
      <x:c r="AM237" s="7" t="str">
        <x:v>Aguilar J Carlos | AGUILAR JONATHAN CARLOS</x:v>
      </x:c>
      <x:c r="AN237" s="7" t="str">
        <x:v>https://cdicloud.insurance.ca.gov/cal/LicenseDetail?SearchType=IND&amp;SearchLicNbr=0M45105&amp;SearchIndvId=2036667</x:v>
      </x:c>
      <x:c r="AO237" s="7" t="str">
        <x:v>2026-10-08</x:v>
      </x:c>
      <x:c r="AP237" s="7" t="str">
        <x:v>1b453c484d30375bc1e2bd30b77fec0dece4448847193b3138f35dfd567bb052</x:v>
      </x:c>
      <x:c r="AQ237" s="7" t="str">
        <x:v>Life / Active / 09/22/2023 / 09/22/2023 / 07/31/2028
Personal Lines / Active / 07/17/2018 / 10/31/2022 / 07/31/2028</x:v>
      </x:c>
      <x:c r="AR237" s="7" t="str">
        <x:v>Active</x:v>
      </x:c>
      <x:c r="AS237" s="7" t="str">
        <x:v>Current detail page</x:v>
      </x:c>
    </x:row>
    <x:row r="238" ht="52" customHeight="1">
      <x:c r="A238" s="7" t="str">
        <x:v>AGUILAR CARMEN</x:v>
      </x:c>
      <x:c r="B238" s="14" t="str">
        <x:f>"4231828"</x:f>
        <x:v>4231828</x:v>
      </x:c>
      <x:c r="C238" s="7" t="str">
        <x:v>Approved</x:v>
      </x:c>
      <x:c r="D238" s="7" t="str">
        <x:v>PASS</x:v>
      </x:c>
      <x:c r="E238" s="13" t="str">
        <x:v>Pending</x:v>
      </x:c>
      <x:c r="F238" s="13" t="str"/>
      <x:c r="G238" s="13" t="str"/>
      <x:c r="H238" s="13" t="str"/>
      <x:c r="I238" s="7" t="str">
        <x:v>Confirm approval criteria and any unrecorded reason.</x:v>
      </x:c>
      <x:c r="J238" s="7" t="str">
        <x:v>P1</x:v>
      </x:c>
      <x:c r="K238" s="7" t="str">
        <x:v>Passes provisional observable screen; approval is independently established by PDF membership.</x:v>
      </x:c>
      <x:c r="L238" s="7" t="str">
        <x:v>Not supplied; membership is known, motive is not</x:v>
      </x:c>
      <x:c r="M238" s="7" t="n">
        <x:v>1</x:v>
      </x:c>
      <x:c r="N238" s="7" t="str">
        <x:v>First-call fit for stated IMO focus</x:v>
      </x:c>
      <x:c r="O238" s="7" t="str">
        <x:v>Active</x:v>
      </x:c>
      <x:c r="P238" s="7" t="str">
        <x:v>09/02/2022</x:v>
      </x:c>
      <x:c r="Q238" s="7" t="str">
        <x:v>09/30/2028</x:v>
      </x:c>
      <x:c r="R238" s="7" t="str">
        <x:v>Life</x:v>
      </x:c>
      <x:c r="S238" s="15" t="str">
        <x:v>209-545-9911</x:v>
      </x:c>
      <x:c r="T238" s="7" t="str">
        <x:v>Current CDI</x:v>
      </x:c>
      <x:c r="U238" s="7" t="str">
        <x:v>4713 ENTERPRISE WAY STE 2 MODESTO CA, 95356</x:v>
      </x:c>
      <x:c r="V238" s="7" t="str">
        <x:v>Resident</x:v>
      </x:c>
      <x:c r="W238" s="7" t="str">
        <x:v>CA</x:v>
      </x:c>
      <x:c r="X238" s="7" t="str"/>
      <x:c r="Y238" s="7" t="str">
        <x:v>PRIMERICA LIFE INSURANCE COMPANY / Life / 09/06/2022</x:v>
      </x:c>
      <x:c r="Z238" s="7" t="str"/>
      <x:c r="AA238" s="7" t="str"/>
      <x:c r="AB238" s="7" t="str"/>
      <x:c r="AC238" s="7" t="str"/>
      <x:c r="AD238" s="7" t="str">
        <x:v>Active general Life authority | Primerica relationship: matches an explicitly targeted recruiting segment | Direct Life appointments outside the selected health-carrier set: PRIMERICA LIFE INSURANCE COMPANY</x:v>
      </x:c>
      <x:c r="AE238" s="7" t="str"/>
      <x:c r="AF238" s="16" t="n">
        <x:v>4.1</x:v>
      </x:c>
      <x:c r="AG238" s="17" t="n">
        <x:v>723</x:v>
      </x:c>
      <x:c r="AH238" s="7" t="str">
        <x:v>2022-09-06</x:v>
      </x:c>
      <x:c r="AI238" s="7" t="str">
        <x:v>English</x:v>
      </x:c>
      <x:c r="AJ238" s="7" t="str">
        <x:v>Primerica (33)</x:v>
      </x:c>
      <x:c r="AK238" s="15" t="str">
        <x:v>209-545-9911</x:v>
      </x:c>
      <x:c r="AL238" s="7" t="str">
        <x:v>AGUILAR CARMEN</x:v>
      </x:c>
      <x:c r="AM238" s="7" t="str">
        <x:v>AGUILAR  CARMEN</x:v>
      </x:c>
      <x:c r="AN238" s="7" t="str">
        <x:v>https://cdicloud.insurance.ca.gov/cal/LicenseDetail?SearchType=IND&amp;SearchLicNbr=4231828&amp;SearchIndvId=4231828</x:v>
      </x:c>
      <x:c r="AO238" s="7" t="str">
        <x:v>2026-10-08</x:v>
      </x:c>
      <x:c r="AP238" s="7" t="str">
        <x:v>713bb96725553eb48afb2820d269c6530d3d4444c6122f1dfe8f2cbf07c78e3f</x:v>
      </x:c>
      <x:c r="AQ238" s="7" t="str">
        <x:v>Life / Active / 09/02/2022 / 09/02/2022 / 09/30/2028</x:v>
      </x:c>
      <x:c r="AR238" s="7" t="str">
        <x:v>Active</x:v>
      </x:c>
      <x:c r="AS238" s="7" t="str">
        <x:v>Current detail page</x:v>
      </x:c>
    </x:row>
    <x:row r="239" ht="52" customHeight="1">
      <x:c r="A239" s="7" t="str">
        <x:v>AGUILAR CASARAH LYNN</x:v>
      </x:c>
      <x:c r="B239" s="14" t="str">
        <x:f>"0M49393"</x:f>
        <x:v>0M49393</x:v>
      </x:c>
      <x:c r="C239" s="7" t="str">
        <x:v>Approved</x:v>
      </x:c>
      <x:c r="D239" s="7" t="str">
        <x:v>PASS</x:v>
      </x:c>
      <x:c r="E239" s="13" t="str">
        <x:v>Pending</x:v>
      </x:c>
      <x:c r="F239" s="13" t="str"/>
      <x:c r="G239" s="13" t="str"/>
      <x:c r="H239" s="13" t="str"/>
      <x:c r="I239" s="7" t="str">
        <x:v>Confirm approval criteria and any unrecorded reason.</x:v>
      </x:c>
      <x:c r="J239" s="7" t="str">
        <x:v>P1</x:v>
      </x:c>
      <x:c r="K239" s="7" t="str">
        <x:v>Passes provisional observable screen; approval is independently established by PDF membership.</x:v>
      </x:c>
      <x:c r="L239" s="7" t="str">
        <x:v>Not supplied; membership is known, motive is not</x:v>
      </x:c>
      <x:c r="M239" s="7" t="n">
        <x:v>1</x:v>
      </x:c>
      <x:c r="N239" s="7" t="str">
        <x:v>First-call fit for stated IMO focus</x:v>
      </x:c>
      <x:c r="O239" s="7" t="str">
        <x:v>Active</x:v>
      </x:c>
      <x:c r="P239" s="7" t="str">
        <x:v>08/09/2018</x:v>
      </x:c>
      <x:c r="Q239" s="7" t="str">
        <x:v>08/31/2028</x:v>
      </x:c>
      <x:c r="R239" s="7" t="str">
        <x:v>Accident &amp; Health or Sickness; Life</x:v>
      </x:c>
      <x:c r="S239" s="15" t="str">
        <x:v>949-679-2191</x:v>
      </x:c>
      <x:c r="T239" s="7" t="str">
        <x:v>Current CDI</x:v>
      </x:c>
      <x:c r="U239" s="7" t="str">
        <x:v>11321 LAURIANNE LANE GARDEN GROVE CA, 92841</x:v>
      </x:c>
      <x:c r="V239" s="7" t="str">
        <x:v>Resident</x:v>
      </x:c>
      <x:c r="W239" s="7" t="str">
        <x:v>CA</x:v>
      </x:c>
      <x:c r="X239" s="7" t="str"/>
      <x:c r="Y239" s="7" t="str"/>
      <x:c r="Z239" s="7" t="str"/>
      <x:c r="AA239" s="7" t="str"/>
      <x:c r="AB239" s="7" t="str"/>
      <x:c r="AC239" s="7" t="str"/>
      <x:c r="AD239" s="7" t="str">
        <x:v>Active general Life authority | No agency or insurer displayed: onboarding opportunity possible; existing business unknown | Active A&amp;H supports optional cross-selling; not necessary for target products</x:v>
      </x:c>
      <x:c r="AE239" s="7" t="str"/>
      <x:c r="AF239" s="16" t="n">
        <x:v>8.2</x:v>
      </x:c>
      <x:c r="AG239" s="17" t="n">
        <x:v>693</x:v>
      </x:c>
      <x:c r="AH239" s="7" t="str"/>
      <x:c r="AI239" s="7" t="str">
        <x:v>English</x:v>
      </x:c>
      <x:c r="AJ239" s="7" t="str">
        <x:v>Other / Affiliation Not Identified in Source (96)</x:v>
      </x:c>
      <x:c r="AK239" s="15" t="str">
        <x:v>949-679-2191</x:v>
      </x:c>
      <x:c r="AL239" s="7" t="str">
        <x:v>AGUILAR CASARAH LYNN</x:v>
      </x:c>
      <x:c r="AM239" s="7" t="str">
        <x:v>AGUILAR LYNN CASARAH</x:v>
      </x:c>
      <x:c r="AN239" s="7" t="str">
        <x:v>https://cdicloud.insurance.ca.gov/cal/LicenseDetail?SearchType=IND&amp;SearchLicNbr=0M49393&amp;SearchIndvId=2036666</x:v>
      </x:c>
      <x:c r="AO239" s="7" t="str">
        <x:v>2026-10-08</x:v>
      </x:c>
      <x:c r="AP239" s="7" t="str">
        <x:v>852fe1937a85e62e448e6f39bbe7269c2eefed471a0977ae4ef714dab25d9182</x:v>
      </x:c>
      <x:c r="AQ239" s="7" t="str">
        <x:v>Accident &amp; Health or Sickness / Active / 08/09/2018 / 08/09/2018 / 08/31/2028
Life / Active / 08/09/2018 / 08/09/2018 / 08/31/2028</x:v>
      </x:c>
      <x:c r="AR239" s="7" t="str">
        <x:v>Active</x:v>
      </x:c>
      <x:c r="AS239" s="7" t="str">
        <x:v>Current detail page</x:v>
      </x:c>
    </x:row>
    <x:row r="240" ht="52" customHeight="1">
      <x:c r="A240" s="7" t="str">
        <x:v>AGUILAR CHRISTIAN</x:v>
      </x:c>
      <x:c r="B240" s="14" t="str">
        <x:f>"4546295"</x:f>
        <x:v>4546295</x:v>
      </x:c>
      <x:c r="C240" s="7" t="str">
        <x:v>Approved</x:v>
      </x:c>
      <x:c r="D240" s="7" t="str">
        <x:v>PASS</x:v>
      </x:c>
      <x:c r="E240" s="13" t="str">
        <x:v>Pending</x:v>
      </x:c>
      <x:c r="F240" s="13" t="str"/>
      <x:c r="G240" s="13" t="str"/>
      <x:c r="H240" s="13" t="str"/>
      <x:c r="I240" s="7" t="str">
        <x:v>Confirm approval criteria and any unrecorded reason.</x:v>
      </x:c>
      <x:c r="J240" s="7" t="str">
        <x:v>P1</x:v>
      </x:c>
      <x:c r="K240" s="7" t="str">
        <x:v>Passes provisional observable screen; approval is independently established by PDF membership.</x:v>
      </x:c>
      <x:c r="L240" s="7" t="str">
        <x:v>Not supplied; membership is known, motive is not</x:v>
      </x:c>
      <x:c r="M240" s="7" t="n">
        <x:v>1</x:v>
      </x:c>
      <x:c r="N240" s="7" t="str">
        <x:v>First-call fit for stated IMO focus</x:v>
      </x:c>
      <x:c r="O240" s="7" t="str">
        <x:v>Active</x:v>
      </x:c>
      <x:c r="P240" s="7" t="str">
        <x:v>05/04/2026</x:v>
      </x:c>
      <x:c r="Q240" s="7" t="str">
        <x:v>05/31/2028</x:v>
      </x:c>
      <x:c r="R240" s="7" t="str">
        <x:v>Life</x:v>
      </x:c>
      <x:c r="S240" s="15" t="str">
        <x:v>818-859-7065</x:v>
      </x:c>
      <x:c r="T240" s="7" t="str">
        <x:v>Current CDI</x:v>
      </x:c>
      <x:c r="U240" s="7" t="str">
        <x:v>2259 WARD AVE STE 202 SIMI VALLEY CA, 93065</x:v>
      </x:c>
      <x:c r="V240" s="7" t="str">
        <x:v>Resident</x:v>
      </x:c>
      <x:c r="W240" s="7" t="str">
        <x:v>CA</x:v>
      </x:c>
      <x:c r="X240" s="7" t="str"/>
      <x:c r="Y240" s="7" t="str">
        <x:v>PRIMERICA LIFE INSURANCE COMPANY / Life / 05/05/2026</x:v>
      </x:c>
      <x:c r="Z240" s="7" t="str"/>
      <x:c r="AA240" s="7" t="str"/>
      <x:c r="AB240" s="7" t="str"/>
      <x:c r="AC240" s="7" t="str"/>
      <x:c r="AD240" s="7" t="str">
        <x:v>Active general Life authority | Primerica relationship: matches an explicitly targeted recruiting segment | Direct Life appointments outside the selected health-carrier set: PRIMERICA LIFE INSURANCE COMPANY</x:v>
      </x:c>
      <x:c r="AE240" s="7" t="str"/>
      <x:c r="AF240" s="16" t="n">
        <x:v>0.4</x:v>
      </x:c>
      <x:c r="AG240" s="17" t="n">
        <x:v>601</x:v>
      </x:c>
      <x:c r="AH240" s="7" t="str">
        <x:v>2026-05-05</x:v>
      </x:c>
      <x:c r="AI240" s="7" t="str">
        <x:v>English</x:v>
      </x:c>
      <x:c r="AJ240" s="7" t="str">
        <x:v>Primerica (33)</x:v>
      </x:c>
      <x:c r="AK240" s="15" t="str">
        <x:v>818-859-7065</x:v>
      </x:c>
      <x:c r="AL240" s="7" t="str">
        <x:v>AGUILAR CHRISTIAN</x:v>
      </x:c>
      <x:c r="AM240" s="7" t="str">
        <x:v>AGUILAR  CHRISTIAN</x:v>
      </x:c>
      <x:c r="AN240" s="7" t="str">
        <x:v>https://cdicloud.insurance.ca.gov/cal/LicenseDetail?SearchType=IND&amp;SearchLicNbr=4546295&amp;SearchIndvId=4546295</x:v>
      </x:c>
      <x:c r="AO240" s="7" t="str">
        <x:v>2026-10-08</x:v>
      </x:c>
      <x:c r="AP240" s="7" t="str">
        <x:v>1fe110801a90931549f73ca892ac846fdab3651259c63ebaa952bac2ec24c158</x:v>
      </x:c>
      <x:c r="AQ240" s="7" t="str">
        <x:v>Life / Active / 05/04/2026 / 05/04/2026 / 05/31/2028</x:v>
      </x:c>
      <x:c r="AR240" s="7" t="str">
        <x:v>Active</x:v>
      </x:c>
      <x:c r="AS240" s="7" t="str">
        <x:v>Current detail page</x:v>
      </x:c>
    </x:row>
    <x:row r="241" ht="52" customHeight="1">
      <x:c r="A241" s="7" t="str">
        <x:v>AGUILAR CRUZ SERGIO ARTURO SR</x:v>
      </x:c>
      <x:c r="B241" s="14" t="str">
        <x:f>"4260894"</x:f>
        <x:v>4260894</x:v>
      </x:c>
      <x:c r="C241" s="7" t="str">
        <x:v>Approved</x:v>
      </x:c>
      <x:c r="D241" s="7" t="str">
        <x:v>PASS</x:v>
      </x:c>
      <x:c r="E241" s="13" t="str">
        <x:v>Pending</x:v>
      </x:c>
      <x:c r="F241" s="13" t="str"/>
      <x:c r="G241" s="13" t="str"/>
      <x:c r="H241" s="13" t="str"/>
      <x:c r="I241" s="7" t="str">
        <x:v>Confirm approval criteria and any unrecorded reason.</x:v>
      </x:c>
      <x:c r="J241" s="7" t="str">
        <x:v>P1</x:v>
      </x:c>
      <x:c r="K241" s="7" t="str">
        <x:v>Passes provisional observable screen; approval is independently established by PDF membership.</x:v>
      </x:c>
      <x:c r="L241" s="7" t="str">
        <x:v>Not supplied; membership is known, motive is not</x:v>
      </x:c>
      <x:c r="M241" s="7" t="n">
        <x:v>1</x:v>
      </x:c>
      <x:c r="N241" s="7" t="str">
        <x:v>First-call fit for stated IMO focus</x:v>
      </x:c>
      <x:c r="O241" s="7" t="str">
        <x:v>Active</x:v>
      </x:c>
      <x:c r="P241" s="7" t="str">
        <x:v>05/25/2023</x:v>
      </x:c>
      <x:c r="Q241" s="7" t="str">
        <x:v>05/31/2027</x:v>
      </x:c>
      <x:c r="R241" s="7" t="str">
        <x:v>Life</x:v>
      </x:c>
      <x:c r="S241" s="15" t="str">
        <x:v>909-953-5114</x:v>
      </x:c>
      <x:c r="T241" s="7" t="str">
        <x:v>Current CDI</x:v>
      </x:c>
      <x:c r="U241" s="7" t="str">
        <x:v>17644 VALLEY BLVD STE 6 BLOOMINGTON CA, 92316</x:v>
      </x:c>
      <x:c r="V241" s="7" t="str">
        <x:v>Resident</x:v>
      </x:c>
      <x:c r="W241" s="7" t="str">
        <x:v>CA</x:v>
      </x:c>
      <x:c r="X241" s="7" t="str"/>
      <x:c r="Y241" s="7" t="str">
        <x:v>AMERITAS LIFE INSURANCE CORP. / Life / 01/11/2026
LIFE INSURANCE COMPANY OF THE SOUTHWEST / Life / 10/07/2025
SENIOR LIFE INSURANCE COMPANY / Life / 03/10/2026
UNITED OF OMAHA LIFE INSURANCE COMPANY / Life / 10/02/2025</x:v>
      </x:c>
      <x:c r="Z241" s="7" t="str"/>
      <x:c r="AA241" s="7" t="str"/>
      <x:c r="AB241" s="7" t="str"/>
      <x:c r="AC241" s="7" t="str"/>
      <x:c r="AD241" s="7" t="str">
        <x:v>Active general Life authority | Direct Life appointments outside the selected health-carrier set: AMERITAS LIFE INSURANCE CORP., LIFE INSURANCE COMPANY OF THE SOUTHWEST, SENIOR LIFE INSURANCE COMPANY, UNITED OF OMAHA LIFE INSURANCE COMPANY</x:v>
      </x:c>
      <x:c r="AE241" s="7" t="str"/>
      <x:c r="AF241" s="16" t="n">
        <x:v>3.4</x:v>
      </x:c>
      <x:c r="AG241" s="17" t="n">
        <x:v>235</x:v>
      </x:c>
      <x:c r="AH241" s="7" t="str">
        <x:v>2026-03-10</x:v>
      </x:c>
      <x:c r="AI241" s="7" t="str">
        <x:v>English</x:v>
      </x:c>
      <x:c r="AJ241" s="7" t="str">
        <x:v>Other / Affiliation Not Identified in Source (96)</x:v>
      </x:c>
      <x:c r="AK241" s="15" t="str">
        <x:v>909-953-5114</x:v>
      </x:c>
      <x:c r="AL241" s="7" t="str">
        <x:v>AGUILAR CRUZ SERGIO ARTURO SR</x:v>
      </x:c>
      <x:c r="AM241" s="7" t="str">
        <x:v>Aguilar  Sergio | AGUILAR CRUZ ARTURO SERGIO</x:v>
      </x:c>
      <x:c r="AN241" s="7" t="str">
        <x:v>https://cdicloud.insurance.ca.gov/cal/LicenseDetail?SearchType=IND&amp;SearchLicNbr=4260894&amp;SearchIndvId=4260894</x:v>
      </x:c>
      <x:c r="AO241" s="7" t="str">
        <x:v>2026-10-08</x:v>
      </x:c>
      <x:c r="AP241" s="7" t="str">
        <x:v>5bbc29dbed0e31d95900283d5a95f22b6446709e4bd718a9b3529fa2d50664a2</x:v>
      </x:c>
      <x:c r="AQ241" s="7" t="str">
        <x:v>Life / Active / 05/25/2023 / 08/19/2025 / 05/31/2027</x:v>
      </x:c>
      <x:c r="AR241" s="7" t="str">
        <x:v>Active</x:v>
      </x:c>
      <x:c r="AS241" s="7" t="str">
        <x:v>Current detail page</x:v>
      </x:c>
    </x:row>
    <x:row r="242" ht="52" customHeight="1">
      <x:c r="A242" s="7" t="str">
        <x:v>AGUILAR CRYSTAL</x:v>
      </x:c>
      <x:c r="B242" s="14" t="str">
        <x:f>"4270428"</x:f>
        <x:v>4270428</x:v>
      </x:c>
      <x:c r="C242" s="7" t="str">
        <x:v>Approved</x:v>
      </x:c>
      <x:c r="D242" s="7" t="str">
        <x:v>PASS</x:v>
      </x:c>
      <x:c r="E242" s="13" t="str">
        <x:v>Pending</x:v>
      </x:c>
      <x:c r="F242" s="13" t="str"/>
      <x:c r="G242" s="13" t="str"/>
      <x:c r="H242" s="13" t="str"/>
      <x:c r="I242" s="7" t="str">
        <x:v>Confirm approval criteria and any unrecorded reason.</x:v>
      </x:c>
      <x:c r="J242" s="7" t="str">
        <x:v>P1</x:v>
      </x:c>
      <x:c r="K242" s="7" t="str">
        <x:v>Passes provisional observable screen; approval is independently established by PDF membership.</x:v>
      </x:c>
      <x:c r="L242" s="7" t="str">
        <x:v>Not supplied; membership is known, motive is not</x:v>
      </x:c>
      <x:c r="M242" s="7" t="n">
        <x:v>1</x:v>
      </x:c>
      <x:c r="N242" s="7" t="str">
        <x:v>First-call fit for stated IMO focus</x:v>
      </x:c>
      <x:c r="O242" s="7" t="str">
        <x:v>Active</x:v>
      </x:c>
      <x:c r="P242" s="7" t="str">
        <x:v>02/13/2023</x:v>
      </x:c>
      <x:c r="Q242" s="7" t="str">
        <x:v>02/28/2027</x:v>
      </x:c>
      <x:c r="R242" s="7" t="str">
        <x:v>Life</x:v>
      </x:c>
      <x:c r="S242" s="15" t="str">
        <x:v>714-869-3501</x:v>
      </x:c>
      <x:c r="T242" s="7" t="str">
        <x:v>Current CDI</x:v>
      </x:c>
      <x:c r="U242" s="7" t="str">
        <x:v>42250 SAGE RD AGUANGA CA, 92536</x:v>
      </x:c>
      <x:c r="V242" s="7" t="str">
        <x:v>Resident</x:v>
      </x:c>
      <x:c r="W242" s="7" t="str">
        <x:v>CA</x:v>
      </x:c>
      <x:c r="X242" s="7" t="str"/>
      <x:c r="Y242" s="7" t="str">
        <x:v>PRIMERICA LIFE INSURANCE COMPANY / Life / 02/13/2023</x:v>
      </x:c>
      <x:c r="Z242" s="7" t="str"/>
      <x:c r="AA242" s="7" t="str"/>
      <x:c r="AB242" s="7" t="str"/>
      <x:c r="AC242" s="7" t="str"/>
      <x:c r="AD242" s="7" t="str">
        <x:v>Active general Life authority | Primerica relationship: matches an explicitly targeted recruiting segment | Direct Life appointments outside the selected health-carrier set: PRIMERICA LIFE INSURANCE COMPANY</x:v>
      </x:c>
      <x:c r="AE242" s="7" t="str"/>
      <x:c r="AF242" s="16" t="n">
        <x:v>3.6</x:v>
      </x:c>
      <x:c r="AG242" s="17" t="n">
        <x:v>143</x:v>
      </x:c>
      <x:c r="AH242" s="7" t="str">
        <x:v>2023-02-13</x:v>
      </x:c>
      <x:c r="AI242" s="7" t="str">
        <x:v>English</x:v>
      </x:c>
      <x:c r="AJ242" s="7" t="str">
        <x:v>Primerica (33)</x:v>
      </x:c>
      <x:c r="AK242" s="15" t="str">
        <x:v>714-869-3501</x:v>
      </x:c>
      <x:c r="AL242" s="7" t="str">
        <x:v>AGUILAR CRYSTAL</x:v>
      </x:c>
      <x:c r="AM242" s="7" t="str">
        <x:v>AGUILAR  CRYSTAL</x:v>
      </x:c>
      <x:c r="AN242" s="7" t="str">
        <x:v>https://cdicloud.insurance.ca.gov/cal/LicenseDetail?SearchType=IND&amp;SearchLicNbr=4270428&amp;SearchIndvId=4270428</x:v>
      </x:c>
      <x:c r="AO242" s="7" t="str">
        <x:v>2026-10-08</x:v>
      </x:c>
      <x:c r="AP242" s="7" t="str">
        <x:v>20c70c8d953210d9fc7dcfcf90f1e314528fb2b4fa8b9f1aa17a1fbd09ad1f77</x:v>
      </x:c>
      <x:c r="AQ242" s="7" t="str">
        <x:v>Life / Active / 02/13/2023 / 02/13/2023 / 02/28/2027</x:v>
      </x:c>
      <x:c r="AR242" s="7" t="str">
        <x:v>Active</x:v>
      </x:c>
      <x:c r="AS242" s="7" t="str">
        <x:v>Current detail page</x:v>
      </x:c>
    </x:row>
    <x:row r="243" ht="52" customHeight="1">
      <x:c r="A243" s="7" t="str">
        <x:v>AGUILAR CYNTHIA ANN</x:v>
      </x:c>
      <x:c r="B243" s="14" t="str">
        <x:f>"0M14923"</x:f>
        <x:v>0M14923</x:v>
      </x:c>
      <x:c r="C243" s="7" t="str">
        <x:v>Approved</x:v>
      </x:c>
      <x:c r="D243" s="7" t="str">
        <x:v>PASS</x:v>
      </x:c>
      <x:c r="E243" s="13" t="str">
        <x:v>Pending</x:v>
      </x:c>
      <x:c r="F243" s="13" t="str"/>
      <x:c r="G243" s="13" t="str"/>
      <x:c r="H243" s="13" t="str"/>
      <x:c r="I243" s="7" t="str">
        <x:v>Confirm approval criteria and any unrecorded reason.</x:v>
      </x:c>
      <x:c r="J243" s="7" t="str">
        <x:v>P1</x:v>
      </x:c>
      <x:c r="K243" s="7" t="str">
        <x:v>Passes provisional observable screen; approval is independently established by PDF membership.</x:v>
      </x:c>
      <x:c r="L243" s="7" t="str">
        <x:v>Not supplied; membership is known, motive is not</x:v>
      </x:c>
      <x:c r="M243" s="7" t="n">
        <x:v>1</x:v>
      </x:c>
      <x:c r="N243" s="7" t="str">
        <x:v>First-call fit for stated IMO focus</x:v>
      </x:c>
      <x:c r="O243" s="7" t="str">
        <x:v>Active</x:v>
      </x:c>
      <x:c r="P243" s="7" t="str">
        <x:v>01/09/2018</x:v>
      </x:c>
      <x:c r="Q243" s="7" t="str">
        <x:v>01/31/2028</x:v>
      </x:c>
      <x:c r="R243" s="7" t="str">
        <x:v>Accident &amp; Health or Sickness; Life</x:v>
      </x:c>
      <x:c r="S243" s="15" t="str">
        <x:v>562-632-1104</x:v>
      </x:c>
      <x:c r="T243" s="7" t="str">
        <x:v>Current CDI</x:v>
      </x:c>
      <x:c r="U243" s="7" t="str">
        <x:v>13601 WHITTIER BLVD. STE. 503 WHITTIER CA, 90605</x:v>
      </x:c>
      <x:c r="V243" s="7" t="str">
        <x:v>Resident</x:v>
      </x:c>
      <x:c r="W243" s="7" t="str">
        <x:v>CA</x:v>
      </x:c>
      <x:c r="X243" s="7" t="str"/>
      <x:c r="Y243" s="7" t="str">
        <x:v>NATIONWIDE LIFE AND ANNUITY INSURANCE COMPANY / Accident &amp; Health or Sickness / 05/24/2019
NATIONWIDE LIFE AND ANNUITY INSURANCE COMPANY / Life / 05/24/2019</x:v>
      </x:c>
      <x:c r="Z243" s="7" t="str"/>
      <x:c r="AA243" s="7" t="str"/>
      <x:c r="AB243" s="7" t="str"/>
      <x:c r="AC243" s="7" t="str"/>
      <x:c r="AD243" s="7" t="str">
        <x:v>Active general Life authority | Direct Life appointments outside the selected health-carrier set: NATIONWIDE LIFE AND ANNUITY INSURANCE COMPANY | Active A&amp;H supports optional cross-selling; not necessary for target products</x:v>
      </x:c>
      <x:c r="AE243" s="7" t="str"/>
      <x:c r="AF243" s="16" t="n">
        <x:v>8.7</x:v>
      </x:c>
      <x:c r="AG243" s="17" t="n">
        <x:v>480</x:v>
      </x:c>
      <x:c r="AH243" s="7" t="str">
        <x:v>2019-05-24</x:v>
      </x:c>
      <x:c r="AI243" s="7" t="str">
        <x:v>English</x:v>
      </x:c>
      <x:c r="AJ243" s="7" t="str">
        <x:v>Other / Affiliation Not Identified in Source (96)</x:v>
      </x:c>
      <x:c r="AK243" s="15" t="str">
        <x:v>562-632-1104</x:v>
      </x:c>
      <x:c r="AL243" s="7" t="str">
        <x:v>AGUILAR CYNTHIA ANN</x:v>
      </x:c>
      <x:c r="AM243" s="7" t="str">
        <x:v>AGUILAR ANN CYNTHIA</x:v>
      </x:c>
      <x:c r="AN243" s="7" t="str">
        <x:v>https://cdicloud.insurance.ca.gov/cal/LicenseDetail?SearchType=IND&amp;SearchLicNbr=0M14923&amp;SearchIndvId=1977183</x:v>
      </x:c>
      <x:c r="AO243" s="7" t="str">
        <x:v>2026-10-08</x:v>
      </x:c>
      <x:c r="AP243" s="7" t="str">
        <x:v>f7f2acacbd9caf2e5b9398aa756ba0931bbeff364fffd6d769ea15b099835b64</x:v>
      </x:c>
      <x:c r="AQ243" s="7" t="str">
        <x:v>Accident &amp; Health or Sickness / Active / 01/09/2018 / 01/09/2018 / 01/31/2028
Life / Active / 01/09/2018 / 01/09/2018 / 01/31/2028</x:v>
      </x:c>
      <x:c r="AR243" s="7" t="str">
        <x:v>Active</x:v>
      </x:c>
      <x:c r="AS243" s="7" t="str">
        <x:v>Current detail page</x:v>
      </x:c>
    </x:row>
    <x:row r="244" ht="52" customHeight="1">
      <x:c r="A244" s="7" t="str">
        <x:v>AGUILAR CYNTHIA GABRIELA</x:v>
      </x:c>
      <x:c r="B244" s="14" t="str">
        <x:f>"0E78674"</x:f>
        <x:v>0E78674</x:v>
      </x:c>
      <x:c r="C244" s="7" t="str">
        <x:v>Approved</x:v>
      </x:c>
      <x:c r="D244" s="7" t="str">
        <x:v>PASS</x:v>
      </x:c>
      <x:c r="E244" s="13" t="str">
        <x:v>Pending</x:v>
      </x:c>
      <x:c r="F244" s="13" t="str"/>
      <x:c r="G244" s="13" t="str"/>
      <x:c r="H244" s="13" t="str"/>
      <x:c r="I244" s="7" t="str">
        <x:v>Confirm approval criteria and any unrecorded reason.</x:v>
      </x:c>
      <x:c r="J244" s="7" t="str">
        <x:v>P1</x:v>
      </x:c>
      <x:c r="K244" s="7" t="str">
        <x:v>Passes provisional observable screen; approval is independently established by PDF membership.</x:v>
      </x:c>
      <x:c r="L244" s="7" t="str">
        <x:v>Not supplied; membership is known, motive is not</x:v>
      </x:c>
      <x:c r="M244" s="7" t="n">
        <x:v>1</x:v>
      </x:c>
      <x:c r="N244" s="7" t="str">
        <x:v>First-call fit for stated IMO focus</x:v>
      </x:c>
      <x:c r="O244" s="7" t="str">
        <x:v>Active</x:v>
      </x:c>
      <x:c r="P244" s="7" t="str">
        <x:v>12/19/2005</x:v>
      </x:c>
      <x:c r="Q244" s="7" t="str">
        <x:v>12/31/2027</x:v>
      </x:c>
      <x:c r="R244" s="7" t="str">
        <x:v>Accident &amp; Health or Sickness; Life</x:v>
      </x:c>
      <x:c r="S244" s="15" t="str">
        <x:v>805-421-9015</x:v>
      </x:c>
      <x:c r="T244" s="7" t="str">
        <x:v>Current CDI</x:v>
      </x:c>
      <x:c r="U244" s="7" t="str">
        <x:v>735 REGENT CT SANTA PAULA CA, 93060-1657</x:v>
      </x:c>
      <x:c r="V244" s="7" t="str">
        <x:v>Resident</x:v>
      </x:c>
      <x:c r="W244" s="7" t="str">
        <x:v>CA</x:v>
      </x:c>
      <x:c r="X244" s="7" t="str">
        <x:v>CALIFORNIA HEALTH BENEFIT EXCHANGE / Accident &amp; Health or Sickness / 10/05/2023</x:v>
      </x:c>
      <x:c r="Y244" s="7" t="str">
        <x:v>AETNA LIFE INSURANCE COMPANY / Accident &amp; Health or Sickness / 01/30/2020
AMERICAN GENERAL LIFE INSURANCE COMPANY / Accident &amp; Health or Sickness / 09/16/2006
AMERICAN GENERAL LIFE INSURANCE COMPANY / Life / 09/16/2006
AMERITAS LIFE INSURANCE CORP. / Accident &amp; Health or Sickness / 07/25/2023
ANTHEM BLUE CROSS LIFE AND HEALTH INSURANCE COMPANY / Accident &amp; Health or Sickness / 10/01/2013
ANTHEM BLUE CROSS LIFE AND HEALTH INSURANCE COMPANY / Life / 10/01/2013
BLUE SHIELD OF CALIFORNIA LIFE &amp; HEALTH INSURANCE COMPANY / Accident &amp; Health or Sickness / 09/26/2013
BLUE SHIELD OF CALIFORNIA LIFE &amp; HEALTH INSURANCE COMPANY / Life / 09/26/2013
CONTINENTAL LIFE INSURANCE COMPANY OF BRENTWOOD, TENNESSEE / Accident &amp; Health or Sickness / 11/04/2014
FIDELITY SECURITY LIFE INSURANCE COMPANY / Accident &amp; Health or Sickness / 09/14/2016
FIDELITY SECURITY LIFE INSURANCE COMPANY / Life / 09/14/2016
FIRST HEALTH LIFE &amp; HEALTH INSURANCE COMPANY / Accident &amp; Health or Sickness / 09/30/2013
GENWORTH LIFE INSURANCE COMPANY / Accident &amp; Health or Sickness / 05/26/2006
GENWORTH LIFE INSURANCE COMPANY / Life / 05/26/2006
HEALTH NET LIFE INSURANCE COMPANY / Accident &amp; Health or Sickness / 10/06/2020
HEALTH NET LIFE INSURANCE COMPANY / Life / 04/06/2024
HUMANA INSURANCE COMPANY / Accident &amp; Health or Sickness / 07/25/2016
HUMANA INSURANCE COMPANY / Life / 07/25/2016
KAISER PERMANENTE INSURANCE COMPANY / Accident &amp; Health or Sickness / 10/01/2013
METROPOLITAN LIFE INSURANCE COMPANY / Accident &amp; Health or Sickness / 06/28/2024
METROPOLITAN LIFE INSURANCE COMPANY / Life / 06/28/2024
SENTINEL SECURITY LIFE INSURANCE COMPANY / Life / 08/03/2010
UNITEDHEALTHCARE INSURANCE COMPANY / Accident &amp; Health or Sickness / 03/17/2015</x:v>
      </x:c>
      <x:c r="Z244" s="7" t="str"/>
      <x:c r="AA244" s="7" t="str"/>
      <x:c r="AB244" s="7" t="str"/>
      <x:c r="AC244" s="7" t="str"/>
      <x:c r="AD244" s="7" t="str">
        <x:v>Active general Life authority | Direct Life appointments outside the selected health-carrier set: AMERICAN GENERAL LIFE INSURANCE COMPANY, FIDELITY SECURITY LIFE INSURANCE COMPANY, GENWORTH LIFE INSURANCE COMPANY, METROPOLITAN LIFE INSURANCE COMPANY, SENTINEL SECURITY LIFE INSURANCE COMPANY | Active A&amp;H supports optional cross-selling; not necessary for target products</x:v>
      </x:c>
      <x:c r="AE244" s="7" t="str"/>
      <x:c r="AF244" s="16" t="n">
        <x:v>20.8</x:v>
      </x:c>
      <x:c r="AG244" s="17" t="n">
        <x:v>449</x:v>
      </x:c>
      <x:c r="AH244" s="7" t="str">
        <x:v>2024-06-28</x:v>
      </x:c>
      <x:c r="AI244" s="7" t="str">
        <x:v>English</x:v>
      </x:c>
      <x:c r="AJ244" s="7" t="str">
        <x:v>Other / Affiliation Not Identified in Source (96)</x:v>
      </x:c>
      <x:c r="AK244" s="15" t="str">
        <x:v>805-421-9015</x:v>
      </x:c>
      <x:c r="AL244" s="7" t="str">
        <x:v>AGUILAR CYNTHIA GABRIELA</x:v>
      </x:c>
      <x:c r="AM244" s="7" t="str">
        <x:v>AGUILAR GABRIELA CYNTHIA</x:v>
      </x:c>
      <x:c r="AN244" s="7" t="str">
        <x:v>https://cdicloud.insurance.ca.gov/cal/LicenseDetail?SearchType=IND&amp;SearchLicNbr=0E78674&amp;SearchIndvId=984843</x:v>
      </x:c>
      <x:c r="AO244" s="7" t="str">
        <x:v>2026-10-08</x:v>
      </x:c>
      <x:c r="AP244" s="7" t="str">
        <x:v>f8485bdd7aa2d3b8677f1496f7b78b250a13159211e129c6b4d6e30303963c37</x:v>
      </x:c>
      <x:c r="AQ244" s="7" t="str">
        <x:v>Accident &amp; Health or Sickness / Active / 12/19/2005 / 12/19/2005 / 12/31/2027
Life / Active / 12/19/2005 / 12/19/2005 / 12/31/2027</x:v>
      </x:c>
      <x:c r="AR244" s="7" t="str">
        <x:v>Active</x:v>
      </x:c>
      <x:c r="AS244" s="7" t="str">
        <x:v>Current detail page</x:v>
      </x:c>
    </x:row>
    <x:row r="245" ht="52" customHeight="1">
      <x:c r="A245" s="7" t="str">
        <x:v>AGUILAR DAVID REQUIERO JR</x:v>
      </x:c>
      <x:c r="B245" s="14" t="str">
        <x:f>"0F60296"</x:f>
        <x:v>0F60296</x:v>
      </x:c>
      <x:c r="C245" s="7" t="str">
        <x:v>Approved</x:v>
      </x:c>
      <x:c r="D245" s="7" t="str">
        <x:v>PASS</x:v>
      </x:c>
      <x:c r="E245" s="13" t="str">
        <x:v>Pending</x:v>
      </x:c>
      <x:c r="F245" s="13" t="str"/>
      <x:c r="G245" s="13" t="str"/>
      <x:c r="H245" s="13" t="str"/>
      <x:c r="I245" s="7" t="str">
        <x:v>Confirm approval criteria and any unrecorded reason.</x:v>
      </x:c>
      <x:c r="J245" s="7" t="str">
        <x:v>P1</x:v>
      </x:c>
      <x:c r="K245" s="7" t="str">
        <x:v>Passes provisional observable screen; approval is independently established by PDF membership.</x:v>
      </x:c>
      <x:c r="L245" s="7" t="str">
        <x:v>Not supplied; membership is known, motive is not</x:v>
      </x:c>
      <x:c r="M245" s="7" t="n">
        <x:v>1</x:v>
      </x:c>
      <x:c r="N245" s="7" t="str">
        <x:v>First-call fit for stated IMO focus</x:v>
      </x:c>
      <x:c r="O245" s="7" t="str">
        <x:v>Active</x:v>
      </x:c>
      <x:c r="P245" s="7" t="str">
        <x:v>04/18/2007</x:v>
      </x:c>
      <x:c r="Q245" s="7" t="str">
        <x:v>04/30/2027</x:v>
      </x:c>
      <x:c r="R245" s="7" t="str">
        <x:v>Accident &amp; Health or Sickness; Life</x:v>
      </x:c>
      <x:c r="S245" s="15" t="str">
        <x:v>209-549-6138</x:v>
      </x:c>
      <x:c r="T245" s="7" t="str">
        <x:v>Current CDI</x:v>
      </x:c>
      <x:c r="U245" s="7" t="str">
        <x:v>2908 CENTURY PL MODESTO CA, 95355</x:v>
      </x:c>
      <x:c r="V245" s="7" t="str">
        <x:v>Resident</x:v>
      </x:c>
      <x:c r="W245" s="7" t="str">
        <x:v>CA</x:v>
      </x:c>
      <x:c r="X245" s="7" t="str"/>
      <x:c r="Y245" s="7" t="str">
        <x:v>LAFAYETTE LIFE INSURANCE COMPANY (THE) / Life / 09/30/2026
LIFE INSURANCE COMPANY OF THE SOUTHWEST / Accident &amp; Health or Sickness / 08/11/2026
LIFE INSURANCE COMPANY OF THE SOUTHWEST / Life / 08/11/2026
NATIONWIDE LIFE AND ANNUITY INSURANCE COMPANY / Accident &amp; Health or Sickness / 08/13/2026
NATIONWIDE LIFE AND ANNUITY INSURANCE COMPANY / Life / 08/13/2026</x:v>
      </x:c>
      <x:c r="Z245" s="7" t="str"/>
      <x:c r="AA245" s="7" t="str"/>
      <x:c r="AB245" s="7" t="str"/>
      <x:c r="AC245" s="7" t="str"/>
      <x:c r="AD245" s="7" t="str">
        <x:v>Active general Life authority | Direct Life appointments outside the selected health-carrier set: LAFAYETTE LIFE INSURANCE COMPANY (THE), LIFE INSURANCE COMPANY OF THE SOUTHWEST, NATIONWIDE LIFE AND ANNUITY INSURANCE COMPANY | Active A&amp;H supports optional cross-selling; not necessary for target products</x:v>
      </x:c>
      <x:c r="AE245" s="7" t="str"/>
      <x:c r="AF245" s="16" t="n">
        <x:v>19.5</x:v>
      </x:c>
      <x:c r="AG245" s="17" t="n">
        <x:v>204</x:v>
      </x:c>
      <x:c r="AH245" s="7" t="str">
        <x:v>2026-09-30</x:v>
      </x:c>
      <x:c r="AI245" s="7" t="str">
        <x:v>English</x:v>
      </x:c>
      <x:c r="AJ245" s="7" t="str">
        <x:v>Other / Affiliation Not Identified in Source (96)</x:v>
      </x:c>
      <x:c r="AK245" s="15" t="str">
        <x:v>209-549-6138</x:v>
      </x:c>
      <x:c r="AL245" s="7" t="str">
        <x:v>AGUILAR DAVID REQUIERO JR</x:v>
      </x:c>
      <x:c r="AM245" s="7" t="str">
        <x:v>AGUILAR REQUIERO DAVID</x:v>
      </x:c>
      <x:c r="AN245" s="7" t="str">
        <x:v>https://cdicloud.insurance.ca.gov/cal/LicenseDetail?SearchType=IND&amp;SearchLicNbr=0F60296&amp;SearchIndvId=1078378</x:v>
      </x:c>
      <x:c r="AO245" s="7" t="str">
        <x:v>2026-10-08</x:v>
      </x:c>
      <x:c r="AP245" s="7" t="str">
        <x:v>351beee53c84d7c94cc7d8f1f2e1529b3e6de6ae0a5412517394fc05d9c09f60</x:v>
      </x:c>
      <x:c r="AQ245" s="7" t="str">
        <x:v>Accident &amp; Health or Sickness / Active / 04/18/2007 / 05/06/2025 / 04/30/2027
Life / Active / 04/18/2007 / 05/06/2025 / 04/30/2027</x:v>
      </x:c>
      <x:c r="AR245" s="7" t="str">
        <x:v>Active</x:v>
      </x:c>
      <x:c r="AS245" s="7" t="str">
        <x:v>Current detail page</x:v>
      </x:c>
    </x:row>
    <x:row r="246" ht="52" customHeight="1">
      <x:c r="A246" s="7" t="str">
        <x:v>AGUILAR DEREK JESUS</x:v>
      </x:c>
      <x:c r="B246" s="14" t="str">
        <x:f>"4488120"</x:f>
        <x:v>4488120</x:v>
      </x:c>
      <x:c r="C246" s="7" t="str">
        <x:v>Approved</x:v>
      </x:c>
      <x:c r="D246" s="7" t="str">
        <x:v>PASS</x:v>
      </x:c>
      <x:c r="E246" s="13" t="str">
        <x:v>Pending</x:v>
      </x:c>
      <x:c r="F246" s="13" t="str"/>
      <x:c r="G246" s="13" t="str"/>
      <x:c r="H246" s="13" t="str"/>
      <x:c r="I246" s="7" t="str">
        <x:v>Confirm approval criteria and any unrecorded reason.</x:v>
      </x:c>
      <x:c r="J246" s="7" t="str">
        <x:v>P1</x:v>
      </x:c>
      <x:c r="K246" s="7" t="str">
        <x:v>Passes provisional observable screen; approval is independently established by PDF membership.</x:v>
      </x:c>
      <x:c r="L246" s="7" t="str">
        <x:v>Not supplied; membership is known, motive is not</x:v>
      </x:c>
      <x:c r="M246" s="7" t="n">
        <x:v>1</x:v>
      </x:c>
      <x:c r="N246" s="7" t="str">
        <x:v>First-call fit for stated IMO focus</x:v>
      </x:c>
      <x:c r="O246" s="7" t="str">
        <x:v>Active</x:v>
      </x:c>
      <x:c r="P246" s="7" t="str">
        <x:v>09/09/2025</x:v>
      </x:c>
      <x:c r="Q246" s="7" t="str">
        <x:v>09/30/2027</x:v>
      </x:c>
      <x:c r="R246" s="7" t="str">
        <x:v>Accident &amp; Health or Sickness; Life</x:v>
      </x:c>
      <x:c r="S246" s="15" t="str">
        <x:v>760-662-8216</x:v>
      </x:c>
      <x:c r="T246" s="7" t="str">
        <x:v>Current CDI</x:v>
      </x:c>
      <x:c r="U246" s="7" t="str">
        <x:v>12972 SUSANVILLE ST HESPERIA CA, 92344</x:v>
      </x:c>
      <x:c r="V246" s="7" t="str">
        <x:v>Resident</x:v>
      </x:c>
      <x:c r="W246" s="7" t="str">
        <x:v>CA</x:v>
      </x:c>
      <x:c r="X246" s="7" t="str"/>
      <x:c r="Y246" s="7" t="str">
        <x:v>BALTIMORE LIFE INSURANCE COMPANY (THE) / Life / 06/06/2026
COLONIAL LIFE &amp; ACCIDENT INSURANCE COMPANY / Accident &amp; Health or Sickness / 10/05/2025
COLONIAL LIFE &amp; ACCIDENT INSURANCE COMPANY / Life / 10/05/2025</x:v>
      </x:c>
      <x:c r="Z246" s="7" t="str"/>
      <x:c r="AA246" s="7" t="str"/>
      <x:c r="AB246" s="7" t="str"/>
      <x:c r="AC246" s="7" t="str"/>
      <x:c r="AD246" s="7" t="str">
        <x:v>Active general Life authority | Direct Life appointments outside the selected health-carrier set: BALTIMORE LIFE INSURANCE COMPANY (THE), COLONIAL LIFE &amp; ACCIDENT INSURANCE COMPANY | Active A&amp;H supports optional cross-selling; not necessary for target products</x:v>
      </x:c>
      <x:c r="AE246" s="7" t="str"/>
      <x:c r="AF246" s="16" t="n">
        <x:v>1.1</x:v>
      </x:c>
      <x:c r="AG246" s="17" t="n">
        <x:v>357</x:v>
      </x:c>
      <x:c r="AH246" s="7" t="str">
        <x:v>2026-06-06</x:v>
      </x:c>
      <x:c r="AI246" s="7" t="str">
        <x:v>English</x:v>
      </x:c>
      <x:c r="AJ246" s="7" t="str">
        <x:v>Other / Affiliation Not Identified in Source (96)</x:v>
      </x:c>
      <x:c r="AK246" s="15" t="str">
        <x:v>760-662-8216</x:v>
      </x:c>
      <x:c r="AL246" s="7" t="str">
        <x:v>AGUILAR DEREK JESUS</x:v>
      </x:c>
      <x:c r="AM246" s="7" t="str">
        <x:v>AGUILAR JESUS DEREK</x:v>
      </x:c>
      <x:c r="AN246" s="7" t="str">
        <x:v>https://cdicloud.insurance.ca.gov/cal/LicenseDetail?SearchType=IND&amp;SearchLicNbr=4488120&amp;SearchIndvId=4488120</x:v>
      </x:c>
      <x:c r="AO246" s="7" t="str">
        <x:v>2026-10-08</x:v>
      </x:c>
      <x:c r="AP246" s="7" t="str">
        <x:v>5dfe6932a3e75ee3089c25e64c5a0a641b0607f9af5537093ec90cd082df7ba5</x:v>
      </x:c>
      <x:c r="AQ246" s="7" t="str">
        <x:v>Accident &amp; Health or Sickness / Active / 09/09/2025 / 09/09/2025 / 09/30/2027
Life / Active / 09/09/2025 / 09/09/2025 / 09/30/2027</x:v>
      </x:c>
      <x:c r="AR246" s="7" t="str">
        <x:v>Active</x:v>
      </x:c>
      <x:c r="AS246" s="7" t="str">
        <x:v>Current detail page</x:v>
      </x:c>
    </x:row>
    <x:row r="247" ht="52" customHeight="1">
      <x:c r="A247" s="7" t="str">
        <x:v>AGUILAR DIEGO ARMANDO</x:v>
      </x:c>
      <x:c r="B247" s="14" t="str">
        <x:f>"4444206"</x:f>
        <x:v>4444206</x:v>
      </x:c>
      <x:c r="C247" s="7" t="str">
        <x:v>Approved</x:v>
      </x:c>
      <x:c r="D247" s="7" t="str">
        <x:v>PASS</x:v>
      </x:c>
      <x:c r="E247" s="13" t="str">
        <x:v>Pending</x:v>
      </x:c>
      <x:c r="F247" s="13" t="str"/>
      <x:c r="G247" s="13" t="str"/>
      <x:c r="H247" s="13" t="str"/>
      <x:c r="I247" s="7" t="str">
        <x:v>Confirm approval criteria and any unrecorded reason.</x:v>
      </x:c>
      <x:c r="J247" s="7" t="str">
        <x:v>P1</x:v>
      </x:c>
      <x:c r="K247" s="7" t="str">
        <x:v>Passes provisional observable screen; approval is independently established by PDF membership.</x:v>
      </x:c>
      <x:c r="L247" s="7" t="str">
        <x:v>Not supplied; membership is known, motive is not</x:v>
      </x:c>
      <x:c r="M247" s="7" t="n">
        <x:v>1</x:v>
      </x:c>
      <x:c r="N247" s="7" t="str">
        <x:v>First-call fit for stated IMO focus</x:v>
      </x:c>
      <x:c r="O247" s="7" t="str">
        <x:v>Active</x:v>
      </x:c>
      <x:c r="P247" s="7" t="str">
        <x:v>02/19/2025</x:v>
      </x:c>
      <x:c r="Q247" s="7" t="str">
        <x:v>02/28/2027</x:v>
      </x:c>
      <x:c r="R247" s="7" t="str">
        <x:v>Accident &amp; Health or Sickness; Life</x:v>
      </x:c>
      <x:c r="S247" s="15" t="str">
        <x:v>510-393-1243</x:v>
      </x:c>
      <x:c r="T247" s="7" t="str">
        <x:v>Current CDI</x:v>
      </x:c>
      <x:c r="U247" s="7" t="str">
        <x:v>242 HARRISON AVE REDWOOD CITY CA, 94062</x:v>
      </x:c>
      <x:c r="V247" s="7" t="str">
        <x:v>Resident</x:v>
      </x:c>
      <x:c r="W247" s="7" t="str">
        <x:v>CA</x:v>
      </x:c>
      <x:c r="X247" s="7" t="str"/>
      <x:c r="Y247" s="7" t="str"/>
      <x:c r="Z247" s="7" t="str"/>
      <x:c r="AA247" s="7" t="str"/>
      <x:c r="AB247" s="7" t="str"/>
      <x:c r="AC247" s="7" t="str"/>
      <x:c r="AD247" s="7" t="str">
        <x:v>Active general Life authority | No agency or insurer displayed: onboarding opportunity possible; existing business unknown | Active A&amp;H supports optional cross-selling; not necessary for target products</x:v>
      </x:c>
      <x:c r="AE247" s="7" t="str"/>
      <x:c r="AF247" s="16" t="n">
        <x:v>1.6</x:v>
      </x:c>
      <x:c r="AG247" s="17" t="n">
        <x:v>143</x:v>
      </x:c>
      <x:c r="AH247" s="7" t="str"/>
      <x:c r="AI247" s="7" t="str">
        <x:v>English</x:v>
      </x:c>
      <x:c r="AJ247" s="7" t="str">
        <x:v>Other / Affiliation Not Identified in Source (96)</x:v>
      </x:c>
      <x:c r="AK247" s="15" t="str">
        <x:v>510-393-1243</x:v>
      </x:c>
      <x:c r="AL247" s="7" t="str">
        <x:v>AGUILAR DIEGO ARMANDO</x:v>
      </x:c>
      <x:c r="AM247" s="7" t="str">
        <x:v>AGUILAR ARMANDO DIEGO</x:v>
      </x:c>
      <x:c r="AN247" s="7" t="str">
        <x:v>https://cdicloud.insurance.ca.gov/cal/LicenseDetail?SearchType=IND&amp;SearchLicNbr=4444206&amp;SearchIndvId=4444206</x:v>
      </x:c>
      <x:c r="AO247" s="7" t="str">
        <x:v>2026-10-08</x:v>
      </x:c>
      <x:c r="AP247" s="7" t="str">
        <x:v>8ebaa21eb07d3729e29f1f12d50b6460532c1f3c70cb087c340c117e4a970980</x:v>
      </x:c>
      <x:c r="AQ247" s="7" t="str">
        <x:v>Accident &amp; Health or Sickness / Active / 02/19/2025 / 02/19/2025 / 02/28/2027
Life / Active / 02/19/2025 / 02/19/2025 / 02/28/2027</x:v>
      </x:c>
      <x:c r="AR247" s="7" t="str">
        <x:v>Active</x:v>
      </x:c>
      <x:c r="AS247" s="7" t="str">
        <x:v>Current detail page</x:v>
      </x:c>
    </x:row>
    <x:row r="248" ht="52" customHeight="1">
      <x:c r="A248" s="7" t="str">
        <x:v>AGUILAR DOMITILA</x:v>
      </x:c>
      <x:c r="B248" s="14" t="str">
        <x:f>"4393549"</x:f>
        <x:v>4393549</x:v>
      </x:c>
      <x:c r="C248" s="7" t="str">
        <x:v>Approved</x:v>
      </x:c>
      <x:c r="D248" s="7" t="str">
        <x:v>PASS</x:v>
      </x:c>
      <x:c r="E248" s="13" t="str">
        <x:v>Pending</x:v>
      </x:c>
      <x:c r="F248" s="13" t="str"/>
      <x:c r="G248" s="13" t="str"/>
      <x:c r="H248" s="13" t="str"/>
      <x:c r="I248" s="7" t="str">
        <x:v>Confirm approval criteria and any unrecorded reason.</x:v>
      </x:c>
      <x:c r="J248" s="7" t="str">
        <x:v>P1</x:v>
      </x:c>
      <x:c r="K248" s="7" t="str">
        <x:v>Passes provisional observable screen; approval is independently established by PDF membership.</x:v>
      </x:c>
      <x:c r="L248" s="7" t="str">
        <x:v>Not supplied; membership is known, motive is not</x:v>
      </x:c>
      <x:c r="M248" s="7" t="n">
        <x:v>1</x:v>
      </x:c>
      <x:c r="N248" s="7" t="str">
        <x:v>First-call fit for stated IMO focus</x:v>
      </x:c>
      <x:c r="O248" s="7" t="str">
        <x:v>Active</x:v>
      </x:c>
      <x:c r="P248" s="7" t="str">
        <x:v>07/19/2024</x:v>
      </x:c>
      <x:c r="Q248" s="7" t="str">
        <x:v>07/31/2028</x:v>
      </x:c>
      <x:c r="R248" s="7" t="str">
        <x:v>Life</x:v>
      </x:c>
      <x:c r="S248" s="15" t="str">
        <x:v>818-636-4838</x:v>
      </x:c>
      <x:c r="T248" s="7" t="str">
        <x:v>Current CDI</x:v>
      </x:c>
      <x:c r="U248" s="7" t="str">
        <x:v>15650 DEVONSHIRE STREET SUITE 210 GRANADA HILLS CA, 91344</x:v>
      </x:c>
      <x:c r="V248" s="7" t="str">
        <x:v>Resident</x:v>
      </x:c>
      <x:c r="W248" s="7" t="str">
        <x:v>CA</x:v>
      </x:c>
      <x:c r="X248" s="7" t="str"/>
      <x:c r="Y248" s="7" t="str">
        <x:v>PRIMERICA LIFE INSURANCE COMPANY / Life / 07/22/2024</x:v>
      </x:c>
      <x:c r="Z248" s="7" t="str"/>
      <x:c r="AA248" s="7" t="str"/>
      <x:c r="AB248" s="7" t="str"/>
      <x:c r="AC248" s="7" t="str"/>
      <x:c r="AD248" s="7" t="str">
        <x:v>Active general Life authority | Primerica relationship: matches an explicitly targeted recruiting segment | Direct Life appointments outside the selected health-carrier set: PRIMERICA LIFE INSURANCE COMPANY</x:v>
      </x:c>
      <x:c r="AE248" s="7" t="str"/>
      <x:c r="AF248" s="16" t="n">
        <x:v>2.2</x:v>
      </x:c>
      <x:c r="AG248" s="17" t="n">
        <x:v>662</x:v>
      </x:c>
      <x:c r="AH248" s="7" t="str">
        <x:v>2024-07-22</x:v>
      </x:c>
      <x:c r="AI248" s="7" t="str">
        <x:v>English</x:v>
      </x:c>
      <x:c r="AJ248" s="7" t="str">
        <x:v>Primerica (33)</x:v>
      </x:c>
      <x:c r="AK248" s="15" t="str">
        <x:v>818-636-4838</x:v>
      </x:c>
      <x:c r="AL248" s="7" t="str">
        <x:v>AGUILAR DOMITILA</x:v>
      </x:c>
      <x:c r="AM248" s="7" t="str">
        <x:v>AGUILAR  DOMITILA</x:v>
      </x:c>
      <x:c r="AN248" s="7" t="str">
        <x:v>https://cdicloud.insurance.ca.gov/cal/LicenseDetail?SearchType=IND&amp;SearchLicNbr=4393549&amp;SearchIndvId=4393549</x:v>
      </x:c>
      <x:c r="AO248" s="7" t="str">
        <x:v>2026-10-08</x:v>
      </x:c>
      <x:c r="AP248" s="7" t="str">
        <x:v>0f50ec6c9be04098c0eab3e1a0d41d8c5e3e501c4c4e8bee9d07401dafa09a2e</x:v>
      </x:c>
      <x:c r="AQ248" s="7" t="str">
        <x:v>Life / Active / 07/19/2024 / 07/19/2024 / 07/31/2028</x:v>
      </x:c>
      <x:c r="AR248" s="7" t="str">
        <x:v>Active</x:v>
      </x:c>
      <x:c r="AS248" s="7" t="str">
        <x:v>Current detail page</x:v>
      </x:c>
    </x:row>
    <x:row r="249" ht="52" customHeight="1">
      <x:c r="A249" s="7" t="str">
        <x:v>AGUILAR ERAZO YENSY</x:v>
      </x:c>
      <x:c r="B249" s="14" t="str">
        <x:f>"4279164"</x:f>
        <x:v>4279164</x:v>
      </x:c>
      <x:c r="C249" s="7" t="str">
        <x:v>Approved</x:v>
      </x:c>
      <x:c r="D249" s="7" t="str">
        <x:v>PASS</x:v>
      </x:c>
      <x:c r="E249" s="13" t="str">
        <x:v>Pending</x:v>
      </x:c>
      <x:c r="F249" s="13" t="str"/>
      <x:c r="G249" s="13" t="str"/>
      <x:c r="H249" s="13" t="str"/>
      <x:c r="I249" s="7" t="str">
        <x:v>Confirm approval criteria and any unrecorded reason.</x:v>
      </x:c>
      <x:c r="J249" s="7" t="str">
        <x:v>P1</x:v>
      </x:c>
      <x:c r="K249" s="7" t="str">
        <x:v>Passes provisional observable screen; approval is independently established by PDF membership.</x:v>
      </x:c>
      <x:c r="L249" s="7" t="str">
        <x:v>Not supplied; membership is known, motive is not</x:v>
      </x:c>
      <x:c r="M249" s="7" t="n">
        <x:v>1</x:v>
      </x:c>
      <x:c r="N249" s="7" t="str">
        <x:v>First-call fit for stated IMO focus</x:v>
      </x:c>
      <x:c r="O249" s="7" t="str">
        <x:v>Active</x:v>
      </x:c>
      <x:c r="P249" s="7" t="str">
        <x:v>03/06/2023</x:v>
      </x:c>
      <x:c r="Q249" s="7" t="str">
        <x:v>03/31/2027</x:v>
      </x:c>
      <x:c r="R249" s="7" t="str">
        <x:v>Life</x:v>
      </x:c>
      <x:c r="S249" s="15" t="str">
        <x:v>909-125-4548</x:v>
      </x:c>
      <x:c r="T249" s="7" t="str">
        <x:v>Current CDI</x:v>
      </x:c>
      <x:c r="U249" s="7" t="str">
        <x:v>22324 TEMESCAL CAYON ROAD CORONA CA, 92883</x:v>
      </x:c>
      <x:c r="V249" s="7" t="str">
        <x:v>Resident</x:v>
      </x:c>
      <x:c r="W249" s="7" t="str">
        <x:v>CA</x:v>
      </x:c>
      <x:c r="X249" s="7" t="str"/>
      <x:c r="Y249" s="7" t="str"/>
      <x:c r="Z249" s="7" t="str"/>
      <x:c r="AA249" s="7" t="str"/>
      <x:c r="AB249" s="7" t="str"/>
      <x:c r="AC249" s="7" t="str"/>
      <x:c r="AD249" s="7" t="str">
        <x:v>Active general Life authority | No agency or insurer displayed: onboarding opportunity possible; existing business unknown</x:v>
      </x:c>
      <x:c r="AE249" s="7" t="str"/>
      <x:c r="AF249" s="16" t="n">
        <x:v>3.6</x:v>
      </x:c>
      <x:c r="AG249" s="17" t="n">
        <x:v>174</x:v>
      </x:c>
      <x:c r="AH249" s="7" t="str"/>
      <x:c r="AI249" s="7" t="str">
        <x:v>English</x:v>
      </x:c>
      <x:c r="AJ249" s="7" t="str">
        <x:v>Other / Affiliation Not Identified in Source (96)</x:v>
      </x:c>
      <x:c r="AK249" s="15" t="str">
        <x:v>909-125-4548</x:v>
      </x:c>
      <x:c r="AL249" s="7" t="str">
        <x:v>AGUILAR ERAZO YENSY</x:v>
      </x:c>
      <x:c r="AM249" s="7" t="str">
        <x:v>AGUILAR ERAZO  YENSY</x:v>
      </x:c>
      <x:c r="AN249" s="7" t="str">
        <x:v>https://cdicloud.insurance.ca.gov/cal/LicenseDetail?SearchType=IND&amp;SearchLicNbr=4279164&amp;SearchIndvId=4279164</x:v>
      </x:c>
      <x:c r="AO249" s="7" t="str">
        <x:v>2026-10-08</x:v>
      </x:c>
      <x:c r="AP249" s="7" t="str">
        <x:v>1abec2341e342e844f158659a7bb8237c70852bd2ac423cd9d16c4cca8002a14</x:v>
      </x:c>
      <x:c r="AQ249" s="7" t="str">
        <x:v>Life / Active / 03/06/2023 / 03/06/2023 / 03/31/2027</x:v>
      </x:c>
      <x:c r="AR249" s="7" t="str">
        <x:v>Active</x:v>
      </x:c>
      <x:c r="AS249" s="7" t="str">
        <x:v>Current detail page</x:v>
      </x:c>
    </x:row>
    <x:row r="250" ht="52" customHeight="1">
      <x:c r="A250" s="7" t="str">
        <x:v>AGUILAR FABIAN ELIAS</x:v>
      </x:c>
      <x:c r="B250" s="14" t="str">
        <x:f>"4457995"</x:f>
        <x:v>4457995</x:v>
      </x:c>
      <x:c r="C250" s="7" t="str">
        <x:v>Approved</x:v>
      </x:c>
      <x:c r="D250" s="7" t="str">
        <x:v>PASS</x:v>
      </x:c>
      <x:c r="E250" s="13" t="str">
        <x:v>Pending</x:v>
      </x:c>
      <x:c r="F250" s="13" t="str"/>
      <x:c r="G250" s="13" t="str"/>
      <x:c r="H250" s="13" t="str"/>
      <x:c r="I250" s="7" t="str">
        <x:v>Confirm approval criteria and any unrecorded reason.</x:v>
      </x:c>
      <x:c r="J250" s="7" t="str">
        <x:v>P1</x:v>
      </x:c>
      <x:c r="K250" s="7" t="str">
        <x:v>Passes provisional observable screen; approval is independently established by PDF membership.</x:v>
      </x:c>
      <x:c r="L250" s="7" t="str">
        <x:v>Not supplied; membership is known, motive is not</x:v>
      </x:c>
      <x:c r="M250" s="7" t="n">
        <x:v>1</x:v>
      </x:c>
      <x:c r="N250" s="7" t="str">
        <x:v>First-call fit for stated IMO focus</x:v>
      </x:c>
      <x:c r="O250" s="7" t="str">
        <x:v>Active</x:v>
      </x:c>
      <x:c r="P250" s="7" t="str">
        <x:v>04/24/2025</x:v>
      </x:c>
      <x:c r="Q250" s="7" t="str">
        <x:v>04/30/2027</x:v>
      </x:c>
      <x:c r="R250" s="7" t="str">
        <x:v>Life</x:v>
      </x:c>
      <x:c r="S250" s="15" t="str">
        <x:v>858-433-4429</x:v>
      </x:c>
      <x:c r="T250" s="7" t="str">
        <x:v>Current CDI</x:v>
      </x:c>
      <x:c r="U250" s="7" t="str">
        <x:v>5687 SILVER CREEK ROAD SAN JOSE CA, 95138</x:v>
      </x:c>
      <x:c r="V250" s="7" t="str">
        <x:v>Resident</x:v>
      </x:c>
      <x:c r="W250" s="7" t="str">
        <x:v>CA</x:v>
      </x:c>
      <x:c r="X250" s="7" t="str"/>
      <x:c r="Y250" s="7" t="str">
        <x:v>AMERICAN GENERAL LIFE INSURANCE COMPANY / Life / 05/17/2025
AMERICAN NATIONAL INSURANCE COMPANY / Life / 05/14/2025
NORTH AMERICAN COMPANY FOR LIFE AND HEALTH INSURANCE / Life / 05/15/2025</x:v>
      </x:c>
      <x:c r="Z250" s="7" t="str"/>
      <x:c r="AA250" s="7" t="str"/>
      <x:c r="AB250" s="7" t="str"/>
      <x:c r="AC250" s="7" t="str"/>
      <x:c r="AD250" s="7" t="str">
        <x:v>Active general Life authority | Direct Life appointments outside the selected health-carrier set: AMERICAN GENERAL LIFE INSURANCE COMPANY, AMERICAN NATIONAL INSURANCE COMPANY, NORTH AMERICAN COMPANY FOR LIFE AND HEALTH INSURANCE</x:v>
      </x:c>
      <x:c r="AE250" s="7" t="str"/>
      <x:c r="AF250" s="16" t="n">
        <x:v>1.5</x:v>
      </x:c>
      <x:c r="AG250" s="17" t="n">
        <x:v>204</x:v>
      </x:c>
      <x:c r="AH250" s="7" t="str">
        <x:v>2025-05-17</x:v>
      </x:c>
      <x:c r="AI250" s="7" t="str">
        <x:v>English</x:v>
      </x:c>
      <x:c r="AJ250" s="7" t="str">
        <x:v>Other / Affiliation Not Identified in Source (96)</x:v>
      </x:c>
      <x:c r="AK250" s="15" t="str">
        <x:v>858-433-4429</x:v>
      </x:c>
      <x:c r="AL250" s="7" t="str">
        <x:v>AGUILAR FABIAN ELIAS</x:v>
      </x:c>
      <x:c r="AM250" s="7" t="str">
        <x:v>AGUILAR ELIAS FABIAN</x:v>
      </x:c>
      <x:c r="AN250" s="7" t="str">
        <x:v>https://cdicloud.insurance.ca.gov/cal/LicenseDetail?SearchType=IND&amp;SearchLicNbr=4457995&amp;SearchIndvId=4457995</x:v>
      </x:c>
      <x:c r="AO250" s="7" t="str">
        <x:v>2026-10-08</x:v>
      </x:c>
      <x:c r="AP250" s="7" t="str">
        <x:v>630afbe46bf8bcc5e69f3291f1373abbaf30a181ddb9a9d1209129c314d9a52f</x:v>
      </x:c>
      <x:c r="AQ250" s="7" t="str">
        <x:v>Life / Active / 04/24/2025 / 04/24/2025 / 04/30/2027</x:v>
      </x:c>
      <x:c r="AR250" s="7" t="str">
        <x:v>Active</x:v>
      </x:c>
      <x:c r="AS250" s="7" t="str">
        <x:v>Current detail page</x:v>
      </x:c>
    </x:row>
    <x:row r="251" ht="52" customHeight="1">
      <x:c r="A251" s="7" t="str">
        <x:v>AGUILAR FERNANDO EDUARDO</x:v>
      </x:c>
      <x:c r="B251" s="14" t="str">
        <x:f>"4415905"</x:f>
        <x:v>4415905</x:v>
      </x:c>
      <x:c r="C251" s="7" t="str">
        <x:v>Approved</x:v>
      </x:c>
      <x:c r="D251" s="7" t="str">
        <x:v>PASS</x:v>
      </x:c>
      <x:c r="E251" s="13" t="str">
        <x:v>Pending</x:v>
      </x:c>
      <x:c r="F251" s="13" t="str"/>
      <x:c r="G251" s="13" t="str"/>
      <x:c r="H251" s="13" t="str"/>
      <x:c r="I251" s="7" t="str">
        <x:v>Confirm approval criteria and any unrecorded reason.</x:v>
      </x:c>
      <x:c r="J251" s="7" t="str">
        <x:v>P1</x:v>
      </x:c>
      <x:c r="K251" s="7" t="str">
        <x:v>Passes provisional observable screen; approval is independently established by PDF membership.</x:v>
      </x:c>
      <x:c r="L251" s="7" t="str">
        <x:v>Not supplied; membership is known, motive is not</x:v>
      </x:c>
      <x:c r="M251" s="7" t="n">
        <x:v>1</x:v>
      </x:c>
      <x:c r="N251" s="7" t="str">
        <x:v>First-call fit for stated IMO focus</x:v>
      </x:c>
      <x:c r="O251" s="7" t="str">
        <x:v>Active</x:v>
      </x:c>
      <x:c r="P251" s="7" t="str">
        <x:v>10/14/2024</x:v>
      </x:c>
      <x:c r="Q251" s="7" t="str">
        <x:v>10/31/2026</x:v>
      </x:c>
      <x:c r="R251" s="7" t="str">
        <x:v>Accident &amp; Health or Sickness; Life</x:v>
      </x:c>
      <x:c r="S251" s="15" t="str">
        <x:v>760-269-5915</x:v>
      </x:c>
      <x:c r="T251" s="7" t="str">
        <x:v>Current CDI</x:v>
      </x:c>
      <x:c r="U251" s="7" t="str">
        <x:v>15672 SITTINGBULL ST. VICTORVILLE CA, 92395</x:v>
      </x:c>
      <x:c r="V251" s="7" t="str">
        <x:v>Resident</x:v>
      </x:c>
      <x:c r="W251" s="7" t="str">
        <x:v>CA</x:v>
      </x:c>
      <x:c r="X251" s="7" t="str"/>
      <x:c r="Y251" s="7" t="str">
        <x:v>AMERICAN GENERAL LIFE INSURANCE COMPANY / Accident &amp; Health or Sickness / 04/01/2025
AMERICAN GENERAL LIFE INSURANCE COMPANY / Life / 04/01/2025
BALTIMORE LIFE INSURANCE COMPANY (THE) / Life / 11/25/2025
BANNER LIFE INSURANCE COMPANY / Life / 02/27/2026
FIDELITY &amp; GUARANTY LIFE INSURANCE COMPANY / Life / 05/05/2025
SAVINGS BANK MUTUAL LIFE INSURANCE COMPANY OF MASSACHUSETTS (THE) / Life / 06/03/2025</x:v>
      </x:c>
      <x:c r="Z251" s="7" t="str"/>
      <x:c r="AA251" s="7" t="str"/>
      <x:c r="AB251" s="7" t="str"/>
      <x:c r="AC251" s="7" t="str"/>
      <x:c r="AD251" s="7" t="str">
        <x:v>Active general Life authority | Direct Life appointments outside the selected health-carrier set: AMERICAN GENERAL LIFE INSURANCE COMPANY, BALTIMORE LIFE INSURANCE COMPANY (THE), BANNER LIFE INSURANCE COMPANY, FIDELITY &amp; GUARANTY LIFE INSURANCE COMPANY, SAVINGS BANK MUTUAL LIFE INSURANCE COMPANY OF MASSACHUSETTS (THE) | Active A&amp;H supports optional cross-selling; not necessary for target products</x:v>
      </x:c>
      <x:c r="AE251" s="7" t="str">
        <x:v>Life expiration in 23 days: confirm renewal during onboarding</x:v>
      </x:c>
      <x:c r="AF251" s="16" t="n">
        <x:v>2</x:v>
      </x:c>
      <x:c r="AG251" s="17" t="n">
        <x:v>23</x:v>
      </x:c>
      <x:c r="AH251" s="7" t="str">
        <x:v>2026-02-27</x:v>
      </x:c>
      <x:c r="AI251" s="7" t="str">
        <x:v>English</x:v>
      </x:c>
      <x:c r="AJ251" s="7" t="str">
        <x:v>Other / Affiliation Not Identified in Source (96)</x:v>
      </x:c>
      <x:c r="AK251" s="15" t="str">
        <x:v>760-269-5915</x:v>
      </x:c>
      <x:c r="AL251" s="7" t="str">
        <x:v>AGUILAR FERNANDO EDUARDO</x:v>
      </x:c>
      <x:c r="AM251" s="7" t="str">
        <x:v>AGUILAR Eduardo FERNANDO</x:v>
      </x:c>
      <x:c r="AN251" s="7" t="str">
        <x:v>https://cdicloud.insurance.ca.gov/cal/LicenseDetail?SearchType=IND&amp;SearchLicNbr=4415905&amp;SearchIndvId=4415905</x:v>
      </x:c>
      <x:c r="AO251" s="7" t="str">
        <x:v>2026-10-08</x:v>
      </x:c>
      <x:c r="AP251" s="7" t="str">
        <x:v>469db07e4373a481c091a28e34761dd586917ed078ca97917904e06802e7fc0f</x:v>
      </x:c>
      <x:c r="AQ251" s="7" t="str">
        <x:v>Accident &amp; Health or Sickness / Active / 10/14/2024 / 10/14/2024 / 10/31/2026
Life / Active / 10/14/2024 / 10/14/2024 / 10/31/2026</x:v>
      </x:c>
      <x:c r="AR251" s="7" t="str">
        <x:v>Active</x:v>
      </x:c>
      <x:c r="AS251" s="7" t="str">
        <x:v>Current detail page</x:v>
      </x:c>
    </x:row>
    <x:row r="252" ht="52" customHeight="1">
      <x:c r="A252" s="7" t="str">
        <x:v>AGUILAR FERNANDO THOMAS</x:v>
      </x:c>
      <x:c r="B252" s="14" t="str">
        <x:f>"4139467"</x:f>
        <x:v>4139467</x:v>
      </x:c>
      <x:c r="C252" s="7" t="str">
        <x:v>Approved</x:v>
      </x:c>
      <x:c r="D252" s="7" t="str">
        <x:v>PASS</x:v>
      </x:c>
      <x:c r="E252" s="13" t="str">
        <x:v>Pending</x:v>
      </x:c>
      <x:c r="F252" s="13" t="str"/>
      <x:c r="G252" s="13" t="str"/>
      <x:c r="H252" s="13" t="str"/>
      <x:c r="I252" s="7" t="str">
        <x:v>Confirm approval criteria and any unrecorded reason.</x:v>
      </x:c>
      <x:c r="J252" s="7" t="str">
        <x:v>P1</x:v>
      </x:c>
      <x:c r="K252" s="7" t="str">
        <x:v>Passes provisional observable screen; approval is independently established by PDF membership.</x:v>
      </x:c>
      <x:c r="L252" s="7" t="str">
        <x:v>Not supplied; membership is known, motive is not</x:v>
      </x:c>
      <x:c r="M252" s="7" t="n">
        <x:v>1</x:v>
      </x:c>
      <x:c r="N252" s="7" t="str">
        <x:v>First-call fit for stated IMO focus</x:v>
      </x:c>
      <x:c r="O252" s="7" t="str">
        <x:v>Active</x:v>
      </x:c>
      <x:c r="P252" s="7" t="str">
        <x:v>11/02/2021</x:v>
      </x:c>
      <x:c r="Q252" s="7" t="str">
        <x:v>11/30/2027</x:v>
      </x:c>
      <x:c r="R252" s="7" t="str">
        <x:v>Life</x:v>
      </x:c>
      <x:c r="S252" s="15" t="str">
        <x:v>415-304-7832</x:v>
      </x:c>
      <x:c r="T252" s="7" t="str">
        <x:v>Current CDI</x:v>
      </x:c>
      <x:c r="U252" s="7" t="str">
        <x:v>181 VALMAR TERRACE SAN FRANCISCO CA, 94112</x:v>
      </x:c>
      <x:c r="V252" s="7" t="str">
        <x:v>Resident</x:v>
      </x:c>
      <x:c r="W252" s="7" t="str">
        <x:v>CA</x:v>
      </x:c>
      <x:c r="X252" s="7" t="str"/>
      <x:c r="Y252" s="7" t="str">
        <x:v>AMERICAN GENERAL LIFE INSURANCE COMPANY / Life / 06/03/2026</x:v>
      </x:c>
      <x:c r="Z252" s="7" t="str"/>
      <x:c r="AA252" s="7" t="str"/>
      <x:c r="AB252" s="7" t="str"/>
      <x:c r="AC252" s="7" t="str"/>
      <x:c r="AD252" s="7" t="str">
        <x:v>Active general Life authority | Direct Life appointments outside the selected health-carrier set: AMERICAN GENERAL LIFE INSURANCE COMPANY</x:v>
      </x:c>
      <x:c r="AE252" s="7" t="str"/>
      <x:c r="AF252" s="16" t="n">
        <x:v>4.9</x:v>
      </x:c>
      <x:c r="AG252" s="17" t="n">
        <x:v>418</x:v>
      </x:c>
      <x:c r="AH252" s="7" t="str">
        <x:v>2026-06-03</x:v>
      </x:c>
      <x:c r="AI252" s="7" t="str">
        <x:v>English</x:v>
      </x:c>
      <x:c r="AJ252" s="7" t="str">
        <x:v>Other / Affiliation Not Identified in Source (96)</x:v>
      </x:c>
      <x:c r="AK252" s="15" t="str">
        <x:v>415-304-7832</x:v>
      </x:c>
      <x:c r="AL252" s="7" t="str">
        <x:v>AGUILAR FERNANDO THOMAS</x:v>
      </x:c>
      <x:c r="AM252" s="7" t="str">
        <x:v>AGUILAR THOMAS FERNANDO</x:v>
      </x:c>
      <x:c r="AN252" s="7" t="str">
        <x:v>https://cdicloud.insurance.ca.gov/cal/LicenseDetail?SearchType=IND&amp;SearchLicNbr=4139467&amp;SearchIndvId=4139467</x:v>
      </x:c>
      <x:c r="AO252" s="7" t="str">
        <x:v>2026-10-08</x:v>
      </x:c>
      <x:c r="AP252" s="7" t="str">
        <x:v>47157a72e46230972be396eac223769b12f87b751933e2a9f66f31eb5b1e88cd</x:v>
      </x:c>
      <x:c r="AQ252" s="7" t="str">
        <x:v>Life / Active / 11/02/2021 / 12/03/2025 / 11/30/2027</x:v>
      </x:c>
      <x:c r="AR252" s="7" t="str">
        <x:v>Active</x:v>
      </x:c>
      <x:c r="AS252" s="7" t="str">
        <x:v>Current detail page</x:v>
      </x:c>
    </x:row>
    <x:row r="253" ht="52" customHeight="1">
      <x:c r="A253" s="7" t="str">
        <x:v>AGUILAR FRANCISCO</x:v>
      </x:c>
      <x:c r="B253" s="14" t="str">
        <x:f>"4505442"</x:f>
        <x:v>4505442</x:v>
      </x:c>
      <x:c r="C253" s="7" t="str">
        <x:v>Approved</x:v>
      </x:c>
      <x:c r="D253" s="7" t="str">
        <x:v>PASS</x:v>
      </x:c>
      <x:c r="E253" s="13" t="str">
        <x:v>Pending</x:v>
      </x:c>
      <x:c r="F253" s="13" t="str"/>
      <x:c r="G253" s="13" t="str"/>
      <x:c r="H253" s="13" t="str"/>
      <x:c r="I253" s="7" t="str">
        <x:v>Confirm approval criteria and any unrecorded reason.</x:v>
      </x:c>
      <x:c r="J253" s="7" t="str">
        <x:v>P1</x:v>
      </x:c>
      <x:c r="K253" s="7" t="str">
        <x:v>Passes provisional observable screen; approval is independently established by PDF membership.</x:v>
      </x:c>
      <x:c r="L253" s="7" t="str">
        <x:v>Not supplied; membership is known, motive is not</x:v>
      </x:c>
      <x:c r="M253" s="7" t="n">
        <x:v>1</x:v>
      </x:c>
      <x:c r="N253" s="7" t="str">
        <x:v>First-call fit for stated IMO focus</x:v>
      </x:c>
      <x:c r="O253" s="7" t="str">
        <x:v>Active</x:v>
      </x:c>
      <x:c r="P253" s="7" t="str">
        <x:v>10/30/2025</x:v>
      </x:c>
      <x:c r="Q253" s="7" t="str">
        <x:v>10/31/2027</x:v>
      </x:c>
      <x:c r="R253" s="7" t="str">
        <x:v>Life</x:v>
      </x:c>
      <x:c r="S253" s="15" t="str">
        <x:v>714-403-1873</x:v>
      </x:c>
      <x:c r="T253" s="7" t="str">
        <x:v>Current CDI</x:v>
      </x:c>
      <x:c r="U253" s="7" t="str">
        <x:v>2285 INDIGO HILLS DR UNIT 6 CORONA CA, 92879</x:v>
      </x:c>
      <x:c r="V253" s="7" t="str">
        <x:v>Resident</x:v>
      </x:c>
      <x:c r="W253" s="7" t="str">
        <x:v>CA</x:v>
      </x:c>
      <x:c r="X253" s="7" t="str"/>
      <x:c r="Y253" s="7" t="str">
        <x:v>AMERICAN-AMICABLE LIFE INSURANCE COMPANY OF TEXAS / Life / 07/21/2026
AMERICO FINANCIAL LIFE AND ANNUITY INSURANCE COMPANY / Life / 09/15/2026
CMFG LIFE INSURANCE COMPANY / Life / 04/03/2026
FIDELITY LIFE ASSOCIATION, A LEGAL RESERVE LIFE INSURANCE COMPANY / Life / 09/16/2026
LIFE INSURANCE COMPANY OF THE SOUTHWEST / Life / 04/30/2026
SAVINGS BANK MUTUAL LIFE INSURANCE COMPANY OF MASSACHUSETTS (THE) / Life / 05/12/2026
TRANSAMERICA LIFE INSURANCE COMPANY / Life / 07/02/2026
UNITED OF OMAHA LIFE INSURANCE COMPANY / Life / 03/05/2026</x:v>
      </x:c>
      <x:c r="Z253" s="7" t="str"/>
      <x:c r="AA253" s="7" t="str"/>
      <x:c r="AB253" s="7" t="str"/>
      <x:c r="AC253" s="7" t="str"/>
      <x:c r="AD253" s="7" t="str">
        <x:v>Active general Life authority | Direct Life appointments outside the selected health-carrier set: AMERICAN-AMICABLE LIFE INSURANCE COMPANY OF TEXAS, AMERICO FINANCIAL LIFE AND ANNUITY INSURANCE COMPANY, CMFG LIFE INSURANCE COMPANY, FIDELITY LIFE ASSOCIATION, A LEGAL RESERVE LIFE INSURANCE COMPANY, LIFE INSURANCE COMPANY OF THE SOUTHWEST, SAVINGS BANK MUTUAL LIFE INSURANCE COMPANY OF MASSACHUSETTS (THE), TRANSAMERICA LIFE INSURANCE COMPANY, UNITED OF OMAHA LIFE INSURANCE COMPANY</x:v>
      </x:c>
      <x:c r="AE253" s="7" t="str"/>
      <x:c r="AF253" s="16" t="n">
        <x:v>0.9</x:v>
      </x:c>
      <x:c r="AG253" s="17" t="n">
        <x:v>388</x:v>
      </x:c>
      <x:c r="AH253" s="7" t="str">
        <x:v>2026-09-16</x:v>
      </x:c>
      <x:c r="AI253" s="7" t="str">
        <x:v>English</x:v>
      </x:c>
      <x:c r="AJ253" s="7" t="str">
        <x:v>Other / Affiliation Not Identified in Source (96)</x:v>
      </x:c>
      <x:c r="AK253" s="15" t="str">
        <x:v>714-403-1873</x:v>
      </x:c>
      <x:c r="AL253" s="7" t="str">
        <x:v>AGUILAR FRANCISCO</x:v>
      </x:c>
      <x:c r="AM253" s="7" t="str">
        <x:v>AGUILAR  FRANCISCO</x:v>
      </x:c>
      <x:c r="AN253" s="7" t="str">
        <x:v>https://cdicloud.insurance.ca.gov/cal/LicenseDetail?SearchType=IND&amp;SearchLicNbr=4505442&amp;SearchIndvId=4505442</x:v>
      </x:c>
      <x:c r="AO253" s="7" t="str">
        <x:v>2026-10-08</x:v>
      </x:c>
      <x:c r="AP253" s="7" t="str">
        <x:v>8620c3b1e60fa3411d70f116b5fdfcf574c587da41226aa27926affe0ed68509</x:v>
      </x:c>
      <x:c r="AQ253" s="7" t="str">
        <x:v>Life / Active / 10/30/2025 / 10/30/2025 / 10/31/2027</x:v>
      </x:c>
      <x:c r="AR253" s="7" t="str">
        <x:v>Active</x:v>
      </x:c>
      <x:c r="AS253" s="7" t="str">
        <x:v>Current detail page</x:v>
      </x:c>
    </x:row>
    <x:row r="254" ht="52" customHeight="1">
      <x:c r="A254" s="7" t="str">
        <x:v>AGUILAR FRANCISCO</x:v>
      </x:c>
      <x:c r="B254" s="14" t="str">
        <x:f>"4518371"</x:f>
        <x:v>4518371</x:v>
      </x:c>
      <x:c r="C254" s="7" t="str">
        <x:v>Approved</x:v>
      </x:c>
      <x:c r="D254" s="7" t="str">
        <x:v>PASS</x:v>
      </x:c>
      <x:c r="E254" s="13" t="str">
        <x:v>Pending</x:v>
      </x:c>
      <x:c r="F254" s="13" t="str"/>
      <x:c r="G254" s="13" t="str"/>
      <x:c r="H254" s="13" t="str"/>
      <x:c r="I254" s="7" t="str">
        <x:v>Confirm approval criteria and any unrecorded reason.</x:v>
      </x:c>
      <x:c r="J254" s="7" t="str">
        <x:v>P1</x:v>
      </x:c>
      <x:c r="K254" s="7" t="str">
        <x:v>Passes provisional observable screen; approval is independently established by PDF membership.</x:v>
      </x:c>
      <x:c r="L254" s="7" t="str">
        <x:v>Not supplied; membership is known, motive is not</x:v>
      </x:c>
      <x:c r="M254" s="7" t="n">
        <x:v>1</x:v>
      </x:c>
      <x:c r="N254" s="7" t="str">
        <x:v>First-call fit for stated IMO focus</x:v>
      </x:c>
      <x:c r="O254" s="7" t="str">
        <x:v>Active</x:v>
      </x:c>
      <x:c r="P254" s="7" t="str">
        <x:v>01/05/2026</x:v>
      </x:c>
      <x:c r="Q254" s="7" t="str">
        <x:v>01/31/2028</x:v>
      </x:c>
      <x:c r="R254" s="7" t="str">
        <x:v>Life</x:v>
      </x:c>
      <x:c r="S254" s="15" t="str">
        <x:v>916-760-8538</x:v>
      </x:c>
      <x:c r="T254" s="7" t="str">
        <x:v>Current CDI</x:v>
      </x:c>
      <x:c r="U254" s="7" t="str">
        <x:v>2941 SUNRISE BLVD STE 260 RANCHO CORDOVA CA, 95742</x:v>
      </x:c>
      <x:c r="V254" s="7" t="str">
        <x:v>Resident</x:v>
      </x:c>
      <x:c r="W254" s="7" t="str">
        <x:v>CA</x:v>
      </x:c>
      <x:c r="X254" s="7" t="str"/>
      <x:c r="Y254" s="7" t="str">
        <x:v>PRIMERICA LIFE INSURANCE COMPANY / Life / 01/06/2026</x:v>
      </x:c>
      <x:c r="Z254" s="7" t="str"/>
      <x:c r="AA254" s="7" t="str"/>
      <x:c r="AB254" s="7" t="str"/>
      <x:c r="AC254" s="7" t="str"/>
      <x:c r="AD254" s="7" t="str">
        <x:v>Active general Life authority | Primerica relationship: matches an explicitly targeted recruiting segment | Direct Life appointments outside the selected health-carrier set: PRIMERICA LIFE INSURANCE COMPANY</x:v>
      </x:c>
      <x:c r="AE254" s="7" t="str"/>
      <x:c r="AF254" s="16" t="n">
        <x:v>0.8</x:v>
      </x:c>
      <x:c r="AG254" s="17" t="n">
        <x:v>480</x:v>
      </x:c>
      <x:c r="AH254" s="7" t="str">
        <x:v>2026-01-06</x:v>
      </x:c>
      <x:c r="AI254" s="7" t="str">
        <x:v>English</x:v>
      </x:c>
      <x:c r="AJ254" s="7" t="str">
        <x:v>Primerica (33)</x:v>
      </x:c>
      <x:c r="AK254" s="15" t="str">
        <x:v>916-760-8538</x:v>
      </x:c>
      <x:c r="AL254" s="7" t="str">
        <x:v>AGUILAR FRANCISCO</x:v>
      </x:c>
      <x:c r="AM254" s="7" t="str">
        <x:v>AGUILAR  FRANCISCO</x:v>
      </x:c>
      <x:c r="AN254" s="7" t="str">
        <x:v>https://cdicloud.insurance.ca.gov/cal/LicenseDetail?SearchType=IND&amp;SearchLicNbr=4518371&amp;SearchIndvId=4518371</x:v>
      </x:c>
      <x:c r="AO254" s="7" t="str">
        <x:v>2026-10-08</x:v>
      </x:c>
      <x:c r="AP254" s="7" t="str">
        <x:v>7d142a28070e91c1018fbb261133ed949a672c78797665350e68cb347bfccd3c</x:v>
      </x:c>
      <x:c r="AQ254" s="7" t="str">
        <x:v>Life / Active / 01/05/2026 / 01/05/2026 / 01/31/2028</x:v>
      </x:c>
      <x:c r="AR254" s="7" t="str">
        <x:v>Active</x:v>
      </x:c>
      <x:c r="AS254" s="7" t="str">
        <x:v>Current detail page</x:v>
      </x:c>
    </x:row>
    <x:row r="255" ht="52" customHeight="1">
      <x:c r="A255" s="7" t="str">
        <x:v>AGUILAR FRANCISCO JOAQUIN</x:v>
      </x:c>
      <x:c r="B255" s="14" t="str">
        <x:f>"4309704"</x:f>
        <x:v>4309704</x:v>
      </x:c>
      <x:c r="C255" s="7" t="str">
        <x:v>Approved</x:v>
      </x:c>
      <x:c r="D255" s="7" t="str">
        <x:v>PASS</x:v>
      </x:c>
      <x:c r="E255" s="13" t="str">
        <x:v>Pending</x:v>
      </x:c>
      <x:c r="F255" s="13" t="str"/>
      <x:c r="G255" s="13" t="str"/>
      <x:c r="H255" s="13" t="str"/>
      <x:c r="I255" s="7" t="str">
        <x:v>Confirm approval criteria and any unrecorded reason.</x:v>
      </x:c>
      <x:c r="J255" s="7" t="str">
        <x:v>P1</x:v>
      </x:c>
      <x:c r="K255" s="7" t="str">
        <x:v>Passes provisional observable screen; approval is independently established by PDF membership.</x:v>
      </x:c>
      <x:c r="L255" s="7" t="str">
        <x:v>Not supplied; membership is known, motive is not</x:v>
      </x:c>
      <x:c r="M255" s="7" t="n">
        <x:v>1</x:v>
      </x:c>
      <x:c r="N255" s="7" t="str">
        <x:v>First-call fit for stated IMO focus</x:v>
      </x:c>
      <x:c r="O255" s="7" t="str">
        <x:v>Active</x:v>
      </x:c>
      <x:c r="P255" s="7" t="str">
        <x:v>07/21/2023</x:v>
      </x:c>
      <x:c r="Q255" s="7" t="str">
        <x:v>07/31/2027</x:v>
      </x:c>
      <x:c r="R255" s="7" t="str">
        <x:v>Accident &amp; Health or Sickness; Life</x:v>
      </x:c>
      <x:c r="S255" s="15" t="str">
        <x:v>669-333-1091</x:v>
      </x:c>
      <x:c r="T255" s="7" t="str">
        <x:v>Current CDI</x:v>
      </x:c>
      <x:c r="U255" s="7" t="str">
        <x:v>400 CAPITOL MALL SACRAMENTO CA, 95814-4407</x:v>
      </x:c>
      <x:c r="V255" s="7" t="str">
        <x:v>Resident</x:v>
      </x:c>
      <x:c r="W255" s="7" t="str">
        <x:v>CA</x:v>
      </x:c>
      <x:c r="X255" s="7" t="str"/>
      <x:c r="Y255" s="7" t="str">
        <x:v>BANNER LIFE INSURANCE COMPANY / Life / 02/03/2026
LIBERTY BANKERS LIFE INSURANCE COMPANY / Life / 08/07/2026
LIFE INSURANCE COMPANY OF THE SOUTHWEST / Accident &amp; Health or Sickness / 06/30/2026
LIFE INSURANCE COMPANY OF THE SOUTHWEST / Life / 06/30/2026
SAVINGS BANK MUTUAL LIFE INSURANCE COMPANY OF MASSACHUSETTS (THE) / Life / 01/28/2026
TRANSAMERICA LIFE INSURANCE COMPANY / Accident &amp; Health or Sickness / 05/26/2026
TRANSAMERICA LIFE INSURANCE COMPANY / Life / 05/26/2026
UNITED HOME LIFE INSURANCE COMPANY / Life / 05/20/2026
UNITED OF OMAHA LIFE INSURANCE COMPANY / Accident &amp; Health or Sickness / 02/20/2026
UNITED OF OMAHA LIFE INSURANCE COMPANY / Life / 02/20/2026</x:v>
      </x:c>
      <x:c r="Z255" s="7" t="str"/>
      <x:c r="AA255" s="7" t="str"/>
      <x:c r="AB255" s="7" t="str"/>
      <x:c r="AC255" s="7" t="str"/>
      <x:c r="AD255" s="7" t="str">
        <x:v>Active general Life authority | Direct Life appointments outside the selected health-carrier set: BANNER LIFE INSURANCE COMPANY, LIBERTY BANKERS LIFE INSURANCE COMPANY, LIFE INSURANCE COMPANY OF THE SOUTHWEST, SAVINGS BANK MUTUAL LIFE INSURANCE COMPANY OF MASSACHUSETTS (THE), TRANSAMERICA LIFE INSURANCE COMPANY, UNITED HOME LIFE INSURANCE COMPANY, UNITED OF OMAHA LIFE INSURANCE COMPANY | Active A&amp;H supports optional cross-selling; not necessary for target products</x:v>
      </x:c>
      <x:c r="AE255" s="7" t="str"/>
      <x:c r="AF255" s="16" t="n">
        <x:v>3.2</x:v>
      </x:c>
      <x:c r="AG255" s="17" t="n">
        <x:v>296</x:v>
      </x:c>
      <x:c r="AH255" s="7" t="str">
        <x:v>2026-08-07</x:v>
      </x:c>
      <x:c r="AI255" s="7" t="str">
        <x:v>English</x:v>
      </x:c>
      <x:c r="AJ255" s="7" t="str">
        <x:v>Other / Affiliation Not Identified in Source (96)</x:v>
      </x:c>
      <x:c r="AK255" s="15" t="str">
        <x:v>669-333-1091</x:v>
      </x:c>
      <x:c r="AL255" s="7" t="str">
        <x:v>AGUILAR FRANCISCO JOAQUIN</x:v>
      </x:c>
      <x:c r="AM255" s="7" t="str">
        <x:v>AGUILAR JOAQUIN FRANCISCO</x:v>
      </x:c>
      <x:c r="AN255" s="7" t="str">
        <x:v>https://cdicloud.insurance.ca.gov/cal/LicenseDetail?SearchType=IND&amp;SearchLicNbr=4309704&amp;SearchIndvId=4309704</x:v>
      </x:c>
      <x:c r="AO255" s="7" t="str">
        <x:v>2026-10-08</x:v>
      </x:c>
      <x:c r="AP255" s="7" t="str">
        <x:v>9c87600d4dd1062db213bdd1f593fd8dadff6cd61a0d998c6a20a6a46bc37eb3</x:v>
      </x:c>
      <x:c r="AQ255" s="7" t="str">
        <x:v>Accident &amp; Health or Sickness / Active / 07/21/2023 / 07/21/2023 / 07/31/2027
Life / Active / 07/21/2023 / 07/21/2023 / 07/31/2027</x:v>
      </x:c>
      <x:c r="AR255" s="7" t="str">
        <x:v>Active</x:v>
      </x:c>
      <x:c r="AS255" s="7" t="str">
        <x:v>Current detail page</x:v>
      </x:c>
    </x:row>
    <x:row r="256" ht="52" customHeight="1">
      <x:c r="A256" s="7" t="str">
        <x:v>AGUILAR GABRIEL</x:v>
      </x:c>
      <x:c r="B256" s="14" t="str">
        <x:f>"4569991"</x:f>
        <x:v>4569991</x:v>
      </x:c>
      <x:c r="C256" s="7" t="str">
        <x:v>Approved</x:v>
      </x:c>
      <x:c r="D256" s="7" t="str">
        <x:v>PASS</x:v>
      </x:c>
      <x:c r="E256" s="13" t="str">
        <x:v>Pending</x:v>
      </x:c>
      <x:c r="F256" s="13" t="str"/>
      <x:c r="G256" s="13" t="str"/>
      <x:c r="H256" s="13" t="str"/>
      <x:c r="I256" s="7" t="str">
        <x:v>Confirm approval criteria and any unrecorded reason.</x:v>
      </x:c>
      <x:c r="J256" s="7" t="str">
        <x:v>P1</x:v>
      </x:c>
      <x:c r="K256" s="7" t="str">
        <x:v>Passes provisional observable screen; approval is independently established by PDF membership.</x:v>
      </x:c>
      <x:c r="L256" s="7" t="str">
        <x:v>Not supplied; membership is known, motive is not</x:v>
      </x:c>
      <x:c r="M256" s="7" t="n">
        <x:v>1</x:v>
      </x:c>
      <x:c r="N256" s="7" t="str">
        <x:v>First-call fit for stated IMO focus</x:v>
      </x:c>
      <x:c r="O256" s="7" t="str">
        <x:v>Active</x:v>
      </x:c>
      <x:c r="P256" s="7" t="str">
        <x:v>08/12/2026</x:v>
      </x:c>
      <x:c r="Q256" s="7" t="str">
        <x:v>08/31/2028</x:v>
      </x:c>
      <x:c r="R256" s="7" t="str">
        <x:v>Life</x:v>
      </x:c>
      <x:c r="S256" s="15" t="str">
        <x:v>559-765-2619</x:v>
      </x:c>
      <x:c r="T256" s="7" t="str">
        <x:v>Current CDI</x:v>
      </x:c>
      <x:c r="U256" s="7" t="str">
        <x:v>4991 E MCKINLEY AVE # 104 FRESNO CA, 93727</x:v>
      </x:c>
      <x:c r="V256" s="7" t="str">
        <x:v>Resident</x:v>
      </x:c>
      <x:c r="W256" s="7" t="str">
        <x:v>CA</x:v>
      </x:c>
      <x:c r="X256" s="7" t="str"/>
      <x:c r="Y256" s="7" t="str">
        <x:v>PRIMERICA LIFE INSURANCE COMPANY / Life / 08/13/2026</x:v>
      </x:c>
      <x:c r="Z256" s="7" t="str"/>
      <x:c r="AA256" s="7" t="str"/>
      <x:c r="AB256" s="7" t="str"/>
      <x:c r="AC256" s="7" t="str"/>
      <x:c r="AD256" s="7" t="str">
        <x:v>Active general Life authority | Primerica relationship: matches an explicitly targeted recruiting segment | Direct Life appointments outside the selected health-carrier set: PRIMERICA LIFE INSURANCE COMPANY</x:v>
      </x:c>
      <x:c r="AE256" s="7" t="str"/>
      <x:c r="AF256" s="16" t="n">
        <x:v>0.2</x:v>
      </x:c>
      <x:c r="AG256" s="17" t="n">
        <x:v>693</x:v>
      </x:c>
      <x:c r="AH256" s="7" t="str">
        <x:v>2026-08-13</x:v>
      </x:c>
      <x:c r="AI256" s="7" t="str">
        <x:v>English</x:v>
      </x:c>
      <x:c r="AJ256" s="7" t="str">
        <x:v>Primerica (33)</x:v>
      </x:c>
      <x:c r="AK256" s="15" t="str">
        <x:v>559-765-2619</x:v>
      </x:c>
      <x:c r="AL256" s="7" t="str">
        <x:v>AGUILAR GABRIEL</x:v>
      </x:c>
      <x:c r="AM256" s="7" t="str">
        <x:v>AGUILAR  GABRIEL</x:v>
      </x:c>
      <x:c r="AN256" s="7" t="str">
        <x:v>https://cdicloud.insurance.ca.gov/cal/LicenseDetail?SearchType=IND&amp;SearchLicNbr=4569991&amp;SearchIndvId=4569991</x:v>
      </x:c>
      <x:c r="AO256" s="7" t="str">
        <x:v>2026-10-08</x:v>
      </x:c>
      <x:c r="AP256" s="7" t="str">
        <x:v>822749226693de6e8c4ea8b9c81311b2ad17d710104a6caa2e737d76415cb8d8</x:v>
      </x:c>
      <x:c r="AQ256" s="7" t="str">
        <x:v>Life / Active / 08/12/2026 / 08/12/2026 / 08/31/2028</x:v>
      </x:c>
      <x:c r="AR256" s="7" t="str">
        <x:v>Active</x:v>
      </x:c>
      <x:c r="AS256" s="7" t="str">
        <x:v>Current detail page</x:v>
      </x:c>
    </x:row>
    <x:row r="257" ht="52" customHeight="1">
      <x:c r="A257" s="7" t="str">
        <x:v>AGUILAR GARCIA GABRIEL JUNIOR</x:v>
      </x:c>
      <x:c r="B257" s="14" t="str">
        <x:f>"4538465"</x:f>
        <x:v>4538465</x:v>
      </x:c>
      <x:c r="C257" s="7" t="str">
        <x:v>Approved</x:v>
      </x:c>
      <x:c r="D257" s="7" t="str">
        <x:v>PASS</x:v>
      </x:c>
      <x:c r="E257" s="13" t="str">
        <x:v>Pending</x:v>
      </x:c>
      <x:c r="F257" s="13" t="str"/>
      <x:c r="G257" s="13" t="str"/>
      <x:c r="H257" s="13" t="str"/>
      <x:c r="I257" s="7" t="str">
        <x:v>Confirm approval criteria and any unrecorded reason.</x:v>
      </x:c>
      <x:c r="J257" s="7" t="str">
        <x:v>P1</x:v>
      </x:c>
      <x:c r="K257" s="7" t="str">
        <x:v>Passes provisional observable screen; approval is independently established by PDF membership.</x:v>
      </x:c>
      <x:c r="L257" s="7" t="str">
        <x:v>Not supplied; membership is known, motive is not</x:v>
      </x:c>
      <x:c r="M257" s="7" t="n">
        <x:v>1</x:v>
      </x:c>
      <x:c r="N257" s="7" t="str">
        <x:v>First-call fit for stated IMO focus</x:v>
      </x:c>
      <x:c r="O257" s="7" t="str">
        <x:v>Active</x:v>
      </x:c>
      <x:c r="P257" s="7" t="str">
        <x:v>04/13/2026</x:v>
      </x:c>
      <x:c r="Q257" s="7" t="str">
        <x:v>04/30/2028</x:v>
      </x:c>
      <x:c r="R257" s="7" t="str">
        <x:v>Life</x:v>
      </x:c>
      <x:c r="S257" s="15" t="str">
        <x:v>951-233-5766</x:v>
      </x:c>
      <x:c r="T257" s="7" t="str">
        <x:v>Current CDI</x:v>
      </x:c>
      <x:c r="U257" s="7" t="str">
        <x:v>1855 CHICAGO AVE STE B RIVERSIDE CA, 92507</x:v>
      </x:c>
      <x:c r="V257" s="7" t="str">
        <x:v>Resident</x:v>
      </x:c>
      <x:c r="W257" s="7" t="str">
        <x:v>CA</x:v>
      </x:c>
      <x:c r="X257" s="7" t="str"/>
      <x:c r="Y257" s="7" t="str">
        <x:v>PRIMERICA LIFE INSURANCE COMPANY / Life / 04/14/2026</x:v>
      </x:c>
      <x:c r="Z257" s="7" t="str"/>
      <x:c r="AA257" s="7" t="str"/>
      <x:c r="AB257" s="7" t="str"/>
      <x:c r="AC257" s="7" t="str"/>
      <x:c r="AD257" s="7" t="str">
        <x:v>Active general Life authority | Primerica relationship: matches an explicitly targeted recruiting segment | Direct Life appointments outside the selected health-carrier set: PRIMERICA LIFE INSURANCE COMPANY</x:v>
      </x:c>
      <x:c r="AE257" s="7" t="str"/>
      <x:c r="AF257" s="16" t="n">
        <x:v>0.5</x:v>
      </x:c>
      <x:c r="AG257" s="17" t="n">
        <x:v>570</x:v>
      </x:c>
      <x:c r="AH257" s="7" t="str">
        <x:v>2026-04-14</x:v>
      </x:c>
      <x:c r="AI257" s="7" t="str">
        <x:v>English</x:v>
      </x:c>
      <x:c r="AJ257" s="7" t="str">
        <x:v>Primerica (33)</x:v>
      </x:c>
      <x:c r="AK257" s="15" t="str">
        <x:v>951-233-5766</x:v>
      </x:c>
      <x:c r="AL257" s="7" t="str">
        <x:v>AGUILAR GARCIA GABRIEL JUNIOR</x:v>
      </x:c>
      <x:c r="AM257" s="7" t="str">
        <x:v>Aguilar Garcia Jr Gabriel | AGUILAR GARCIA JUNIOR GABRIEL</x:v>
      </x:c>
      <x:c r="AN257" s="7" t="str">
        <x:v>https://cdicloud.insurance.ca.gov/cal/LicenseDetail?SearchType=IND&amp;SearchLicNbr=4538465&amp;SearchIndvId=4538465</x:v>
      </x:c>
      <x:c r="AO257" s="7" t="str">
        <x:v>2026-10-08</x:v>
      </x:c>
      <x:c r="AP257" s="7" t="str">
        <x:v>9b22fd16c1c356b7e0abb541876a49410b922cc60bd0771af9af8310e6c8d97c</x:v>
      </x:c>
      <x:c r="AQ257" s="7" t="str">
        <x:v>Life / Active / 04/13/2026 / 04/13/2026 / 04/30/2028</x:v>
      </x:c>
      <x:c r="AR257" s="7" t="str">
        <x:v>Active</x:v>
      </x:c>
      <x:c r="AS257" s="7" t="str">
        <x:v>Current detail page</x:v>
      </x:c>
    </x:row>
    <x:row r="258" ht="52" customHeight="1">
      <x:c r="A258" s="7" t="str">
        <x:v>AGUILAR GARCIA RICARDO</x:v>
      </x:c>
      <x:c r="B258" s="14" t="str">
        <x:f>"4393529"</x:f>
        <x:v>4393529</x:v>
      </x:c>
      <x:c r="C258" s="7" t="str">
        <x:v>Approved</x:v>
      </x:c>
      <x:c r="D258" s="7" t="str">
        <x:v>PASS</x:v>
      </x:c>
      <x:c r="E258" s="13" t="str">
        <x:v>Pending</x:v>
      </x:c>
      <x:c r="F258" s="13" t="str"/>
      <x:c r="G258" s="13" t="str"/>
      <x:c r="H258" s="13" t="str"/>
      <x:c r="I258" s="7" t="str">
        <x:v>Confirm approval criteria and any unrecorded reason.</x:v>
      </x:c>
      <x:c r="J258" s="7" t="str">
        <x:v>P1</x:v>
      </x:c>
      <x:c r="K258" s="7" t="str">
        <x:v>Passes provisional observable screen; approval is independently established by PDF membership.</x:v>
      </x:c>
      <x:c r="L258" s="7" t="str">
        <x:v>Not supplied; membership is known, motive is not</x:v>
      </x:c>
      <x:c r="M258" s="7" t="n">
        <x:v>1</x:v>
      </x:c>
      <x:c r="N258" s="7" t="str">
        <x:v>First-call fit for stated IMO focus</x:v>
      </x:c>
      <x:c r="O258" s="7" t="str">
        <x:v>Active</x:v>
      </x:c>
      <x:c r="P258" s="7" t="str">
        <x:v>08/28/2024</x:v>
      </x:c>
      <x:c r="Q258" s="7" t="str">
        <x:v>08/31/2028</x:v>
      </x:c>
      <x:c r="R258" s="7" t="str">
        <x:v>Life</x:v>
      </x:c>
      <x:c r="S258" s="15" t="str">
        <x:v>925-655-7769</x:v>
      </x:c>
      <x:c r="T258" s="7" t="str">
        <x:v>Current CDI</x:v>
      </x:c>
      <x:c r="U258" s="7" t="str">
        <x:v>2099 GOLD ST SUITE # 208 ALVISO CA, 95002</x:v>
      </x:c>
      <x:c r="V258" s="7" t="str">
        <x:v>Resident</x:v>
      </x:c>
      <x:c r="W258" s="7" t="str">
        <x:v>CA</x:v>
      </x:c>
      <x:c r="X258" s="7" t="str"/>
      <x:c r="Y258" s="7" t="str"/>
      <x:c r="Z258" s="7" t="str"/>
      <x:c r="AA258" s="7" t="str"/>
      <x:c r="AB258" s="7" t="str"/>
      <x:c r="AC258" s="7" t="str"/>
      <x:c r="AD258" s="7" t="str">
        <x:v>Active general Life authority | No agency or insurer displayed: onboarding opportunity possible; existing business unknown</x:v>
      </x:c>
      <x:c r="AE258" s="7" t="str"/>
      <x:c r="AF258" s="16" t="n">
        <x:v>2.1</x:v>
      </x:c>
      <x:c r="AG258" s="17" t="n">
        <x:v>693</x:v>
      </x:c>
      <x:c r="AH258" s="7" t="str"/>
      <x:c r="AI258" s="7" t="str">
        <x:v>English</x:v>
      </x:c>
      <x:c r="AJ258" s="7" t="str">
        <x:v>Other / Affiliation Not Identified in Source (96)</x:v>
      </x:c>
      <x:c r="AK258" s="15" t="str">
        <x:v>925-655-7769</x:v>
      </x:c>
      <x:c r="AL258" s="7" t="str">
        <x:v>AGUILAR GARCIA RICARDO</x:v>
      </x:c>
      <x:c r="AM258" s="7" t="str">
        <x:v>Aguilar  Ricardo | AGUILAR GARCIA  RICARDO</x:v>
      </x:c>
      <x:c r="AN258" s="7" t="str">
        <x:v>https://cdicloud.insurance.ca.gov/cal/LicenseDetail?SearchType=IND&amp;SearchLicNbr=4393529&amp;SearchIndvId=4393529</x:v>
      </x:c>
      <x:c r="AO258" s="7" t="str">
        <x:v>2026-10-08</x:v>
      </x:c>
      <x:c r="AP258" s="7" t="str">
        <x:v>02d1a8336af7f574107a9089af2cc936d6eb7db32303cbc212fa116bf507dc1c</x:v>
      </x:c>
      <x:c r="AQ258" s="7" t="str">
        <x:v>Life / Active / 08/28/2024 / 08/28/2024 / 08/31/2028</x:v>
      </x:c>
      <x:c r="AR258" s="7" t="str">
        <x:v>Active</x:v>
      </x:c>
      <x:c r="AS258" s="7" t="str">
        <x:v>Current detail page</x:v>
      </x:c>
    </x:row>
    <x:row r="259" ht="52" customHeight="1">
      <x:c r="A259" s="7" t="str">
        <x:v>AGUILAR GIOVANNA</x:v>
      </x:c>
      <x:c r="B259" s="14" t="str">
        <x:f>"4447166"</x:f>
        <x:v>4447166</x:v>
      </x:c>
      <x:c r="C259" s="7" t="str">
        <x:v>Approved</x:v>
      </x:c>
      <x:c r="D259" s="7" t="str">
        <x:v>PASS</x:v>
      </x:c>
      <x:c r="E259" s="13" t="str">
        <x:v>Pending</x:v>
      </x:c>
      <x:c r="F259" s="13" t="str"/>
      <x:c r="G259" s="13" t="str"/>
      <x:c r="H259" s="13" t="str"/>
      <x:c r="I259" s="7" t="str">
        <x:v>Confirm approval criteria and any unrecorded reason.</x:v>
      </x:c>
      <x:c r="J259" s="7" t="str">
        <x:v>P1</x:v>
      </x:c>
      <x:c r="K259" s="7" t="str">
        <x:v>Passes provisional observable screen; approval is independently established by PDF membership.</x:v>
      </x:c>
      <x:c r="L259" s="7" t="str">
        <x:v>Not supplied; membership is known, motive is not</x:v>
      </x:c>
      <x:c r="M259" s="7" t="n">
        <x:v>1</x:v>
      </x:c>
      <x:c r="N259" s="7" t="str">
        <x:v>First-call fit for stated IMO focus</x:v>
      </x:c>
      <x:c r="O259" s="7" t="str">
        <x:v>Active</x:v>
      </x:c>
      <x:c r="P259" s="7" t="str">
        <x:v>03/14/2025</x:v>
      </x:c>
      <x:c r="Q259" s="7" t="str">
        <x:v>03/31/2027</x:v>
      </x:c>
      <x:c r="R259" s="7" t="str">
        <x:v>Life</x:v>
      </x:c>
      <x:c r="S259" s="15" t="str">
        <x:v>909-567-7320</x:v>
      </x:c>
      <x:c r="T259" s="7" t="str">
        <x:v>Current CDI</x:v>
      </x:c>
      <x:c r="U259" s="7" t="str">
        <x:v>22324 TEMESCAL CANYON RD CORONA CA, 92883</x:v>
      </x:c>
      <x:c r="V259" s="7" t="str">
        <x:v>Resident</x:v>
      </x:c>
      <x:c r="W259" s="7" t="str">
        <x:v>CA</x:v>
      </x:c>
      <x:c r="X259" s="7" t="str"/>
      <x:c r="Y259" s="7" t="str">
        <x:v>AMERICAN NATIONAL INSURANCE COMPANY / Life / 03/27/2025
FIDELITY &amp; GUARANTY LIFE INSURANCE COMPANY / Life / 04/09/2025
LIFE INSURANCE COMPANY OF THE SOUTHWEST / Life / 04/15/2025
UNITED OF OMAHA LIFE INSURANCE COMPANY / Life / 09/18/2025</x:v>
      </x:c>
      <x:c r="Z259" s="7" t="str"/>
      <x:c r="AA259" s="7" t="str"/>
      <x:c r="AB259" s="7" t="str"/>
      <x:c r="AC259" s="7" t="str"/>
      <x:c r="AD259" s="7" t="str">
        <x:v>Active general Life authority | Direct Life appointments outside the selected health-carrier set: AMERICAN NATIONAL INSURANCE COMPANY, FIDELITY &amp; GUARANTY LIFE INSURANCE COMPANY, LIFE INSURANCE COMPANY OF THE SOUTHWEST, UNITED OF OMAHA LIFE INSURANCE COMPANY</x:v>
      </x:c>
      <x:c r="AE259" s="7" t="str"/>
      <x:c r="AF259" s="16" t="n">
        <x:v>1.6</x:v>
      </x:c>
      <x:c r="AG259" s="17" t="n">
        <x:v>174</x:v>
      </x:c>
      <x:c r="AH259" s="7" t="str">
        <x:v>2025-09-18</x:v>
      </x:c>
      <x:c r="AI259" s="7" t="str">
        <x:v>English</x:v>
      </x:c>
      <x:c r="AJ259" s="7" t="str">
        <x:v>Other / Affiliation Not Identified in Source (96)</x:v>
      </x:c>
      <x:c r="AK259" s="15" t="str">
        <x:v>909-567-7320</x:v>
      </x:c>
      <x:c r="AL259" s="7" t="str">
        <x:v>AGUILAR GIOVANNA</x:v>
      </x:c>
      <x:c r="AM259" s="7" t="str">
        <x:v>AGUILAR  GIOVANNA</x:v>
      </x:c>
      <x:c r="AN259" s="7" t="str">
        <x:v>https://cdicloud.insurance.ca.gov/cal/LicenseDetail?SearchType=IND&amp;SearchLicNbr=4447166&amp;SearchIndvId=4447166</x:v>
      </x:c>
      <x:c r="AO259" s="7" t="str">
        <x:v>2026-10-08</x:v>
      </x:c>
      <x:c r="AP259" s="7" t="str">
        <x:v>bbdee7ffd59d5887c6e210ceaea2286ff8d5b6862a842d46e2770a8e8cb0b8fd</x:v>
      </x:c>
      <x:c r="AQ259" s="7" t="str">
        <x:v>Life / Active / 03/14/2025 / 03/14/2025 / 03/31/2027</x:v>
      </x:c>
      <x:c r="AR259" s="7" t="str">
        <x:v>Active</x:v>
      </x:c>
      <x:c r="AS259" s="7" t="str">
        <x:v>Current detail page</x:v>
      </x:c>
    </x:row>
    <x:row r="260" ht="52" customHeight="1">
      <x:c r="A260" s="7" t="str">
        <x:v>AGUILAR GRYCELDA RUANO</x:v>
      </x:c>
      <x:c r="B260" s="14" t="str">
        <x:f>"0F81076"</x:f>
        <x:v>0F81076</x:v>
      </x:c>
      <x:c r="C260" s="7" t="str">
        <x:v>Approved</x:v>
      </x:c>
      <x:c r="D260" s="7" t="str">
        <x:v>PASS</x:v>
      </x:c>
      <x:c r="E260" s="13" t="str">
        <x:v>Pending</x:v>
      </x:c>
      <x:c r="F260" s="13" t="str"/>
      <x:c r="G260" s="13" t="str"/>
      <x:c r="H260" s="13" t="str"/>
      <x:c r="I260" s="7" t="str">
        <x:v>Confirm approval criteria and any unrecorded reason.</x:v>
      </x:c>
      <x:c r="J260" s="7" t="str">
        <x:v>P1</x:v>
      </x:c>
      <x:c r="K260" s="7" t="str">
        <x:v>Passes provisional observable screen; approval is independently established by PDF membership.</x:v>
      </x:c>
      <x:c r="L260" s="7" t="str">
        <x:v>Not supplied; membership is known, motive is not</x:v>
      </x:c>
      <x:c r="M260" s="7" t="n">
        <x:v>1</x:v>
      </x:c>
      <x:c r="N260" s="7" t="str">
        <x:v>First-call fit for stated IMO focus</x:v>
      </x:c>
      <x:c r="O260" s="7" t="str">
        <x:v>Active</x:v>
      </x:c>
      <x:c r="P260" s="7" t="str">
        <x:v>09/12/2007</x:v>
      </x:c>
      <x:c r="Q260" s="7" t="str">
        <x:v>09/30/2027</x:v>
      </x:c>
      <x:c r="R260" s="7" t="str">
        <x:v>Accident &amp; Health or Sickness; Life</x:v>
      </x:c>
      <x:c r="S260" s="15" t="str">
        <x:v>805-990-2167</x:v>
      </x:c>
      <x:c r="T260" s="7" t="str">
        <x:v>Current CDI</x:v>
      </x:c>
      <x:c r="U260" s="7" t="str">
        <x:v>515 MARIN ST STE 408 THOUSAND OAKS CA, 91360-4117</x:v>
      </x:c>
      <x:c r="V260" s="7" t="str">
        <x:v>Resident</x:v>
      </x:c>
      <x:c r="W260" s="7" t="str">
        <x:v>CA</x:v>
      </x:c>
      <x:c r="X260" s="7" t="str">
        <x:v>WORLD FINANCIAL GROUP INSURANCE AGENCY, LLC / Life / 10/13/2011
WORLD FINANCIAL GROUP INSURANCE AGENCY, LLC / Accident &amp; Health or Sickness / 10/13/2011</x:v>
      </x:c>
      <x:c r="Y260" s="7" t="str">
        <x:v>AMERICAN GENERAL LIFE INSURANCE COMPANY / Accident &amp; Health or Sickness / 08/26/2020
AMERICAN GENERAL LIFE INSURANCE COMPANY / Life / 08/26/2020
AMERICAN NATIONAL INSURANCE COMPANY / Life / 02/09/2021
AMERITAS LIFE INSURANCE CORP. / Life / 08/09/2026
ATHENE ANNUITY AND LIFE COMPANY / Life / 05/26/2021
DELAWARE LIFE INSURANCE COMPANY / Life / 02/18/2021
IA AMERICAN LIFE INSURANCE COMPANY / Life / 03/24/2022
LIFE INSURANCE COMPANY OF THE SOUTHWEST / Accident &amp; Health or Sickness / 08/04/2026
LIFE INSURANCE COMPANY OF THE SOUTHWEST / Life / 08/04/2026
MINNESOTA LIFE INSURANCE COMPANY / Accident &amp; Health or Sickness / 06/23/2022
MINNESOTA LIFE INSURANCE COMPANY / Life / 06/23/2022
NATIONWIDE LIFE AND ANNUITY INSURANCE COMPANY / Accident &amp; Health or Sickness / 11/30/2012
NATIONWIDE LIFE AND ANNUITY INSURANCE COMPANY / Life / 11/30/2012
NORTH AMERICAN COMPANY FOR LIFE AND HEALTH INSURANCE / Life / 05/11/2021
PROTECTIVE LIFE INSURANCE COMPANY / Accident &amp; Health or Sickness / 04/29/2026
PROTECTIVE LIFE INSURANCE COMPANY / Life / 04/29/2026
PRUCO LIFE INSURANCE COMPANY / Life / 02/07/2017</x:v>
      </x:c>
      <x:c r="Z260" s="7" t="str"/>
      <x:c r="AA260" s="7" t="str"/>
      <x:c r="AB260" s="7" t="str"/>
      <x:c r="AC260" s="7" t="str"/>
      <x:c r="AD260" s="7" t="str">
        <x:v>Active general Life authority | WFG relationship: matches an explicitly targeted recruiting segment | Direct Life appointments outside the selected health-carrier set: AMERICAN GENERAL LIFE INSURANCE COMPANY, AMERICAN NATIONAL INSURANCE COMPANY, AMERITAS LIFE INSURANCE CORP., ATHENE ANNUITY AND LIFE COMPANY, DELAWARE LIFE INSURANCE COMPANY, IA AMERICAN LIFE INSURANCE COMPANY, LIFE INSURANCE COMPANY OF THE SOUTHWEST, MINNESOTA LIFE INSURANCE COMPANY, NATIONWIDE LIFE AND ANNUITY INSURANCE COMPANY, NORTH AMERICAN COMPANY FOR LIFE AND HEALTH INSURANCE, PROTECTIVE LIFE INSURANCE COMPANY, PRUCO LIFE INSURANCE COMPANY | Active A&amp;H supports optional cross-selling; not necessary for target products</x:v>
      </x:c>
      <x:c r="AE260" s="7" t="str"/>
      <x:c r="AF260" s="16" t="n">
        <x:v>19.1</x:v>
      </x:c>
      <x:c r="AG260" s="17" t="n">
        <x:v>357</x:v>
      </x:c>
      <x:c r="AH260" s="7" t="str">
        <x:v>2026-08-09</x:v>
      </x:c>
      <x:c r="AI260" s="7" t="str">
        <x:v>English</x:v>
      </x:c>
      <x:c r="AJ260" s="7" t="str">
        <x:v>Other / Affiliation Not Identified in Source (96)</x:v>
      </x:c>
      <x:c r="AK260" s="15" t="str">
        <x:v>805-990-2167</x:v>
      </x:c>
      <x:c r="AL260" s="7" t="str">
        <x:v>AGUILAR GRYCELDA RUANO</x:v>
      </x:c>
      <x:c r="AM260" s="7" t="str">
        <x:v>AGUILAR RUANO GRYCELDA</x:v>
      </x:c>
      <x:c r="AN260" s="7" t="str">
        <x:v>https://cdicloud.insurance.ca.gov/cal/LicenseDetail?SearchType=IND&amp;SearchLicNbr=0F81076&amp;SearchIndvId=1101346</x:v>
      </x:c>
      <x:c r="AO260" s="7" t="str">
        <x:v>2026-10-08</x:v>
      </x:c>
      <x:c r="AP260" s="7" t="str">
        <x:v>8ab40d90a39d2b921e3fa4eb84c2d6026dd1fa6cd80a7c989f2fe51009856074</x:v>
      </x:c>
      <x:c r="AQ260" s="7" t="str">
        <x:v>Accident &amp; Health or Sickness / Active / 09/12/2007 / 10/13/2011 / 09/30/2027
Life / Active / 09/12/2007 / 10/13/2011 / 09/30/2027</x:v>
      </x:c>
      <x:c r="AR260" s="7" t="str">
        <x:v>Active</x:v>
      </x:c>
      <x:c r="AS260" s="7" t="str">
        <x:v>Current detail page</x:v>
      </x:c>
    </x:row>
    <x:row r="261" ht="52" customHeight="1">
      <x:c r="A261" s="7" t="str">
        <x:v>AGUILAR GUADALUPE</x:v>
      </x:c>
      <x:c r="B261" s="14" t="str">
        <x:f>"4525091"</x:f>
        <x:v>4525091</x:v>
      </x:c>
      <x:c r="C261" s="7" t="str">
        <x:v>Approved</x:v>
      </x:c>
      <x:c r="D261" s="7" t="str">
        <x:v>PASS</x:v>
      </x:c>
      <x:c r="E261" s="13" t="str">
        <x:v>Pending</x:v>
      </x:c>
      <x:c r="F261" s="13" t="str"/>
      <x:c r="G261" s="13" t="str"/>
      <x:c r="H261" s="13" t="str"/>
      <x:c r="I261" s="7" t="str">
        <x:v>Confirm approval criteria and any unrecorded reason.</x:v>
      </x:c>
      <x:c r="J261" s="7" t="str">
        <x:v>P1</x:v>
      </x:c>
      <x:c r="K261" s="7" t="str">
        <x:v>Passes provisional observable screen; approval is independently established by PDF membership.</x:v>
      </x:c>
      <x:c r="L261" s="7" t="str">
        <x:v>Not supplied; membership is known, motive is not</x:v>
      </x:c>
      <x:c r="M261" s="7" t="n">
        <x:v>1</x:v>
      </x:c>
      <x:c r="N261" s="7" t="str">
        <x:v>First-call fit for stated IMO focus</x:v>
      </x:c>
      <x:c r="O261" s="7" t="str">
        <x:v>Active</x:v>
      </x:c>
      <x:c r="P261" s="7" t="str">
        <x:v>02/06/2026</x:v>
      </x:c>
      <x:c r="Q261" s="7" t="str">
        <x:v>02/29/2028</x:v>
      </x:c>
      <x:c r="R261" s="7" t="str">
        <x:v>Life</x:v>
      </x:c>
      <x:c r="S261" s="15" t="str">
        <x:v>951-569-8766</x:v>
      </x:c>
      <x:c r="T261" s="7" t="str">
        <x:v>Current CDI</x:v>
      </x:c>
      <x:c r="U261" s="7" t="str">
        <x:v>23925 PARKLAND AVE MORENO VALLEY CA, 92557</x:v>
      </x:c>
      <x:c r="V261" s="7" t="str">
        <x:v>Resident</x:v>
      </x:c>
      <x:c r="W261" s="7" t="str">
        <x:v>CA</x:v>
      </x:c>
      <x:c r="X261" s="7" t="str"/>
      <x:c r="Y261" s="7" t="str">
        <x:v>ACCENDO INSURANCE COMPANY / Life / 06/25/2026
AMERICAN GENERAL LIFE INSURANCE COMPANY / Life / 04/13/2026</x:v>
      </x:c>
      <x:c r="Z261" s="7" t="str"/>
      <x:c r="AA261" s="7" t="str"/>
      <x:c r="AB261" s="7" t="str"/>
      <x:c r="AC261" s="7" t="str"/>
      <x:c r="AD261" s="7" t="str">
        <x:v>Active general Life authority | Direct Life appointments outside the selected health-carrier set: ACCENDO INSURANCE COMPANY, AMERICAN GENERAL LIFE INSURANCE COMPANY</x:v>
      </x:c>
      <x:c r="AE261" s="7" t="str"/>
      <x:c r="AF261" s="16" t="n">
        <x:v>0.7</x:v>
      </x:c>
      <x:c r="AG261" s="17" t="n">
        <x:v>509</x:v>
      </x:c>
      <x:c r="AH261" s="7" t="str">
        <x:v>2026-06-25</x:v>
      </x:c>
      <x:c r="AI261" s="7" t="str">
        <x:v>English</x:v>
      </x:c>
      <x:c r="AJ261" s="7" t="str">
        <x:v>Other / Affiliation Not Identified in Source (96)</x:v>
      </x:c>
      <x:c r="AK261" s="15" t="str">
        <x:v>951-569-8766</x:v>
      </x:c>
      <x:c r="AL261" s="7" t="str">
        <x:v>AGUILAR GUADALUPE</x:v>
      </x:c>
      <x:c r="AM261" s="7" t="str">
        <x:v>AGUILAR  GUADALUPE</x:v>
      </x:c>
      <x:c r="AN261" s="7" t="str">
        <x:v>https://cdicloud.insurance.ca.gov/cal/LicenseDetail?SearchType=IND&amp;SearchLicNbr=4525091&amp;SearchIndvId=4525091</x:v>
      </x:c>
      <x:c r="AO261" s="7" t="str">
        <x:v>2026-10-08</x:v>
      </x:c>
      <x:c r="AP261" s="7" t="str">
        <x:v>6b17a888bc2213bb3ae328edc9f833d06dcbe95e4f62c01e9b3ead1113f99387</x:v>
      </x:c>
      <x:c r="AQ261" s="7" t="str">
        <x:v>Life / Active / 02/06/2026 / 02/06/2026 / 02/29/2028</x:v>
      </x:c>
      <x:c r="AR261" s="7" t="str">
        <x:v>Active</x:v>
      </x:c>
      <x:c r="AS261" s="7" t="str">
        <x:v>Current detail page</x:v>
      </x:c>
    </x:row>
    <x:row r="262" ht="52" customHeight="1">
      <x:c r="A262" s="7" t="str">
        <x:v>AGUILAR HECTOR ALEXANDER</x:v>
      </x:c>
      <x:c r="B262" s="14" t="str">
        <x:f>"4468436"</x:f>
        <x:v>4468436</x:v>
      </x:c>
      <x:c r="C262" s="7" t="str">
        <x:v>Approved</x:v>
      </x:c>
      <x:c r="D262" s="7" t="str">
        <x:v>PASS</x:v>
      </x:c>
      <x:c r="E262" s="13" t="str">
        <x:v>Pending</x:v>
      </x:c>
      <x:c r="F262" s="13" t="str"/>
      <x:c r="G262" s="13" t="str"/>
      <x:c r="H262" s="13" t="str"/>
      <x:c r="I262" s="7" t="str">
        <x:v>Confirm approval criteria and any unrecorded reason.</x:v>
      </x:c>
      <x:c r="J262" s="7" t="str">
        <x:v>P1</x:v>
      </x:c>
      <x:c r="K262" s="7" t="str">
        <x:v>Passes provisional observable screen; approval is independently established by PDF membership.</x:v>
      </x:c>
      <x:c r="L262" s="7" t="str">
        <x:v>Not supplied; membership is known, motive is not</x:v>
      </x:c>
      <x:c r="M262" s="7" t="n">
        <x:v>1</x:v>
      </x:c>
      <x:c r="N262" s="7" t="str">
        <x:v>First-call fit for stated IMO focus</x:v>
      </x:c>
      <x:c r="O262" s="7" t="str">
        <x:v>Active</x:v>
      </x:c>
      <x:c r="P262" s="7" t="str">
        <x:v>06/19/2025</x:v>
      </x:c>
      <x:c r="Q262" s="7" t="str">
        <x:v>06/30/2027</x:v>
      </x:c>
      <x:c r="R262" s="7" t="str">
        <x:v>Life</x:v>
      </x:c>
      <x:c r="S262" s="15" t="str">
        <x:v>818-425-9896</x:v>
      </x:c>
      <x:c r="T262" s="7" t="str">
        <x:v>Current CDI</x:v>
      </x:c>
      <x:c r="U262" s="7" t="str">
        <x:v>21080 CENTRE POINTE PKWY SUITE 102 SANTA CLARITA CA, 91350</x:v>
      </x:c>
      <x:c r="V262" s="7" t="str">
        <x:v>Resident</x:v>
      </x:c>
      <x:c r="W262" s="7" t="str">
        <x:v>CA</x:v>
      </x:c>
      <x:c r="X262" s="7" t="str"/>
      <x:c r="Y262" s="7" t="str">
        <x:v>PRIMERICA LIFE INSURANCE COMPANY / Life / 06/20/2025</x:v>
      </x:c>
      <x:c r="Z262" s="7" t="str"/>
      <x:c r="AA262" s="7" t="str"/>
      <x:c r="AB262" s="7" t="str"/>
      <x:c r="AC262" s="7" t="str"/>
      <x:c r="AD262" s="7" t="str">
        <x:v>Active general Life authority | Primerica relationship: matches an explicitly targeted recruiting segment | Direct Life appointments outside the selected health-carrier set: PRIMERICA LIFE INSURANCE COMPANY</x:v>
      </x:c>
      <x:c r="AE262" s="7" t="str"/>
      <x:c r="AF262" s="16" t="n">
        <x:v>1.3</x:v>
      </x:c>
      <x:c r="AG262" s="17" t="n">
        <x:v>265</x:v>
      </x:c>
      <x:c r="AH262" s="7" t="str">
        <x:v>2025-06-20</x:v>
      </x:c>
      <x:c r="AI262" s="7" t="str">
        <x:v>English</x:v>
      </x:c>
      <x:c r="AJ262" s="7" t="str">
        <x:v>Primerica (33)</x:v>
      </x:c>
      <x:c r="AK262" s="15" t="str">
        <x:v>818-425-9896</x:v>
      </x:c>
      <x:c r="AL262" s="7" t="str">
        <x:v>AGUILAR HECTOR ALEXANDER</x:v>
      </x:c>
      <x:c r="AM262" s="7" t="str">
        <x:v>AGUILAR ALEXANDER HECTOR</x:v>
      </x:c>
      <x:c r="AN262" s="7" t="str">
        <x:v>https://cdicloud.insurance.ca.gov/cal/LicenseDetail?SearchType=IND&amp;SearchLicNbr=4468436&amp;SearchIndvId=4468436</x:v>
      </x:c>
      <x:c r="AO262" s="7" t="str">
        <x:v>2026-10-08</x:v>
      </x:c>
      <x:c r="AP262" s="7" t="str">
        <x:v>24123b814652c719a2d30a97a60db221e3544024bd764ad9ba71a39031221b38</x:v>
      </x:c>
      <x:c r="AQ262" s="7" t="str">
        <x:v>Life / Active / 06/19/2025 / 06/19/2025 / 06/30/2027</x:v>
      </x:c>
      <x:c r="AR262" s="7" t="str">
        <x:v>Active</x:v>
      </x:c>
      <x:c r="AS262" s="7" t="str">
        <x:v>Current detail page</x:v>
      </x:c>
    </x:row>
    <x:row r="263" ht="52" customHeight="1">
      <x:c r="A263" s="7" t="str">
        <x:v>AGUILAR HERNANDEZ DIANA ELIZABETH</x:v>
      </x:c>
      <x:c r="B263" s="14" t="str">
        <x:f>"4543709"</x:f>
        <x:v>4543709</x:v>
      </x:c>
      <x:c r="C263" s="7" t="str">
        <x:v>Approved</x:v>
      </x:c>
      <x:c r="D263" s="7" t="str">
        <x:v>PASS</x:v>
      </x:c>
      <x:c r="E263" s="13" t="str">
        <x:v>Pending</x:v>
      </x:c>
      <x:c r="F263" s="13" t="str"/>
      <x:c r="G263" s="13" t="str"/>
      <x:c r="H263" s="13" t="str"/>
      <x:c r="I263" s="7" t="str">
        <x:v>Confirm approval criteria and any unrecorded reason.</x:v>
      </x:c>
      <x:c r="J263" s="7" t="str">
        <x:v>P1</x:v>
      </x:c>
      <x:c r="K263" s="7" t="str">
        <x:v>Passes provisional observable screen; approval is independently established by PDF membership.</x:v>
      </x:c>
      <x:c r="L263" s="7" t="str">
        <x:v>Not supplied; membership is known, motive is not</x:v>
      </x:c>
      <x:c r="M263" s="7" t="n">
        <x:v>1</x:v>
      </x:c>
      <x:c r="N263" s="7" t="str">
        <x:v>First-call fit for stated IMO focus</x:v>
      </x:c>
      <x:c r="O263" s="7" t="str">
        <x:v>Active</x:v>
      </x:c>
      <x:c r="P263" s="7" t="str">
        <x:v>05/12/2026</x:v>
      </x:c>
      <x:c r="Q263" s="7" t="str">
        <x:v>05/31/2028</x:v>
      </x:c>
      <x:c r="R263" s="7" t="str">
        <x:v>Life</x:v>
      </x:c>
      <x:c r="S263" s="15" t="str">
        <x:v>760-899-3893</x:v>
      </x:c>
      <x:c r="T263" s="7" t="str">
        <x:v>Current CDI</x:v>
      </x:c>
      <x:c r="U263" s="7" t="str">
        <x:v>42575 MELANIE PL STE K PALM DESERT CA, 92211</x:v>
      </x:c>
      <x:c r="V263" s="7" t="str">
        <x:v>Resident</x:v>
      </x:c>
      <x:c r="W263" s="7" t="str">
        <x:v>CA</x:v>
      </x:c>
      <x:c r="X263" s="7" t="str"/>
      <x:c r="Y263" s="7" t="str">
        <x:v>PRIMERICA LIFE INSURANCE COMPANY / Life / 05/13/2026</x:v>
      </x:c>
      <x:c r="Z263" s="7" t="str"/>
      <x:c r="AA263" s="7" t="str"/>
      <x:c r="AB263" s="7" t="str"/>
      <x:c r="AC263" s="7" t="str"/>
      <x:c r="AD263" s="7" t="str">
        <x:v>Active general Life authority | Primerica relationship: matches an explicitly targeted recruiting segment | Direct Life appointments outside the selected health-carrier set: PRIMERICA LIFE INSURANCE COMPANY</x:v>
      </x:c>
      <x:c r="AE263" s="7" t="str"/>
      <x:c r="AF263" s="16" t="n">
        <x:v>0.4</x:v>
      </x:c>
      <x:c r="AG263" s="17" t="n">
        <x:v>601</x:v>
      </x:c>
      <x:c r="AH263" s="7" t="str">
        <x:v>2026-05-13</x:v>
      </x:c>
      <x:c r="AI263" s="7" t="str">
        <x:v>English</x:v>
      </x:c>
      <x:c r="AJ263" s="7" t="str">
        <x:v>Primerica (33)</x:v>
      </x:c>
      <x:c r="AK263" s="15" t="str">
        <x:v>760-899-3893</x:v>
      </x:c>
      <x:c r="AL263" s="7" t="str">
        <x:v>AGUILAR HERNANDEZ DIANA ELIZABETH</x:v>
      </x:c>
      <x:c r="AM263" s="7" t="str">
        <x:v>AGUILAR HERNANDEZ ELIZABETH DIANA</x:v>
      </x:c>
      <x:c r="AN263" s="7" t="str">
        <x:v>https://cdicloud.insurance.ca.gov/cal/LicenseDetail?SearchType=IND&amp;SearchLicNbr=4543709&amp;SearchIndvId=4543709</x:v>
      </x:c>
      <x:c r="AO263" s="7" t="str">
        <x:v>2026-10-08</x:v>
      </x:c>
      <x:c r="AP263" s="7" t="str">
        <x:v>12ba80b13cdbf58cf464d7b3bbf9613f8bb498c45f9dd92b7d23c870ffbaa2bd</x:v>
      </x:c>
      <x:c r="AQ263" s="7" t="str">
        <x:v>Life / Active / 05/12/2026 / 05/12/2026 / 05/31/2028</x:v>
      </x:c>
      <x:c r="AR263" s="7" t="str">
        <x:v>Active</x:v>
      </x:c>
      <x:c r="AS263" s="7" t="str">
        <x:v>Current detail page</x:v>
      </x:c>
    </x:row>
    <x:row r="264" ht="52" customHeight="1">
      <x:c r="A264" s="7" t="str">
        <x:v>AGUILAR HERNANDEZ FERNANDO</x:v>
      </x:c>
      <x:c r="B264" s="14" t="str">
        <x:f>"4480027"</x:f>
        <x:v>4480027</x:v>
      </x:c>
      <x:c r="C264" s="7" t="str">
        <x:v>Approved</x:v>
      </x:c>
      <x:c r="D264" s="7" t="str">
        <x:v>PASS</x:v>
      </x:c>
      <x:c r="E264" s="13" t="str">
        <x:v>Pending</x:v>
      </x:c>
      <x:c r="F264" s="13" t="str"/>
      <x:c r="G264" s="13" t="str"/>
      <x:c r="H264" s="13" t="str"/>
      <x:c r="I264" s="7" t="str">
        <x:v>Confirm approval criteria and any unrecorded reason.</x:v>
      </x:c>
      <x:c r="J264" s="7" t="str">
        <x:v>P1</x:v>
      </x:c>
      <x:c r="K264" s="7" t="str">
        <x:v>Passes provisional observable screen; approval is independently established by PDF membership.</x:v>
      </x:c>
      <x:c r="L264" s="7" t="str">
        <x:v>Not supplied; membership is known, motive is not</x:v>
      </x:c>
      <x:c r="M264" s="7" t="n">
        <x:v>1</x:v>
      </x:c>
      <x:c r="N264" s="7" t="str">
        <x:v>First-call fit for stated IMO focus</x:v>
      </x:c>
      <x:c r="O264" s="7" t="str">
        <x:v>Active</x:v>
      </x:c>
      <x:c r="P264" s="7" t="str">
        <x:v>07/28/2025</x:v>
      </x:c>
      <x:c r="Q264" s="7" t="str">
        <x:v>07/31/2027</x:v>
      </x:c>
      <x:c r="R264" s="7" t="str">
        <x:v>Life</x:v>
      </x:c>
      <x:c r="S264" s="15" t="str">
        <x:v>209-606-6998</x:v>
      </x:c>
      <x:c r="T264" s="7" t="str">
        <x:v>Current CDI</x:v>
      </x:c>
      <x:c r="U264" s="7" t="str">
        <x:v>1101 SYLVAN AVE A25A MODESTO CA, 95350</x:v>
      </x:c>
      <x:c r="V264" s="7" t="str">
        <x:v>Resident</x:v>
      </x:c>
      <x:c r="W264" s="7" t="str">
        <x:v>CA</x:v>
      </x:c>
      <x:c r="X264" s="7" t="str"/>
      <x:c r="Y264" s="7" t="str">
        <x:v>AMERICAN NATIONAL INSURANCE COMPANY / Life / 08/22/2025
LIFE INSURANCE COMPANY OF THE SOUTHWEST / Life / 08/22/2025
NATIONWIDE LIFE AND ANNUITY INSURANCE COMPANY / Life / 08/28/2025</x:v>
      </x:c>
      <x:c r="Z264" s="7" t="str"/>
      <x:c r="AA264" s="7" t="str"/>
      <x:c r="AB264" s="7" t="str"/>
      <x:c r="AC264" s="7" t="str"/>
      <x:c r="AD264" s="7" t="str">
        <x:v>Active general Life authority | Direct Life appointments outside the selected health-carrier set: AMERICAN NATIONAL INSURANCE COMPANY, LIFE INSURANCE COMPANY OF THE SOUTHWEST, NATIONWIDE LIFE AND ANNUITY INSURANCE COMPANY</x:v>
      </x:c>
      <x:c r="AE264" s="7" t="str"/>
      <x:c r="AF264" s="16" t="n">
        <x:v>1.2</x:v>
      </x:c>
      <x:c r="AG264" s="17" t="n">
        <x:v>296</x:v>
      </x:c>
      <x:c r="AH264" s="7" t="str">
        <x:v>2025-08-28</x:v>
      </x:c>
      <x:c r="AI264" s="7" t="str">
        <x:v>English</x:v>
      </x:c>
      <x:c r="AJ264" s="7" t="str">
        <x:v>Other / Affiliation Not Identified in Source (96)</x:v>
      </x:c>
      <x:c r="AK264" s="15" t="str">
        <x:v>209-606-6998</x:v>
      </x:c>
      <x:c r="AL264" s="7" t="str">
        <x:v>AGUILAR HERNANDEZ FERNANDO</x:v>
      </x:c>
      <x:c r="AM264" s="7" t="str">
        <x:v>AGUILAR HERNANDEZ  FERNANDO</x:v>
      </x:c>
      <x:c r="AN264" s="7" t="str">
        <x:v>https://cdicloud.insurance.ca.gov/cal/LicenseDetail?SearchType=IND&amp;SearchLicNbr=4480027&amp;SearchIndvId=4480027</x:v>
      </x:c>
      <x:c r="AO264" s="7" t="str">
        <x:v>2026-10-08</x:v>
      </x:c>
      <x:c r="AP264" s="7" t="str">
        <x:v>28757918c05996a9dc426b9805c29dd0026e3312be31bed4c6b86cddb169335d</x:v>
      </x:c>
      <x:c r="AQ264" s="7" t="str">
        <x:v>Life / Active / 07/28/2025 / 07/28/2025 / 07/31/2027</x:v>
      </x:c>
      <x:c r="AR264" s="7" t="str">
        <x:v>Active</x:v>
      </x:c>
      <x:c r="AS264" s="7" t="str">
        <x:v>Current detail page</x:v>
      </x:c>
    </x:row>
    <x:row r="265" ht="52" customHeight="1">
      <x:c r="A265" s="7" t="str">
        <x:v>AGUILAR HUGO</x:v>
      </x:c>
      <x:c r="B265" s="14" t="str">
        <x:f>"852464"</x:f>
        <x:v>852464</x:v>
      </x:c>
      <x:c r="C265" s="7" t="str">
        <x:v>Approved</x:v>
      </x:c>
      <x:c r="D265" s="7" t="str">
        <x:v>PASS</x:v>
      </x:c>
      <x:c r="E265" s="13" t="str">
        <x:v>Pending</x:v>
      </x:c>
      <x:c r="F265" s="13" t="str"/>
      <x:c r="G265" s="13" t="str"/>
      <x:c r="H265" s="13" t="str"/>
      <x:c r="I265" s="7" t="str">
        <x:v>Confirm approval criteria and any unrecorded reason.</x:v>
      </x:c>
      <x:c r="J265" s="7" t="str">
        <x:v>P1</x:v>
      </x:c>
      <x:c r="K265" s="7" t="str">
        <x:v>Passes provisional observable screen; approval is independently established by PDF membership.</x:v>
      </x:c>
      <x:c r="L265" s="7" t="str">
        <x:v>Not supplied; membership is known, motive is not</x:v>
      </x:c>
      <x:c r="M265" s="7" t="n">
        <x:v>1</x:v>
      </x:c>
      <x:c r="N265" s="7" t="str">
        <x:v>First-call fit for stated IMO focus</x:v>
      </x:c>
      <x:c r="O265" s="7" t="str">
        <x:v>Active</x:v>
      </x:c>
      <x:c r="P265" s="7" t="str">
        <x:v>05/27/2022</x:v>
      </x:c>
      <x:c r="Q265" s="7" t="str">
        <x:v>05/31/2028</x:v>
      </x:c>
      <x:c r="R265" s="7" t="str">
        <x:v>Life</x:v>
      </x:c>
      <x:c r="S265" s="15" t="str">
        <x:v>949-490-9435</x:v>
      </x:c>
      <x:c r="T265" s="7" t="str">
        <x:v>Current CDI</x:v>
      </x:c>
      <x:c r="U265" s="7" t="str">
        <x:v>2813 S DIAMOND ST SANTA ANA CA, 92704</x:v>
      </x:c>
      <x:c r="V265" s="7" t="str">
        <x:v>Resident</x:v>
      </x:c>
      <x:c r="W265" s="7" t="str">
        <x:v>CA</x:v>
      </x:c>
      <x:c r="X265" s="7" t="str"/>
      <x:c r="Y265" s="7" t="str">
        <x:v>AMERICAN NATIONAL INSURANCE COMPANY / Life / 01/06/2023
GREAT WESTERN INSURANCE COMPANY / Life / 02/14/2025</x:v>
      </x:c>
      <x:c r="Z265" s="7" t="str"/>
      <x:c r="AA265" s="7" t="str"/>
      <x:c r="AB265" s="7" t="str"/>
      <x:c r="AC265" s="7" t="str"/>
      <x:c r="AD265" s="7" t="str">
        <x:v>Active general Life authority | Direct Life appointments outside the selected health-carrier set: AMERICAN NATIONAL INSURANCE COMPANY, GREAT WESTERN INSURANCE COMPANY</x:v>
      </x:c>
      <x:c r="AE265" s="7" t="str"/>
      <x:c r="AF265" s="16" t="n">
        <x:v>4.4</x:v>
      </x:c>
      <x:c r="AG265" s="17" t="n">
        <x:v>601</x:v>
      </x:c>
      <x:c r="AH265" s="7" t="str">
        <x:v>2025-02-14</x:v>
      </x:c>
      <x:c r="AI265" s="7" t="str">
        <x:v>English</x:v>
      </x:c>
      <x:c r="AJ265" s="7" t="str">
        <x:v>Other / Affiliation Not Identified in Source (96)</x:v>
      </x:c>
      <x:c r="AK265" s="15" t="str">
        <x:v>949-490-9435</x:v>
      </x:c>
      <x:c r="AL265" s="7" t="str">
        <x:v>AGUILAR HUGO</x:v>
      </x:c>
      <x:c r="AM265" s="7" t="str">
        <x:v>AGUILAR  HUGO</x:v>
      </x:c>
      <x:c r="AN265" s="7" t="str">
        <x:v>https://cdicloud.insurance.ca.gov/cal/LicenseDetail?SearchType=IND&amp;SearchLicNbr=852464&amp;SearchIndvId=852464</x:v>
      </x:c>
      <x:c r="AO265" s="7" t="str">
        <x:v>2026-10-08</x:v>
      </x:c>
      <x:c r="AP265" s="7" t="str">
        <x:v>48b14cb063d57faf4cd97478446c81697aca3dee11f5700fdbafc2c9f10690c3</x:v>
      </x:c>
      <x:c r="AQ265" s="7" t="str">
        <x:v>Life / Active / 05/27/2022 / 05/27/2022 / 05/31/2028</x:v>
      </x:c>
      <x:c r="AR265" s="7" t="str">
        <x:v>Active</x:v>
      </x:c>
      <x:c r="AS265" s="7" t="str">
        <x:v>Current detail page</x:v>
      </x:c>
    </x:row>
    <x:row r="266" ht="52" customHeight="1">
      <x:c r="A266" s="7" t="str">
        <x:v>AGUILAR JENNA PRETTYSHIELD</x:v>
      </x:c>
      <x:c r="B266" s="14" t="str">
        <x:f>"0G02522"</x:f>
        <x:v>0G02522</x:v>
      </x:c>
      <x:c r="C266" s="7" t="str">
        <x:v>Approved</x:v>
      </x:c>
      <x:c r="D266" s="7" t="str">
        <x:v>PASS</x:v>
      </x:c>
      <x:c r="E266" s="13" t="str">
        <x:v>Pending</x:v>
      </x:c>
      <x:c r="F266" s="13" t="str"/>
      <x:c r="G266" s="13" t="str"/>
      <x:c r="H266" s="13" t="str"/>
      <x:c r="I266" s="7" t="str">
        <x:v>Confirm approval criteria and any unrecorded reason.</x:v>
      </x:c>
      <x:c r="J266" s="7" t="str">
        <x:v>P1</x:v>
      </x:c>
      <x:c r="K266" s="7" t="str">
        <x:v>Passes provisional observable screen; approval is independently established by PDF membership.</x:v>
      </x:c>
      <x:c r="L266" s="7" t="str">
        <x:v>Not supplied; membership is known, motive is not</x:v>
      </x:c>
      <x:c r="M266" s="7" t="n">
        <x:v>1</x:v>
      </x:c>
      <x:c r="N266" s="7" t="str">
        <x:v>First-call fit for stated IMO focus</x:v>
      </x:c>
      <x:c r="O266" s="7" t="str">
        <x:v>Active</x:v>
      </x:c>
      <x:c r="P266" s="7" t="str">
        <x:v>02/27/2008</x:v>
      </x:c>
      <x:c r="Q266" s="7" t="str">
        <x:v>02/29/2028</x:v>
      </x:c>
      <x:c r="R266" s="7" t="str">
        <x:v>Accident &amp; Health or Sickness; Life; Var Life and Var Annuity</x:v>
      </x:c>
      <x:c r="S266" s="15" t="str">
        <x:v>760-749-6546</x:v>
      </x:c>
      <x:c r="T266" s="7" t="str">
        <x:v>Current CDI</x:v>
      </x:c>
      <x:c r="U266" s="7" t="str">
        <x:v>YUIMA RD PAUMA VALLEY CA, 92061</x:v>
      </x:c>
      <x:c r="V266" s="7" t="str">
        <x:v>Resident</x:v>
      </x:c>
      <x:c r="W266" s="7" t="str">
        <x:v>CA</x:v>
      </x:c>
      <x:c r="X266" s="7" t="str"/>
      <x:c r="Y266" s="7" t="str">
        <x:v>TRANSAMERICA LIFE INSURANCE COMPANY / Accident &amp; Health or Sickness / 07/14/2026
TRANSAMERICA LIFE INSURANCE COMPANY / Life / 07/14/2026</x:v>
      </x:c>
      <x:c r="Z266" s="7" t="str"/>
      <x:c r="AA266" s="7" t="str"/>
      <x:c r="AB266" s="7" t="str"/>
      <x:c r="AC266" s="7" t="str"/>
      <x:c r="AD266" s="7" t="str">
        <x:v>Active general Life authority | Direct Life appointments outside the selected health-carrier set: TRANSAMERICA LIFE INSURANCE COMPANY | Active A&amp;H supports optional cross-selling; not necessary for target products</x:v>
      </x:c>
      <x:c r="AE266" s="7" t="str">
        <x:v>Variable authority: financial-advice/variable-product capability; not needed for fixed annuities and not an automatic exclusion</x:v>
      </x:c>
      <x:c r="AF266" s="16" t="n">
        <x:v>18.6</x:v>
      </x:c>
      <x:c r="AG266" s="17" t="n">
        <x:v>509</x:v>
      </x:c>
      <x:c r="AH266" s="7" t="str">
        <x:v>2026-07-14</x:v>
      </x:c>
      <x:c r="AI266" s="7" t="str">
        <x:v>English</x:v>
      </x:c>
      <x:c r="AJ266" s="7" t="str">
        <x:v>Other / Affiliation Not Identified in Source (96)</x:v>
      </x:c>
      <x:c r="AK266" s="15" t="str">
        <x:v>760-749-6546</x:v>
      </x:c>
      <x:c r="AL266" s="7" t="str">
        <x:v>AGUILAR JENNA PRETTYSHIELD</x:v>
      </x:c>
      <x:c r="AM266" s="7" t="str">
        <x:v>AGUILAR PRETTYSHIELD JENNA</x:v>
      </x:c>
      <x:c r="AN266" s="7" t="str">
        <x:v>https://cdicloud.insurance.ca.gov/cal/LicenseDetail?SearchType=IND&amp;SearchLicNbr=0G02522&amp;SearchIndvId=1125262</x:v>
      </x:c>
      <x:c r="AO266" s="7" t="str">
        <x:v>2026-10-08</x:v>
      </x:c>
      <x:c r="AP266" s="7" t="str">
        <x:v>f43cd794515b38f4a801125d96399cd174991baa65254313015114898c5223f4</x:v>
      </x:c>
      <x:c r="AQ266" s="7" t="str">
        <x:v>Accident &amp; Health or Sickness / Active / 02/27/2008 / 06/17/2026 / 02/29/2028
Life / Active / 02/27/2008 / 06/17/2026 / 02/29/2028
Var Life and Var Annuity / Active / 11/04/2009 / 06/17/2026 / 02/29/2028</x:v>
      </x:c>
      <x:c r="AR266" s="7" t="str">
        <x:v>Active</x:v>
      </x:c>
      <x:c r="AS266" s="7" t="str">
        <x:v>Current detail page</x:v>
      </x:c>
    </x:row>
    <x:row r="267" ht="52" customHeight="1">
      <x:c r="A267" s="7" t="str">
        <x:v>AGUILAR JENNIFER V</x:v>
      </x:c>
      <x:c r="B267" s="14" t="str">
        <x:f>"0M31551"</x:f>
        <x:v>0M31551</x:v>
      </x:c>
      <x:c r="C267" s="7" t="str">
        <x:v>Approved</x:v>
      </x:c>
      <x:c r="D267" s="7" t="str">
        <x:v>PASS</x:v>
      </x:c>
      <x:c r="E267" s="13" t="str">
        <x:v>Pending</x:v>
      </x:c>
      <x:c r="F267" s="13" t="str"/>
      <x:c r="G267" s="13" t="str"/>
      <x:c r="H267" s="13" t="str"/>
      <x:c r="I267" s="7" t="str">
        <x:v>Confirm approval criteria and any unrecorded reason.</x:v>
      </x:c>
      <x:c r="J267" s="7" t="str">
        <x:v>P1</x:v>
      </x:c>
      <x:c r="K267" s="7" t="str">
        <x:v>Passes provisional observable screen; approval is independently established by PDF membership.</x:v>
      </x:c>
      <x:c r="L267" s="7" t="str">
        <x:v>Not supplied; membership is known, motive is not</x:v>
      </x:c>
      <x:c r="M267" s="7" t="n">
        <x:v>1</x:v>
      </x:c>
      <x:c r="N267" s="7" t="str">
        <x:v>First-call fit for stated IMO focus</x:v>
      </x:c>
      <x:c r="O267" s="7" t="str">
        <x:v>Active</x:v>
      </x:c>
      <x:c r="P267" s="7" t="str">
        <x:v>04/25/2018</x:v>
      </x:c>
      <x:c r="Q267" s="7" t="str">
        <x:v>04/30/2028</x:v>
      </x:c>
      <x:c r="R267" s="7" t="str">
        <x:v>Life</x:v>
      </x:c>
      <x:c r="S267" s="15" t="str">
        <x:v>626-409-8501</x:v>
      </x:c>
      <x:c r="T267" s="7" t="str">
        <x:v>Current CDI</x:v>
      </x:c>
      <x:c r="U267" s="7" t="str">
        <x:v>511 W CITRUS EDGE ST SUITE 220 GLENDORA CA, 91740</x:v>
      </x:c>
      <x:c r="V267" s="7" t="str">
        <x:v>Resident</x:v>
      </x:c>
      <x:c r="W267" s="7" t="str">
        <x:v>CA</x:v>
      </x:c>
      <x:c r="X267" s="7" t="str"/>
      <x:c r="Y267" s="7" t="str">
        <x:v>PRIMERICA LIFE INSURANCE COMPANY / Life / 04/30/2026</x:v>
      </x:c>
      <x:c r="Z267" s="7" t="str"/>
      <x:c r="AA267" s="7" t="str"/>
      <x:c r="AB267" s="7" t="str"/>
      <x:c r="AC267" s="7" t="str"/>
      <x:c r="AD267" s="7" t="str">
        <x:v>Active general Life authority | Primerica relationship: matches an explicitly targeted recruiting segment | Direct Life appointments outside the selected health-carrier set: PRIMERICA LIFE INSURANCE COMPANY</x:v>
      </x:c>
      <x:c r="AE267" s="7" t="str"/>
      <x:c r="AF267" s="16" t="n">
        <x:v>8.5</x:v>
      </x:c>
      <x:c r="AG267" s="17" t="n">
        <x:v>570</x:v>
      </x:c>
      <x:c r="AH267" s="7" t="str">
        <x:v>2026-04-30</x:v>
      </x:c>
      <x:c r="AI267" s="7" t="str">
        <x:v>English, Spanish, Spanish</x:v>
      </x:c>
      <x:c r="AJ267" s="7" t="str">
        <x:v>Primerica (33)</x:v>
      </x:c>
      <x:c r="AK267" s="15" t="str">
        <x:v>626-409-8501</x:v>
      </x:c>
      <x:c r="AL267" s="7" t="str">
        <x:v>AGUILAR JENNIFER V</x:v>
      </x:c>
      <x:c r="AM267" s="7" t="str">
        <x:v>AGUILAR V JENNIFER</x:v>
      </x:c>
      <x:c r="AN267" s="7" t="str">
        <x:v>https://cdicloud.insurance.ca.gov/cal/LicenseDetail?SearchType=IND&amp;SearchLicNbr=0M31551&amp;SearchIndvId=2016708</x:v>
      </x:c>
      <x:c r="AO267" s="7" t="str">
        <x:v>2026-10-08</x:v>
      </x:c>
      <x:c r="AP267" s="7" t="str">
        <x:v>c61ca6eba6b1c4a9436f71157317681e2c2f7d1c905670ae5fe0cea0f348fcc7</x:v>
      </x:c>
      <x:c r="AQ267" s="7" t="str">
        <x:v>Life / Active / 04/25/2018 / 04/25/2018 / 04/30/2028</x:v>
      </x:c>
      <x:c r="AR267" s="7" t="str">
        <x:v>Active</x:v>
      </x:c>
      <x:c r="AS267" s="7" t="str">
        <x:v>Current detail page</x:v>
      </x:c>
    </x:row>
    <x:row r="268" ht="52" customHeight="1">
      <x:c r="A268" s="7" t="str">
        <x:v>AGUILAR JESSE</x:v>
      </x:c>
      <x:c r="B268" s="14" t="str">
        <x:f>"4238579"</x:f>
        <x:v>4238579</x:v>
      </x:c>
      <x:c r="C268" s="7" t="str">
        <x:v>Approved</x:v>
      </x:c>
      <x:c r="D268" s="7" t="str">
        <x:v>PASS</x:v>
      </x:c>
      <x:c r="E268" s="13" t="str">
        <x:v>Pending</x:v>
      </x:c>
      <x:c r="F268" s="13" t="str"/>
      <x:c r="G268" s="13" t="str"/>
      <x:c r="H268" s="13" t="str"/>
      <x:c r="I268" s="7" t="str">
        <x:v>Confirm approval criteria and any unrecorded reason.</x:v>
      </x:c>
      <x:c r="J268" s="7" t="str">
        <x:v>P1</x:v>
      </x:c>
      <x:c r="K268" s="7" t="str">
        <x:v>Passes provisional observable screen; approval is independently established by PDF membership.</x:v>
      </x:c>
      <x:c r="L268" s="7" t="str">
        <x:v>Not supplied; membership is known, motive is not</x:v>
      </x:c>
      <x:c r="M268" s="7" t="n">
        <x:v>1</x:v>
      </x:c>
      <x:c r="N268" s="7" t="str">
        <x:v>First-call fit for stated IMO focus</x:v>
      </x:c>
      <x:c r="O268" s="7" t="str">
        <x:v>Active</x:v>
      </x:c>
      <x:c r="P268" s="7" t="str">
        <x:v>10/13/2022</x:v>
      </x:c>
      <x:c r="Q268" s="7" t="str">
        <x:v>10/31/2026</x:v>
      </x:c>
      <x:c r="R268" s="7" t="str">
        <x:v>Accident &amp; Health or Sickness; Life</x:v>
      </x:c>
      <x:c r="S268" s="15" t="str">
        <x:v>909-905-8821</x:v>
      </x:c>
      <x:c r="T268" s="7" t="str">
        <x:v>Current CDI</x:v>
      </x:c>
      <x:c r="U268" s="7" t="str">
        <x:v>1635 W COVINA BLVD #108 SAN DIMAS CA, 91773</x:v>
      </x:c>
      <x:c r="V268" s="7" t="str">
        <x:v>Resident</x:v>
      </x:c>
      <x:c r="W268" s="7" t="str">
        <x:v>CA</x:v>
      </x:c>
      <x:c r="X268" s="7" t="str"/>
      <x:c r="Y268" s="7" t="str">
        <x:v>ATHENE ANNUITY AND LIFE COMPANY / Life / 08/10/2023
FIDELITY &amp; GUARANTY LIFE INSURANCE COMPANY / Life / 08/19/2024</x:v>
      </x:c>
      <x:c r="Z268" s="7" t="str"/>
      <x:c r="AA268" s="7" t="str"/>
      <x:c r="AB268" s="7" t="str"/>
      <x:c r="AC268" s="7" t="str"/>
      <x:c r="AD268" s="7" t="str">
        <x:v>Active general Life authority | Direct Life appointments outside the selected health-carrier set: ATHENE ANNUITY AND LIFE COMPANY, FIDELITY &amp; GUARANTY LIFE INSURANCE COMPANY | Active A&amp;H supports optional cross-selling; not necessary for target products</x:v>
      </x:c>
      <x:c r="AE268" s="7" t="str">
        <x:v>Life expiration in 23 days: confirm renewal during onboarding</x:v>
      </x:c>
      <x:c r="AF268" s="16" t="n">
        <x:v>4</x:v>
      </x:c>
      <x:c r="AG268" s="17" t="n">
        <x:v>23</x:v>
      </x:c>
      <x:c r="AH268" s="7" t="str">
        <x:v>2024-08-19</x:v>
      </x:c>
      <x:c r="AI268" s="7" t="str">
        <x:v>English</x:v>
      </x:c>
      <x:c r="AJ268" s="7" t="str">
        <x:v>Other / Affiliation Not Identified in Source (96)</x:v>
      </x:c>
      <x:c r="AK268" s="15" t="str">
        <x:v>909-905-8821</x:v>
      </x:c>
      <x:c r="AL268" s="7" t="str">
        <x:v>AGUILAR JESSE</x:v>
      </x:c>
      <x:c r="AM268" s="7" t="str">
        <x:v>AGUILAR  JESSE</x:v>
      </x:c>
      <x:c r="AN268" s="7" t="str">
        <x:v>https://cdicloud.insurance.ca.gov/cal/LicenseDetail?SearchType=IND&amp;SearchLicNbr=4238579&amp;SearchIndvId=4238579</x:v>
      </x:c>
      <x:c r="AO268" s="7" t="str">
        <x:v>2026-10-08</x:v>
      </x:c>
      <x:c r="AP268" s="7" t="str">
        <x:v>3e570c4a64cfa38271bb3ed3f92ab331d5601d5092692de4b57d8ffa6bb4983f</x:v>
      </x:c>
      <x:c r="AQ268" s="7" t="str">
        <x:v>Accident &amp; Health or Sickness / Active / 10/13/2022 / 10/13/2022 / 10/31/2026
Life / Active / 10/13/2022 / 10/13/2022 / 10/31/2026</x:v>
      </x:c>
      <x:c r="AR268" s="7" t="str">
        <x:v>Active</x:v>
      </x:c>
      <x:c r="AS268" s="7" t="str">
        <x:v>Current detail page</x:v>
      </x:c>
    </x:row>
    <x:row r="269" ht="52" customHeight="1">
      <x:c r="A269" s="7" t="str">
        <x:v>AGUILAR JESSE JOHN JR</x:v>
      </x:c>
      <x:c r="B269" s="14" t="str">
        <x:f>"4422517"</x:f>
        <x:v>4422517</x:v>
      </x:c>
      <x:c r="C269" s="7" t="str">
        <x:v>Approved</x:v>
      </x:c>
      <x:c r="D269" s="7" t="str">
        <x:v>PASS</x:v>
      </x:c>
      <x:c r="E269" s="13" t="str">
        <x:v>Pending</x:v>
      </x:c>
      <x:c r="F269" s="13" t="str"/>
      <x:c r="G269" s="13" t="str"/>
      <x:c r="H269" s="13" t="str"/>
      <x:c r="I269" s="7" t="str">
        <x:v>Confirm approval criteria and any unrecorded reason.</x:v>
      </x:c>
      <x:c r="J269" s="7" t="str">
        <x:v>P1</x:v>
      </x:c>
      <x:c r="K269" s="7" t="str">
        <x:v>Passes provisional observable screen; approval is independently established by PDF membership.</x:v>
      </x:c>
      <x:c r="L269" s="7" t="str">
        <x:v>Not supplied; membership is known, motive is not</x:v>
      </x:c>
      <x:c r="M269" s="7" t="n">
        <x:v>1</x:v>
      </x:c>
      <x:c r="N269" s="7" t="str">
        <x:v>First-call fit for stated IMO focus</x:v>
      </x:c>
      <x:c r="O269" s="7" t="str">
        <x:v>Active</x:v>
      </x:c>
      <x:c r="P269" s="7" t="str">
        <x:v>11/08/2024</x:v>
      </x:c>
      <x:c r="Q269" s="7" t="str">
        <x:v>11/30/2026</x:v>
      </x:c>
      <x:c r="R269" s="7" t="str">
        <x:v>Life</x:v>
      </x:c>
      <x:c r="S269" s="15" t="str">
        <x:v>714-453-9924</x:v>
      </x:c>
      <x:c r="T269" s="7" t="str">
        <x:v>Current CDI</x:v>
      </x:c>
      <x:c r="U269" s="7" t="str">
        <x:v>15991 RED HILL AVE STE 240 TUSTIN CA, 92780</x:v>
      </x:c>
      <x:c r="V269" s="7" t="str">
        <x:v>Resident</x:v>
      </x:c>
      <x:c r="W269" s="7" t="str">
        <x:v>CA</x:v>
      </x:c>
      <x:c r="X269" s="7" t="str"/>
      <x:c r="Y269" s="7" t="str">
        <x:v>PRIMERICA LIFE INSURANCE COMPANY / Life / 11/11/2024</x:v>
      </x:c>
      <x:c r="Z269" s="7" t="str"/>
      <x:c r="AA269" s="7" t="str"/>
      <x:c r="AB269" s="7" t="str"/>
      <x:c r="AC269" s="7" t="str"/>
      <x:c r="AD269" s="7" t="str">
        <x:v>Active general Life authority | Primerica relationship: matches an explicitly targeted recruiting segment | Direct Life appointments outside the selected health-carrier set: PRIMERICA LIFE INSURANCE COMPANY</x:v>
      </x:c>
      <x:c r="AE269" s="7" t="str">
        <x:v>Life expiration in 53 days: confirm renewal during onboarding</x:v>
      </x:c>
      <x:c r="AF269" s="16" t="n">
        <x:v>1.9</x:v>
      </x:c>
      <x:c r="AG269" s="17" t="n">
        <x:v>53</x:v>
      </x:c>
      <x:c r="AH269" s="7" t="str">
        <x:v>2024-11-11</x:v>
      </x:c>
      <x:c r="AI269" s="7" t="str">
        <x:v>English</x:v>
      </x:c>
      <x:c r="AJ269" s="7" t="str">
        <x:v>Primerica (33)</x:v>
      </x:c>
      <x:c r="AK269" s="15" t="str">
        <x:v>714-453-9924</x:v>
      </x:c>
      <x:c r="AL269" s="7" t="str">
        <x:v>AGUILAR JESSE JOHN JR</x:v>
      </x:c>
      <x:c r="AM269" s="7" t="str">
        <x:v>AGUILAR JOHN JESSE</x:v>
      </x:c>
      <x:c r="AN269" s="7" t="str">
        <x:v>https://cdicloud.insurance.ca.gov/cal/LicenseDetail?SearchType=IND&amp;SearchLicNbr=4422517&amp;SearchIndvId=4422517</x:v>
      </x:c>
      <x:c r="AO269" s="7" t="str">
        <x:v>2026-10-08</x:v>
      </x:c>
      <x:c r="AP269" s="7" t="str">
        <x:v>7c2588f67f4f75c6602e6052e2523c76df8e35a0d2d608afbbc4ba6457b95052</x:v>
      </x:c>
      <x:c r="AQ269" s="7" t="str">
        <x:v>Life / Active / 11/08/2024 / 11/08/2024 / 11/30/2026</x:v>
      </x:c>
      <x:c r="AR269" s="7" t="str">
        <x:v>Active</x:v>
      </x:c>
      <x:c r="AS269" s="7" t="str">
        <x:v>Current detail page</x:v>
      </x:c>
    </x:row>
    <x:row r="270" ht="52" customHeight="1">
      <x:c r="A270" s="7" t="str">
        <x:v>AGUILAR JESSICA ALEJANDRA</x:v>
      </x:c>
      <x:c r="B270" s="14" t="str">
        <x:f>"0J10393"</x:f>
        <x:v>0J10393</x:v>
      </x:c>
      <x:c r="C270" s="7" t="str">
        <x:v>Approved</x:v>
      </x:c>
      <x:c r="D270" s="7" t="str">
        <x:v>PASS</x:v>
      </x:c>
      <x:c r="E270" s="13" t="str">
        <x:v>Pending</x:v>
      </x:c>
      <x:c r="F270" s="13" t="str"/>
      <x:c r="G270" s="13" t="str"/>
      <x:c r="H270" s="13" t="str"/>
      <x:c r="I270" s="7" t="str">
        <x:v>Confirm approval criteria and any unrecorded reason.</x:v>
      </x:c>
      <x:c r="J270" s="7" t="str">
        <x:v>P1</x:v>
      </x:c>
      <x:c r="K270" s="7" t="str">
        <x:v>Passes provisional observable screen; approval is independently established by PDF membership.</x:v>
      </x:c>
      <x:c r="L270" s="7" t="str">
        <x:v>Not supplied; membership is known, motive is not</x:v>
      </x:c>
      <x:c r="M270" s="7" t="n">
        <x:v>1</x:v>
      </x:c>
      <x:c r="N270" s="7" t="str">
        <x:v>First-call fit for stated IMO focus</x:v>
      </x:c>
      <x:c r="O270" s="7" t="str">
        <x:v>Active</x:v>
      </x:c>
      <x:c r="P270" s="7" t="str">
        <x:v>08/14/2020</x:v>
      </x:c>
      <x:c r="Q270" s="7" t="str">
        <x:v>11/30/2027</x:v>
      </x:c>
      <x:c r="R270" s="7" t="str">
        <x:v>Casualty; Life; Property</x:v>
      </x:c>
      <x:c r="S270" s="15" t="str">
        <x:v>510-629-9979</x:v>
      </x:c>
      <x:c r="T270" s="7" t="str">
        <x:v>Current CDI</x:v>
      </x:c>
      <x:c r="U270" s="7" t="str">
        <x:v>646 HEGENBERGER RD UNIT D 646 HEGENBERGER RD UNIT D OAKLAND CA, 94621</x:v>
      </x:c>
      <x:c r="V270" s="7" t="str">
        <x:v>Resident</x:v>
      </x:c>
      <x:c r="W270" s="7" t="str">
        <x:v>CA</x:v>
      </x:c>
      <x:c r="X270" s="7" t="str">
        <x:v>FIESTA INSURANCE FRANCHISE CORPORATION / Casualty / 07/10/2024
FIESTA INSURANCE FRANCHISE CORPORATION / Property / 07/10/2024
AMERICAN AUTOMOBILE ASSOCIATION OF NORTHERN CALIFORNIA, NEVADA &amp; UTAH / Property / 10/31/2019
AMERICAN AUTOMOBILE ASSOCIATION OF NORTHERN CALIFORNIA, NEVADA &amp; UTAH / Casualty / 10/31/2019</x:v>
      </x:c>
      <x:c r="Y270" s="7" t="str">
        <x:v>AMERICAN GENERAL LIFE INSURANCE COMPANY / Life / 01/03/2022
AMERICAN MODERN HOME INSURANCE COMPANY / Casualty / 11/06/2019
AMERICAN MODERN HOME INSURANCE COMPANY / Property / 11/06/2019
AMERICAN MODERN PROPERTY AND CASUALTY INSURANCE COMPANY / Casualty / 09/03/2019
AMERICAN MODERN PROPERTY AND CASUALTY INSURANCE COMPANY / Property / 09/03/2019
LIFE INSURANCE COMPANY OF THE SOUTHWEST / Life / 04/07/2026
NATION MOTOR CLUB, LLC / Motor Club / 01/21/2016</x:v>
      </x:c>
      <x:c r="Z270" s="7" t="str"/>
      <x:c r="AA270" s="7" t="str"/>
      <x:c r="AB270" s="7" t="str"/>
      <x:c r="AC270" s="7" t="str"/>
      <x:c r="AD270" s="7" t="str">
        <x:v>Active general Life authority | Direct Life appointments outside the selected health-carrier set: AMERICAN GENERAL LIFE INSURANCE COMPANY, LIFE INSURANCE COMPANY OF THE SOUTHWEST</x:v>
      </x:c>
      <x:c r="AE270" s="7" t="str">
        <x:v>Mixed P&amp;C/Life qualifications; not an exclusion because approved examples have both</x:v>
      </x:c>
      <x:c r="AF270" s="16" t="n">
        <x:v>6.1</x:v>
      </x:c>
      <x:c r="AG270" s="17" t="n">
        <x:v>418</x:v>
      </x:c>
      <x:c r="AH270" s="7" t="str">
        <x:v>2026-04-07</x:v>
      </x:c>
      <x:c r="AI270" s="7" t="str">
        <x:v>English</x:v>
      </x:c>
      <x:c r="AJ270" s="7" t="str">
        <x:v>Other / Affiliation Not Identified in Source (96)</x:v>
      </x:c>
      <x:c r="AK270" s="15" t="str">
        <x:v>510-629-9979</x:v>
      </x:c>
      <x:c r="AL270" s="7" t="str">
        <x:v>AGUILAR JESSICA ALEJANDRA</x:v>
      </x:c>
      <x:c r="AM270" s="7" t="str">
        <x:v>Aguilar A Jessica | AGUILAR ALEJANDRA JESSICA</x:v>
      </x:c>
      <x:c r="AN270" s="7" t="str">
        <x:v>https://cdicloud.insurance.ca.gov/cal/LicenseDetail?SearchType=IND&amp;SearchLicNbr=0J10393&amp;SearchIndvId=1704980</x:v>
      </x:c>
      <x:c r="AO270" s="7" t="str">
        <x:v>2026-10-08</x:v>
      </x:c>
      <x:c r="AP270" s="7" t="str">
        <x:v>49617984b9eb4ff42d295dc495163fa3e9c678500a3d43d1316e0a203d84d339</x:v>
      </x:c>
      <x:c r="AQ270" s="7" t="str">
        <x:v>Casualty / Active / 09/03/2019 / 09/03/2019 / 11/30/2027
Life / Active / 08/14/2020 / 08/14/2020 / 11/30/2027
Property / Active / 09/03/2019 / 09/03/2019 / 11/30/2027
Limited Lines Automobile / Inactive / 10/03/2014 / 09/03/2019 / 09/03/2019</x:v>
      </x:c>
      <x:c r="AR270" s="7" t="str">
        <x:v>Active</x:v>
      </x:c>
      <x:c r="AS270" s="7" t="str">
        <x:v>Current detail page</x:v>
      </x:c>
    </x:row>
    <x:row r="271" ht="52" customHeight="1">
      <x:c r="A271" s="7" t="str">
        <x:v>AGUILAR JOHNNY ARNULFO</x:v>
      </x:c>
      <x:c r="B271" s="14" t="str">
        <x:f>"4475149"</x:f>
        <x:v>4475149</x:v>
      </x:c>
      <x:c r="C271" s="7" t="str">
        <x:v>Approved</x:v>
      </x:c>
      <x:c r="D271" s="7" t="str">
        <x:v>PASS</x:v>
      </x:c>
      <x:c r="E271" s="13" t="str">
        <x:v>Pending</x:v>
      </x:c>
      <x:c r="F271" s="13" t="str"/>
      <x:c r="G271" s="13" t="str"/>
      <x:c r="H271" s="13" t="str"/>
      <x:c r="I271" s="7" t="str">
        <x:v>Confirm approval criteria and any unrecorded reason.</x:v>
      </x:c>
      <x:c r="J271" s="7" t="str">
        <x:v>P1</x:v>
      </x:c>
      <x:c r="K271" s="7" t="str">
        <x:v>Passes provisional observable screen; approval is independently established by PDF membership.</x:v>
      </x:c>
      <x:c r="L271" s="7" t="str">
        <x:v>Not supplied; membership is known, motive is not</x:v>
      </x:c>
      <x:c r="M271" s="7" t="n">
        <x:v>1</x:v>
      </x:c>
      <x:c r="N271" s="7" t="str">
        <x:v>First-call fit for stated IMO focus</x:v>
      </x:c>
      <x:c r="O271" s="7" t="str">
        <x:v>Active</x:v>
      </x:c>
      <x:c r="P271" s="7" t="str">
        <x:v>09/17/2025</x:v>
      </x:c>
      <x:c r="Q271" s="7" t="str">
        <x:v>07/31/2027</x:v>
      </x:c>
      <x:c r="R271" s="7" t="str">
        <x:v>Accident &amp; Health or Sickness; Life</x:v>
      </x:c>
      <x:c r="S271" s="15" t="str">
        <x:v>562-843-6834</x:v>
      </x:c>
      <x:c r="T271" s="7" t="str">
        <x:v>Current CDI</x:v>
      </x:c>
      <x:c r="U271" s="7" t="str">
        <x:v>9122 MILLS AVE WHITTIER CA, 90603</x:v>
      </x:c>
      <x:c r="V271" s="7" t="str">
        <x:v>Resident</x:v>
      </x:c>
      <x:c r="W271" s="7" t="str">
        <x:v>CA</x:v>
      </x:c>
      <x:c r="X271" s="7" t="str">
        <x:v>WORLD FINANCIAL GROUP INSURANCE AGENCY, LLC / Life / 10/07/2025
WORLD FINANCIAL GROUP INSURANCE AGENCY, LLC / Accident &amp; Health or Sickness / 10/07/2025</x:v>
      </x:c>
      <x:c r="Y271" s="7" t="str">
        <x:v>NATIONWIDE LIFE AND ANNUITY INSURANCE COMPANY / Accident &amp; Health or Sickness / 04/20/2026
NATIONWIDE LIFE AND ANNUITY INSURANCE COMPANY / Life / 04/20/2026</x:v>
      </x:c>
      <x:c r="Z271" s="7" t="str"/>
      <x:c r="AA271" s="7" t="str"/>
      <x:c r="AB271" s="7" t="str"/>
      <x:c r="AC271" s="7" t="str"/>
      <x:c r="AD271" s="7" t="str">
        <x:v>Active general Life authority | WFG relationship: matches an explicitly targeted recruiting segment | Direct Life appointments outside the selected health-carrier set: NATIONWIDE LIFE AND ANNUITY INSURANCE COMPANY | Active A&amp;H supports optional cross-selling; not necessary for target products</x:v>
      </x:c>
      <x:c r="AE271" s="7" t="str"/>
      <x:c r="AF271" s="16" t="n">
        <x:v>1.1</x:v>
      </x:c>
      <x:c r="AG271" s="17" t="n">
        <x:v>296</x:v>
      </x:c>
      <x:c r="AH271" s="7" t="str">
        <x:v>2026-04-20</x:v>
      </x:c>
      <x:c r="AI271" s="7" t="str">
        <x:v>English</x:v>
      </x:c>
      <x:c r="AJ271" s="7" t="str">
        <x:v>WFG / World Financial Group (7)</x:v>
      </x:c>
      <x:c r="AK271" s="15" t="str">
        <x:v>562-843-6834</x:v>
      </x:c>
      <x:c r="AL271" s="7" t="str">
        <x:v>AGUILAR JOHNNY ARNULFO</x:v>
      </x:c>
      <x:c r="AM271" s="7" t="str">
        <x:v>AGUILAR ARNULFO JOHNNY</x:v>
      </x:c>
      <x:c r="AN271" s="7" t="str">
        <x:v>https://cdicloud.insurance.ca.gov/cal/LicenseDetail?SearchType=IND&amp;SearchLicNbr=4475149&amp;SearchIndvId=4475149</x:v>
      </x:c>
      <x:c r="AO271" s="7" t="str">
        <x:v>2026-10-08</x:v>
      </x:c>
      <x:c r="AP271" s="7" t="str">
        <x:v>a76896a43c5068388dc6543f2293079c0f080bc980fe1c89fa80690c045184ad</x:v>
      </x:c>
      <x:c r="AQ271" s="7" t="str">
        <x:v>Accident &amp; Health or Sickness / Active / 07/07/2025 / 07/07/2025 / 07/31/2027
Life / Active / 09/17/2025 / 09/17/2025 / 07/31/2027</x:v>
      </x:c>
      <x:c r="AR271" s="7" t="str">
        <x:v>Active</x:v>
      </x:c>
      <x:c r="AS271" s="7" t="str">
        <x:v>Current detail page</x:v>
      </x:c>
    </x:row>
    <x:row r="272" ht="52" customHeight="1">
      <x:c r="A272" s="7" t="str">
        <x:v>AGUILAR JOSE ALBERTO</x:v>
      </x:c>
      <x:c r="B272" s="14" t="str">
        <x:f>"0K24917"</x:f>
        <x:v>0K24917</x:v>
      </x:c>
      <x:c r="C272" s="7" t="str">
        <x:v>Approved</x:v>
      </x:c>
      <x:c r="D272" s="7" t="str">
        <x:v>PASS</x:v>
      </x:c>
      <x:c r="E272" s="13" t="str">
        <x:v>Pending</x:v>
      </x:c>
      <x:c r="F272" s="13" t="str"/>
      <x:c r="G272" s="13" t="str"/>
      <x:c r="H272" s="13" t="str"/>
      <x:c r="I272" s="7" t="str">
        <x:v>Confirm approval criteria and any unrecorded reason.</x:v>
      </x:c>
      <x:c r="J272" s="7" t="str">
        <x:v>P1</x:v>
      </x:c>
      <x:c r="K272" s="7" t="str">
        <x:v>Passes provisional observable screen; approval is independently established by PDF membership.</x:v>
      </x:c>
      <x:c r="L272" s="7" t="str">
        <x:v>Not supplied; membership is known, motive is not</x:v>
      </x:c>
      <x:c r="M272" s="7" t="n">
        <x:v>1</x:v>
      </x:c>
      <x:c r="N272" s="7" t="str">
        <x:v>First-call fit for stated IMO focus</x:v>
      </x:c>
      <x:c r="O272" s="7" t="str">
        <x:v>Active</x:v>
      </x:c>
      <x:c r="P272" s="7" t="str">
        <x:v>10/28/2025</x:v>
      </x:c>
      <x:c r="Q272" s="7" t="str">
        <x:v>10/31/2027</x:v>
      </x:c>
      <x:c r="R272" s="7" t="str">
        <x:v>Accident &amp; Health or Sickness; Life</x:v>
      </x:c>
      <x:c r="S272" s="15" t="str">
        <x:v>209-918-6874</x:v>
      </x:c>
      <x:c r="T272" s="7" t="str">
        <x:v>Current CDI</x:v>
      </x:c>
      <x:c r="U272" s="7" t="str">
        <x:v>1933 VICTORIA CT TURLOCK CA, 95380</x:v>
      </x:c>
      <x:c r="V272" s="7" t="str">
        <x:v>Resident</x:v>
      </x:c>
      <x:c r="W272" s="7" t="str">
        <x:v>CA</x:v>
      </x:c>
      <x:c r="X272" s="7" t="str"/>
      <x:c r="Y272" s="7" t="str"/>
      <x:c r="Z272" s="7" t="str"/>
      <x:c r="AA272" s="7" t="str"/>
      <x:c r="AB272" s="7" t="str"/>
      <x:c r="AC272" s="7" t="str"/>
      <x:c r="AD272" s="7" t="str">
        <x:v>Active general Life authority | No agency or insurer displayed: onboarding opportunity possible; existing business unknown | Active A&amp;H supports optional cross-selling; not necessary for target products</x:v>
      </x:c>
      <x:c r="AE272" s="7" t="str"/>
      <x:c r="AF272" s="16" t="n">
        <x:v>0.9</x:v>
      </x:c>
      <x:c r="AG272" s="17" t="n">
        <x:v>388</x:v>
      </x:c>
      <x:c r="AH272" s="7" t="str"/>
      <x:c r="AI272" s="7" t="str">
        <x:v>English</x:v>
      </x:c>
      <x:c r="AJ272" s="7" t="str">
        <x:v>Other / Affiliation Not Identified in Source (96)</x:v>
      </x:c>
      <x:c r="AK272" s="15" t="str">
        <x:v>209-918-6874</x:v>
      </x:c>
      <x:c r="AL272" s="7" t="str">
        <x:v>AGUILAR JOSE ALBERTO</x:v>
      </x:c>
      <x:c r="AM272" s="7" t="str">
        <x:v>AGUILAR ALBERTO JOSE</x:v>
      </x:c>
      <x:c r="AN272" s="7" t="str">
        <x:v>https://cdicloud.insurance.ca.gov/cal/LicenseDetail?SearchType=IND&amp;SearchLicNbr=0K24917&amp;SearchIndvId=1753407</x:v>
      </x:c>
      <x:c r="AO272" s="7" t="str">
        <x:v>2026-10-08</x:v>
      </x:c>
      <x:c r="AP272" s="7" t="str">
        <x:v>3b67827b2efc5b876891ab842e1e7b2312e663e68afed27cbf713adc911f0513</x:v>
      </x:c>
      <x:c r="AQ272" s="7" t="str">
        <x:v>Accident &amp; Health or Sickness / Active / 10/28/2025 / 10/28/2025 / 10/31/2027
Life / Active / 10/28/2025 / 10/28/2025 / 10/31/2027</x:v>
      </x:c>
      <x:c r="AR272" s="7" t="str">
        <x:v>Active</x:v>
      </x:c>
      <x:c r="AS272" s="7" t="str">
        <x:v>Current detail page</x:v>
      </x:c>
    </x:row>
    <x:row r="273" ht="52" customHeight="1">
      <x:c r="A273" s="7" t="str">
        <x:v>AGUILAR JOSEPH WILLIAM</x:v>
      </x:c>
      <x:c r="B273" s="14" t="str">
        <x:f>"4497589"</x:f>
        <x:v>4497589</x:v>
      </x:c>
      <x:c r="C273" s="7" t="str">
        <x:v>Approved</x:v>
      </x:c>
      <x:c r="D273" s="7" t="str">
        <x:v>PASS</x:v>
      </x:c>
      <x:c r="E273" s="13" t="str">
        <x:v>Pending</x:v>
      </x:c>
      <x:c r="F273" s="13" t="str"/>
      <x:c r="G273" s="13" t="str"/>
      <x:c r="H273" s="13" t="str"/>
      <x:c r="I273" s="7" t="str">
        <x:v>Confirm approval criteria and any unrecorded reason.</x:v>
      </x:c>
      <x:c r="J273" s="7" t="str">
        <x:v>P1</x:v>
      </x:c>
      <x:c r="K273" s="7" t="str">
        <x:v>Passes provisional observable screen; approval is independently established by PDF membership.</x:v>
      </x:c>
      <x:c r="L273" s="7" t="str">
        <x:v>Not supplied; membership is known, motive is not</x:v>
      </x:c>
      <x:c r="M273" s="7" t="n">
        <x:v>1</x:v>
      </x:c>
      <x:c r="N273" s="7" t="str">
        <x:v>First-call fit for stated IMO focus</x:v>
      </x:c>
      <x:c r="O273" s="7" t="str">
        <x:v>Active</x:v>
      </x:c>
      <x:c r="P273" s="7" t="str">
        <x:v>10/14/2025</x:v>
      </x:c>
      <x:c r="Q273" s="7" t="str">
        <x:v>10/31/2027</x:v>
      </x:c>
      <x:c r="R273" s="7" t="str">
        <x:v>Accident &amp; Health or Sickness; Life</x:v>
      </x:c>
      <x:c r="S273" s="15" t="str">
        <x:v>541-377-2395</x:v>
      </x:c>
      <x:c r="T273" s="7" t="str">
        <x:v>Current CDI</x:v>
      </x:c>
      <x:c r="U273" s="7" t="str">
        <x:v>3780 SAN RAMON DRIVE APT 120 OCEANSIDE CA, 92057</x:v>
      </x:c>
      <x:c r="V273" s="7" t="str">
        <x:v>Resident</x:v>
      </x:c>
      <x:c r="W273" s="7" t="str">
        <x:v>CA</x:v>
      </x:c>
      <x:c r="X273" s="7" t="str"/>
      <x:c r="Y273" s="7" t="str"/>
      <x:c r="Z273" s="7" t="str"/>
      <x:c r="AA273" s="7" t="str"/>
      <x:c r="AB273" s="7" t="str"/>
      <x:c r="AC273" s="7" t="str"/>
      <x:c r="AD273" s="7" t="str">
        <x:v>Active general Life authority | No agency or insurer displayed: onboarding opportunity possible; existing business unknown | Active A&amp;H supports optional cross-selling; not necessary for target products</x:v>
      </x:c>
      <x:c r="AE273" s="7" t="str"/>
      <x:c r="AF273" s="16" t="n">
        <x:v>1</x:v>
      </x:c>
      <x:c r="AG273" s="17" t="n">
        <x:v>388</x:v>
      </x:c>
      <x:c r="AH273" s="7" t="str"/>
      <x:c r="AI273" s="7" t="str">
        <x:v>English</x:v>
      </x:c>
      <x:c r="AJ273" s="7" t="str">
        <x:v>Other / Affiliation Not Identified in Source (96)</x:v>
      </x:c>
      <x:c r="AK273" s="15" t="str">
        <x:v>541-377-2395</x:v>
      </x:c>
      <x:c r="AL273" s="7" t="str">
        <x:v>AGUILAR JOSEPH WILLIAM</x:v>
      </x:c>
      <x:c r="AM273" s="7" t="str">
        <x:v>AGUILAR WILLIAM JOSEPH</x:v>
      </x:c>
      <x:c r="AN273" s="7" t="str">
        <x:v>https://cdicloud.insurance.ca.gov/cal/LicenseDetail?SearchType=IND&amp;SearchLicNbr=4497589&amp;SearchIndvId=4497589</x:v>
      </x:c>
      <x:c r="AO273" s="7" t="str">
        <x:v>2026-10-08</x:v>
      </x:c>
      <x:c r="AP273" s="7" t="str">
        <x:v>bc41a232c885bb81d0801a41d37ef831917273b33b03598b8394b8cade0ef235</x:v>
      </x:c>
      <x:c r="AQ273" s="7" t="str">
        <x:v>Accident &amp; Health or Sickness / Active / 10/14/2025 / 10/14/2025 / 10/31/2027
Life / Active / 10/14/2025 / 10/14/2025 / 10/31/2027</x:v>
      </x:c>
      <x:c r="AR273" s="7" t="str">
        <x:v>Active</x:v>
      </x:c>
      <x:c r="AS273" s="7" t="str">
        <x:v>Current detail page</x:v>
      </x:c>
    </x:row>
    <x:row r="274" ht="52" customHeight="1">
      <x:c r="A274" s="7" t="str">
        <x:v>AGUILAR JOSHUA ANDREW</x:v>
      </x:c>
      <x:c r="B274" s="14" t="str">
        <x:f>"4435399"</x:f>
        <x:v>4435399</x:v>
      </x:c>
      <x:c r="C274" s="7" t="str">
        <x:v>Approved</x:v>
      </x:c>
      <x:c r="D274" s="7" t="str">
        <x:v>PASS</x:v>
      </x:c>
      <x:c r="E274" s="13" t="str">
        <x:v>Pending</x:v>
      </x:c>
      <x:c r="F274" s="13" t="str"/>
      <x:c r="G274" s="13" t="str"/>
      <x:c r="H274" s="13" t="str"/>
      <x:c r="I274" s="7" t="str">
        <x:v>Confirm approval criteria and any unrecorded reason.</x:v>
      </x:c>
      <x:c r="J274" s="7" t="str">
        <x:v>P1</x:v>
      </x:c>
      <x:c r="K274" s="7" t="str">
        <x:v>Passes provisional observable screen; approval is independently established by PDF membership.</x:v>
      </x:c>
      <x:c r="L274" s="7" t="str">
        <x:v>Not supplied; membership is known, motive is not</x:v>
      </x:c>
      <x:c r="M274" s="7" t="n">
        <x:v>1</x:v>
      </x:c>
      <x:c r="N274" s="7" t="str">
        <x:v>First-call fit for stated IMO focus</x:v>
      </x:c>
      <x:c r="O274" s="7" t="str">
        <x:v>Active</x:v>
      </x:c>
      <x:c r="P274" s="7" t="str">
        <x:v>12/24/2024</x:v>
      </x:c>
      <x:c r="Q274" s="7" t="str">
        <x:v>12/31/2026</x:v>
      </x:c>
      <x:c r="R274" s="7" t="str">
        <x:v>Life</x:v>
      </x:c>
      <x:c r="S274" s="15" t="str">
        <x:v>626-210-1340</x:v>
      </x:c>
      <x:c r="T274" s="7" t="str">
        <x:v>Current CDI</x:v>
      </x:c>
      <x:c r="U274" s="7" t="str">
        <x:v>6623 N CALLE EVA MIRANDA IRWINDALE CA, 91702</x:v>
      </x:c>
      <x:c r="V274" s="7" t="str">
        <x:v>Resident</x:v>
      </x:c>
      <x:c r="W274" s="7" t="str">
        <x:v>CA</x:v>
      </x:c>
      <x:c r="X274" s="7" t="str"/>
      <x:c r="Y274" s="7" t="str"/>
      <x:c r="Z274" s="7" t="str"/>
      <x:c r="AA274" s="7" t="str"/>
      <x:c r="AB274" s="7" t="str"/>
      <x:c r="AC274" s="7" t="str"/>
      <x:c r="AD274" s="7" t="str">
        <x:v>Active general Life authority | No agency or insurer displayed: onboarding opportunity possible; existing business unknown</x:v>
      </x:c>
      <x:c r="AE274" s="7" t="str"/>
      <x:c r="AF274" s="16" t="n">
        <x:v>1.8</x:v>
      </x:c>
      <x:c r="AG274" s="17" t="n">
        <x:v>84</x:v>
      </x:c>
      <x:c r="AH274" s="7" t="str"/>
      <x:c r="AI274" s="7" t="str">
        <x:v>English</x:v>
      </x:c>
      <x:c r="AJ274" s="7" t="str">
        <x:v>Other / Affiliation Not Identified in Source (96)</x:v>
      </x:c>
      <x:c r="AK274" s="15" t="str">
        <x:v>626-210-1340</x:v>
      </x:c>
      <x:c r="AL274" s="7" t="str">
        <x:v>AGUILAR JOSHUA ANDREW</x:v>
      </x:c>
      <x:c r="AM274" s="7" t="str">
        <x:v>AGUILAR Andrew JOSHUA</x:v>
      </x:c>
      <x:c r="AN274" s="7" t="str">
        <x:v>https://cdicloud.insurance.ca.gov/cal/LicenseDetail?SearchType=IND&amp;SearchLicNbr=4435399&amp;SearchIndvId=4435399</x:v>
      </x:c>
      <x:c r="AO274" s="7" t="str">
        <x:v>2026-10-08</x:v>
      </x:c>
      <x:c r="AP274" s="7" t="str">
        <x:v>56fb1a2991ec225637cfb93d5116dde3608ed453b0b07b04660c3f2f9bb336a9</x:v>
      </x:c>
      <x:c r="AQ274" s="7" t="str">
        <x:v>Life / Active / 12/24/2024 / 12/24/2024 / 12/31/2026</x:v>
      </x:c>
      <x:c r="AR274" s="7" t="str">
        <x:v>Active</x:v>
      </x:c>
      <x:c r="AS274" s="7" t="str">
        <x:v>Current detail page</x:v>
      </x:c>
    </x:row>
    <x:row r="275" ht="52" customHeight="1">
      <x:c r="A275" s="7" t="str">
        <x:v>AGUILAR JOSHUA ISAIAH</x:v>
      </x:c>
      <x:c r="B275" s="14" t="str">
        <x:f>"4478393"</x:f>
        <x:v>4478393</x:v>
      </x:c>
      <x:c r="C275" s="7" t="str">
        <x:v>Approved</x:v>
      </x:c>
      <x:c r="D275" s="7" t="str">
        <x:v>PASS</x:v>
      </x:c>
      <x:c r="E275" s="13" t="str">
        <x:v>Pending</x:v>
      </x:c>
      <x:c r="F275" s="13" t="str"/>
      <x:c r="G275" s="13" t="str"/>
      <x:c r="H275" s="13" t="str"/>
      <x:c r="I275" s="7" t="str">
        <x:v>Confirm approval criteria and any unrecorded reason.</x:v>
      </x:c>
      <x:c r="J275" s="7" t="str">
        <x:v>P1</x:v>
      </x:c>
      <x:c r="K275" s="7" t="str">
        <x:v>Passes provisional observable screen; approval is independently established by PDF membership.</x:v>
      </x:c>
      <x:c r="L275" s="7" t="str">
        <x:v>Not supplied; membership is known, motive is not</x:v>
      </x:c>
      <x:c r="M275" s="7" t="n">
        <x:v>1</x:v>
      </x:c>
      <x:c r="N275" s="7" t="str">
        <x:v>First-call fit for stated IMO focus</x:v>
      </x:c>
      <x:c r="O275" s="7" t="str">
        <x:v>Active</x:v>
      </x:c>
      <x:c r="P275" s="7" t="str">
        <x:v>07/31/2025</x:v>
      </x:c>
      <x:c r="Q275" s="7" t="str">
        <x:v>07/31/2027</x:v>
      </x:c>
      <x:c r="R275" s="7" t="str">
        <x:v>Life</x:v>
      </x:c>
      <x:c r="S275" s="15" t="str">
        <x:v>562-536-6916</x:v>
      </x:c>
      <x:c r="T275" s="7" t="str">
        <x:v>Current CDI</x:v>
      </x:c>
      <x:c r="U275" s="7" t="str">
        <x:v>12614 LEFFINGWELL RD SANTA FE SPRINGS CA, 90670</x:v>
      </x:c>
      <x:c r="V275" s="7" t="str">
        <x:v>Resident</x:v>
      </x:c>
      <x:c r="W275" s="7" t="str">
        <x:v>CA</x:v>
      </x:c>
      <x:c r="X275" s="7" t="str"/>
      <x:c r="Y275" s="7" t="str">
        <x:v>PRIMERICA LIFE INSURANCE COMPANY / Life / 07/31/2025</x:v>
      </x:c>
      <x:c r="Z275" s="7" t="str"/>
      <x:c r="AA275" s="7" t="str"/>
      <x:c r="AB275" s="7" t="str"/>
      <x:c r="AC275" s="7" t="str"/>
      <x:c r="AD275" s="7" t="str">
        <x:v>Active general Life authority | Primerica relationship: matches an explicitly targeted recruiting segment | Direct Life appointments outside the selected health-carrier set: PRIMERICA LIFE INSURANCE COMPANY</x:v>
      </x:c>
      <x:c r="AE275" s="7" t="str"/>
      <x:c r="AF275" s="16" t="n">
        <x:v>1.2</x:v>
      </x:c>
      <x:c r="AG275" s="17" t="n">
        <x:v>296</x:v>
      </x:c>
      <x:c r="AH275" s="7" t="str">
        <x:v>2025-07-31</x:v>
      </x:c>
      <x:c r="AI275" s="7" t="str">
        <x:v>English</x:v>
      </x:c>
      <x:c r="AJ275" s="7" t="str">
        <x:v>Primerica (33)</x:v>
      </x:c>
      <x:c r="AK275" s="15" t="str">
        <x:v>562-536-6916</x:v>
      </x:c>
      <x:c r="AL275" s="7" t="str">
        <x:v>AGUILAR JOSHUA ISAIAH</x:v>
      </x:c>
      <x:c r="AM275" s="7" t="str">
        <x:v>AGUILAR ISAIAH JOSHUA</x:v>
      </x:c>
      <x:c r="AN275" s="7" t="str">
        <x:v>https://cdicloud.insurance.ca.gov/cal/LicenseDetail?SearchType=IND&amp;SearchLicNbr=4478393&amp;SearchIndvId=4478393</x:v>
      </x:c>
      <x:c r="AO275" s="7" t="str">
        <x:v>2026-10-08</x:v>
      </x:c>
      <x:c r="AP275" s="7" t="str">
        <x:v>8889c9584727aff2f93f9d6ffa69dc30b0747e5d776e385278f2ae9f32300685</x:v>
      </x:c>
      <x:c r="AQ275" s="7" t="str">
        <x:v>Life / Active / 07/31/2025 / 07/31/2025 / 07/31/2027</x:v>
      </x:c>
      <x:c r="AR275" s="7" t="str">
        <x:v>Active</x:v>
      </x:c>
      <x:c r="AS275" s="7" t="str">
        <x:v>Current detail page</x:v>
      </x:c>
    </x:row>
    <x:row r="276" ht="52" customHeight="1">
      <x:c r="A276" s="7" t="str">
        <x:v>AGUILAR JOSHUA KENNETH</x:v>
      </x:c>
      <x:c r="B276" s="14" t="str">
        <x:f>"0K35669"</x:f>
        <x:v>0K35669</x:v>
      </x:c>
      <x:c r="C276" s="7" t="str">
        <x:v>Approved</x:v>
      </x:c>
      <x:c r="D276" s="7" t="str">
        <x:v>PASS</x:v>
      </x:c>
      <x:c r="E276" s="13" t="str">
        <x:v>Pending</x:v>
      </x:c>
      <x:c r="F276" s="13" t="str"/>
      <x:c r="G276" s="13" t="str"/>
      <x:c r="H276" s="13" t="str"/>
      <x:c r="I276" s="7" t="str">
        <x:v>Confirm approval criteria and any unrecorded reason.</x:v>
      </x:c>
      <x:c r="J276" s="7" t="str">
        <x:v>P1</x:v>
      </x:c>
      <x:c r="K276" s="7" t="str">
        <x:v>Passes provisional observable screen; approval is independently established by PDF membership.</x:v>
      </x:c>
      <x:c r="L276" s="7" t="str">
        <x:v>Not supplied; membership is known, motive is not</x:v>
      </x:c>
      <x:c r="M276" s="7" t="n">
        <x:v>1</x:v>
      </x:c>
      <x:c r="N276" s="7" t="str">
        <x:v>First-call fit for stated IMO focus</x:v>
      </x:c>
      <x:c r="O276" s="7" t="str">
        <x:v>Active</x:v>
      </x:c>
      <x:c r="P276" s="7" t="str">
        <x:v>07/14/2015</x:v>
      </x:c>
      <x:c r="Q276" s="7" t="str">
        <x:v>07/31/2027</x:v>
      </x:c>
      <x:c r="R276" s="7" t="str">
        <x:v>Accident &amp; Health or Sickness; Life</x:v>
      </x:c>
      <x:c r="S276" s="15" t="str">
        <x:v>209-715-8216</x:v>
      </x:c>
      <x:c r="T276" s="7" t="str">
        <x:v>Current CDI</x:v>
      </x:c>
      <x:c r="U276" s="7" t="str">
        <x:v>12481 WILLOW GLEN RD STOCKTON CA, 95206</x:v>
      </x:c>
      <x:c r="V276" s="7" t="str">
        <x:v>Resident</x:v>
      </x:c>
      <x:c r="W276" s="7" t="str">
        <x:v>CA</x:v>
      </x:c>
      <x:c r="X276" s="7" t="str"/>
      <x:c r="Y276" s="7" t="str"/>
      <x:c r="Z276" s="7" t="str"/>
      <x:c r="AA276" s="7" t="str"/>
      <x:c r="AB276" s="7" t="str"/>
      <x:c r="AC276" s="7" t="str"/>
      <x:c r="AD276" s="7" t="str">
        <x:v>Active general Life authority | No agency or insurer displayed: onboarding opportunity possible; existing business unknown | Active A&amp;H supports optional cross-selling; not necessary for target products</x:v>
      </x:c>
      <x:c r="AE276" s="7" t="str"/>
      <x:c r="AF276" s="16" t="n">
        <x:v>11.2</x:v>
      </x:c>
      <x:c r="AG276" s="17" t="n">
        <x:v>296</x:v>
      </x:c>
      <x:c r="AH276" s="7" t="str"/>
      <x:c r="AI276" s="7" t="str">
        <x:v>English, Spanish, Spanish</x:v>
      </x:c>
      <x:c r="AJ276" s="7" t="str">
        <x:v>Other / Affiliation Not Identified in Source (96)</x:v>
      </x:c>
      <x:c r="AK276" s="15" t="str">
        <x:v>209-715-8216</x:v>
      </x:c>
      <x:c r="AL276" s="7" t="str">
        <x:v>AGUILAR JOSHUA KENNETH</x:v>
      </x:c>
      <x:c r="AM276" s="7" t="str">
        <x:v>Aguilar K Joshua | AGUILAR KENNETH JOSHUA</x:v>
      </x:c>
      <x:c r="AN276" s="7" t="str">
        <x:v>https://cdicloud.insurance.ca.gov/cal/LicenseDetail?SearchType=IND&amp;SearchLicNbr=0K35669&amp;SearchIndvId=1772361</x:v>
      </x:c>
      <x:c r="AO276" s="7" t="str">
        <x:v>2026-10-08</x:v>
      </x:c>
      <x:c r="AP276" s="7" t="str">
        <x:v>24e7ff518d8d34a418faac65172423ddbe349642adb3966fd64269b6d0f50dc3</x:v>
      </x:c>
      <x:c r="AQ276" s="7" t="str">
        <x:v>Accident &amp; Health or Sickness / Active / 07/14/2015 / 08/13/2025 / 07/31/2027
Life / Active / 07/14/2015 / 08/13/2025 / 07/31/2027</x:v>
      </x:c>
      <x:c r="AR276" s="7" t="str">
        <x:v>Active</x:v>
      </x:c>
      <x:c r="AS276" s="7" t="str">
        <x:v>Current detail page</x:v>
      </x:c>
    </x:row>
    <x:row r="277" ht="52" customHeight="1">
      <x:c r="A277" s="7" t="str">
        <x:v>AGUILAR JOSHUA ROLANDO</x:v>
      </x:c>
      <x:c r="B277" s="14" t="str">
        <x:f>"4484947"</x:f>
        <x:v>4484947</x:v>
      </x:c>
      <x:c r="C277" s="7" t="str">
        <x:v>Approved</x:v>
      </x:c>
      <x:c r="D277" s="7" t="str">
        <x:v>PASS</x:v>
      </x:c>
      <x:c r="E277" s="13" t="str">
        <x:v>Pending</x:v>
      </x:c>
      <x:c r="F277" s="13" t="str"/>
      <x:c r="G277" s="13" t="str"/>
      <x:c r="H277" s="13" t="str"/>
      <x:c r="I277" s="7" t="str">
        <x:v>Confirm approval criteria and any unrecorded reason.</x:v>
      </x:c>
      <x:c r="J277" s="7" t="str">
        <x:v>P1</x:v>
      </x:c>
      <x:c r="K277" s="7" t="str">
        <x:v>Passes provisional observable screen; approval is independently established by PDF membership.</x:v>
      </x:c>
      <x:c r="L277" s="7" t="str">
        <x:v>Not supplied; membership is known, motive is not</x:v>
      </x:c>
      <x:c r="M277" s="7" t="n">
        <x:v>1</x:v>
      </x:c>
      <x:c r="N277" s="7" t="str">
        <x:v>First-call fit for stated IMO focus</x:v>
      </x:c>
      <x:c r="O277" s="7" t="str">
        <x:v>Active</x:v>
      </x:c>
      <x:c r="P277" s="7" t="str">
        <x:v>09/03/2025</x:v>
      </x:c>
      <x:c r="Q277" s="7" t="str">
        <x:v>09/30/2027</x:v>
      </x:c>
      <x:c r="R277" s="7" t="str">
        <x:v>Life</x:v>
      </x:c>
      <x:c r="S277" s="15" t="str">
        <x:v>805-624-7151</x:v>
      </x:c>
      <x:c r="T277" s="7" t="str">
        <x:v>Current CDI</x:v>
      </x:c>
      <x:c r="U277" s="7" t="str">
        <x:v>2259 WARD AVE SUITE 200 SIMI VALLEY CA, 93065</x:v>
      </x:c>
      <x:c r="V277" s="7" t="str">
        <x:v>Resident</x:v>
      </x:c>
      <x:c r="W277" s="7" t="str">
        <x:v>CA</x:v>
      </x:c>
      <x:c r="X277" s="7" t="str"/>
      <x:c r="Y277" s="7" t="str">
        <x:v>PRIMERICA LIFE INSURANCE COMPANY / Life / 09/04/2025</x:v>
      </x:c>
      <x:c r="Z277" s="7" t="str"/>
      <x:c r="AA277" s="7" t="str"/>
      <x:c r="AB277" s="7" t="str"/>
      <x:c r="AC277" s="7" t="str"/>
      <x:c r="AD277" s="7" t="str">
        <x:v>Active general Life authority | Primerica relationship: matches an explicitly targeted recruiting segment | Direct Life appointments outside the selected health-carrier set: PRIMERICA LIFE INSURANCE COMPANY</x:v>
      </x:c>
      <x:c r="AE277" s="7" t="str"/>
      <x:c r="AF277" s="16" t="n">
        <x:v>1.1</x:v>
      </x:c>
      <x:c r="AG277" s="17" t="n">
        <x:v>357</x:v>
      </x:c>
      <x:c r="AH277" s="7" t="str">
        <x:v>2025-09-04</x:v>
      </x:c>
      <x:c r="AI277" s="7" t="str">
        <x:v>English</x:v>
      </x:c>
      <x:c r="AJ277" s="7" t="str">
        <x:v>Primerica (33)</x:v>
      </x:c>
      <x:c r="AK277" s="15" t="str">
        <x:v>805-624-7151</x:v>
      </x:c>
      <x:c r="AL277" s="7" t="str">
        <x:v>AGUILAR JOSHUA ROLANDO</x:v>
      </x:c>
      <x:c r="AM277" s="7" t="str">
        <x:v>AGUILAR ROLANDO JOSHUA | Aguilar Rorlondo Joshua</x:v>
      </x:c>
      <x:c r="AN277" s="7" t="str">
        <x:v>https://cdicloud.insurance.ca.gov/cal/LicenseDetail?SearchType=IND&amp;SearchLicNbr=4484947&amp;SearchIndvId=4484947</x:v>
      </x:c>
      <x:c r="AO277" s="7" t="str">
        <x:v>2026-10-08</x:v>
      </x:c>
      <x:c r="AP277" s="7" t="str">
        <x:v>590c8af5567d9e9d9615428bb33ba6817f9245834a61b884981dd26df9471c02</x:v>
      </x:c>
      <x:c r="AQ277" s="7" t="str">
        <x:v>Life / Active / 09/03/2025 / 09/03/2025 / 09/30/2027</x:v>
      </x:c>
      <x:c r="AR277" s="7" t="str">
        <x:v>Active</x:v>
      </x:c>
      <x:c r="AS277" s="7" t="str">
        <x:v>Current detail page</x:v>
      </x:c>
    </x:row>
    <x:row r="278" ht="52" customHeight="1">
      <x:c r="A278" s="7" t="str">
        <x:v>AGUILAR JOVANI DAMIAN</x:v>
      </x:c>
      <x:c r="B278" s="14" t="str">
        <x:f>"4408127"</x:f>
        <x:v>4408127</x:v>
      </x:c>
      <x:c r="C278" s="7" t="str">
        <x:v>Approved</x:v>
      </x:c>
      <x:c r="D278" s="7" t="str">
        <x:v>PASS</x:v>
      </x:c>
      <x:c r="E278" s="13" t="str">
        <x:v>Pending</x:v>
      </x:c>
      <x:c r="F278" s="13" t="str"/>
      <x:c r="G278" s="13" t="str"/>
      <x:c r="H278" s="13" t="str"/>
      <x:c r="I278" s="7" t="str">
        <x:v>Confirm approval criteria and any unrecorded reason.</x:v>
      </x:c>
      <x:c r="J278" s="7" t="str">
        <x:v>P1</x:v>
      </x:c>
      <x:c r="K278" s="7" t="str">
        <x:v>Passes provisional observable screen; approval is independently established by PDF membership.</x:v>
      </x:c>
      <x:c r="L278" s="7" t="str">
        <x:v>Not supplied; membership is known, motive is not</x:v>
      </x:c>
      <x:c r="M278" s="7" t="n">
        <x:v>1</x:v>
      </x:c>
      <x:c r="N278" s="7" t="str">
        <x:v>First-call fit for stated IMO focus</x:v>
      </x:c>
      <x:c r="O278" s="7" t="str">
        <x:v>Active</x:v>
      </x:c>
      <x:c r="P278" s="7" t="str">
        <x:v>10/07/2024</x:v>
      </x:c>
      <x:c r="Q278" s="7" t="str">
        <x:v>10/31/2026</x:v>
      </x:c>
      <x:c r="R278" s="7" t="str">
        <x:v>Life</x:v>
      </x:c>
      <x:c r="S278" s="15" t="str">
        <x:v>209-262-6134</x:v>
      </x:c>
      <x:c r="T278" s="7" t="str">
        <x:v>Current CDI</x:v>
      </x:c>
      <x:c r="U278" s="7" t="str">
        <x:v>1120 PARNELL AVE TURLOCK CA, 95380</x:v>
      </x:c>
      <x:c r="V278" s="7" t="str">
        <x:v>Resident</x:v>
      </x:c>
      <x:c r="W278" s="7" t="str">
        <x:v>CA</x:v>
      </x:c>
      <x:c r="X278" s="7" t="str"/>
      <x:c r="Y278" s="7" t="str">
        <x:v>AMERICAN GENERAL LIFE INSURANCE COMPANY / Life / 12/02/2024
BANNER LIFE INSURANCE COMPANY / Life / 11/22/2024
FIDELITY &amp; GUARANTY LIFE INSURANCE COMPANY / Life / 11/20/2024
INDEPENDENT ORDER OF FORESTERS (THE) / Life / 03/15/2025
LIBERTY BANKERS LIFE INSURANCE COMPANY / Life / 12/20/2024
UNITED OF OMAHA LIFE INSURANCE COMPANY / Life / 11/30/2024</x:v>
      </x:c>
      <x:c r="Z278" s="7" t="str"/>
      <x:c r="AA278" s="7" t="str"/>
      <x:c r="AB278" s="7" t="str"/>
      <x:c r="AC278" s="7" t="str"/>
      <x:c r="AD278" s="7" t="str">
        <x:v>Active general Life authority | Direct Life appointments outside the selected health-carrier set: AMERICAN GENERAL LIFE INSURANCE COMPANY, BANNER LIFE INSURANCE COMPANY, FIDELITY &amp; GUARANTY LIFE INSURANCE COMPANY, INDEPENDENT ORDER OF FORESTERS (THE), LIBERTY BANKERS LIFE INSURANCE COMPANY, UNITED OF OMAHA LIFE INSURANCE COMPANY</x:v>
      </x:c>
      <x:c r="AE278" s="7" t="str">
        <x:v>Life expiration in 23 days: confirm renewal during onboarding</x:v>
      </x:c>
      <x:c r="AF278" s="16" t="n">
        <x:v>2</x:v>
      </x:c>
      <x:c r="AG278" s="17" t="n">
        <x:v>23</x:v>
      </x:c>
      <x:c r="AH278" s="7" t="str">
        <x:v>2025-03-15</x:v>
      </x:c>
      <x:c r="AI278" s="7" t="str">
        <x:v>English</x:v>
      </x:c>
      <x:c r="AJ278" s="7" t="str">
        <x:v>Other / Affiliation Not Identified in Source (96)</x:v>
      </x:c>
      <x:c r="AK278" s="15" t="str">
        <x:v>209-262-6134</x:v>
      </x:c>
      <x:c r="AL278" s="7" t="str">
        <x:v>AGUILAR JOVANI DAMIAN</x:v>
      </x:c>
      <x:c r="AM278" s="7" t="str">
        <x:v>AGUILAR DAMIAN JOVANI</x:v>
      </x:c>
      <x:c r="AN278" s="7" t="str">
        <x:v>https://cdicloud.insurance.ca.gov/cal/LicenseDetail?SearchType=IND&amp;SearchLicNbr=4408127&amp;SearchIndvId=4408127</x:v>
      </x:c>
      <x:c r="AO278" s="7" t="str">
        <x:v>2026-10-08</x:v>
      </x:c>
      <x:c r="AP278" s="7" t="str">
        <x:v>4a8802de1ecc4c55b0a7fc131c18eeddec1875f98b4b11d190aab9f51e75ed61</x:v>
      </x:c>
      <x:c r="AQ278" s="7" t="str">
        <x:v>Life / Active / 10/07/2024 / 10/07/2024 / 10/31/2026</x:v>
      </x:c>
      <x:c r="AR278" s="7" t="str">
        <x:v>Active</x:v>
      </x:c>
      <x:c r="AS278" s="7" t="str">
        <x:v>Current detail page</x:v>
      </x:c>
    </x:row>
    <x:row r="279" ht="52" customHeight="1">
      <x:c r="A279" s="7" t="str">
        <x:v>AGUILAR JOY AGUILAR</x:v>
      </x:c>
      <x:c r="B279" s="14" t="str">
        <x:f>"4444228"</x:f>
        <x:v>4444228</x:v>
      </x:c>
      <x:c r="C279" s="7" t="str">
        <x:v>Approved</x:v>
      </x:c>
      <x:c r="D279" s="7" t="str">
        <x:v>PASS</x:v>
      </x:c>
      <x:c r="E279" s="13" t="str">
        <x:v>Pending</x:v>
      </x:c>
      <x:c r="F279" s="13" t="str"/>
      <x:c r="G279" s="13" t="str"/>
      <x:c r="H279" s="13" t="str"/>
      <x:c r="I279" s="7" t="str">
        <x:v>Confirm approval criteria and any unrecorded reason.</x:v>
      </x:c>
      <x:c r="J279" s="7" t="str">
        <x:v>P1</x:v>
      </x:c>
      <x:c r="K279" s="7" t="str">
        <x:v>Passes provisional observable screen; approval is independently established by PDF membership.</x:v>
      </x:c>
      <x:c r="L279" s="7" t="str">
        <x:v>Not supplied; membership is known, motive is not</x:v>
      </x:c>
      <x:c r="M279" s="7" t="n">
        <x:v>1</x:v>
      </x:c>
      <x:c r="N279" s="7" t="str">
        <x:v>First-call fit for stated IMO focus</x:v>
      </x:c>
      <x:c r="O279" s="7" t="str">
        <x:v>Active</x:v>
      </x:c>
      <x:c r="P279" s="7" t="str">
        <x:v>03/19/2025</x:v>
      </x:c>
      <x:c r="Q279" s="7" t="str">
        <x:v>03/31/2027</x:v>
      </x:c>
      <x:c r="R279" s="7" t="str">
        <x:v>Accident &amp; Health or Sickness; Life</x:v>
      </x:c>
      <x:c r="S279" s="15" t="str">
        <x:v>657-286-9600</x:v>
      </x:c>
      <x:c r="T279" s="7" t="str">
        <x:v>Current CDI</x:v>
      </x:c>
      <x:c r="U279" s="7" t="str">
        <x:v>9121 HAVEN AVE. SUITE 170 RANCHO CUCAMONGA CA, 91752</x:v>
      </x:c>
      <x:c r="V279" s="7" t="str">
        <x:v>Resident</x:v>
      </x:c>
      <x:c r="W279" s="7" t="str">
        <x:v>CA</x:v>
      </x:c>
      <x:c r="X279" s="7" t="str">
        <x:v>WORLD FINANCIAL GROUP INSURANCE AGENCY, LLC / Life / 03/28/2025
WORLD FINANCIAL GROUP INSURANCE AGENCY, LLC / Accident &amp; Health or Sickness / 03/28/2025</x:v>
      </x:c>
      <x:c r="Y279" s="7" t="str"/>
      <x:c r="Z279" s="7" t="str"/>
      <x:c r="AA279" s="7" t="str"/>
      <x:c r="AB279" s="7" t="str"/>
      <x:c r="AC279" s="7" t="str"/>
      <x:c r="AD279" s="7" t="str">
        <x:v>Active general Life authority | WFG relationship: matches an explicitly targeted recruiting segment | Active A&amp;H supports optional cross-selling; not necessary for target products</x:v>
      </x:c>
      <x:c r="AE279" s="7" t="str"/>
      <x:c r="AF279" s="16" t="n">
        <x:v>1.6</x:v>
      </x:c>
      <x:c r="AG279" s="17" t="n">
        <x:v>174</x:v>
      </x:c>
      <x:c r="AH279" s="7" t="str"/>
      <x:c r="AI279" s="7" t="str">
        <x:v>English</x:v>
      </x:c>
      <x:c r="AJ279" s="7" t="str">
        <x:v>WFG / World Financial Group (7)</x:v>
      </x:c>
      <x:c r="AK279" s="15" t="str">
        <x:v>657-286-9600</x:v>
      </x:c>
      <x:c r="AL279" s="7" t="str">
        <x:v>AGUILAR JOY AGUILAR</x:v>
      </x:c>
      <x:c r="AM279" s="7" t="str">
        <x:v>AGUILAR AGUILAR JOY | Aguilar Ochea Joy</x:v>
      </x:c>
      <x:c r="AN279" s="7" t="str">
        <x:v>https://cdicloud.insurance.ca.gov/cal/LicenseDetail?SearchType=IND&amp;SearchLicNbr=4444228&amp;SearchIndvId=4444228</x:v>
      </x:c>
      <x:c r="AO279" s="7" t="str">
        <x:v>2026-10-08</x:v>
      </x:c>
      <x:c r="AP279" s="7" t="str">
        <x:v>bf4b4989c4720b4c4f92e2f9f706a8f32ca4f4de09e985949aa8e51f904eccae</x:v>
      </x:c>
      <x:c r="AQ279" s="7" t="str">
        <x:v>Accident &amp; Health or Sickness / Active / 03/19/2025 / 03/19/2025 / 03/31/2027
Life / Active / 03/19/2025 / 03/19/2025 / 03/31/2027</x:v>
      </x:c>
      <x:c r="AR279" s="7" t="str">
        <x:v>Active</x:v>
      </x:c>
      <x:c r="AS279" s="7" t="str">
        <x:v>Current detail page</x:v>
      </x:c>
    </x:row>
    <x:row r="280" ht="52" customHeight="1">
      <x:c r="A280" s="7" t="str">
        <x:v>AGUILAR KARINA JANETH</x:v>
      </x:c>
      <x:c r="B280" s="14" t="str">
        <x:f>"4431815"</x:f>
        <x:v>4431815</x:v>
      </x:c>
      <x:c r="C280" s="7" t="str">
        <x:v>Approved</x:v>
      </x:c>
      <x:c r="D280" s="7" t="str">
        <x:v>PASS</x:v>
      </x:c>
      <x:c r="E280" s="13" t="str">
        <x:v>Pending</x:v>
      </x:c>
      <x:c r="F280" s="13" t="str"/>
      <x:c r="G280" s="13" t="str"/>
      <x:c r="H280" s="13" t="str"/>
      <x:c r="I280" s="7" t="str">
        <x:v>Confirm approval criteria and any unrecorded reason.</x:v>
      </x:c>
      <x:c r="J280" s="7" t="str">
        <x:v>P1</x:v>
      </x:c>
      <x:c r="K280" s="7" t="str">
        <x:v>Passes provisional observable screen; approval is independently established by PDF membership.</x:v>
      </x:c>
      <x:c r="L280" s="7" t="str">
        <x:v>Not supplied; membership is known, motive is not</x:v>
      </x:c>
      <x:c r="M280" s="7" t="n">
        <x:v>1</x:v>
      </x:c>
      <x:c r="N280" s="7" t="str">
        <x:v>First-call fit for stated IMO focus</x:v>
      </x:c>
      <x:c r="O280" s="7" t="str">
        <x:v>Active</x:v>
      </x:c>
      <x:c r="P280" s="7" t="str">
        <x:v>12/11/2024</x:v>
      </x:c>
      <x:c r="Q280" s="7" t="str">
        <x:v>12/31/2026</x:v>
      </x:c>
      <x:c r="R280" s="7" t="str">
        <x:v>Life</x:v>
      </x:c>
      <x:c r="S280" s="15" t="str">
        <x:v>805-624-7151</x:v>
      </x:c>
      <x:c r="T280" s="7" t="str">
        <x:v>Current CDI</x:v>
      </x:c>
      <x:c r="U280" s="7" t="str">
        <x:v>2259 WARD AVE SUITE 200 SIMI VALLEY CA, 93065</x:v>
      </x:c>
      <x:c r="V280" s="7" t="str">
        <x:v>Resident</x:v>
      </x:c>
      <x:c r="W280" s="7" t="str">
        <x:v>CA</x:v>
      </x:c>
      <x:c r="X280" s="7" t="str"/>
      <x:c r="Y280" s="7" t="str">
        <x:v>PRIMERICA LIFE INSURANCE COMPANY / Life / 12/17/2024</x:v>
      </x:c>
      <x:c r="Z280" s="7" t="str"/>
      <x:c r="AA280" s="7" t="str"/>
      <x:c r="AB280" s="7" t="str"/>
      <x:c r="AC280" s="7" t="str"/>
      <x:c r="AD280" s="7" t="str">
        <x:v>Active general Life authority | Primerica relationship: matches an explicitly targeted recruiting segment | Direct Life appointments outside the selected health-carrier set: PRIMERICA LIFE INSURANCE COMPANY</x:v>
      </x:c>
      <x:c r="AE280" s="7" t="str"/>
      <x:c r="AF280" s="16" t="n">
        <x:v>1.8</x:v>
      </x:c>
      <x:c r="AG280" s="17" t="n">
        <x:v>84</x:v>
      </x:c>
      <x:c r="AH280" s="7" t="str">
        <x:v>2024-12-17</x:v>
      </x:c>
      <x:c r="AI280" s="7" t="str">
        <x:v>English</x:v>
      </x:c>
      <x:c r="AJ280" s="7" t="str">
        <x:v>Primerica (33)</x:v>
      </x:c>
      <x:c r="AK280" s="15" t="str">
        <x:v>805-624-7151</x:v>
      </x:c>
      <x:c r="AL280" s="7" t="str">
        <x:v>AGUILAR KARINA JANETH</x:v>
      </x:c>
      <x:c r="AM280" s="7" t="str">
        <x:v>AGUILAR Janeth KARINA</x:v>
      </x:c>
      <x:c r="AN280" s="7" t="str">
        <x:v>https://cdicloud.insurance.ca.gov/cal/LicenseDetail?SearchType=IND&amp;SearchLicNbr=4431815&amp;SearchIndvId=4431815</x:v>
      </x:c>
      <x:c r="AO280" s="7" t="str">
        <x:v>2026-10-08</x:v>
      </x:c>
      <x:c r="AP280" s="7" t="str">
        <x:v>5284bb8ad7ef57c856441fca0da461802391a4d57a17d33026f528b74ac6c7f3</x:v>
      </x:c>
      <x:c r="AQ280" s="7" t="str">
        <x:v>Life / Active / 12/11/2024 / 12/11/2024 / 12/31/2026</x:v>
      </x:c>
      <x:c r="AR280" s="7" t="str">
        <x:v>Active</x:v>
      </x:c>
      <x:c r="AS280" s="7" t="str">
        <x:v>Current detail page</x:v>
      </x:c>
    </x:row>
    <x:row r="281" ht="52" customHeight="1">
      <x:c r="A281" s="7" t="str">
        <x:v>AGUILAR KENIA ESPERANZA</x:v>
      </x:c>
      <x:c r="B281" s="14" t="str">
        <x:f>"0N13184"</x:f>
        <x:v>0N13184</x:v>
      </x:c>
      <x:c r="C281" s="7" t="str">
        <x:v>Approved</x:v>
      </x:c>
      <x:c r="D281" s="7" t="str">
        <x:v>PASS</x:v>
      </x:c>
      <x:c r="E281" s="13" t="str">
        <x:v>Pending</x:v>
      </x:c>
      <x:c r="F281" s="13" t="str"/>
      <x:c r="G281" s="13" t="str"/>
      <x:c r="H281" s="13" t="str"/>
      <x:c r="I281" s="7" t="str">
        <x:v>Confirm approval criteria and any unrecorded reason.</x:v>
      </x:c>
      <x:c r="J281" s="7" t="str">
        <x:v>P1</x:v>
      </x:c>
      <x:c r="K281" s="7" t="str">
        <x:v>Passes provisional observable screen; approval is independently established by PDF membership.</x:v>
      </x:c>
      <x:c r="L281" s="7" t="str">
        <x:v>Not supplied; membership is known, motive is not</x:v>
      </x:c>
      <x:c r="M281" s="7" t="n">
        <x:v>1</x:v>
      </x:c>
      <x:c r="N281" s="7" t="str">
        <x:v>First-call fit for stated IMO focus</x:v>
      </x:c>
      <x:c r="O281" s="7" t="str">
        <x:v>Active</x:v>
      </x:c>
      <x:c r="P281" s="7" t="str">
        <x:v>08/08/2019</x:v>
      </x:c>
      <x:c r="Q281" s="7" t="str">
        <x:v>05/31/2028</x:v>
      </x:c>
      <x:c r="R281" s="7" t="str">
        <x:v>Life</x:v>
      </x:c>
      <x:c r="S281" s="15" t="str">
        <x:v>424-476-7731</x:v>
      </x:c>
      <x:c r="T281" s="7" t="str">
        <x:v>Current CDI</x:v>
      </x:c>
      <x:c r="U281" s="7" t="str">
        <x:v>12614 LEFFINGWELL RD SANTA FE SPRINGS CA, 90670</x:v>
      </x:c>
      <x:c r="V281" s="7" t="str">
        <x:v>Resident</x:v>
      </x:c>
      <x:c r="W281" s="7" t="str">
        <x:v>CA</x:v>
      </x:c>
      <x:c r="X281" s="7" t="str"/>
      <x:c r="Y281" s="7" t="str">
        <x:v>PRIMERICA LIFE INSURANCE COMPANY / Life / 05/18/2026</x:v>
      </x:c>
      <x:c r="Z281" s="7" t="str"/>
      <x:c r="AA281" s="7" t="str"/>
      <x:c r="AB281" s="7" t="str"/>
      <x:c r="AC281" s="7" t="str"/>
      <x:c r="AD281" s="7" t="str">
        <x:v>Active general Life authority | Primerica relationship: matches an explicitly targeted recruiting segment | Direct Life appointments outside the selected health-carrier set: PRIMERICA LIFE INSURANCE COMPANY</x:v>
      </x:c>
      <x:c r="AE281" s="7" t="str"/>
      <x:c r="AF281" s="16" t="n">
        <x:v>7.2</x:v>
      </x:c>
      <x:c r="AG281" s="17" t="n">
        <x:v>601</x:v>
      </x:c>
      <x:c r="AH281" s="7" t="str">
        <x:v>2026-05-18</x:v>
      </x:c>
      <x:c r="AI281" s="7" t="str">
        <x:v>English</x:v>
      </x:c>
      <x:c r="AJ281" s="7" t="str">
        <x:v>Primerica (33)</x:v>
      </x:c>
      <x:c r="AK281" s="15" t="str">
        <x:v>424-476-7731</x:v>
      </x:c>
      <x:c r="AL281" s="7" t="str">
        <x:v>AGUILAR KENIA ESPERANZA</x:v>
      </x:c>
      <x:c r="AM281" s="7" t="str">
        <x:v>Aguilar e Kenia | AGUILAR ESPERANZA KENIA</x:v>
      </x:c>
      <x:c r="AN281" s="7" t="str">
        <x:v>https://cdicloud.insurance.ca.gov/cal/LicenseDetail?SearchType=IND&amp;SearchLicNbr=0N13184&amp;SearchIndvId=2124266</x:v>
      </x:c>
      <x:c r="AO281" s="7" t="str">
        <x:v>2026-10-08</x:v>
      </x:c>
      <x:c r="AP281" s="7" t="str">
        <x:v>bca3132ddb1d2475ed66035661762fd252c60c7d62cc1e22d1f92b7652341511</x:v>
      </x:c>
      <x:c r="AQ281" s="7" t="str">
        <x:v>Life / Active / 08/08/2019 / 05/15/2026 / 05/31/2028</x:v>
      </x:c>
      <x:c r="AR281" s="7" t="str">
        <x:v>Active</x:v>
      </x:c>
      <x:c r="AS281" s="7" t="str">
        <x:v>Current detail page</x:v>
      </x:c>
    </x:row>
    <x:row r="282" ht="52" customHeight="1">
      <x:c r="A282" s="7" t="str">
        <x:v>AGUILAR KEVIN ANTHONY</x:v>
      </x:c>
      <x:c r="B282" s="14" t="str">
        <x:f>"4075010"</x:f>
        <x:v>4075010</x:v>
      </x:c>
      <x:c r="C282" s="7" t="str">
        <x:v>Approved</x:v>
      </x:c>
      <x:c r="D282" s="7" t="str">
        <x:v>PASS</x:v>
      </x:c>
      <x:c r="E282" s="13" t="str">
        <x:v>Pending</x:v>
      </x:c>
      <x:c r="F282" s="13" t="str"/>
      <x:c r="G282" s="13" t="str"/>
      <x:c r="H282" s="13" t="str"/>
      <x:c r="I282" s="7" t="str">
        <x:v>Confirm approval criteria and any unrecorded reason.</x:v>
      </x:c>
      <x:c r="J282" s="7" t="str">
        <x:v>P1</x:v>
      </x:c>
      <x:c r="K282" s="7" t="str">
        <x:v>Passes provisional observable screen; approval is independently established by PDF membership.</x:v>
      </x:c>
      <x:c r="L282" s="7" t="str">
        <x:v>Not supplied; membership is known, motive is not</x:v>
      </x:c>
      <x:c r="M282" s="7" t="n">
        <x:v>1</x:v>
      </x:c>
      <x:c r="N282" s="7" t="str">
        <x:v>First-call fit for stated IMO focus</x:v>
      </x:c>
      <x:c r="O282" s="7" t="str">
        <x:v>Active</x:v>
      </x:c>
      <x:c r="P282" s="7" t="str">
        <x:v>10/23/2020</x:v>
      </x:c>
      <x:c r="Q282" s="7" t="str">
        <x:v>10/31/2026</x:v>
      </x:c>
      <x:c r="R282" s="7" t="str">
        <x:v>Life</x:v>
      </x:c>
      <x:c r="S282" s="15" t="str">
        <x:v>818-425-9896</x:v>
      </x:c>
      <x:c r="T282" s="7" t="str">
        <x:v>Current CDI</x:v>
      </x:c>
      <x:c r="U282" s="7" t="str">
        <x:v>21080 CENTRE POINTE PKWY STE 102 SANTA CLARITA CA, 91350</x:v>
      </x:c>
      <x:c r="V282" s="7" t="str">
        <x:v>Resident</x:v>
      </x:c>
      <x:c r="W282" s="7" t="str">
        <x:v>CA</x:v>
      </x:c>
      <x:c r="X282" s="7" t="str">
        <x:v>PRIMERICA FINANCIAL SERVICES INSURANCE MARKETING, INC. / Life / 10/26/2020</x:v>
      </x:c>
      <x:c r="Y282" s="7" t="str"/>
      <x:c r="Z282" s="7" t="str"/>
      <x:c r="AA282" s="7" t="str"/>
      <x:c r="AB282" s="7" t="str"/>
      <x:c r="AC282" s="7" t="str"/>
      <x:c r="AD282" s="7" t="str">
        <x:v>Active general Life authority | Primerica relationship: matches an explicitly targeted recruiting segment</x:v>
      </x:c>
      <x:c r="AE282" s="7" t="str">
        <x:v>Life expiration in 23 days: confirm renewal during onboarding</x:v>
      </x:c>
      <x:c r="AF282" s="16" t="n">
        <x:v>6</x:v>
      </x:c>
      <x:c r="AG282" s="17" t="n">
        <x:v>23</x:v>
      </x:c>
      <x:c r="AH282" s="7" t="str"/>
      <x:c r="AI282" s="7" t="str">
        <x:v>English</x:v>
      </x:c>
      <x:c r="AJ282" s="7" t="str">
        <x:v>Primerica (33)</x:v>
      </x:c>
      <x:c r="AK282" s="15" t="str">
        <x:v>818-425-9896</x:v>
      </x:c>
      <x:c r="AL282" s="7" t="str">
        <x:v>AGUILAR KEVIN ANTHONY</x:v>
      </x:c>
      <x:c r="AM282" s="7" t="str">
        <x:v>AGUILAR ANTHONY KEVIN</x:v>
      </x:c>
      <x:c r="AN282" s="7" t="str">
        <x:v>https://cdicloud.insurance.ca.gov/cal/LicenseDetail?SearchType=IND&amp;SearchLicNbr=4075010&amp;SearchIndvId=4075010</x:v>
      </x:c>
      <x:c r="AO282" s="7" t="str">
        <x:v>2026-10-08</x:v>
      </x:c>
      <x:c r="AP282" s="7" t="str">
        <x:v>37507535ab46fb91d9c25d5a1e22dbb638c9c7311347ef910b29cf5b0d160761</x:v>
      </x:c>
      <x:c r="AQ282" s="7" t="str">
        <x:v>Life / Active / 10/23/2020 / 10/23/2020 / 10/31/2026</x:v>
      </x:c>
      <x:c r="AR282" s="7" t="str">
        <x:v>Active</x:v>
      </x:c>
      <x:c r="AS282" s="7" t="str">
        <x:v>Current detail page</x:v>
      </x:c>
    </x:row>
    <x:row r="283" ht="52" customHeight="1">
      <x:c r="A283" s="7" t="str">
        <x:v>AGUILAR LAURA ARLYN</x:v>
      </x:c>
      <x:c r="B283" s="14" t="str">
        <x:f>"4567292"</x:f>
        <x:v>4567292</x:v>
      </x:c>
      <x:c r="C283" s="7" t="str">
        <x:v>Approved</x:v>
      </x:c>
      <x:c r="D283" s="7" t="str">
        <x:v>PASS</x:v>
      </x:c>
      <x:c r="E283" s="13" t="str">
        <x:v>Pending</x:v>
      </x:c>
      <x:c r="F283" s="13" t="str"/>
      <x:c r="G283" s="13" t="str"/>
      <x:c r="H283" s="13" t="str"/>
      <x:c r="I283" s="7" t="str">
        <x:v>Confirm approval criteria and any unrecorded reason.</x:v>
      </x:c>
      <x:c r="J283" s="7" t="str">
        <x:v>P1</x:v>
      </x:c>
      <x:c r="K283" s="7" t="str">
        <x:v>Passes provisional observable screen; approval is independently established by PDF membership.</x:v>
      </x:c>
      <x:c r="L283" s="7" t="str">
        <x:v>Not supplied; membership is known, motive is not</x:v>
      </x:c>
      <x:c r="M283" s="7" t="n">
        <x:v>1</x:v>
      </x:c>
      <x:c r="N283" s="7" t="str">
        <x:v>First-call fit for stated IMO focus</x:v>
      </x:c>
      <x:c r="O283" s="7" t="str">
        <x:v>Active</x:v>
      </x:c>
      <x:c r="P283" s="7" t="str">
        <x:v>07/29/2026</x:v>
      </x:c>
      <x:c r="Q283" s="7" t="str">
        <x:v>07/31/2028</x:v>
      </x:c>
      <x:c r="R283" s="7" t="str">
        <x:v>Life</x:v>
      </x:c>
      <x:c r="S283" s="15" t="str">
        <x:v>805-624-7151</x:v>
      </x:c>
      <x:c r="T283" s="7" t="str">
        <x:v>Current CDI</x:v>
      </x:c>
      <x:c r="U283" s="7" t="str">
        <x:v>2259 WARD AVE STE 200 SIMI VALLEY CA, 93065</x:v>
      </x:c>
      <x:c r="V283" s="7" t="str">
        <x:v>Resident</x:v>
      </x:c>
      <x:c r="W283" s="7" t="str">
        <x:v>CA</x:v>
      </x:c>
      <x:c r="X283" s="7" t="str"/>
      <x:c r="Y283" s="7" t="str">
        <x:v>PRIMERICA LIFE INSURANCE COMPANY / Life / 07/30/2026</x:v>
      </x:c>
      <x:c r="Z283" s="7" t="str"/>
      <x:c r="AA283" s="7" t="str"/>
      <x:c r="AB283" s="7" t="str"/>
      <x:c r="AC283" s="7" t="str"/>
      <x:c r="AD283" s="7" t="str">
        <x:v>Active general Life authority | Primerica relationship: matches an explicitly targeted recruiting segment | Direct Life appointments outside the selected health-carrier set: PRIMERICA LIFE INSURANCE COMPANY</x:v>
      </x:c>
      <x:c r="AE283" s="7" t="str"/>
      <x:c r="AF283" s="16" t="n">
        <x:v>0.2</x:v>
      </x:c>
      <x:c r="AG283" s="17" t="n">
        <x:v>662</x:v>
      </x:c>
      <x:c r="AH283" s="7" t="str">
        <x:v>2026-07-30</x:v>
      </x:c>
      <x:c r="AI283" s="7" t="str">
        <x:v>English</x:v>
      </x:c>
      <x:c r="AJ283" s="7" t="str">
        <x:v>Primerica (33)</x:v>
      </x:c>
      <x:c r="AK283" s="15" t="str">
        <x:v>805-624-7151</x:v>
      </x:c>
      <x:c r="AL283" s="7" t="str">
        <x:v>AGUILAR LAURA ARLYN</x:v>
      </x:c>
      <x:c r="AM283" s="7" t="str">
        <x:v>AGUILAR ARLYN LAURA</x:v>
      </x:c>
      <x:c r="AN283" s="7" t="str">
        <x:v>https://cdicloud.insurance.ca.gov/cal/LicenseDetail?SearchType=IND&amp;SearchLicNbr=4567292&amp;SearchIndvId=4567292</x:v>
      </x:c>
      <x:c r="AO283" s="7" t="str">
        <x:v>2026-10-08</x:v>
      </x:c>
      <x:c r="AP283" s="7" t="str">
        <x:v>3b439cbf09089d945c34a450a220eca63c9bdaa5eb20bf03893b0f8d22b4bb8b</x:v>
      </x:c>
      <x:c r="AQ283" s="7" t="str">
        <x:v>Life / Active / 07/29/2026 / 07/29/2026 / 07/31/2028</x:v>
      </x:c>
      <x:c r="AR283" s="7" t="str">
        <x:v>Active</x:v>
      </x:c>
      <x:c r="AS283" s="7" t="str">
        <x:v>Current detail page</x:v>
      </x:c>
    </x:row>
    <x:row r="284" ht="52" customHeight="1">
      <x:c r="A284" s="7" t="str">
        <x:v>AGUILAR LESBIA CRISTINA</x:v>
      </x:c>
      <x:c r="B284" s="14" t="str">
        <x:f>"0E87588"</x:f>
        <x:v>0E87588</x:v>
      </x:c>
      <x:c r="C284" s="7" t="str">
        <x:v>Approved</x:v>
      </x:c>
      <x:c r="D284" s="7" t="str">
        <x:v>PASS</x:v>
      </x:c>
      <x:c r="E284" s="13" t="str">
        <x:v>Pending</x:v>
      </x:c>
      <x:c r="F284" s="13" t="str"/>
      <x:c r="G284" s="13" t="str"/>
      <x:c r="H284" s="13" t="str"/>
      <x:c r="I284" s="7" t="str">
        <x:v>Confirm approval criteria and any unrecorded reason.</x:v>
      </x:c>
      <x:c r="J284" s="7" t="str">
        <x:v>P1</x:v>
      </x:c>
      <x:c r="K284" s="7" t="str">
        <x:v>Passes provisional observable screen; approval is independently established by PDF membership.</x:v>
      </x:c>
      <x:c r="L284" s="7" t="str">
        <x:v>Not supplied; membership is known, motive is not</x:v>
      </x:c>
      <x:c r="M284" s="7" t="n">
        <x:v>1</x:v>
      </x:c>
      <x:c r="N284" s="7" t="str">
        <x:v>First-call fit for stated IMO focus</x:v>
      </x:c>
      <x:c r="O284" s="7" t="str">
        <x:v>Active</x:v>
      </x:c>
      <x:c r="P284" s="7" t="str">
        <x:v>08/09/2005</x:v>
      </x:c>
      <x:c r="Q284" s="7" t="str">
        <x:v>08/31/2027</x:v>
      </x:c>
      <x:c r="R284" s="7" t="str">
        <x:v>Accident &amp; Health or Sickness; Life</x:v>
      </x:c>
      <x:c r="S284" s="15" t="str">
        <x:v>818-365-4684</x:v>
      </x:c>
      <x:c r="T284" s="7" t="str">
        <x:v>Current CDI</x:v>
      </x:c>
      <x:c r="U284" s="7" t="str">
        <x:v>1038 N. MACLAY AVENUE, STE A SAN FERNANDO CA, 91340</x:v>
      </x:c>
      <x:c r="V284" s="7" t="str">
        <x:v>Resident</x:v>
      </x:c>
      <x:c r="W284" s="7" t="str">
        <x:v>CA</x:v>
      </x:c>
      <x:c r="X284" s="7" t="str"/>
      <x:c r="Y284" s="7" t="str">
        <x:v>PRIMERICA LIFE INSURANCE COMPANY / Accident &amp; Health or Sickness / 03/10/2026
PRIMERICA LIFE INSURANCE COMPANY / Life / 03/10/2026</x:v>
      </x:c>
      <x:c r="Z284" s="7" t="str"/>
      <x:c r="AA284" s="7" t="str"/>
      <x:c r="AB284" s="7" t="str"/>
      <x:c r="AC284" s="7" t="str"/>
      <x:c r="AD284" s="7" t="str">
        <x:v>Active general Life authority | Primerica relationship: matches an explicitly targeted recruiting segment | Direct Life appointments outside the selected health-carrier set: PRIMERICA LIFE INSURANCE COMPANY | Active A&amp;H supports optional cross-selling; not necessary for target products</x:v>
      </x:c>
      <x:c r="AE284" s="7" t="str"/>
      <x:c r="AF284" s="16" t="n">
        <x:v>21.2</x:v>
      </x:c>
      <x:c r="AG284" s="17" t="n">
        <x:v>327</x:v>
      </x:c>
      <x:c r="AH284" s="7" t="str">
        <x:v>2026-03-10</x:v>
      </x:c>
      <x:c r="AI284" s="7" t="str">
        <x:v>English</x:v>
      </x:c>
      <x:c r="AJ284" s="7" t="str">
        <x:v>Primerica (33)</x:v>
      </x:c>
      <x:c r="AK284" s="15" t="str">
        <x:v>818-365-4684</x:v>
      </x:c>
      <x:c r="AL284" s="7" t="str">
        <x:v>AGUILAR LESBIA CRISTINA</x:v>
      </x:c>
      <x:c r="AM284" s="7" t="str">
        <x:v>AGUILAR CRISTINA LESBIA</x:v>
      </x:c>
      <x:c r="AN284" s="7" t="str">
        <x:v>https://cdicloud.insurance.ca.gov/cal/LicenseDetail?SearchType=IND&amp;SearchLicNbr=0E87588&amp;SearchIndvId=964054</x:v>
      </x:c>
      <x:c r="AO284" s="7" t="str">
        <x:v>2026-10-08</x:v>
      </x:c>
      <x:c r="AP284" s="7" t="str">
        <x:v>fc24d685e714f772a255de5ef6e9cb1911e75c0b8f377d84aadcabbf1eee92ee</x:v>
      </x:c>
      <x:c r="AQ284" s="7" t="str">
        <x:v>Accident &amp; Health or Sickness / Active / 08/09/2005 / 12/17/2025 / 08/31/2027
Life / Active / 08/09/2005 / 12/17/2025 / 08/31/2027</x:v>
      </x:c>
      <x:c r="AR284" s="7" t="str">
        <x:v>Active</x:v>
      </x:c>
      <x:c r="AS284" s="7" t="str">
        <x:v>Current detail page</x:v>
      </x:c>
    </x:row>
    <x:row r="285" ht="52" customHeight="1">
      <x:c r="A285" s="7" t="str">
        <x:v>AGUILAR LUCIA</x:v>
      </x:c>
      <x:c r="B285" s="14" t="str">
        <x:f>"4152888"</x:f>
        <x:v>4152888</x:v>
      </x:c>
      <x:c r="C285" s="7" t="str">
        <x:v>Approved</x:v>
      </x:c>
      <x:c r="D285" s="7" t="str">
        <x:v>PASS</x:v>
      </x:c>
      <x:c r="E285" s="13" t="str">
        <x:v>Pending</x:v>
      </x:c>
      <x:c r="F285" s="13" t="str"/>
      <x:c r="G285" s="13" t="str"/>
      <x:c r="H285" s="13" t="str"/>
      <x:c r="I285" s="7" t="str">
        <x:v>Confirm approval criteria and any unrecorded reason.</x:v>
      </x:c>
      <x:c r="J285" s="7" t="str">
        <x:v>P1</x:v>
      </x:c>
      <x:c r="K285" s="7" t="str">
        <x:v>Passes provisional observable screen; approval is independently established by PDF membership.</x:v>
      </x:c>
      <x:c r="L285" s="7" t="str">
        <x:v>Not supplied; membership is known, motive is not</x:v>
      </x:c>
      <x:c r="M285" s="7" t="n">
        <x:v>1</x:v>
      </x:c>
      <x:c r="N285" s="7" t="str">
        <x:v>First-call fit for stated IMO focus</x:v>
      </x:c>
      <x:c r="O285" s="7" t="str">
        <x:v>Active</x:v>
      </x:c>
      <x:c r="P285" s="7" t="str">
        <x:v>10/13/2021</x:v>
      </x:c>
      <x:c r="Q285" s="7" t="str">
        <x:v>10/31/2027</x:v>
      </x:c>
      <x:c r="R285" s="7" t="str">
        <x:v>Accident &amp; Health or Sickness; Life</x:v>
      </x:c>
      <x:c r="S285" s="15" t="str">
        <x:v>213-693-0937</x:v>
      </x:c>
      <x:c r="T285" s="7" t="str">
        <x:v>Current CDI</x:v>
      </x:c>
      <x:c r="U285" s="7" t="str">
        <x:v>1460 NORTH LAKE AVE. SUITE 104 PASADENA CA, 91104</x:v>
      </x:c>
      <x:c r="V285" s="7" t="str">
        <x:v>Resident</x:v>
      </x:c>
      <x:c r="W285" s="7" t="str">
        <x:v>CA</x:v>
      </x:c>
      <x:c r="X285" s="7" t="str"/>
      <x:c r="Y285" s="7" t="str"/>
      <x:c r="Z285" s="7" t="str"/>
      <x:c r="AA285" s="7" t="str"/>
      <x:c r="AB285" s="7" t="str"/>
      <x:c r="AC285" s="7" t="str"/>
      <x:c r="AD285" s="7" t="str">
        <x:v>Active general Life authority | No agency or insurer displayed: onboarding opportunity possible; existing business unknown | Active A&amp;H supports optional cross-selling; not necessary for target products</x:v>
      </x:c>
      <x:c r="AE285" s="7" t="str"/>
      <x:c r="AF285" s="16" t="n">
        <x:v>5</x:v>
      </x:c>
      <x:c r="AG285" s="17" t="n">
        <x:v>388</x:v>
      </x:c>
      <x:c r="AH285" s="7" t="str"/>
      <x:c r="AI285" s="7" t="str">
        <x:v>English</x:v>
      </x:c>
      <x:c r="AJ285" s="7" t="str">
        <x:v>Other / Affiliation Not Identified in Source (96)</x:v>
      </x:c>
      <x:c r="AK285" s="15" t="str">
        <x:v>213-693-0937</x:v>
      </x:c>
      <x:c r="AL285" s="7" t="str">
        <x:v>AGUILAR LUCIA</x:v>
      </x:c>
      <x:c r="AM285" s="7" t="str">
        <x:v>AGUILAR  LUCIA</x:v>
      </x:c>
      <x:c r="AN285" s="7" t="str">
        <x:v>https://cdicloud.insurance.ca.gov/cal/LicenseDetail?SearchType=IND&amp;SearchLicNbr=4152888&amp;SearchIndvId=4152888</x:v>
      </x:c>
      <x:c r="AO285" s="7" t="str">
        <x:v>2026-10-08</x:v>
      </x:c>
      <x:c r="AP285" s="7" t="str">
        <x:v>5288c30e68b5ff8b715370449ad93248de5f2323256103d85269364e30620f74</x:v>
      </x:c>
      <x:c r="AQ285" s="7" t="str">
        <x:v>Accident &amp; Health or Sickness / Active / 10/13/2021 / 01/29/2026 / 10/31/2027
Life / Active / 10/13/2021 / 01/29/2026 / 10/31/2027</x:v>
      </x:c>
      <x:c r="AR285" s="7" t="str">
        <x:v>Active</x:v>
      </x:c>
      <x:c r="AS285" s="7" t="str">
        <x:v>Current detail page</x:v>
      </x:c>
    </x:row>
    <x:row r="286" ht="52" customHeight="1">
      <x:c r="A286" s="7" t="str">
        <x:v>AGUILAR LUCIA PAULINA</x:v>
      </x:c>
      <x:c r="B286" s="14" t="str">
        <x:f>"4413346"</x:f>
        <x:v>4413346</x:v>
      </x:c>
      <x:c r="C286" s="7" t="str">
        <x:v>Approved</x:v>
      </x:c>
      <x:c r="D286" s="7" t="str">
        <x:v>PASS</x:v>
      </x:c>
      <x:c r="E286" s="13" t="str">
        <x:v>Pending</x:v>
      </x:c>
      <x:c r="F286" s="13" t="str"/>
      <x:c r="G286" s="13" t="str"/>
      <x:c r="H286" s="13" t="str"/>
      <x:c r="I286" s="7" t="str">
        <x:v>Confirm approval criteria and any unrecorded reason.</x:v>
      </x:c>
      <x:c r="J286" s="7" t="str">
        <x:v>P1</x:v>
      </x:c>
      <x:c r="K286" s="7" t="str">
        <x:v>Passes provisional observable screen; approval is independently established by PDF membership.</x:v>
      </x:c>
      <x:c r="L286" s="7" t="str">
        <x:v>Not supplied; membership is known, motive is not</x:v>
      </x:c>
      <x:c r="M286" s="7" t="n">
        <x:v>1</x:v>
      </x:c>
      <x:c r="N286" s="7" t="str">
        <x:v>First-call fit for stated IMO focus</x:v>
      </x:c>
      <x:c r="O286" s="7" t="str">
        <x:v>Active</x:v>
      </x:c>
      <x:c r="P286" s="7" t="str">
        <x:v>10/03/2024</x:v>
      </x:c>
      <x:c r="Q286" s="7" t="str">
        <x:v>10/31/2026</x:v>
      </x:c>
      <x:c r="R286" s="7" t="str">
        <x:v>Accident &amp; Health or Sickness; Life</x:v>
      </x:c>
      <x:c r="S286" s="15" t="str">
        <x:v>562-746-5219</x:v>
      </x:c>
      <x:c r="T286" s="7" t="str">
        <x:v>Current CDI</x:v>
      </x:c>
      <x:c r="U286" s="7" t="str">
        <x:v>11514 NAVA ST NORWALK CA, 90650</x:v>
      </x:c>
      <x:c r="V286" s="7" t="str">
        <x:v>Resident</x:v>
      </x:c>
      <x:c r="W286" s="7" t="str">
        <x:v>CA</x:v>
      </x:c>
      <x:c r="X286" s="7" t="str">
        <x:v>WORLD FINANCIAL GROUP INSURANCE AGENCY, LLC / Accident &amp; Health or Sickness / 01/07/2025
WORLD FINANCIAL GROUP INSURANCE AGENCY, LLC / Life / 01/07/2025</x:v>
      </x:c>
      <x:c r="Y286" s="7" t="str"/>
      <x:c r="Z286" s="7" t="str"/>
      <x:c r="AA286" s="7" t="str"/>
      <x:c r="AB286" s="7" t="str"/>
      <x:c r="AC286" s="7" t="str"/>
      <x:c r="AD286" s="7" t="str">
        <x:v>Active general Life authority | WFG relationship: matches an explicitly targeted recruiting segment | Active A&amp;H supports optional cross-selling; not necessary for target products</x:v>
      </x:c>
      <x:c r="AE286" s="7" t="str">
        <x:v>Life expiration in 23 days: confirm renewal during onboarding</x:v>
      </x:c>
      <x:c r="AF286" s="16" t="n">
        <x:v>2</x:v>
      </x:c>
      <x:c r="AG286" s="17" t="n">
        <x:v>23</x:v>
      </x:c>
      <x:c r="AH286" s="7" t="str"/>
      <x:c r="AI286" s="7" t="str">
        <x:v>English</x:v>
      </x:c>
      <x:c r="AJ286" s="7" t="str">
        <x:v>WFG / World Financial Group (7)</x:v>
      </x:c>
      <x:c r="AK286" s="15" t="str">
        <x:v>562-746-5219</x:v>
      </x:c>
      <x:c r="AL286" s="7" t="str">
        <x:v>AGUILAR LUCIA PAULINA</x:v>
      </x:c>
      <x:c r="AM286" s="7" t="str">
        <x:v>AGUILAR PAULINA LUCIA</x:v>
      </x:c>
      <x:c r="AN286" s="7" t="str">
        <x:v>https://cdicloud.insurance.ca.gov/cal/LicenseDetail?SearchType=IND&amp;SearchLicNbr=4413346&amp;SearchIndvId=4413346</x:v>
      </x:c>
      <x:c r="AO286" s="7" t="str">
        <x:v>2026-10-08</x:v>
      </x:c>
      <x:c r="AP286" s="7" t="str">
        <x:v>9f36fd89ad15053dbde4a37c8c61fa145800faac7a2ff310516d90feda3662ab</x:v>
      </x:c>
      <x:c r="AQ286" s="7" t="str">
        <x:v>Accident &amp; Health or Sickness / Active / 10/03/2024 / 10/03/2024 / 10/31/2026
Life / Active / 10/03/2024 / 10/03/2024 / 10/31/2026</x:v>
      </x:c>
      <x:c r="AR286" s="7" t="str">
        <x:v>Active</x:v>
      </x:c>
      <x:c r="AS286" s="7" t="str">
        <x:v>Current detail page</x:v>
      </x:c>
    </x:row>
    <x:row r="287" ht="52" customHeight="1">
      <x:c r="A287" s="7" t="str">
        <x:v>AGUILAR LUZ MARIA</x:v>
      </x:c>
      <x:c r="B287" s="14" t="str">
        <x:f>"4247777"</x:f>
        <x:v>4247777</x:v>
      </x:c>
      <x:c r="C287" s="7" t="str">
        <x:v>Approved</x:v>
      </x:c>
      <x:c r="D287" s="7" t="str">
        <x:v>PASS</x:v>
      </x:c>
      <x:c r="E287" s="13" t="str">
        <x:v>Pending</x:v>
      </x:c>
      <x:c r="F287" s="13" t="str"/>
      <x:c r="G287" s="13" t="str"/>
      <x:c r="H287" s="13" t="str"/>
      <x:c r="I287" s="7" t="str">
        <x:v>Confirm approval criteria and any unrecorded reason.</x:v>
      </x:c>
      <x:c r="J287" s="7" t="str">
        <x:v>P1</x:v>
      </x:c>
      <x:c r="K287" s="7" t="str">
        <x:v>Passes provisional observable screen; approval is independently established by PDF membership.</x:v>
      </x:c>
      <x:c r="L287" s="7" t="str">
        <x:v>Not supplied; membership is known, motive is not</x:v>
      </x:c>
      <x:c r="M287" s="7" t="n">
        <x:v>1</x:v>
      </x:c>
      <x:c r="N287" s="7" t="str">
        <x:v>First-call fit for stated IMO focus</x:v>
      </x:c>
      <x:c r="O287" s="7" t="str">
        <x:v>Active</x:v>
      </x:c>
      <x:c r="P287" s="7" t="str">
        <x:v>11/22/2022</x:v>
      </x:c>
      <x:c r="Q287" s="7" t="str">
        <x:v>11/30/2026</x:v>
      </x:c>
      <x:c r="R287" s="7" t="str">
        <x:v>Life</x:v>
      </x:c>
      <x:c r="S287" s="15" t="str">
        <x:v>909-642-7815</x:v>
      </x:c>
      <x:c r="T287" s="7" t="str">
        <x:v>Current CDI</x:v>
      </x:c>
      <x:c r="U287" s="7" t="str">
        <x:v>22324 TEMESCAL CYN CORONA CA, 92883</x:v>
      </x:c>
      <x:c r="V287" s="7" t="str">
        <x:v>Resident</x:v>
      </x:c>
      <x:c r="W287" s="7" t="str">
        <x:v>CA</x:v>
      </x:c>
      <x:c r="X287" s="7" t="str"/>
      <x:c r="Y287" s="7" t="str">
        <x:v>AMERICAN NATIONAL INSURANCE COMPANY / Life / 12/20/2022</x:v>
      </x:c>
      <x:c r="Z287" s="7" t="str"/>
      <x:c r="AA287" s="7" t="str"/>
      <x:c r="AB287" s="7" t="str"/>
      <x:c r="AC287" s="7" t="str"/>
      <x:c r="AD287" s="7" t="str">
        <x:v>Active general Life authority | Direct Life appointments outside the selected health-carrier set: AMERICAN NATIONAL INSURANCE COMPANY</x:v>
      </x:c>
      <x:c r="AE287" s="7" t="str">
        <x:v>Life expiration in 53 days: confirm renewal during onboarding</x:v>
      </x:c>
      <x:c r="AF287" s="16" t="n">
        <x:v>3.9</x:v>
      </x:c>
      <x:c r="AG287" s="17" t="n">
        <x:v>53</x:v>
      </x:c>
      <x:c r="AH287" s="7" t="str">
        <x:v>2022-12-20</x:v>
      </x:c>
      <x:c r="AI287" s="7" t="str">
        <x:v>English</x:v>
      </x:c>
      <x:c r="AJ287" s="7" t="str">
        <x:v>Other / Affiliation Not Identified in Source (96)</x:v>
      </x:c>
      <x:c r="AK287" s="15" t="str">
        <x:v>909-642-7815</x:v>
      </x:c>
      <x:c r="AL287" s="7" t="str">
        <x:v>AGUILAR LUZ MARIA</x:v>
      </x:c>
      <x:c r="AM287" s="7" t="str">
        <x:v>Aguilar Maria Luz | AGUILAR MARIA LUZ</x:v>
      </x:c>
      <x:c r="AN287" s="7" t="str">
        <x:v>https://cdicloud.insurance.ca.gov/cal/LicenseDetail?SearchType=IND&amp;SearchLicNbr=4247777&amp;SearchIndvId=4247777</x:v>
      </x:c>
      <x:c r="AO287" s="7" t="str">
        <x:v>2026-10-08</x:v>
      </x:c>
      <x:c r="AP287" s="7" t="str">
        <x:v>1e2fd4d9dcdb4bd44c676f61eedf4e8fbf3ab278eaa910219a26b9e305e790d3</x:v>
      </x:c>
      <x:c r="AQ287" s="7" t="str">
        <x:v>Life / Active / 11/22/2022 / 11/22/2022 / 11/30/2026</x:v>
      </x:c>
      <x:c r="AR287" s="7" t="str">
        <x:v>Active</x:v>
      </x:c>
      <x:c r="AS287" s="7" t="str">
        <x:v>Current detail page</x:v>
      </x:c>
    </x:row>
    <x:row r="288" ht="52" customHeight="1">
      <x:c r="A288" s="7" t="str">
        <x:v>AGUILAR MANUEL</x:v>
      </x:c>
      <x:c r="B288" s="14" t="str">
        <x:f>"0I53048"</x:f>
        <x:v>0I53048</x:v>
      </x:c>
      <x:c r="C288" s="7" t="str">
        <x:v>Approved</x:v>
      </x:c>
      <x:c r="D288" s="7" t="str">
        <x:v>PASS</x:v>
      </x:c>
      <x:c r="E288" s="13" t="str">
        <x:v>Pending</x:v>
      </x:c>
      <x:c r="F288" s="13" t="str"/>
      <x:c r="G288" s="13" t="str"/>
      <x:c r="H288" s="13" t="str"/>
      <x:c r="I288" s="7" t="str">
        <x:v>Confirm approval criteria and any unrecorded reason.</x:v>
      </x:c>
      <x:c r="J288" s="7" t="str">
        <x:v>P1</x:v>
      </x:c>
      <x:c r="K288" s="7" t="str">
        <x:v>Passes provisional observable screen; approval is independently established by PDF membership.</x:v>
      </x:c>
      <x:c r="L288" s="7" t="str">
        <x:v>Not supplied; membership is known, motive is not</x:v>
      </x:c>
      <x:c r="M288" s="7" t="n">
        <x:v>1</x:v>
      </x:c>
      <x:c r="N288" s="7" t="str">
        <x:v>First-call fit for stated IMO focus</x:v>
      </x:c>
      <x:c r="O288" s="7" t="str">
        <x:v>Active</x:v>
      </x:c>
      <x:c r="P288" s="7" t="str">
        <x:v>01/10/2014</x:v>
      </x:c>
      <x:c r="Q288" s="7" t="str">
        <x:v>09/30/2027</x:v>
      </x:c>
      <x:c r="R288" s="7" t="str">
        <x:v>Accident &amp; Health or Sickness; Life</x:v>
      </x:c>
      <x:c r="S288" s="15" t="str">
        <x:v>626-641-7110</x:v>
      </x:c>
      <x:c r="T288" s="7" t="str">
        <x:v>Current CDI</x:v>
      </x:c>
      <x:c r="U288" s="7" t="str">
        <x:v>131 SOUTH LAMARR STREET RIALTO CA, 92376</x:v>
      </x:c>
      <x:c r="V288" s="7" t="str">
        <x:v>Resident</x:v>
      </x:c>
      <x:c r="W288" s="7" t="str">
        <x:v>CA</x:v>
      </x:c>
      <x:c r="X288" s="7" t="str">
        <x:v>CALIFORNIA HEALTH BENEFIT EXCHANGE / Accident &amp; Health or Sickness / 12/01/2025</x:v>
      </x:c>
      <x:c r="Y288" s="7" t="str"/>
      <x:c r="Z288" s="7" t="str"/>
      <x:c r="AA288" s="7" t="str"/>
      <x:c r="AB288" s="7" t="str"/>
      <x:c r="AC288" s="7" t="str"/>
      <x:c r="AD288" s="7" t="str">
        <x:v>Active general Life authority | Active A&amp;H supports optional cross-selling; not necessary for target products</x:v>
      </x:c>
      <x:c r="AE288" s="7" t="str"/>
      <x:c r="AF288" s="16" t="n">
        <x:v>12.7</x:v>
      </x:c>
      <x:c r="AG288" s="17" t="n">
        <x:v>357</x:v>
      </x:c>
      <x:c r="AH288" s="7" t="str"/>
      <x:c r="AI288" s="7" t="str">
        <x:v>English</x:v>
      </x:c>
      <x:c r="AJ288" s="7" t="str">
        <x:v>Other / Affiliation Not Identified in Source (96)</x:v>
      </x:c>
      <x:c r="AK288" s="15" t="str">
        <x:v>626-641-7110</x:v>
      </x:c>
      <x:c r="AL288" s="7" t="str">
        <x:v>AGUILAR MANUEL</x:v>
      </x:c>
      <x:c r="AM288" s="7" t="str">
        <x:v>AGUILAR  MANUEL | aguilar n manuel</x:v>
      </x:c>
      <x:c r="AN288" s="7" t="str">
        <x:v>https://cdicloud.insurance.ca.gov/cal/LicenseDetail?SearchType=IND&amp;SearchLicNbr=0I53048&amp;SearchIndvId=1609178</x:v>
      </x:c>
      <x:c r="AO288" s="7" t="str">
        <x:v>2026-10-08</x:v>
      </x:c>
      <x:c r="AP288" s="7" t="str">
        <x:v>3afc13644fe226e0a838064998d0f351d1eab294526412564f78af2ca804da12</x:v>
      </x:c>
      <x:c r="AQ288" s="7" t="str">
        <x:v>Accident &amp; Health or Sickness / Active / 01/10/2014 / 12/01/2025 / 09/30/2027
Life / Active / 01/10/2014 / 12/01/2025 / 09/30/2027</x:v>
      </x:c>
      <x:c r="AR288" s="7" t="str">
        <x:v>Active</x:v>
      </x:c>
      <x:c r="AS288" s="7" t="str">
        <x:v>Current detail page</x:v>
      </x:c>
    </x:row>
    <x:row r="289" ht="52" customHeight="1">
      <x:c r="A289" s="7" t="str">
        <x:v>AGUILAR MANUEL</x:v>
      </x:c>
      <x:c r="B289" s="14" t="str">
        <x:f>"4342516"</x:f>
        <x:v>4342516</x:v>
      </x:c>
      <x:c r="C289" s="7" t="str">
        <x:v>Approved</x:v>
      </x:c>
      <x:c r="D289" s="7" t="str">
        <x:v>PASS</x:v>
      </x:c>
      <x:c r="E289" s="13" t="str">
        <x:v>Pending</x:v>
      </x:c>
      <x:c r="F289" s="13" t="str"/>
      <x:c r="G289" s="13" t="str"/>
      <x:c r="H289" s="13" t="str"/>
      <x:c r="I289" s="7" t="str">
        <x:v>Confirm approval criteria and any unrecorded reason.</x:v>
      </x:c>
      <x:c r="J289" s="7" t="str">
        <x:v>P1</x:v>
      </x:c>
      <x:c r="K289" s="7" t="str">
        <x:v>Passes provisional observable screen; approval is independently established by PDF membership.</x:v>
      </x:c>
      <x:c r="L289" s="7" t="str">
        <x:v>Not supplied; membership is known, motive is not</x:v>
      </x:c>
      <x:c r="M289" s="7" t="n">
        <x:v>1</x:v>
      </x:c>
      <x:c r="N289" s="7" t="str">
        <x:v>First-call fit for stated IMO focus</x:v>
      </x:c>
      <x:c r="O289" s="7" t="str">
        <x:v>Active</x:v>
      </x:c>
      <x:c r="P289" s="7" t="str">
        <x:v>01/05/2024</x:v>
      </x:c>
      <x:c r="Q289" s="7" t="str">
        <x:v>01/31/2028</x:v>
      </x:c>
      <x:c r="R289" s="7" t="str">
        <x:v>Accident &amp; Health or Sickness; Life</x:v>
      </x:c>
      <x:c r="S289" s="15" t="str">
        <x:v>818-859-9212</x:v>
      </x:c>
      <x:c r="T289" s="7" t="str">
        <x:v>Current CDI</x:v>
      </x:c>
      <x:c r="U289" s="7" t="str">
        <x:v>6549 CLEON AVE NORTH HOLLYWOOD CA, 91606</x:v>
      </x:c>
      <x:c r="V289" s="7" t="str">
        <x:v>Resident</x:v>
      </x:c>
      <x:c r="W289" s="7" t="str">
        <x:v>CA</x:v>
      </x:c>
      <x:c r="X289" s="7" t="str"/>
      <x:c r="Y289" s="7" t="str">
        <x:v>AMERICAN GENERAL LIFE INSURANCE COMPANY / Accident &amp; Health or Sickness / 04/25/2024
AMERICAN GENERAL LIFE INSURANCE COMPANY / Life / 04/25/2024</x:v>
      </x:c>
      <x:c r="Z289" s="7" t="str"/>
      <x:c r="AA289" s="7" t="str"/>
      <x:c r="AB289" s="7" t="str"/>
      <x:c r="AC289" s="7" t="str"/>
      <x:c r="AD289" s="7" t="str">
        <x:v>Active general Life authority | Direct Life appointments outside the selected health-carrier set: AMERICAN GENERAL LIFE INSURANCE COMPANY | Active A&amp;H supports optional cross-selling; not necessary for target products</x:v>
      </x:c>
      <x:c r="AE289" s="7" t="str"/>
      <x:c r="AF289" s="16" t="n">
        <x:v>2.8</x:v>
      </x:c>
      <x:c r="AG289" s="17" t="n">
        <x:v>480</x:v>
      </x:c>
      <x:c r="AH289" s="7" t="str">
        <x:v>2024-04-25</x:v>
      </x:c>
      <x:c r="AI289" s="7" t="str">
        <x:v>English</x:v>
      </x:c>
      <x:c r="AJ289" s="7" t="str">
        <x:v>Other / Affiliation Not Identified in Source (96)</x:v>
      </x:c>
      <x:c r="AK289" s="15" t="str">
        <x:v>818-859-9212</x:v>
      </x:c>
      <x:c r="AL289" s="7" t="str">
        <x:v>AGUILAR MANUEL</x:v>
      </x:c>
      <x:c r="AM289" s="7" t="str">
        <x:v>AGUILAR  MANUEL</x:v>
      </x:c>
      <x:c r="AN289" s="7" t="str">
        <x:v>https://cdicloud.insurance.ca.gov/cal/LicenseDetail?SearchType=IND&amp;SearchLicNbr=4342516&amp;SearchIndvId=4342516</x:v>
      </x:c>
      <x:c r="AO289" s="7" t="str">
        <x:v>2026-10-08</x:v>
      </x:c>
      <x:c r="AP289" s="7" t="str">
        <x:v>1b57bbcc2a973ad18eec6ba0f150bc074816b24116b8ff29b444fda41ce197e2</x:v>
      </x:c>
      <x:c r="AQ289" s="7" t="str">
        <x:v>Accident &amp; Health or Sickness / Active / 01/05/2024 / 01/05/2024 / 01/31/2028
Life / Active / 01/05/2024 / 01/05/2024 / 01/31/2028</x:v>
      </x:c>
      <x:c r="AR289" s="7" t="str">
        <x:v>Active</x:v>
      </x:c>
      <x:c r="AS289" s="7" t="str">
        <x:v>Current detail page</x:v>
      </x:c>
    </x:row>
    <x:row r="290" ht="52" customHeight="1">
      <x:c r="A290" s="7" t="str">
        <x:v>AGUILAR MANUEL ALEXANDER</x:v>
      </x:c>
      <x:c r="B290" s="14" t="str">
        <x:f>"4150535"</x:f>
        <x:v>4150535</x:v>
      </x:c>
      <x:c r="C290" s="7" t="str">
        <x:v>Approved</x:v>
      </x:c>
      <x:c r="D290" s="7" t="str">
        <x:v>PASS</x:v>
      </x:c>
      <x:c r="E290" s="13" t="str">
        <x:v>Pending</x:v>
      </x:c>
      <x:c r="F290" s="13" t="str"/>
      <x:c r="G290" s="13" t="str"/>
      <x:c r="H290" s="13" t="str"/>
      <x:c r="I290" s="7" t="str">
        <x:v>Confirm approval criteria and any unrecorded reason.</x:v>
      </x:c>
      <x:c r="J290" s="7" t="str">
        <x:v>P1</x:v>
      </x:c>
      <x:c r="K290" s="7" t="str">
        <x:v>Passes provisional observable screen; approval is independently established by PDF membership.</x:v>
      </x:c>
      <x:c r="L290" s="7" t="str">
        <x:v>Not supplied; membership is known, motive is not</x:v>
      </x:c>
      <x:c r="M290" s="7" t="n">
        <x:v>1</x:v>
      </x:c>
      <x:c r="N290" s="7" t="str">
        <x:v>First-call fit for stated IMO focus</x:v>
      </x:c>
      <x:c r="O290" s="7" t="str">
        <x:v>Active</x:v>
      </x:c>
      <x:c r="P290" s="7" t="str">
        <x:v>09/22/2021</x:v>
      </x:c>
      <x:c r="Q290" s="7" t="str">
        <x:v>09/30/2027</x:v>
      </x:c>
      <x:c r="R290" s="7" t="str">
        <x:v>Accident &amp; Health or Sickness; Life</x:v>
      </x:c>
      <x:c r="S290" s="15" t="str">
        <x:v>209-630-1138</x:v>
      </x:c>
      <x:c r="T290" s="7" t="str">
        <x:v>Current CDI</x:v>
      </x:c>
      <x:c r="U290" s="7" t="str">
        <x:v>1999 MARCROSS DR 1999 MARCROSS DR SAN JOSE CA, 95131</x:v>
      </x:c>
      <x:c r="V290" s="7" t="str">
        <x:v>Resident</x:v>
      </x:c>
      <x:c r="W290" s="7" t="str">
        <x:v>CA</x:v>
      </x:c>
      <x:c r="X290" s="7" t="str"/>
      <x:c r="Y290" s="7" t="str">
        <x:v>AMERICAN GENERAL LIFE INSURANCE COMPANY / Accident &amp; Health or Sickness / 10/03/2024
AMERICAN GENERAL LIFE INSURANCE COMPANY / Life / 10/03/2024
AMERICAN NATIONAL INSURANCE COMPANY / Life / 05/05/2025
BANNER LIFE INSURANCE COMPANY / Life / 06/25/2026
CMFG LIFE INSURANCE COMPANY / Life / 08/07/2025
FIDELITY &amp; GUARANTY LIFE INSURANCE COMPANY / Life / 07/07/2025
INDEPENDENT ORDER OF FORESTERS (THE) / Accident &amp; Health or Sickness / 07/10/2025
INDEPENDENT ORDER OF FORESTERS (THE) / Life / 07/10/2025
NORTH AMERICAN COMPANY FOR LIFE AND HEALTH INSURANCE / Life / 01/07/2025
PRUCO LIFE INSURANCE COMPANY / Life / 09/05/2025
SAVINGS BANK MUTUAL LIFE INSURANCE COMPANY OF MASSACHUSETTS (THE) / Life / 06/26/2025
UNITED OF OMAHA LIFE INSURANCE COMPANY / Accident &amp; Health or Sickness / 06/27/2025
UNITED OF OMAHA LIFE INSURANCE COMPANY / Life / 06/27/2025</x:v>
      </x:c>
      <x:c r="Z290" s="7" t="str"/>
      <x:c r="AA290" s="7" t="str"/>
      <x:c r="AB290" s="7" t="str"/>
      <x:c r="AC290" s="7" t="str"/>
      <x:c r="AD290" s="7" t="str">
        <x:v>Active general Life authority | Direct Life appointments outside the selected health-carrier set: AMERICAN GENERAL LIFE INSURANCE COMPANY, AMERICAN NATIONAL INSURANCE COMPANY, BANNER LIFE INSURANCE COMPANY, CMFG LIFE INSURANCE COMPANY, FIDELITY &amp; GUARANTY LIFE INSURANCE COMPANY, INDEPENDENT ORDER OF FORESTERS (THE), NORTH AMERICAN COMPANY FOR LIFE AND HEALTH INSURANCE, PRUCO LIFE INSURANCE COMPANY, SAVINGS BANK MUTUAL LIFE INSURANCE COMPANY OF MASSACHUSETTS (THE), UNITED OF OMAHA LIFE INSURANCE COMPANY | Active A&amp;H supports optional cross-selling; not necessary for target products</x:v>
      </x:c>
      <x:c r="AE290" s="7" t="str"/>
      <x:c r="AF290" s="16" t="n">
        <x:v>5</x:v>
      </x:c>
      <x:c r="AG290" s="17" t="n">
        <x:v>357</x:v>
      </x:c>
      <x:c r="AH290" s="7" t="str">
        <x:v>2026-06-25</x:v>
      </x:c>
      <x:c r="AI290" s="7" t="str">
        <x:v>English</x:v>
      </x:c>
      <x:c r="AJ290" s="7" t="str">
        <x:v>Other / Affiliation Not Identified in Source (96)</x:v>
      </x:c>
      <x:c r="AK290" s="15" t="str">
        <x:v>209-630-1138</x:v>
      </x:c>
      <x:c r="AL290" s="7" t="str">
        <x:v>AGUILAR MANUEL ALEXANDER</x:v>
      </x:c>
      <x:c r="AM290" s="7" t="str">
        <x:v>AGUILAR ALEXANDER MANUEL</x:v>
      </x:c>
      <x:c r="AN290" s="7" t="str">
        <x:v>https://cdicloud.insurance.ca.gov/cal/LicenseDetail?SearchType=IND&amp;SearchLicNbr=4150535&amp;SearchIndvId=4150535</x:v>
      </x:c>
      <x:c r="AO290" s="7" t="str">
        <x:v>2026-10-08</x:v>
      </x:c>
      <x:c r="AP290" s="7" t="str">
        <x:v>a63edaae104a61cbaec025b9c8f01b5465aa7114993e0e0f930f6e65b9164a59</x:v>
      </x:c>
      <x:c r="AQ290" s="7" t="str">
        <x:v>Accident &amp; Health or Sickness / Active / 09/22/2021 / 02/15/2024 / 09/30/2027
Life / Active / 09/22/2021 / 02/15/2024 / 09/30/2027</x:v>
      </x:c>
      <x:c r="AR290" s="7" t="str">
        <x:v>Active</x:v>
      </x:c>
      <x:c r="AS290" s="7" t="str">
        <x:v>Current detail page</x:v>
      </x:c>
    </x:row>
    <x:row r="291" ht="52" customHeight="1">
      <x:c r="A291" s="7" t="str">
        <x:v>AGUILAR MARBELLYN LINDA</x:v>
      </x:c>
      <x:c r="B291" s="14" t="str">
        <x:f>"4359321"</x:f>
        <x:v>4359321</x:v>
      </x:c>
      <x:c r="C291" s="7" t="str">
        <x:v>Approved</x:v>
      </x:c>
      <x:c r="D291" s="7" t="str">
        <x:v>PASS</x:v>
      </x:c>
      <x:c r="E291" s="13" t="str">
        <x:v>Pending</x:v>
      </x:c>
      <x:c r="F291" s="13" t="str"/>
      <x:c r="G291" s="13" t="str"/>
      <x:c r="H291" s="13" t="str"/>
      <x:c r="I291" s="7" t="str">
        <x:v>Confirm approval criteria and any unrecorded reason.</x:v>
      </x:c>
      <x:c r="J291" s="7" t="str">
        <x:v>P1</x:v>
      </x:c>
      <x:c r="K291" s="7" t="str">
        <x:v>Passes provisional observable screen; approval is independently established by PDF membership.</x:v>
      </x:c>
      <x:c r="L291" s="7" t="str">
        <x:v>Not supplied; membership is known, motive is not</x:v>
      </x:c>
      <x:c r="M291" s="7" t="n">
        <x:v>1</x:v>
      </x:c>
      <x:c r="N291" s="7" t="str">
        <x:v>First-call fit for stated IMO focus</x:v>
      </x:c>
      <x:c r="O291" s="7" t="str">
        <x:v>Active</x:v>
      </x:c>
      <x:c r="P291" s="7" t="str">
        <x:v>03/06/2024</x:v>
      </x:c>
      <x:c r="Q291" s="7" t="str">
        <x:v>03/31/2028</x:v>
      </x:c>
      <x:c r="R291" s="7" t="str">
        <x:v>Life</x:v>
      </x:c>
      <x:c r="S291" s="15" t="str">
        <x:v>323-536-5002</x:v>
      </x:c>
      <x:c r="T291" s="7" t="str">
        <x:v>Current CDI</x:v>
      </x:c>
      <x:c r="U291" s="7" t="str">
        <x:v>11823 SLAUSON AVE STE 4 SANTA FE SPRINGS CA, 90670</x:v>
      </x:c>
      <x:c r="V291" s="7" t="str">
        <x:v>Resident</x:v>
      </x:c>
      <x:c r="W291" s="7" t="str">
        <x:v>CA</x:v>
      </x:c>
      <x:c r="X291" s="7" t="str"/>
      <x:c r="Y291" s="7" t="str">
        <x:v>PRIMERICA LIFE INSURANCE COMPANY / Life / 03/07/2024</x:v>
      </x:c>
      <x:c r="Z291" s="7" t="str"/>
      <x:c r="AA291" s="7" t="str"/>
      <x:c r="AB291" s="7" t="str"/>
      <x:c r="AC291" s="7" t="str"/>
      <x:c r="AD291" s="7" t="str">
        <x:v>Active general Life authority | Primerica relationship: matches an explicitly targeted recruiting segment | Direct Life appointments outside the selected health-carrier set: PRIMERICA LIFE INSURANCE COMPANY</x:v>
      </x:c>
      <x:c r="AE291" s="7" t="str"/>
      <x:c r="AF291" s="16" t="n">
        <x:v>2.6</x:v>
      </x:c>
      <x:c r="AG291" s="17" t="n">
        <x:v>540</x:v>
      </x:c>
      <x:c r="AH291" s="7" t="str">
        <x:v>2024-03-07</x:v>
      </x:c>
      <x:c r="AI291" s="7" t="str">
        <x:v>English</x:v>
      </x:c>
      <x:c r="AJ291" s="7" t="str">
        <x:v>Primerica (33)</x:v>
      </x:c>
      <x:c r="AK291" s="15" t="str">
        <x:v>323-536-5002</x:v>
      </x:c>
      <x:c r="AL291" s="7" t="str">
        <x:v>AGUILAR MARBELLYN LINDA</x:v>
      </x:c>
      <x:c r="AM291" s="7" t="str">
        <x:v>AGUILAR LINDA MARBELLYN</x:v>
      </x:c>
      <x:c r="AN291" s="7" t="str">
        <x:v>https://cdicloud.insurance.ca.gov/cal/LicenseDetail?SearchType=IND&amp;SearchLicNbr=4359321&amp;SearchIndvId=4359321</x:v>
      </x:c>
      <x:c r="AO291" s="7" t="str">
        <x:v>2026-10-08</x:v>
      </x:c>
      <x:c r="AP291" s="7" t="str">
        <x:v>1487fc63da99d1b7fe0e10629dbc353dcfa0a2d51fbf4f17b8483a201cc4d37e</x:v>
      </x:c>
      <x:c r="AQ291" s="7" t="str">
        <x:v>Life / Active / 03/06/2024 / 03/06/2024 / 03/31/2028</x:v>
      </x:c>
      <x:c r="AR291" s="7" t="str">
        <x:v>Active</x:v>
      </x:c>
      <x:c r="AS291" s="7" t="str">
        <x:v>Current detail page</x:v>
      </x:c>
    </x:row>
    <x:row r="292" ht="52" customHeight="1">
      <x:c r="A292" s="7" t="str">
        <x:v>AGUILAR MARCO ANTONIO</x:v>
      </x:c>
      <x:c r="B292" s="14" t="str">
        <x:f>"4477805"</x:f>
        <x:v>4477805</x:v>
      </x:c>
      <x:c r="C292" s="7" t="str">
        <x:v>Approved</x:v>
      </x:c>
      <x:c r="D292" s="7" t="str">
        <x:v>PASS</x:v>
      </x:c>
      <x:c r="E292" s="13" t="str">
        <x:v>Pending</x:v>
      </x:c>
      <x:c r="F292" s="13" t="str"/>
      <x:c r="G292" s="13" t="str"/>
      <x:c r="H292" s="13" t="str"/>
      <x:c r="I292" s="7" t="str">
        <x:v>Confirm approval criteria and any unrecorded reason.</x:v>
      </x:c>
      <x:c r="J292" s="7" t="str">
        <x:v>P1</x:v>
      </x:c>
      <x:c r="K292" s="7" t="str">
        <x:v>Passes provisional observable screen; approval is independently established by PDF membership.</x:v>
      </x:c>
      <x:c r="L292" s="7" t="str">
        <x:v>Not supplied; membership is known, motive is not</x:v>
      </x:c>
      <x:c r="M292" s="7" t="n">
        <x:v>1</x:v>
      </x:c>
      <x:c r="N292" s="7" t="str">
        <x:v>First-call fit for stated IMO focus</x:v>
      </x:c>
      <x:c r="O292" s="7" t="str">
        <x:v>Active</x:v>
      </x:c>
      <x:c r="P292" s="7" t="str">
        <x:v>07/17/2025</x:v>
      </x:c>
      <x:c r="Q292" s="7" t="str">
        <x:v>07/31/2027</x:v>
      </x:c>
      <x:c r="R292" s="7" t="str">
        <x:v>Life</x:v>
      </x:c>
      <x:c r="S292" s="15" t="str">
        <x:v>209-283-6012</x:v>
      </x:c>
      <x:c r="T292" s="7" t="str">
        <x:v>Current CDI</x:v>
      </x:c>
      <x:c r="U292" s="7" t="str">
        <x:v>649 GRAPE CT LOS BANOS CA, 93635</x:v>
      </x:c>
      <x:c r="V292" s="7" t="str">
        <x:v>Resident</x:v>
      </x:c>
      <x:c r="W292" s="7" t="str">
        <x:v>CA</x:v>
      </x:c>
      <x:c r="X292" s="7" t="str"/>
      <x:c r="Y292" s="7" t="str">
        <x:v>AMERICAN GENERAL LIFE INSURANCE COMPANY / Life / 07/30/2025</x:v>
      </x:c>
      <x:c r="Z292" s="7" t="str"/>
      <x:c r="AA292" s="7" t="str"/>
      <x:c r="AB292" s="7" t="str"/>
      <x:c r="AC292" s="7" t="str"/>
      <x:c r="AD292" s="7" t="str">
        <x:v>Active general Life authority | Direct Life appointments outside the selected health-carrier set: AMERICAN GENERAL LIFE INSURANCE COMPANY</x:v>
      </x:c>
      <x:c r="AE292" s="7" t="str"/>
      <x:c r="AF292" s="16" t="n">
        <x:v>1.2</x:v>
      </x:c>
      <x:c r="AG292" s="17" t="n">
        <x:v>296</x:v>
      </x:c>
      <x:c r="AH292" s="7" t="str">
        <x:v>2025-07-30</x:v>
      </x:c>
      <x:c r="AI292" s="7" t="str">
        <x:v>English</x:v>
      </x:c>
      <x:c r="AJ292" s="7" t="str">
        <x:v>Other / Affiliation Not Identified in Source (96)</x:v>
      </x:c>
      <x:c r="AK292" s="15" t="str">
        <x:v>209-283-6012</x:v>
      </x:c>
      <x:c r="AL292" s="7" t="str">
        <x:v>AGUILAR MARCO ANTONIO</x:v>
      </x:c>
      <x:c r="AM292" s="7" t="str">
        <x:v>AGUILAR Antonio MARCO</x:v>
      </x:c>
      <x:c r="AN292" s="7" t="str">
        <x:v>https://cdicloud.insurance.ca.gov/cal/LicenseDetail?SearchType=IND&amp;SearchLicNbr=4477805&amp;SearchIndvId=4477805</x:v>
      </x:c>
      <x:c r="AO292" s="7" t="str">
        <x:v>2026-10-08</x:v>
      </x:c>
      <x:c r="AP292" s="7" t="str">
        <x:v>fcee16f9417e792082171cd7df3a7ad7d3631d3ddcb85cea535335b72d258683</x:v>
      </x:c>
      <x:c r="AQ292" s="7" t="str">
        <x:v>Life / Active / 07/17/2025 / 07/17/2025 / 07/31/2027</x:v>
      </x:c>
      <x:c r="AR292" s="7" t="str">
        <x:v>Active</x:v>
      </x:c>
      <x:c r="AS292" s="7" t="str">
        <x:v>Current detail page</x:v>
      </x:c>
    </x:row>
    <x:row r="293" ht="52" customHeight="1">
      <x:c r="A293" s="7" t="str">
        <x:v>AGUILAR MARIANA</x:v>
      </x:c>
      <x:c r="B293" s="14" t="str">
        <x:f>"4297116"</x:f>
        <x:v>4297116</x:v>
      </x:c>
      <x:c r="C293" s="7" t="str">
        <x:v>Approved</x:v>
      </x:c>
      <x:c r="D293" s="7" t="str">
        <x:v>PASS</x:v>
      </x:c>
      <x:c r="E293" s="13" t="str">
        <x:v>Pending</x:v>
      </x:c>
      <x:c r="F293" s="13" t="str"/>
      <x:c r="G293" s="13" t="str"/>
      <x:c r="H293" s="13" t="str"/>
      <x:c r="I293" s="7" t="str">
        <x:v>Confirm approval criteria and any unrecorded reason.</x:v>
      </x:c>
      <x:c r="J293" s="7" t="str">
        <x:v>P1</x:v>
      </x:c>
      <x:c r="K293" s="7" t="str">
        <x:v>Passes provisional observable screen; approval is independently established by PDF membership.</x:v>
      </x:c>
      <x:c r="L293" s="7" t="str">
        <x:v>Not supplied; membership is known, motive is not</x:v>
      </x:c>
      <x:c r="M293" s="7" t="n">
        <x:v>1</x:v>
      </x:c>
      <x:c r="N293" s="7" t="str">
        <x:v>First-call fit for stated IMO focus</x:v>
      </x:c>
      <x:c r="O293" s="7" t="str">
        <x:v>Active</x:v>
      </x:c>
      <x:c r="P293" s="7" t="str">
        <x:v>06/09/2023</x:v>
      </x:c>
      <x:c r="Q293" s="7" t="str">
        <x:v>06/30/2027</x:v>
      </x:c>
      <x:c r="R293" s="7" t="str">
        <x:v>Accident &amp; Health or Sickness; Life; Personal Lines</x:v>
      </x:c>
      <x:c r="S293" s="15" t="str">
        <x:v>707-463-3270</x:v>
      </x:c>
      <x:c r="T293" s="7" t="str">
        <x:v>Current CDI</x:v>
      </x:c>
      <x:c r="U293" s="7" t="str">
        <x:v>11910 FOOTHILL BLVD STE 100 RANCHO CUCAMONGA CA, 91739</x:v>
      </x:c>
      <x:c r="V293" s="7" t="str">
        <x:v>Resident</x:v>
      </x:c>
      <x:c r="W293" s="7" t="str">
        <x:v>CA</x:v>
      </x:c>
      <x:c r="X293" s="7" t="str">
        <x:v>ACCEPTANCE INSURANCE AGENCY OF TENNESSEE, INC. / Life / 03/05/2024
FREEWAY INSURANCE SERVICES AMERICA, LLC / Life / 09/25/2023
FREEWAY INSURANCE SERVICES AMERICA, LLC / Personal Lines / 09/25/2023
CALIFORNIA HEALTH BENEFIT EXCHANGE / Accident &amp; Health or Sickness / 11/05/2024
ACCEPTANCE INSURANCE AGENCY OF TENNESSEE, INC. / Personal Lines / 03/05/2024</x:v>
      </x:c>
      <x:c r="Y293" s="7" t="str">
        <x:v>ANTHEM BLUE CROSS LIFE AND HEALTH INSURANCE COMPANY / Accident &amp; Health or Sickness / 11/05/2024
ANTHEM BLUE CROSS LIFE AND HEALTH INSURANCE COMPANY / Life / 11/05/2024
CT AUTO CLUB, INC. / Motor Club / 10/20/2023
PRIMERICA LIFE INSURANCE COMPANY / Life / 06/13/2023</x:v>
      </x:c>
      <x:c r="Z293" s="7" t="str"/>
      <x:c r="AA293" s="7" t="str"/>
      <x:c r="AB293" s="7" t="str"/>
      <x:c r="AC293" s="7" t="str"/>
      <x:c r="AD293" s="7" t="str">
        <x:v>Active general Life authority | Primerica relationship: matches an explicitly targeted recruiting segment | Direct Life appointments outside the selected health-carrier set: PRIMERICA LIFE INSURANCE COMPANY | Active A&amp;H supports optional cross-selling; not necessary for target products</x:v>
      </x:c>
      <x:c r="AE293" s="7" t="str">
        <x:v>Mixed P&amp;C/Life qualifications; not an exclusion because approved examples have both</x:v>
      </x:c>
      <x:c r="AF293" s="16" t="n">
        <x:v>3.3</x:v>
      </x:c>
      <x:c r="AG293" s="17" t="n">
        <x:v>265</x:v>
      </x:c>
      <x:c r="AH293" s="7" t="str">
        <x:v>2024-11-05</x:v>
      </x:c>
      <x:c r="AI293" s="7" t="str">
        <x:v>English</x:v>
      </x:c>
      <x:c r="AJ293" s="7" t="str">
        <x:v>Other / Affiliation Not Identified in Source (96)</x:v>
      </x:c>
      <x:c r="AK293" s="15" t="str">
        <x:v>707-463-3270</x:v>
      </x:c>
      <x:c r="AL293" s="7" t="str">
        <x:v>AGUILAR MARIANA</x:v>
      </x:c>
      <x:c r="AM293" s="7" t="str">
        <x:v>Aguilar  Mariana | AGUILAR BOZZOLI  MARIANA</x:v>
      </x:c>
      <x:c r="AN293" s="7" t="str">
        <x:v>https://cdicloud.insurance.ca.gov/cal/LicenseDetail?SearchType=IND&amp;SearchLicNbr=4297116&amp;SearchIndvId=4297116</x:v>
      </x:c>
      <x:c r="AO293" s="7" t="str">
        <x:v>2026-10-08</x:v>
      </x:c>
      <x:c r="AP293" s="7" t="str">
        <x:v>d1bf70491e01b89137c928d0df727aec9e53e9d35bb4beed28a8eccda6a97a2a</x:v>
      </x:c>
      <x:c r="AQ293" s="7" t="str">
        <x:v>Accident &amp; Health or Sickness / Active / 09/04/2024 / 09/04/2024 / 06/30/2027
Life / Active / 06/09/2023 / 06/09/2023 / 06/30/2027
Personal Lines / Active / 09/25/2023 / 09/25/2023 / 06/30/2027</x:v>
      </x:c>
      <x:c r="AR293" s="7" t="str">
        <x:v>Active</x:v>
      </x:c>
      <x:c r="AS293" s="7" t="str">
        <x:v>Current detail page</x:v>
      </x:c>
    </x:row>
    <x:row r="294" ht="52" customHeight="1">
      <x:c r="A294" s="7" t="str">
        <x:v>AGUILAR MARIANNE BAUTISTA</x:v>
      </x:c>
      <x:c r="B294" s="14" t="str">
        <x:f>"0F15443"</x:f>
        <x:v>0F15443</x:v>
      </x:c>
      <x:c r="C294" s="7" t="str">
        <x:v>Approved</x:v>
      </x:c>
      <x:c r="D294" s="7" t="str">
        <x:v>PASS</x:v>
      </x:c>
      <x:c r="E294" s="13" t="str">
        <x:v>Pending</x:v>
      </x:c>
      <x:c r="F294" s="13" t="str"/>
      <x:c r="G294" s="13" t="str"/>
      <x:c r="H294" s="13" t="str"/>
      <x:c r="I294" s="7" t="str">
        <x:v>Confirm approval criteria and any unrecorded reason.</x:v>
      </x:c>
      <x:c r="J294" s="7" t="str">
        <x:v>P1</x:v>
      </x:c>
      <x:c r="K294" s="7" t="str">
        <x:v>Passes provisional observable screen; approval is independently established by PDF membership.</x:v>
      </x:c>
      <x:c r="L294" s="7" t="str">
        <x:v>Not supplied; membership is known, motive is not</x:v>
      </x:c>
      <x:c r="M294" s="7" t="n">
        <x:v>1</x:v>
      </x:c>
      <x:c r="N294" s="7" t="str">
        <x:v>First-call fit for stated IMO focus</x:v>
      </x:c>
      <x:c r="O294" s="7" t="str">
        <x:v>Active</x:v>
      </x:c>
      <x:c r="P294" s="7" t="str">
        <x:v>04/13/2006</x:v>
      </x:c>
      <x:c r="Q294" s="7" t="str">
        <x:v>08/31/2028</x:v>
      </x:c>
      <x:c r="R294" s="7" t="str">
        <x:v>Life; Var Life and Var Annuity</x:v>
      </x:c>
      <x:c r="S294" s="15" t="str">
        <x:v>909-569-8700</x:v>
      </x:c>
      <x:c r="T294" s="7" t="str">
        <x:v>Current CDI</x:v>
      </x:c>
      <x:c r="U294" s="7" t="str">
        <x:v>14241 FIRESTONE BLVD SUITE 400-307 LA MIRADA CA, 90638</x:v>
      </x:c>
      <x:c r="V294" s="7" t="str">
        <x:v>Resident</x:v>
      </x:c>
      <x:c r="W294" s="7" t="str">
        <x:v>CA</x:v>
      </x:c>
      <x:c r="X294" s="7" t="str">
        <x:v>PRIMERICA FINANCIAL SERVICES INSURANCE MARKETING, INC. / Life / 08/20/2014
PRIMERICA FINANCIAL SERVICES INSURANCE MARKETING, INC. / Var Life and Var Annuity / 07/22/2016</x:v>
      </x:c>
      <x:c r="Y294" s="7" t="str">
        <x:v>AMERICAN GENERAL LIFE INSURANCE COMPANY / Life / 09/03/2015
LINCOLN NATIONAL LIFE INSURANCE COMPANY (THE) / Life / 10/22/2014</x:v>
      </x:c>
      <x:c r="Z294" s="7" t="str"/>
      <x:c r="AA294" s="7" t="str"/>
      <x:c r="AB294" s="7" t="str"/>
      <x:c r="AC294" s="7" t="str"/>
      <x:c r="AD294" s="7" t="str">
        <x:v>Active general Life authority | Primerica relationship: matches an explicitly targeted recruiting segment | Direct Life appointments outside the selected health-carrier set: AMERICAN GENERAL LIFE INSURANCE COMPANY, LINCOLN NATIONAL LIFE INSURANCE COMPANY (THE)</x:v>
      </x:c>
      <x:c r="AE294" s="7" t="str">
        <x:v>Variable authority: financial-advice/variable-product capability; not needed for fixed annuities and not an automatic exclusion</x:v>
      </x:c>
      <x:c r="AF294" s="16" t="n">
        <x:v>20.5</x:v>
      </x:c>
      <x:c r="AG294" s="17" t="n">
        <x:v>693</x:v>
      </x:c>
      <x:c r="AH294" s="7" t="str">
        <x:v>2015-09-03</x:v>
      </x:c>
      <x:c r="AI294" s="7" t="str">
        <x:v>English</x:v>
      </x:c>
      <x:c r="AJ294" s="7" t="str">
        <x:v>Other / Affiliation Not Identified in Source (96)</x:v>
      </x:c>
      <x:c r="AK294" s="15" t="str">
        <x:v>909-569-8700</x:v>
      </x:c>
      <x:c r="AL294" s="7" t="str">
        <x:v>AGUILAR MARIANNE BAUTISTA</x:v>
      </x:c>
      <x:c r="AM294" s="7" t="str">
        <x:v>AGUILAR BAUTISTA MARIANNE</x:v>
      </x:c>
      <x:c r="AN294" s="7" t="str">
        <x:v>https://cdicloud.insurance.ca.gov/cal/LicenseDetail?SearchType=IND&amp;SearchLicNbr=0F15443&amp;SearchIndvId=1004590</x:v>
      </x:c>
      <x:c r="AO294" s="7" t="str">
        <x:v>2026-10-08</x:v>
      </x:c>
      <x:c r="AP294" s="7" t="str">
        <x:v>20f9cb5222fe8d5d58f35b4a975ee72db6f1dbe2bb15b761e39b188586594ba4</x:v>
      </x:c>
      <x:c r="AQ294" s="7" t="str">
        <x:v>Life / Active / 04/13/2006 / 08/20/2014 / 08/31/2028
Var Life and Var Annuity / Active / 05/29/2007 / 07/22/2016 / 08/31/2028</x:v>
      </x:c>
      <x:c r="AR294" s="7" t="str">
        <x:v>Active</x:v>
      </x:c>
      <x:c r="AS294" s="7" t="str">
        <x:v>Current detail page</x:v>
      </x:c>
    </x:row>
    <x:row r="295" ht="52" customHeight="1">
      <x:c r="A295" s="7" t="str">
        <x:v>AGUILAR MARIBEL</x:v>
      </x:c>
      <x:c r="B295" s="14" t="str">
        <x:f>"4562941"</x:f>
        <x:v>4562941</x:v>
      </x:c>
      <x:c r="C295" s="7" t="str">
        <x:v>Approved</x:v>
      </x:c>
      <x:c r="D295" s="7" t="str">
        <x:v>PASS</x:v>
      </x:c>
      <x:c r="E295" s="13" t="str">
        <x:v>Pending</x:v>
      </x:c>
      <x:c r="F295" s="13" t="str"/>
      <x:c r="G295" s="13" t="str"/>
      <x:c r="H295" s="13" t="str"/>
      <x:c r="I295" s="7" t="str">
        <x:v>Confirm approval criteria and any unrecorded reason.</x:v>
      </x:c>
      <x:c r="J295" s="7" t="str">
        <x:v>P1</x:v>
      </x:c>
      <x:c r="K295" s="7" t="str">
        <x:v>Passes provisional observable screen; approval is independently established by PDF membership.</x:v>
      </x:c>
      <x:c r="L295" s="7" t="str">
        <x:v>Not supplied; membership is known, motive is not</x:v>
      </x:c>
      <x:c r="M295" s="7" t="n">
        <x:v>1</x:v>
      </x:c>
      <x:c r="N295" s="7" t="str">
        <x:v>First-call fit for stated IMO focus</x:v>
      </x:c>
      <x:c r="O295" s="7" t="str">
        <x:v>Active</x:v>
      </x:c>
      <x:c r="P295" s="7" t="str">
        <x:v>07/13/2026</x:v>
      </x:c>
      <x:c r="Q295" s="7" t="str">
        <x:v>07/31/2028</x:v>
      </x:c>
      <x:c r="R295" s="7" t="str">
        <x:v>Accident &amp; Health or Sickness; Life</x:v>
      </x:c>
      <x:c r="S295" s="15" t="str">
        <x:v>559-348-9483</x:v>
      </x:c>
      <x:c r="T295" s="7" t="str">
        <x:v>Current CDI</x:v>
      </x:c>
      <x:c r="U295" s="7" t="str">
        <x:v>2700 CLOVIS AVE.#109 CLOVIS CA, 93612</x:v>
      </x:c>
      <x:c r="V295" s="7" t="str">
        <x:v>Resident</x:v>
      </x:c>
      <x:c r="W295" s="7" t="str">
        <x:v>CA</x:v>
      </x:c>
      <x:c r="X295" s="7" t="str"/>
      <x:c r="Y295" s="7" t="str">
        <x:v>AMERICAN GENERAL LIFE INSURANCE COMPANY / Accident &amp; Health or Sickness / 08/14/2026
AMERICAN GENERAL LIFE INSURANCE COMPANY / Life / 08/14/2026
FIDELITY &amp; GUARANTY LIFE INSURANCE COMPANY / Life / 08/08/2026
INDEPENDENT ORDER OF FORESTERS (THE) / Accident &amp; Health or Sickness / 08/22/2026
INDEPENDENT ORDER OF FORESTERS (THE) / Life / 08/22/2026</x:v>
      </x:c>
      <x:c r="Z295" s="7" t="str"/>
      <x:c r="AA295" s="7" t="str"/>
      <x:c r="AB295" s="7" t="str"/>
      <x:c r="AC295" s="7" t="str"/>
      <x:c r="AD295" s="7" t="str">
        <x:v>Active general Life authority | Direct Life appointments outside the selected health-carrier set: AMERICAN GENERAL LIFE INSURANCE COMPANY, FIDELITY &amp; GUARANTY LIFE INSURANCE COMPANY, INDEPENDENT ORDER OF FORESTERS (THE) | Active A&amp;H supports optional cross-selling; not necessary for target products</x:v>
      </x:c>
      <x:c r="AE295" s="7" t="str"/>
      <x:c r="AF295" s="16" t="n">
        <x:v>0.2</x:v>
      </x:c>
      <x:c r="AG295" s="17" t="n">
        <x:v>662</x:v>
      </x:c>
      <x:c r="AH295" s="7" t="str">
        <x:v>2026-08-22</x:v>
      </x:c>
      <x:c r="AI295" s="7" t="str">
        <x:v>English</x:v>
      </x:c>
      <x:c r="AJ295" s="7" t="str">
        <x:v>Other / Affiliation Not Identified in Source (96)</x:v>
      </x:c>
      <x:c r="AK295" s="15" t="str">
        <x:v>559-348-9483</x:v>
      </x:c>
      <x:c r="AL295" s="7" t="str">
        <x:v>AGUILAR MARIBEL</x:v>
      </x:c>
      <x:c r="AM295" s="7" t="str">
        <x:v>AGUILAR  MARIBEL</x:v>
      </x:c>
      <x:c r="AN295" s="7" t="str">
        <x:v>https://cdicloud.insurance.ca.gov/cal/LicenseDetail?SearchType=IND&amp;SearchLicNbr=4562941&amp;SearchIndvId=4562941</x:v>
      </x:c>
      <x:c r="AO295" s="7" t="str">
        <x:v>2026-10-08</x:v>
      </x:c>
      <x:c r="AP295" s="7" t="str">
        <x:v>3c267f82404ca65e9b5f4ab4714e8e40ef7f6e53e280e4df2d30d601f297dc47</x:v>
      </x:c>
      <x:c r="AQ295" s="7" t="str">
        <x:v>Accident &amp; Health or Sickness / Active / 07/13/2026 / 07/13/2026 / 07/31/2028
Life / Active / 07/13/2026 / 07/13/2026 / 07/31/2028</x:v>
      </x:c>
      <x:c r="AR295" s="7" t="str">
        <x:v>Active</x:v>
      </x:c>
      <x:c r="AS295" s="7" t="str">
        <x:v>Current detail page</x:v>
      </x:c>
    </x:row>
    <x:row r="296" ht="52" customHeight="1">
      <x:c r="A296" s="7" t="str">
        <x:v>AGUILAR MARK STEVEN JR</x:v>
      </x:c>
      <x:c r="B296" s="14" t="str">
        <x:f>"4423736"</x:f>
        <x:v>4423736</x:v>
      </x:c>
      <x:c r="C296" s="7" t="str">
        <x:v>Approved</x:v>
      </x:c>
      <x:c r="D296" s="7" t="str">
        <x:v>PASS</x:v>
      </x:c>
      <x:c r="E296" s="13" t="str">
        <x:v>Pending</x:v>
      </x:c>
      <x:c r="F296" s="13" t="str"/>
      <x:c r="G296" s="13" t="str"/>
      <x:c r="H296" s="13" t="str"/>
      <x:c r="I296" s="7" t="str">
        <x:v>Confirm approval criteria and any unrecorded reason.</x:v>
      </x:c>
      <x:c r="J296" s="7" t="str">
        <x:v>P1</x:v>
      </x:c>
      <x:c r="K296" s="7" t="str">
        <x:v>Passes provisional observable screen; approval is independently established by PDF membership.</x:v>
      </x:c>
      <x:c r="L296" s="7" t="str">
        <x:v>Not supplied; membership is known, motive is not</x:v>
      </x:c>
      <x:c r="M296" s="7" t="n">
        <x:v>1</x:v>
      </x:c>
      <x:c r="N296" s="7" t="str">
        <x:v>First-call fit for stated IMO focus</x:v>
      </x:c>
      <x:c r="O296" s="7" t="str">
        <x:v>Active</x:v>
      </x:c>
      <x:c r="P296" s="7" t="str">
        <x:v>11/27/2024</x:v>
      </x:c>
      <x:c r="Q296" s="7" t="str">
        <x:v>11/30/2026</x:v>
      </x:c>
      <x:c r="R296" s="7" t="str">
        <x:v>Life</x:v>
      </x:c>
      <x:c r="S296" s="15" t="str">
        <x:v>805-714-0962</x:v>
      </x:c>
      <x:c r="T296" s="7" t="str">
        <x:v>Current CDI</x:v>
      </x:c>
      <x:c r="U296" s="7" t="str">
        <x:v>516 W SHAW AVE SUITE 112 FRESNO CA, 93704</x:v>
      </x:c>
      <x:c r="V296" s="7" t="str">
        <x:v>Resident</x:v>
      </x:c>
      <x:c r="W296" s="7" t="str">
        <x:v>CA</x:v>
      </x:c>
      <x:c r="X296" s="7" t="str"/>
      <x:c r="Y296" s="7" t="str">
        <x:v>AMERICAN GENERAL LIFE INSURANCE COMPANY / Life / 02/04/2025
SAVINGS BANK MUTUAL LIFE INSURANCE COMPANY OF MASSACHUSETTS (THE) / Life / 04/25/2025</x:v>
      </x:c>
      <x:c r="Z296" s="7" t="str"/>
      <x:c r="AA296" s="7" t="str"/>
      <x:c r="AB296" s="7" t="str"/>
      <x:c r="AC296" s="7" t="str"/>
      <x:c r="AD296" s="7" t="str">
        <x:v>Active general Life authority | Direct Life appointments outside the selected health-carrier set: AMERICAN GENERAL LIFE INSURANCE COMPANY, SAVINGS BANK MUTUAL LIFE INSURANCE COMPANY OF MASSACHUSETTS (THE)</x:v>
      </x:c>
      <x:c r="AE296" s="7" t="str">
        <x:v>Life expiration in 53 days: confirm renewal during onboarding</x:v>
      </x:c>
      <x:c r="AF296" s="16" t="n">
        <x:v>1.9</x:v>
      </x:c>
      <x:c r="AG296" s="17" t="n">
        <x:v>53</x:v>
      </x:c>
      <x:c r="AH296" s="7" t="str">
        <x:v>2025-04-25</x:v>
      </x:c>
      <x:c r="AI296" s="7" t="str">
        <x:v>English</x:v>
      </x:c>
      <x:c r="AJ296" s="7" t="str">
        <x:v>Other / Affiliation Not Identified in Source (96)</x:v>
      </x:c>
      <x:c r="AK296" s="15" t="str">
        <x:v>805-714-0962</x:v>
      </x:c>
      <x:c r="AL296" s="7" t="str">
        <x:v>AGUILAR MARK STEVEN JR</x:v>
      </x:c>
      <x:c r="AM296" s="7" t="str">
        <x:v>AGUILAR STEVEN MARK</x:v>
      </x:c>
      <x:c r="AN296" s="7" t="str">
        <x:v>https://cdicloud.insurance.ca.gov/cal/LicenseDetail?SearchType=IND&amp;SearchLicNbr=4423736&amp;SearchIndvId=4423736</x:v>
      </x:c>
      <x:c r="AO296" s="7" t="str">
        <x:v>2026-10-08</x:v>
      </x:c>
      <x:c r="AP296" s="7" t="str">
        <x:v>75b82236463117375822fce1f051189caa7356a14a25613186b0136b55b8de38</x:v>
      </x:c>
      <x:c r="AQ296" s="7" t="str">
        <x:v>Life / Active / 11/27/2024 / 11/27/2024 / 11/30/2026</x:v>
      </x:c>
      <x:c r="AR296" s="7" t="str">
        <x:v>Active</x:v>
      </x:c>
      <x:c r="AS296" s="7" t="str">
        <x:v>Current detail page</x:v>
      </x:c>
    </x:row>
    <x:row r="297" ht="52" customHeight="1">
      <x:c r="A297" s="7" t="str">
        <x:v>AGUILAR MARLOWE FERNANDO</x:v>
      </x:c>
      <x:c r="B297" s="14" t="str">
        <x:f>"0H65418"</x:f>
        <x:v>0H65418</x:v>
      </x:c>
      <x:c r="C297" s="7" t="str">
        <x:v>Approved</x:v>
      </x:c>
      <x:c r="D297" s="7" t="str">
        <x:v>PASS</x:v>
      </x:c>
      <x:c r="E297" s="13" t="str">
        <x:v>Pending</x:v>
      </x:c>
      <x:c r="F297" s="13" t="str"/>
      <x:c r="G297" s="13" t="str"/>
      <x:c r="H297" s="13" t="str"/>
      <x:c r="I297" s="7" t="str">
        <x:v>Confirm approval criteria and any unrecorded reason.</x:v>
      </x:c>
      <x:c r="J297" s="7" t="str">
        <x:v>P1</x:v>
      </x:c>
      <x:c r="K297" s="7" t="str">
        <x:v>Passes provisional observable screen; approval is independently established by PDF membership.</x:v>
      </x:c>
      <x:c r="L297" s="7" t="str">
        <x:v>Not supplied; membership is known, motive is not</x:v>
      </x:c>
      <x:c r="M297" s="7" t="n">
        <x:v>1</x:v>
      </x:c>
      <x:c r="N297" s="7" t="str">
        <x:v>First-call fit for stated IMO focus</x:v>
      </x:c>
      <x:c r="O297" s="7" t="str">
        <x:v>Active</x:v>
      </x:c>
      <x:c r="P297" s="7" t="str">
        <x:v>09/13/2023</x:v>
      </x:c>
      <x:c r="Q297" s="7" t="str">
        <x:v>09/30/2027</x:v>
      </x:c>
      <x:c r="R297" s="7" t="str">
        <x:v>Life</x:v>
      </x:c>
      <x:c r="S297" s="15" t="str">
        <x:v>916-422-2976</x:v>
      </x:c>
      <x:c r="T297" s="7" t="str">
        <x:v>Current CDI</x:v>
      </x:c>
      <x:c r="U297" s="7" t="str">
        <x:v>2941 SUNRISE BLVD 260 RANCHO CORDOVA CA, 95742</x:v>
      </x:c>
      <x:c r="V297" s="7" t="str">
        <x:v>Resident</x:v>
      </x:c>
      <x:c r="W297" s="7" t="str">
        <x:v>CA</x:v>
      </x:c>
      <x:c r="X297" s="7" t="str"/>
      <x:c r="Y297" s="7" t="str">
        <x:v>PRIMERICA LIFE INSURANCE COMPANY / Life / 10/07/2026</x:v>
      </x:c>
      <x:c r="Z297" s="7" t="str"/>
      <x:c r="AA297" s="7" t="str"/>
      <x:c r="AB297" s="7" t="str"/>
      <x:c r="AC297" s="7" t="str"/>
      <x:c r="AD297" s="7" t="str">
        <x:v>Active general Life authority | Primerica relationship: matches an explicitly targeted recruiting segment | Direct Life appointments outside the selected health-carrier set: PRIMERICA LIFE INSURANCE COMPANY</x:v>
      </x:c>
      <x:c r="AE297" s="7" t="str"/>
      <x:c r="AF297" s="16" t="n">
        <x:v>3.1</x:v>
      </x:c>
      <x:c r="AG297" s="17" t="n">
        <x:v>357</x:v>
      </x:c>
      <x:c r="AH297" s="7" t="str">
        <x:v>2026-10-07</x:v>
      </x:c>
      <x:c r="AI297" s="7" t="str">
        <x:v>English</x:v>
      </x:c>
      <x:c r="AJ297" s="7" t="str">
        <x:v>Other / Affiliation Not Identified in Source (96)</x:v>
      </x:c>
      <x:c r="AK297" s="15" t="str">
        <x:v>916-422-2976</x:v>
      </x:c>
      <x:c r="AL297" s="7" t="str">
        <x:v>AGUILAR MARLOWE FERNANDO</x:v>
      </x:c>
      <x:c r="AM297" s="7" t="str">
        <x:v>AGUILAR FERNANDO MARLOWE</x:v>
      </x:c>
      <x:c r="AN297" s="7" t="str">
        <x:v>https://cdicloud.insurance.ca.gov/cal/LicenseDetail?SearchType=IND&amp;SearchLicNbr=0H65418&amp;SearchIndvId=1490663</x:v>
      </x:c>
      <x:c r="AO297" s="7" t="str">
        <x:v>2026-10-08</x:v>
      </x:c>
      <x:c r="AP297" s="7" t="str">
        <x:v>de308a43f9a47504ae95e0c6c21bdfa244179b8cde7a5d4cb4877485444b62dd</x:v>
      </x:c>
      <x:c r="AQ297" s="7" t="str">
        <x:v>Life / Active / 09/13/2023 / 09/30/2026 / 09/30/2027</x:v>
      </x:c>
      <x:c r="AR297" s="7" t="str">
        <x:v>Active</x:v>
      </x:c>
      <x:c r="AS297" s="7" t="str">
        <x:v>Current detail page</x:v>
      </x:c>
    </x:row>
    <x:row r="298" ht="52" customHeight="1">
      <x:c r="A298" s="7" t="str">
        <x:v>AGUILAR MATEO JENNIFER SARAHI</x:v>
      </x:c>
      <x:c r="B298" s="14" t="str">
        <x:f>"4047660"</x:f>
        <x:v>4047660</x:v>
      </x:c>
      <x:c r="C298" s="7" t="str">
        <x:v>Approved</x:v>
      </x:c>
      <x:c r="D298" s="7" t="str">
        <x:v>PASS</x:v>
      </x:c>
      <x:c r="E298" s="13" t="str">
        <x:v>Pending</x:v>
      </x:c>
      <x:c r="F298" s="13" t="str"/>
      <x:c r="G298" s="13" t="str"/>
      <x:c r="H298" s="13" t="str"/>
      <x:c r="I298" s="7" t="str">
        <x:v>Confirm approval criteria and any unrecorded reason.</x:v>
      </x:c>
      <x:c r="J298" s="7" t="str">
        <x:v>P1</x:v>
      </x:c>
      <x:c r="K298" s="7" t="str">
        <x:v>Passes provisional observable screen; approval is independently established by PDF membership.</x:v>
      </x:c>
      <x:c r="L298" s="7" t="str">
        <x:v>Not supplied; membership is known, motive is not</x:v>
      </x:c>
      <x:c r="M298" s="7" t="n">
        <x:v>1</x:v>
      </x:c>
      <x:c r="N298" s="7" t="str">
        <x:v>First-call fit for stated IMO focus</x:v>
      </x:c>
      <x:c r="O298" s="7" t="str">
        <x:v>Active</x:v>
      </x:c>
      <x:c r="P298" s="7" t="str">
        <x:v>05/27/2020</x:v>
      </x:c>
      <x:c r="Q298" s="7" t="str">
        <x:v>05/31/2028</x:v>
      </x:c>
      <x:c r="R298" s="7" t="str">
        <x:v>Accident &amp; Health or Sickness; Life</x:v>
      </x:c>
      <x:c r="S298" s="15" t="str">
        <x:v>703-969-0131</x:v>
      </x:c>
      <x:c r="T298" s="7" t="str">
        <x:v>Current CDI</x:v>
      </x:c>
      <x:c r="U298" s="7" t="str">
        <x:v>5317 11TH AVE LOS ANGELES CA, 90043-4817</x:v>
      </x:c>
      <x:c r="V298" s="7" t="str">
        <x:v>Resident</x:v>
      </x:c>
      <x:c r="W298" s="7" t="str">
        <x:v>CA</x:v>
      </x:c>
      <x:c r="X298" s="7" t="str"/>
      <x:c r="Y298" s="7" t="str"/>
      <x:c r="Z298" s="7" t="str"/>
      <x:c r="AA298" s="7" t="str"/>
      <x:c r="AB298" s="7" t="str"/>
      <x:c r="AC298" s="7" t="str"/>
      <x:c r="AD298" s="7" t="str">
        <x:v>Active general Life authority | No agency or insurer displayed: onboarding opportunity possible; existing business unknown | Active A&amp;H supports optional cross-selling; not necessary for target products</x:v>
      </x:c>
      <x:c r="AE298" s="7" t="str"/>
      <x:c r="AF298" s="16" t="n">
        <x:v>6.4</x:v>
      </x:c>
      <x:c r="AG298" s="17" t="n">
        <x:v>601</x:v>
      </x:c>
      <x:c r="AH298" s="7" t="str"/>
      <x:c r="AI298" s="7" t="str">
        <x:v>English</x:v>
      </x:c>
      <x:c r="AJ298" s="7" t="str">
        <x:v>Other / Affiliation Not Identified in Source (96)</x:v>
      </x:c>
      <x:c r="AK298" s="15" t="str">
        <x:v>703-969-0131</x:v>
      </x:c>
      <x:c r="AL298" s="7" t="str">
        <x:v>AGUILAR MATEO JENNIFER SARAHI</x:v>
      </x:c>
      <x:c r="AM298" s="7" t="str">
        <x:v>AGUILAR MATEO SARAHI JENNIFER</x:v>
      </x:c>
      <x:c r="AN298" s="7" t="str">
        <x:v>https://cdicloud.insurance.ca.gov/cal/LicenseDetail?SearchType=IND&amp;SearchLicNbr=4047660&amp;SearchIndvId=4047660</x:v>
      </x:c>
      <x:c r="AO298" s="7" t="str">
        <x:v>2026-10-08</x:v>
      </x:c>
      <x:c r="AP298" s="7" t="str">
        <x:v>b509492e8ea85d9fd854ae158e79471f42a89f510ec1d67503bd9641243473a4</x:v>
      </x:c>
      <x:c r="AQ298" s="7" t="str">
        <x:v>Accident &amp; Health or Sickness / Active / 04/10/2024 / 06/04/2026 / 05/31/2028
Life / Active / 05/27/2020 / 06/04/2026 / 05/31/2028
Motor Club Agent / Inactive / 12/21/2023 / 05/31/2024 / 05/31/2024
Personal Lines / Inactive / 12/21/2023 / 05/31/2026 / 05/31/2026</x:v>
      </x:c>
      <x:c r="AR298" s="7" t="str">
        <x:v>Active</x:v>
      </x:c>
      <x:c r="AS298" s="7" t="str">
        <x:v>Current detail page</x:v>
      </x:c>
    </x:row>
    <x:row r="299" ht="52" customHeight="1">
      <x:c r="A299" s="7" t="str">
        <x:v>AGUILAR MELANYA VALERIE</x:v>
      </x:c>
      <x:c r="B299" s="14" t="str">
        <x:f>"4504774"</x:f>
        <x:v>4504774</x:v>
      </x:c>
      <x:c r="C299" s="7" t="str">
        <x:v>Approved</x:v>
      </x:c>
      <x:c r="D299" s="7" t="str">
        <x:v>PASS</x:v>
      </x:c>
      <x:c r="E299" s="13" t="str">
        <x:v>Pending</x:v>
      </x:c>
      <x:c r="F299" s="13" t="str"/>
      <x:c r="G299" s="13" t="str"/>
      <x:c r="H299" s="13" t="str"/>
      <x:c r="I299" s="7" t="str">
        <x:v>Confirm approval criteria and any unrecorded reason.</x:v>
      </x:c>
      <x:c r="J299" s="7" t="str">
        <x:v>P1</x:v>
      </x:c>
      <x:c r="K299" s="7" t="str">
        <x:v>Passes provisional observable screen; approval is independently established by PDF membership.</x:v>
      </x:c>
      <x:c r="L299" s="7" t="str">
        <x:v>Not supplied; membership is known, motive is not</x:v>
      </x:c>
      <x:c r="M299" s="7" t="n">
        <x:v>1</x:v>
      </x:c>
      <x:c r="N299" s="7" t="str">
        <x:v>First-call fit for stated IMO focus</x:v>
      </x:c>
      <x:c r="O299" s="7" t="str">
        <x:v>Active</x:v>
      </x:c>
      <x:c r="P299" s="7" t="str">
        <x:v>10/29/2025</x:v>
      </x:c>
      <x:c r="Q299" s="7" t="str">
        <x:v>10/31/2027</x:v>
      </x:c>
      <x:c r="R299" s="7" t="str">
        <x:v>Life</x:v>
      </x:c>
      <x:c r="S299" s="15" t="str">
        <x:v>909-298-7478</x:v>
      </x:c>
      <x:c r="T299" s="7" t="str">
        <x:v>Current CDI</x:v>
      </x:c>
      <x:c r="U299" s="7" t="str">
        <x:v>22324 TEMESCAL CANYON RD CORONA CA, 92883</x:v>
      </x:c>
      <x:c r="V299" s="7" t="str">
        <x:v>Resident</x:v>
      </x:c>
      <x:c r="W299" s="7" t="str">
        <x:v>CA</x:v>
      </x:c>
      <x:c r="X299" s="7" t="str"/>
      <x:c r="Y299" s="7" t="str"/>
      <x:c r="Z299" s="7" t="str"/>
      <x:c r="AA299" s="7" t="str"/>
      <x:c r="AB299" s="7" t="str"/>
      <x:c r="AC299" s="7" t="str"/>
      <x:c r="AD299" s="7" t="str">
        <x:v>Active general Life authority | No agency or insurer displayed: onboarding opportunity possible; existing business unknown</x:v>
      </x:c>
      <x:c r="AE299" s="7" t="str"/>
      <x:c r="AF299" s="16" t="n">
        <x:v>0.9</x:v>
      </x:c>
      <x:c r="AG299" s="17" t="n">
        <x:v>388</x:v>
      </x:c>
      <x:c r="AH299" s="7" t="str"/>
      <x:c r="AI299" s="7" t="str">
        <x:v>English</x:v>
      </x:c>
      <x:c r="AJ299" s="7" t="str">
        <x:v>Other / Affiliation Not Identified in Source (96)</x:v>
      </x:c>
      <x:c r="AK299" s="15" t="str">
        <x:v>909-298-7478</x:v>
      </x:c>
      <x:c r="AL299" s="7" t="str">
        <x:v>AGUILAR MELANYA VALERIE</x:v>
      </x:c>
      <x:c r="AM299" s="7" t="str">
        <x:v>AGUILAR Valerie MELANYA</x:v>
      </x:c>
      <x:c r="AN299" s="7" t="str">
        <x:v>https://cdicloud.insurance.ca.gov/cal/LicenseDetail?SearchType=IND&amp;SearchLicNbr=4504774&amp;SearchIndvId=4504774</x:v>
      </x:c>
      <x:c r="AO299" s="7" t="str">
        <x:v>2026-10-08</x:v>
      </x:c>
      <x:c r="AP299" s="7" t="str">
        <x:v>4cb3315b5bdf3ef720a50fe528438f4967cecf0ec8bce42bb613eee61218b8a0</x:v>
      </x:c>
      <x:c r="AQ299" s="7" t="str">
        <x:v>Life / Active / 10/29/2025 / 10/29/2025 / 10/31/2027</x:v>
      </x:c>
      <x:c r="AR299" s="7" t="str">
        <x:v>Active</x:v>
      </x:c>
      <x:c r="AS299" s="7" t="str">
        <x:v>Current detail page</x:v>
      </x:c>
    </x:row>
    <x:row r="300" ht="52" customHeight="1">
      <x:c r="A300" s="7" t="str">
        <x:v>AGUILAR MELINA</x:v>
      </x:c>
      <x:c r="B300" s="14" t="str">
        <x:f>"4527582"</x:f>
        <x:v>4527582</x:v>
      </x:c>
      <x:c r="C300" s="7" t="str">
        <x:v>Approved</x:v>
      </x:c>
      <x:c r="D300" s="7" t="str">
        <x:v>PASS</x:v>
      </x:c>
      <x:c r="E300" s="13" t="str">
        <x:v>Pending</x:v>
      </x:c>
      <x:c r="F300" s="13" t="str"/>
      <x:c r="G300" s="13" t="str"/>
      <x:c r="H300" s="13" t="str"/>
      <x:c r="I300" s="7" t="str">
        <x:v>Confirm approval criteria and any unrecorded reason.</x:v>
      </x:c>
      <x:c r="J300" s="7" t="str">
        <x:v>P1</x:v>
      </x:c>
      <x:c r="K300" s="7" t="str">
        <x:v>Passes provisional observable screen; approval is independently established by PDF membership.</x:v>
      </x:c>
      <x:c r="L300" s="7" t="str">
        <x:v>Not supplied; membership is known, motive is not</x:v>
      </x:c>
      <x:c r="M300" s="7" t="n">
        <x:v>1</x:v>
      </x:c>
      <x:c r="N300" s="7" t="str">
        <x:v>First-call fit for stated IMO focus</x:v>
      </x:c>
      <x:c r="O300" s="7" t="str">
        <x:v>Active</x:v>
      </x:c>
      <x:c r="P300" s="7" t="str">
        <x:v>02/23/2026</x:v>
      </x:c>
      <x:c r="Q300" s="7" t="str">
        <x:v>02/29/2028</x:v>
      </x:c>
      <x:c r="R300" s="7" t="str">
        <x:v>Life</x:v>
      </x:c>
      <x:c r="S300" s="15" t="str">
        <x:v>661-877-5574</x:v>
      </x:c>
      <x:c r="T300" s="7" t="str">
        <x:v>Current CDI</x:v>
      </x:c>
      <x:c r="U300" s="7" t="str">
        <x:v>28423 MEADOWLARK CT VALENCIA CA, 91354</x:v>
      </x:c>
      <x:c r="V300" s="7" t="str">
        <x:v>Resident</x:v>
      </x:c>
      <x:c r="W300" s="7" t="str">
        <x:v>CA</x:v>
      </x:c>
      <x:c r="X300" s="7" t="str"/>
      <x:c r="Y300" s="7" t="str">
        <x:v>CMFG LIFE INSURANCE COMPANY / Life / 05/13/2026
FIDELITY &amp; GUARANTY LIFE INSURANCE COMPANY / Life / 04/28/2026
MEMBERS LIFE INSURANCE COMPANY / Life / 04/21/2026</x:v>
      </x:c>
      <x:c r="Z300" s="7" t="str"/>
      <x:c r="AA300" s="7" t="str"/>
      <x:c r="AB300" s="7" t="str"/>
      <x:c r="AC300" s="7" t="str"/>
      <x:c r="AD300" s="7" t="str">
        <x:v>Active general Life authority | Direct Life appointments outside the selected health-carrier set: CMFG LIFE INSURANCE COMPANY, FIDELITY &amp; GUARANTY LIFE INSURANCE COMPANY, MEMBERS LIFE INSURANCE COMPANY</x:v>
      </x:c>
      <x:c r="AE300" s="7" t="str"/>
      <x:c r="AF300" s="16" t="n">
        <x:v>0.6</x:v>
      </x:c>
      <x:c r="AG300" s="17" t="n">
        <x:v>509</x:v>
      </x:c>
      <x:c r="AH300" s="7" t="str">
        <x:v>2026-05-13</x:v>
      </x:c>
      <x:c r="AI300" s="7" t="str">
        <x:v>English</x:v>
      </x:c>
      <x:c r="AJ300" s="7" t="str">
        <x:v>Other / Affiliation Not Identified in Source (96)</x:v>
      </x:c>
      <x:c r="AK300" s="15" t="str">
        <x:v>661-877-5574</x:v>
      </x:c>
      <x:c r="AL300" s="7" t="str">
        <x:v>AGUILAR MELINA</x:v>
      </x:c>
      <x:c r="AM300" s="7" t="str">
        <x:v>AGUILAR  MELINA</x:v>
      </x:c>
      <x:c r="AN300" s="7" t="str">
        <x:v>https://cdicloud.insurance.ca.gov/cal/LicenseDetail?SearchType=IND&amp;SearchLicNbr=4527582&amp;SearchIndvId=4527582</x:v>
      </x:c>
      <x:c r="AO300" s="7" t="str">
        <x:v>2026-10-08</x:v>
      </x:c>
      <x:c r="AP300" s="7" t="str">
        <x:v>2802b95b131e3b9f1b8f150cbf20c78b92bc9917948ca769f60524a19aff7455</x:v>
      </x:c>
      <x:c r="AQ300" s="7" t="str">
        <x:v>Life / Active / 02/23/2026 / 02/23/2026 / 02/29/2028</x:v>
      </x:c>
      <x:c r="AR300" s="7" t="str">
        <x:v>Active</x:v>
      </x:c>
      <x:c r="AS300" s="7" t="str">
        <x:v>Current detail page</x:v>
      </x:c>
    </x:row>
    <x:row r="301" ht="52" customHeight="1">
      <x:c r="A301" s="7" t="str">
        <x:v>AGUILAR MEY</x:v>
      </x:c>
      <x:c r="B301" s="14" t="str">
        <x:f>"0C03266"</x:f>
        <x:v>0C03266</x:v>
      </x:c>
      <x:c r="C301" s="7" t="str">
        <x:v>Approved</x:v>
      </x:c>
      <x:c r="D301" s="7" t="str">
        <x:v>PASS</x:v>
      </x:c>
      <x:c r="E301" s="13" t="str">
        <x:v>Pending</x:v>
      </x:c>
      <x:c r="F301" s="13" t="str"/>
      <x:c r="G301" s="13" t="str"/>
      <x:c r="H301" s="13" t="str"/>
      <x:c r="I301" s="7" t="str">
        <x:v>Confirm approval criteria and any unrecorded reason.</x:v>
      </x:c>
      <x:c r="J301" s="7" t="str">
        <x:v>P1</x:v>
      </x:c>
      <x:c r="K301" s="7" t="str">
        <x:v>Passes provisional observable screen; approval is independently established by PDF membership.</x:v>
      </x:c>
      <x:c r="L301" s="7" t="str">
        <x:v>Not supplied; membership is known, motive is not</x:v>
      </x:c>
      <x:c r="M301" s="7" t="n">
        <x:v>1</x:v>
      </x:c>
      <x:c r="N301" s="7" t="str">
        <x:v>First-call fit for stated IMO focus</x:v>
      </x:c>
      <x:c r="O301" s="7" t="str">
        <x:v>Active</x:v>
      </x:c>
      <x:c r="P301" s="7" t="str">
        <x:v>04/10/2001</x:v>
      </x:c>
      <x:c r="Q301" s="7" t="str">
        <x:v>05/31/2027</x:v>
      </x:c>
      <x:c r="R301" s="7" t="str">
        <x:v>Accident &amp; Health or Sickness; Casualty; Life; Property</x:v>
      </x:c>
      <x:c r="S301" s="15" t="str">
        <x:v>951-684-0494</x:v>
      </x:c>
      <x:c r="T301" s="7" t="str">
        <x:v>Current CDI</x:v>
      </x:c>
      <x:c r="U301" s="7" t="str">
        <x:v>5586 MISSION BLVD RIVERSIDE CA, 92509</x:v>
      </x:c>
      <x:c r="V301" s="7" t="str">
        <x:v>Resident</x:v>
      </x:c>
      <x:c r="W301" s="7" t="str">
        <x:v>CA</x:v>
      </x:c>
      <x:c r="X301" s="7" t="str">
        <x:v>MEY'S INSURANCE SERVICES, INC / Accident &amp; Health or Sickness / 01/02/2026
MEY'S INSURANCE SERVICES, INC / Property / 01/02/2026
MEY'S INSURANCE SERVICES, INC / Casualty / 01/02/2026
MEY'S INSURANCE SERVICES, INC / Life / 01/02/2026</x:v>
      </x:c>
      <x:c r="Y301" s="7" t="str">
        <x:v>AMERICAN GENERAL LIFE INSURANCE COMPANY / Accident &amp; Health or Sickness / 08/08/2005
AMERICAN GENERAL LIFE INSURANCE COMPANY / Life / 08/08/2005
NATIONAL GENERAL MOTOR CLUB, INC. / Motor Club / 05/20/2008
VESTA FIRE INSURANCE CORPORATION / Accident &amp; Health or Sickness / 03/09/2006
VESTA FIRE INSURANCE CORPORATION / Casualty / 03/09/2006
VESTA FIRE INSURANCE CORPORATION / Property / 03/09/2006</x:v>
      </x:c>
      <x:c r="Z301" s="7" t="str"/>
      <x:c r="AA301" s="7" t="str"/>
      <x:c r="AB301" s="7" t="str"/>
      <x:c r="AC301" s="7" t="str"/>
      <x:c r="AD301" s="7" t="str">
        <x:v>Active general Life authority | Direct Life appointments outside the selected health-carrier set: AMERICAN GENERAL LIFE INSURANCE COMPANY | Active A&amp;H supports optional cross-selling; not necessary for target products</x:v>
      </x:c>
      <x:c r="AE301" s="7" t="str">
        <x:v>Mixed P&amp;C/Life qualifications; not an exclusion because approved examples have both</x:v>
      </x:c>
      <x:c r="AF301" s="16" t="n">
        <x:v>25.5</x:v>
      </x:c>
      <x:c r="AG301" s="17" t="n">
        <x:v>235</x:v>
      </x:c>
      <x:c r="AH301" s="7" t="str">
        <x:v>2005-08-08</x:v>
      </x:c>
      <x:c r="AI301" s="7" t="str">
        <x:v>English, Spanish, Spanish</x:v>
      </x:c>
      <x:c r="AJ301" s="7" t="str">
        <x:v>Other / Affiliation Not Identified in Source (96)</x:v>
      </x:c>
      <x:c r="AK301" s="15" t="str">
        <x:v>951-684-0494</x:v>
      </x:c>
      <x:c r="AL301" s="7" t="str">
        <x:v>AGUILAR MEY</x:v>
      </x:c>
      <x:c r="AM301" s="7" t="str">
        <x:v>AGUILAR  JULIA | AGUILAR  MEY</x:v>
      </x:c>
      <x:c r="AN301" s="7" t="str">
        <x:v>https://cdicloud.insurance.ca.gov/cal/LicenseDetail?SearchType=IND&amp;SearchLicNbr=0C03266&amp;SearchIndvId=279796</x:v>
      </x:c>
      <x:c r="AO301" s="7" t="str">
        <x:v>2026-10-08</x:v>
      </x:c>
      <x:c r="AP301" s="7" t="str">
        <x:v>129d2c1a2c3dc8153d45e4522005bfb1f45a50abec2443a5410b02eb3c073923</x:v>
      </x:c>
      <x:c r="AQ301" s="7" t="str">
        <x:v>Accident &amp; Health or Sickness / Active / 04/10/2001 / 04/10/2001 / 05/31/2027
Casualty / Active / 05/24/1997 / 05/24/1997 / 05/31/2027
Life / Active / 04/10/2001 / 04/10/2001 / 05/31/2027
Property / Active / 05/24/1997 / 05/24/1997 / 05/31/2027</x:v>
      </x:c>
      <x:c r="AR301" s="7" t="str">
        <x:v>Active</x:v>
      </x:c>
      <x:c r="AS301" s="7" t="str">
        <x:v>Current detail page</x:v>
      </x:c>
    </x:row>
    <x:row r="302" ht="52" customHeight="1">
      <x:c r="A302" s="7" t="str">
        <x:v>AGUILAR MONIQUE</x:v>
      </x:c>
      <x:c r="B302" s="14" t="str">
        <x:f>"0M93858"</x:f>
        <x:v>0M93858</x:v>
      </x:c>
      <x:c r="C302" s="7" t="str">
        <x:v>Approved</x:v>
      </x:c>
      <x:c r="D302" s="7" t="str">
        <x:v>PASS</x:v>
      </x:c>
      <x:c r="E302" s="13" t="str">
        <x:v>Pending</x:v>
      </x:c>
      <x:c r="F302" s="13" t="str"/>
      <x:c r="G302" s="13" t="str"/>
      <x:c r="H302" s="13" t="str"/>
      <x:c r="I302" s="7" t="str">
        <x:v>Confirm approval criteria and any unrecorded reason.</x:v>
      </x:c>
      <x:c r="J302" s="7" t="str">
        <x:v>P1</x:v>
      </x:c>
      <x:c r="K302" s="7" t="str">
        <x:v>Passes provisional observable screen; approval is independently established by PDF membership.</x:v>
      </x:c>
      <x:c r="L302" s="7" t="str">
        <x:v>Not supplied; membership is known, motive is not</x:v>
      </x:c>
      <x:c r="M302" s="7" t="n">
        <x:v>1</x:v>
      </x:c>
      <x:c r="N302" s="7" t="str">
        <x:v>First-call fit for stated IMO focus</x:v>
      </x:c>
      <x:c r="O302" s="7" t="str">
        <x:v>Active</x:v>
      </x:c>
      <x:c r="P302" s="7" t="str">
        <x:v>04/22/2019</x:v>
      </x:c>
      <x:c r="Q302" s="7" t="str">
        <x:v>04/30/2027</x:v>
      </x:c>
      <x:c r="R302" s="7" t="str">
        <x:v>Accident &amp; Health or Sickness; Life</x:v>
      </x:c>
      <x:c r="S302" s="15" t="str">
        <x:v>209-939-3439</x:v>
      </x:c>
      <x:c r="T302" s="7" t="str">
        <x:v>Current CDI</x:v>
      </x:c>
      <x:c r="U302" s="7" t="str">
        <x:v>1350 TREAT BLVD STE 100 WALNUT CREEK CA, 94597-2152</x:v>
      </x:c>
      <x:c r="V302" s="7" t="str">
        <x:v>Resident</x:v>
      </x:c>
      <x:c r="W302" s="7" t="str">
        <x:v>CA</x:v>
      </x:c>
      <x:c r="X302" s="7" t="str">
        <x:v>FILICE INSURANCE SERVICES, LLC / Accident &amp; Health or Sickness / 06/02/2023
ACRISURE OF CALIFORNIA LLC / Accident &amp; Health or Sickness / 12/29/2022
ACRISURE WEST INSURANCE SERVICES LLC / Life / 03/26/2024
ACRISURE WEST INSURANCE SERVICES LLC / Accident &amp; Health or Sickness / 03/26/2024
ACRISURE OF CALIFORNIA LLC / Life / 12/29/2022
FILICE INSURANCE SERVICES, LLC / Life / 06/02/2023</x:v>
      </x:c>
      <x:c r="Y302" s="7" t="str"/>
      <x:c r="Z302" s="7" t="str"/>
      <x:c r="AA302" s="7" t="str"/>
      <x:c r="AB302" s="7" t="str"/>
      <x:c r="AC302" s="7" t="str"/>
      <x:c r="AD302" s="7" t="str">
        <x:v>Active general Life authority | Active A&amp;H supports optional cross-selling; not necessary for target products</x:v>
      </x:c>
      <x:c r="AE302" s="7" t="str"/>
      <x:c r="AF302" s="16" t="n">
        <x:v>7.5</x:v>
      </x:c>
      <x:c r="AG302" s="17" t="n">
        <x:v>204</x:v>
      </x:c>
      <x:c r="AH302" s="7" t="str"/>
      <x:c r="AI302" s="7" t="str">
        <x:v>English</x:v>
      </x:c>
      <x:c r="AJ302" s="7" t="str">
        <x:v>Other / Affiliation Not Identified in Source (96)</x:v>
      </x:c>
      <x:c r="AK302" s="15" t="str">
        <x:v>209-939-3439</x:v>
      </x:c>
      <x:c r="AL302" s="7" t="str">
        <x:v>AGUILAR MONIQUE</x:v>
      </x:c>
      <x:c r="AM302" s="7" t="str">
        <x:v>AGUILAR  MONIQUE</x:v>
      </x:c>
      <x:c r="AN302" s="7" t="str">
        <x:v>https://cdicloud.insurance.ca.gov/cal/LicenseDetail?SearchType=IND&amp;SearchLicNbr=0M93858&amp;SearchIndvId=2024168</x:v>
      </x:c>
      <x:c r="AO302" s="7" t="str">
        <x:v>2026-10-08</x:v>
      </x:c>
      <x:c r="AP302" s="7" t="str">
        <x:v>7d3954e1a5d56913315aa54401c6177538b695ea1c7769ecf12024a5511162d6</x:v>
      </x:c>
      <x:c r="AQ302" s="7" t="str">
        <x:v>Accident &amp; Health or Sickness / Active / 04/22/2019 / 04/22/2019 / 04/30/2027
Life / Active / 04/22/2019 / 04/22/2019 / 04/30/2027</x:v>
      </x:c>
      <x:c r="AR302" s="7" t="str">
        <x:v>Active</x:v>
      </x:c>
      <x:c r="AS302" s="7" t="str">
        <x:v>Current detail page</x:v>
      </x:c>
    </x:row>
    <x:row r="303" ht="52" customHeight="1">
      <x:c r="A303" s="7" t="str">
        <x:v>AGUILAR NATALIE MICHELLE</x:v>
      </x:c>
      <x:c r="B303" s="14" t="str">
        <x:f>"4476834"</x:f>
        <x:v>4476834</x:v>
      </x:c>
      <x:c r="C303" s="7" t="str">
        <x:v>Approved</x:v>
      </x:c>
      <x:c r="D303" s="7" t="str">
        <x:v>PASS</x:v>
      </x:c>
      <x:c r="E303" s="13" t="str">
        <x:v>Pending</x:v>
      </x:c>
      <x:c r="F303" s="13" t="str"/>
      <x:c r="G303" s="13" t="str"/>
      <x:c r="H303" s="13" t="str"/>
      <x:c r="I303" s="7" t="str">
        <x:v>Confirm approval criteria and any unrecorded reason.</x:v>
      </x:c>
      <x:c r="J303" s="7" t="str">
        <x:v>P1</x:v>
      </x:c>
      <x:c r="K303" s="7" t="str">
        <x:v>Passes provisional observable screen; approval is independently established by PDF membership.</x:v>
      </x:c>
      <x:c r="L303" s="7" t="str">
        <x:v>Not supplied; membership is known, motive is not</x:v>
      </x:c>
      <x:c r="M303" s="7" t="n">
        <x:v>1</x:v>
      </x:c>
      <x:c r="N303" s="7" t="str">
        <x:v>First-call fit for stated IMO focus</x:v>
      </x:c>
      <x:c r="O303" s="7" t="str">
        <x:v>Active</x:v>
      </x:c>
      <x:c r="P303" s="7" t="str">
        <x:v>07/18/2025</x:v>
      </x:c>
      <x:c r="Q303" s="7" t="str">
        <x:v>07/31/2027</x:v>
      </x:c>
      <x:c r="R303" s="7" t="str">
        <x:v>Life</x:v>
      </x:c>
      <x:c r="S303" s="15" t="str">
        <x:v>209-543-9507</x:v>
      </x:c>
      <x:c r="T303" s="7" t="str">
        <x:v>Current CDI</x:v>
      </x:c>
      <x:c r="U303" s="7" t="str">
        <x:v>4230 KIERNAN AVE STE 145 MODESTO CA, 95356</x:v>
      </x:c>
      <x:c r="V303" s="7" t="str">
        <x:v>Resident</x:v>
      </x:c>
      <x:c r="W303" s="7" t="str">
        <x:v>CA</x:v>
      </x:c>
      <x:c r="X303" s="7" t="str"/>
      <x:c r="Y303" s="7" t="str">
        <x:v>PRIMERICA LIFE INSURANCE COMPANY / Life / 07/21/2025</x:v>
      </x:c>
      <x:c r="Z303" s="7" t="str"/>
      <x:c r="AA303" s="7" t="str"/>
      <x:c r="AB303" s="7" t="str"/>
      <x:c r="AC303" s="7" t="str"/>
      <x:c r="AD303" s="7" t="str">
        <x:v>Active general Life authority | Primerica relationship: matches an explicitly targeted recruiting segment | Direct Life appointments outside the selected health-carrier set: PRIMERICA LIFE INSURANCE COMPANY</x:v>
      </x:c>
      <x:c r="AE303" s="7" t="str"/>
      <x:c r="AF303" s="16" t="n">
        <x:v>1.2</x:v>
      </x:c>
      <x:c r="AG303" s="17" t="n">
        <x:v>296</x:v>
      </x:c>
      <x:c r="AH303" s="7" t="str">
        <x:v>2025-07-21</x:v>
      </x:c>
      <x:c r="AI303" s="7" t="str">
        <x:v>English</x:v>
      </x:c>
      <x:c r="AJ303" s="7" t="str">
        <x:v>Primerica (33)</x:v>
      </x:c>
      <x:c r="AK303" s="15" t="str">
        <x:v>209-543-9507</x:v>
      </x:c>
      <x:c r="AL303" s="7" t="str">
        <x:v>AGUILAR NATALIE MICHELLE</x:v>
      </x:c>
      <x:c r="AM303" s="7" t="str">
        <x:v>AGUILAR MICHELLE NATALIE</x:v>
      </x:c>
      <x:c r="AN303" s="7" t="str">
        <x:v>https://cdicloud.insurance.ca.gov/cal/LicenseDetail?SearchType=IND&amp;SearchLicNbr=4476834&amp;SearchIndvId=4476834</x:v>
      </x:c>
      <x:c r="AO303" s="7" t="str">
        <x:v>2026-10-08</x:v>
      </x:c>
      <x:c r="AP303" s="7" t="str">
        <x:v>b9cd59b5de570b9630d5f4b494f7c3eabb49d55fd54a9d01ee6486f214f6848f</x:v>
      </x:c>
      <x:c r="AQ303" s="7" t="str">
        <x:v>Life / Active / 07/18/2025 / 07/18/2025 / 07/31/2027</x:v>
      </x:c>
      <x:c r="AR303" s="7" t="str">
        <x:v>Active</x:v>
      </x:c>
      <x:c r="AS303" s="7" t="str">
        <x:v>Current detail page</x:v>
      </x:c>
    </x:row>
    <x:row r="304" ht="52" customHeight="1">
      <x:c r="A304" s="7" t="str">
        <x:v>AGUILAR NATHAN</x:v>
      </x:c>
      <x:c r="B304" s="14" t="str">
        <x:f>"4223221"</x:f>
        <x:v>4223221</x:v>
      </x:c>
      <x:c r="C304" s="7" t="str">
        <x:v>Approved</x:v>
      </x:c>
      <x:c r="D304" s="7" t="str">
        <x:v>PASS</x:v>
      </x:c>
      <x:c r="E304" s="13" t="str">
        <x:v>Pending</x:v>
      </x:c>
      <x:c r="F304" s="13" t="str"/>
      <x:c r="G304" s="13" t="str"/>
      <x:c r="H304" s="13" t="str"/>
      <x:c r="I304" s="7" t="str">
        <x:v>Confirm approval criteria and any unrecorded reason.</x:v>
      </x:c>
      <x:c r="J304" s="7" t="str">
        <x:v>P1</x:v>
      </x:c>
      <x:c r="K304" s="7" t="str">
        <x:v>Passes provisional observable screen; approval is independently established by PDF membership.</x:v>
      </x:c>
      <x:c r="L304" s="7" t="str">
        <x:v>Not supplied; membership is known, motive is not</x:v>
      </x:c>
      <x:c r="M304" s="7" t="n">
        <x:v>1</x:v>
      </x:c>
      <x:c r="N304" s="7" t="str">
        <x:v>First-call fit for stated IMO focus</x:v>
      </x:c>
      <x:c r="O304" s="7" t="str">
        <x:v>Active</x:v>
      </x:c>
      <x:c r="P304" s="7" t="str">
        <x:v>08/26/2022</x:v>
      </x:c>
      <x:c r="Q304" s="7" t="str">
        <x:v>08/31/2028</x:v>
      </x:c>
      <x:c r="R304" s="7" t="str">
        <x:v>Life</x:v>
      </x:c>
      <x:c r="S304" s="15" t="str">
        <x:v>562-716-1196</x:v>
      </x:c>
      <x:c r="T304" s="7" t="str">
        <x:v>Current CDI</x:v>
      </x:c>
      <x:c r="U304" s="7" t="str">
        <x:v>12440 FIRESTONE BLVD STE 1028 NORWALK CA, 90650</x:v>
      </x:c>
      <x:c r="V304" s="7" t="str">
        <x:v>Resident</x:v>
      </x:c>
      <x:c r="W304" s="7" t="str">
        <x:v>CA</x:v>
      </x:c>
      <x:c r="X304" s="7" t="str">
        <x:v>PRIMERICA FINANCIAL SERVICES INSURANCE MARKETING, INC. / Life / 08/26/2022</x:v>
      </x:c>
      <x:c r="Y304" s="7" t="str"/>
      <x:c r="Z304" s="7" t="str"/>
      <x:c r="AA304" s="7" t="str"/>
      <x:c r="AB304" s="7" t="str"/>
      <x:c r="AC304" s="7" t="str"/>
      <x:c r="AD304" s="7" t="str">
        <x:v>Active general Life authority | Primerica relationship: matches an explicitly targeted recruiting segment</x:v>
      </x:c>
      <x:c r="AE304" s="7" t="str"/>
      <x:c r="AF304" s="16" t="n">
        <x:v>4.1</x:v>
      </x:c>
      <x:c r="AG304" s="17" t="n">
        <x:v>693</x:v>
      </x:c>
      <x:c r="AH304" s="7" t="str"/>
      <x:c r="AI304" s="7" t="str">
        <x:v>English</x:v>
      </x:c>
      <x:c r="AJ304" s="7" t="str">
        <x:v>Primerica (33)</x:v>
      </x:c>
      <x:c r="AK304" s="15" t="str">
        <x:v>562-716-1196</x:v>
      </x:c>
      <x:c r="AL304" s="7" t="str">
        <x:v>AGUILAR NATHAN</x:v>
      </x:c>
      <x:c r="AM304" s="7" t="str">
        <x:v>AGUILAR  NATHAN</x:v>
      </x:c>
      <x:c r="AN304" s="7" t="str">
        <x:v>https://cdicloud.insurance.ca.gov/cal/LicenseDetail?SearchType=IND&amp;SearchLicNbr=4223221&amp;SearchIndvId=4223221</x:v>
      </x:c>
      <x:c r="AO304" s="7" t="str">
        <x:v>2026-10-08</x:v>
      </x:c>
      <x:c r="AP304" s="7" t="str">
        <x:v>da6ed6d8f7af1954384d0dfb3a4f5d9e3d93eb4d26c3e256c6e541d09957254e</x:v>
      </x:c>
      <x:c r="AQ304" s="7" t="str">
        <x:v>Life / Active / 08/26/2022 / 08/26/2022 / 08/31/2028</x:v>
      </x:c>
      <x:c r="AR304" s="7" t="str">
        <x:v>Active</x:v>
      </x:c>
      <x:c r="AS304" s="7" t="str">
        <x:v>Current detail page</x:v>
      </x:c>
    </x:row>
    <x:row r="305" ht="52" customHeight="1">
      <x:c r="A305" s="7" t="str">
        <x:v>AGUILAR NATHAN KELIIKALANI</x:v>
      </x:c>
      <x:c r="B305" s="14" t="str">
        <x:f>"4537471"</x:f>
        <x:v>4537471</x:v>
      </x:c>
      <x:c r="C305" s="7" t="str">
        <x:v>Approved</x:v>
      </x:c>
      <x:c r="D305" s="7" t="str">
        <x:v>PASS</x:v>
      </x:c>
      <x:c r="E305" s="13" t="str">
        <x:v>Pending</x:v>
      </x:c>
      <x:c r="F305" s="13" t="str"/>
      <x:c r="G305" s="13" t="str"/>
      <x:c r="H305" s="13" t="str"/>
      <x:c r="I305" s="7" t="str">
        <x:v>Confirm approval criteria and any unrecorded reason.</x:v>
      </x:c>
      <x:c r="J305" s="7" t="str">
        <x:v>P1</x:v>
      </x:c>
      <x:c r="K305" s="7" t="str">
        <x:v>Passes provisional observable screen; approval is independently established by PDF membership.</x:v>
      </x:c>
      <x:c r="L305" s="7" t="str">
        <x:v>Not supplied; membership is known, motive is not</x:v>
      </x:c>
      <x:c r="M305" s="7" t="n">
        <x:v>1</x:v>
      </x:c>
      <x:c r="N305" s="7" t="str">
        <x:v>First-call fit for stated IMO focus</x:v>
      </x:c>
      <x:c r="O305" s="7" t="str">
        <x:v>Active</x:v>
      </x:c>
      <x:c r="P305" s="7" t="str">
        <x:v>03/24/2026</x:v>
      </x:c>
      <x:c r="Q305" s="7" t="str">
        <x:v>03/31/2028</x:v>
      </x:c>
      <x:c r="R305" s="7" t="str">
        <x:v>Life</x:v>
      </x:c>
      <x:c r="S305" s="15" t="str">
        <x:v>909-237-1002</x:v>
      </x:c>
      <x:c r="T305" s="7" t="str">
        <x:v>Current CDI</x:v>
      </x:c>
      <x:c r="U305" s="7" t="str">
        <x:v>1235 INDIANA CT STE 114 REDLANDS CA, 92374</x:v>
      </x:c>
      <x:c r="V305" s="7" t="str">
        <x:v>Resident</x:v>
      </x:c>
      <x:c r="W305" s="7" t="str">
        <x:v>CA</x:v>
      </x:c>
      <x:c r="X305" s="7" t="str"/>
      <x:c r="Y305" s="7" t="str">
        <x:v>PRIMERICA LIFE INSURANCE COMPANY / Life / 03/25/2026</x:v>
      </x:c>
      <x:c r="Z305" s="7" t="str"/>
      <x:c r="AA305" s="7" t="str"/>
      <x:c r="AB305" s="7" t="str"/>
      <x:c r="AC305" s="7" t="str"/>
      <x:c r="AD305" s="7" t="str">
        <x:v>Active general Life authority | Primerica relationship: matches an explicitly targeted recruiting segment | Direct Life appointments outside the selected health-carrier set: PRIMERICA LIFE INSURANCE COMPANY</x:v>
      </x:c>
      <x:c r="AE305" s="7" t="str"/>
      <x:c r="AF305" s="16" t="n">
        <x:v>0.5</x:v>
      </x:c>
      <x:c r="AG305" s="17" t="n">
        <x:v>540</x:v>
      </x:c>
      <x:c r="AH305" s="7" t="str">
        <x:v>2026-03-25</x:v>
      </x:c>
      <x:c r="AI305" s="7" t="str">
        <x:v>English</x:v>
      </x:c>
      <x:c r="AJ305" s="7" t="str">
        <x:v>Primerica (33)</x:v>
      </x:c>
      <x:c r="AK305" s="15" t="str">
        <x:v>909-237-1002</x:v>
      </x:c>
      <x:c r="AL305" s="7" t="str">
        <x:v>AGUILAR NATHAN KELIIKALANI</x:v>
      </x:c>
      <x:c r="AM305" s="7" t="str">
        <x:v>AGUILAR KELIIKALANI NATHAN</x:v>
      </x:c>
      <x:c r="AN305" s="7" t="str">
        <x:v>https://cdicloud.insurance.ca.gov/cal/LicenseDetail?SearchType=IND&amp;SearchLicNbr=4537471&amp;SearchIndvId=4537471</x:v>
      </x:c>
      <x:c r="AO305" s="7" t="str">
        <x:v>2026-10-08</x:v>
      </x:c>
      <x:c r="AP305" s="7" t="str">
        <x:v>ae358678390b1d0232bf1460a4e3d5bda318a8cb6ab2dccf334552c99eb7f100</x:v>
      </x:c>
      <x:c r="AQ305" s="7" t="str">
        <x:v>Life / Active / 03/24/2026 / 03/24/2026 / 03/31/2028</x:v>
      </x:c>
      <x:c r="AR305" s="7" t="str">
        <x:v>Active</x:v>
      </x:c>
      <x:c r="AS305" s="7" t="str">
        <x:v>Current detail page</x:v>
      </x:c>
    </x:row>
    <x:row r="306" ht="52" customHeight="1">
      <x:c r="A306" s="7" t="str">
        <x:v>AGUILAR NICHOLAS ERIC</x:v>
      </x:c>
      <x:c r="B306" s="14" t="str">
        <x:f>"0K75027"</x:f>
        <x:v>0K75027</x:v>
      </x:c>
      <x:c r="C306" s="7" t="str">
        <x:v>Approved</x:v>
      </x:c>
      <x:c r="D306" s="7" t="str">
        <x:v>PASS</x:v>
      </x:c>
      <x:c r="E306" s="13" t="str">
        <x:v>Pending</x:v>
      </x:c>
      <x:c r="F306" s="13" t="str"/>
      <x:c r="G306" s="13" t="str"/>
      <x:c r="H306" s="13" t="str"/>
      <x:c r="I306" s="7" t="str">
        <x:v>Confirm approval criteria and any unrecorded reason.</x:v>
      </x:c>
      <x:c r="J306" s="7" t="str">
        <x:v>P1</x:v>
      </x:c>
      <x:c r="K306" s="7" t="str">
        <x:v>Passes provisional observable screen; approval is independently established by PDF membership.</x:v>
      </x:c>
      <x:c r="L306" s="7" t="str">
        <x:v>Not supplied; membership is known, motive is not</x:v>
      </x:c>
      <x:c r="M306" s="7" t="n">
        <x:v>1</x:v>
      </x:c>
      <x:c r="N306" s="7" t="str">
        <x:v>First-call fit for stated IMO focus</x:v>
      </x:c>
      <x:c r="O306" s="7" t="str">
        <x:v>Active</x:v>
      </x:c>
      <x:c r="P306" s="7" t="str">
        <x:v>02/18/2016</x:v>
      </x:c>
      <x:c r="Q306" s="7" t="str">
        <x:v>02/29/2028</x:v>
      </x:c>
      <x:c r="R306" s="7" t="str">
        <x:v>Accident &amp; Health or Sickness; Life</x:v>
      </x:c>
      <x:c r="S306" s="15" t="str">
        <x:v>760-371-5278</x:v>
      </x:c>
      <x:c r="T306" s="7" t="str">
        <x:v>Current CDI</x:v>
      </x:c>
      <x:c r="U306" s="7" t="str">
        <x:v>21215 BURBANK BOULEVARD WOODLAND HILLS CA, 91367</x:v>
      </x:c>
      <x:c r="V306" s="7" t="str">
        <x:v>Resident</x:v>
      </x:c>
      <x:c r="W306" s="7" t="str">
        <x:v>CA</x:v>
      </x:c>
      <x:c r="X306" s="7" t="str">
        <x:v>WORLD FINANCIAL GROUP INSURANCE AGENCY, LLC / Accident &amp; Health or Sickness / 03/24/2023
WORLD FINANCIAL GROUP INSURANCE AGENCY, LLC / Life / 03/24/2023</x:v>
      </x:c>
      <x:c r="Y306" s="7" t="str">
        <x:v>ANTHEM BLUE CROSS LIFE AND HEALTH INSURANCE COMPANY / Accident &amp; Health or Sickness / 10/06/2016
ANTHEM BLUE CROSS LIFE AND HEALTH INSURANCE COMPANY / Life / 12/15/2016
ATHENE ANNUITY AND LIFE COMPANY / Life / 04/06/2023
LIFESECURE INSURANCE COMPANY / Accident &amp; Health or Sickness / 03/26/2020
NATIONWIDE LIFE AND ANNUITY INSURANCE COMPANY / Accident &amp; Health or Sickness / 05/25/2023
NATIONWIDE LIFE AND ANNUITY INSURANCE COMPANY / Life / 05/25/2023</x:v>
      </x:c>
      <x:c r="Z306" s="7" t="str"/>
      <x:c r="AA306" s="7" t="str"/>
      <x:c r="AB306" s="7" t="str"/>
      <x:c r="AC306" s="7" t="str"/>
      <x:c r="AD306" s="7" t="str">
        <x:v>Active general Life authority | WFG relationship: matches an explicitly targeted recruiting segment | Direct Life appointments outside the selected health-carrier set: ATHENE ANNUITY AND LIFE COMPANY, NATIONWIDE LIFE AND ANNUITY INSURANCE COMPANY | Active A&amp;H supports optional cross-selling; not necessary for target products</x:v>
      </x:c>
      <x:c r="AE306" s="7" t="str"/>
      <x:c r="AF306" s="16" t="n">
        <x:v>10.6</x:v>
      </x:c>
      <x:c r="AG306" s="17" t="n">
        <x:v>509</x:v>
      </x:c>
      <x:c r="AH306" s="7" t="str">
        <x:v>2023-05-25</x:v>
      </x:c>
      <x:c r="AI306" s="7" t="str">
        <x:v>English</x:v>
      </x:c>
      <x:c r="AJ306" s="7" t="str">
        <x:v>WFG / World Financial Group (7)</x:v>
      </x:c>
      <x:c r="AK306" s="15" t="str">
        <x:v>760-371-5278</x:v>
      </x:c>
      <x:c r="AL306" s="7" t="str">
        <x:v>AGUILAR NICHOLAS ERIC</x:v>
      </x:c>
      <x:c r="AM306" s="7" t="str">
        <x:v>AGUILAR ERIC NICHOLAS</x:v>
      </x:c>
      <x:c r="AN306" s="7" t="str">
        <x:v>https://cdicloud.insurance.ca.gov/cal/LicenseDetail?SearchType=IND&amp;SearchLicNbr=0K75027&amp;SearchIndvId=1819790</x:v>
      </x:c>
      <x:c r="AO306" s="7" t="str">
        <x:v>2026-10-08</x:v>
      </x:c>
      <x:c r="AP306" s="7" t="str">
        <x:v>d83cb7d739ef7b4e893a21bffcea92124ea5b194672d543df5ef107f14a8c667</x:v>
      </x:c>
      <x:c r="AQ306" s="7" t="str">
        <x:v>Accident &amp; Health or Sickness / Active / 02/18/2016 / 02/18/2016 / 02/29/2028
Life / Active / 02/18/2016 / 02/18/2016 / 02/29/2028</x:v>
      </x:c>
      <x:c r="AR306" s="7" t="str">
        <x:v>Active</x:v>
      </x:c>
      <x:c r="AS306" s="7" t="str">
        <x:v>Current detail page</x:v>
      </x:c>
    </x:row>
    <x:row r="307" ht="52" customHeight="1">
      <x:c r="A307" s="7" t="str">
        <x:v>AGUILAR NISSAH LIA</x:v>
      </x:c>
      <x:c r="B307" s="14" t="str">
        <x:f>"0M27286"</x:f>
        <x:v>0M27286</x:v>
      </x:c>
      <x:c r="C307" s="7" t="str">
        <x:v>Approved</x:v>
      </x:c>
      <x:c r="D307" s="7" t="str">
        <x:v>PASS</x:v>
      </x:c>
      <x:c r="E307" s="13" t="str">
        <x:v>Pending</x:v>
      </x:c>
      <x:c r="F307" s="13" t="str"/>
      <x:c r="G307" s="13" t="str"/>
      <x:c r="H307" s="13" t="str"/>
      <x:c r="I307" s="7" t="str">
        <x:v>Confirm approval criteria and any unrecorded reason.</x:v>
      </x:c>
      <x:c r="J307" s="7" t="str">
        <x:v>P1</x:v>
      </x:c>
      <x:c r="K307" s="7" t="str">
        <x:v>Passes provisional observable screen; approval is independently established by PDF membership.</x:v>
      </x:c>
      <x:c r="L307" s="7" t="str">
        <x:v>Not supplied; membership is known, motive is not</x:v>
      </x:c>
      <x:c r="M307" s="7" t="n">
        <x:v>1</x:v>
      </x:c>
      <x:c r="N307" s="7" t="str">
        <x:v>First-call fit for stated IMO focus</x:v>
      </x:c>
      <x:c r="O307" s="7" t="str">
        <x:v>Active</x:v>
      </x:c>
      <x:c r="P307" s="7" t="str">
        <x:v>03/30/2018</x:v>
      </x:c>
      <x:c r="Q307" s="7" t="str">
        <x:v>03/31/2028</x:v>
      </x:c>
      <x:c r="R307" s="7" t="str">
        <x:v>Accident &amp; Health or Sickness; Life</x:v>
      </x:c>
      <x:c r="S307" s="15" t="str">
        <x:v>760-496-8307</x:v>
      </x:c>
      <x:c r="T307" s="7" t="str">
        <x:v>Current CDI</x:v>
      </x:c>
      <x:c r="U307" s="7" t="str">
        <x:v>26900 WINCHESTER CREEK AVE APT 1101 MURRIETA CA, 92563-4103</x:v>
      </x:c>
      <x:c r="V307" s="7" t="str">
        <x:v>Resident</x:v>
      </x:c>
      <x:c r="W307" s="7" t="str">
        <x:v>CA</x:v>
      </x:c>
      <x:c r="X307" s="7" t="str">
        <x:v>IMA, INC. / Life / 09/08/2025
IMA, INC. / Accident &amp; Health or Sickness / 09/08/2025</x:v>
      </x:c>
      <x:c r="Y307" s="7" t="str">
        <x:v>ACE AMERICAN INSURANCE COMPANY / Accident &amp; Health or Sickness / 12/23/2024
ACE PROPERTY AND CASUALTY INSURANCE COMPANY / Accident &amp; Health or Sickness / 12/23/2024
AMERICAN GUARANTEE AND LIABILITY INSURANCE COMPANY / Accident &amp; Health or Sickness / 06/03/2026
AMERICAN ZURICH INSURANCE COMPANY / Accident &amp; Health or Sickness / 06/03/2026
COMBINED INSURANCE COMPANY OF AMERICA / Accident &amp; Health or Sickness / 12/12/2024
COMBINED INSURANCE COMPANY OF AMERICA / Life / 12/12/2024
HARTFORD LIFE AND ACCIDENT INSURANCE COMPANY / Accident &amp; Health or Sickness / 01/02/2025
HARTFORD LIFE AND ACCIDENT INSURANCE COMPANY / Life / 01/02/2025
PROVIDENT LIFE AND ACCIDENT INSURANCE COMPANY / Accident &amp; Health or Sickness / 10/11/2024
PROVIDENT LIFE AND ACCIDENT INSURANCE COMPANY / Life / 10/11/2024
RELIASTAR LIFE INSURANCE COMPANY / Accident &amp; Health or Sickness / 10/18/2024
RELIASTAR LIFE INSURANCE COMPANY / Life / 10/18/2024
STARMOUNT LIFE INSURANCE COMPANY / Accident &amp; Health or Sickness / 10/11/2024
UNUM INSURANCE COMPANY / Accident &amp; Health or Sickness / 10/11/2024
UNUM INSURANCE COMPANY / Life / 10/11/2024
UNUM LIFE INSURANCE COMPANY OF AMERICA / Accident &amp; Health or Sickness / 10/11/2024
UNUM LIFE INSURANCE COMPANY OF AMERICA / Life / 10/11/2024
ZURICH AMERICAN INSURANCE COMPANY / Accident &amp; Health or Sickness / 06/03/2026</x:v>
      </x:c>
      <x:c r="Z307" s="7" t="str"/>
      <x:c r="AA307" s="7" t="str"/>
      <x:c r="AB307" s="7" t="str"/>
      <x:c r="AC307" s="7" t="str"/>
      <x:c r="AD307" s="7" t="str">
        <x:v>Active general Life authority | Direct Life appointments outside the selected health-carrier set: COMBINED INSURANCE COMPANY OF AMERICA, HARTFORD LIFE AND ACCIDENT INSURANCE COMPANY, PROVIDENT LIFE AND ACCIDENT INSURANCE COMPANY, RELIASTAR LIFE INSURANCE COMPANY, UNUM INSURANCE COMPANY, UNUM LIFE INSURANCE COMPANY OF AMERICA | Active A&amp;H supports optional cross-selling; not necessary for target products</x:v>
      </x:c>
      <x:c r="AE307" s="7" t="str"/>
      <x:c r="AF307" s="16" t="n">
        <x:v>8.5</x:v>
      </x:c>
      <x:c r="AG307" s="17" t="n">
        <x:v>540</x:v>
      </x:c>
      <x:c r="AH307" s="7" t="str">
        <x:v>2025-01-02</x:v>
      </x:c>
      <x:c r="AI307" s="7" t="str">
        <x:v>English</x:v>
      </x:c>
      <x:c r="AJ307" s="7" t="str">
        <x:v>Other / Affiliation Not Identified in Source (96)</x:v>
      </x:c>
      <x:c r="AK307" s="15" t="str">
        <x:v>760-496-8307</x:v>
      </x:c>
      <x:c r="AL307" s="7" t="str">
        <x:v>AGUILAR NISSAH LIA</x:v>
      </x:c>
      <x:c r="AM307" s="7" t="str">
        <x:v>Aguilar L Nissah | AGUILAR LIA NISSAH</x:v>
      </x:c>
      <x:c r="AN307" s="7" t="str">
        <x:v>https://cdicloud.insurance.ca.gov/cal/LicenseDetail?SearchType=IND&amp;SearchLicNbr=0M27286&amp;SearchIndvId=2010569</x:v>
      </x:c>
      <x:c r="AO307" s="7" t="str">
        <x:v>2026-10-08</x:v>
      </x:c>
      <x:c r="AP307" s="7" t="str">
        <x:v>ddb33d3c20955d0ae0cf1707b50a0ac15bc0e8f96c130f98276a728df581d854</x:v>
      </x:c>
      <x:c r="AQ307" s="7" t="str">
        <x:v>Accident &amp; Health or Sickness / Active / 03/30/2018 / 04/02/2024 / 03/31/2028
Life / Active / 03/30/2018 / 04/02/2024 / 03/31/2028</x:v>
      </x:c>
      <x:c r="AR307" s="7" t="str">
        <x:v>Active</x:v>
      </x:c>
      <x:c r="AS307" s="7" t="str">
        <x:v>Current detail page</x:v>
      </x:c>
    </x:row>
    <x:row r="308" ht="52" customHeight="1">
      <x:c r="A308" s="7" t="str">
        <x:v>AGUILAR NORA RUTH FLORES</x:v>
      </x:c>
      <x:c r="B308" s="14" t="str">
        <x:f>"4572943"</x:f>
        <x:v>4572943</x:v>
      </x:c>
      <x:c r="C308" s="7" t="str">
        <x:v>Approved</x:v>
      </x:c>
      <x:c r="D308" s="7" t="str">
        <x:v>PASS</x:v>
      </x:c>
      <x:c r="E308" s="13" t="str">
        <x:v>Pending</x:v>
      </x:c>
      <x:c r="F308" s="13" t="str"/>
      <x:c r="G308" s="13" t="str"/>
      <x:c r="H308" s="13" t="str"/>
      <x:c r="I308" s="7" t="str">
        <x:v>Confirm approval criteria and any unrecorded reason.</x:v>
      </x:c>
      <x:c r="J308" s="7" t="str">
        <x:v>P1</x:v>
      </x:c>
      <x:c r="K308" s="7" t="str">
        <x:v>Passes provisional observable screen; approval is independently established by PDF membership.</x:v>
      </x:c>
      <x:c r="L308" s="7" t="str">
        <x:v>Not supplied; membership is known, motive is not</x:v>
      </x:c>
      <x:c r="M308" s="7" t="n">
        <x:v>1</x:v>
      </x:c>
      <x:c r="N308" s="7" t="str">
        <x:v>First-call fit for stated IMO focus</x:v>
      </x:c>
      <x:c r="O308" s="7" t="str">
        <x:v>Active</x:v>
      </x:c>
      <x:c r="P308" s="7" t="str">
        <x:v>08/17/2026</x:v>
      </x:c>
      <x:c r="Q308" s="7" t="str">
        <x:v>08/31/2028</x:v>
      </x:c>
      <x:c r="R308" s="7" t="str">
        <x:v>Life</x:v>
      </x:c>
      <x:c r="S308" s="15" t="str">
        <x:v>661-873-3887</x:v>
      </x:c>
      <x:c r="T308" s="7" t="str">
        <x:v>Current CDI</x:v>
      </x:c>
      <x:c r="U308" s="7" t="str">
        <x:v>3819 WENATCHEE AVE BAKERSFIELD CA, 93306</x:v>
      </x:c>
      <x:c r="V308" s="7" t="str">
        <x:v>Resident</x:v>
      </x:c>
      <x:c r="W308" s="7" t="str">
        <x:v>CA</x:v>
      </x:c>
      <x:c r="X308" s="7" t="str"/>
      <x:c r="Y308" s="7" t="str">
        <x:v>FIDELITY &amp; GUARANTY LIFE INSURANCE COMPANY / Life / 08/26/2026</x:v>
      </x:c>
      <x:c r="Z308" s="7" t="str"/>
      <x:c r="AA308" s="7" t="str"/>
      <x:c r="AB308" s="7" t="str"/>
      <x:c r="AC308" s="7" t="str"/>
      <x:c r="AD308" s="7" t="str">
        <x:v>Active general Life authority | Direct Life appointments outside the selected health-carrier set: FIDELITY &amp; GUARANTY LIFE INSURANCE COMPANY</x:v>
      </x:c>
      <x:c r="AE308" s="7" t="str"/>
      <x:c r="AF308" s="16" t="n">
        <x:v>0.1</x:v>
      </x:c>
      <x:c r="AG308" s="17" t="n">
        <x:v>693</x:v>
      </x:c>
      <x:c r="AH308" s="7" t="str">
        <x:v>2026-08-26</x:v>
      </x:c>
      <x:c r="AI308" s="7" t="str">
        <x:v>English</x:v>
      </x:c>
      <x:c r="AJ308" s="7" t="str">
        <x:v>Other / Affiliation Not Identified in Source (96)</x:v>
      </x:c>
      <x:c r="AK308" s="15" t="str">
        <x:v>661-873-3887</x:v>
      </x:c>
      <x:c r="AL308" s="7" t="str">
        <x:v>AGUILAR NORA RUTH FLORES</x:v>
      </x:c>
      <x:c r="AM308" s="7" t="str">
        <x:v>AGUILAR RUTH FLORES NORA | Aguilar  Nora Ruth Flores</x:v>
      </x:c>
      <x:c r="AN308" s="7" t="str">
        <x:v>https://cdicloud.insurance.ca.gov/cal/LicenseDetail?SearchType=IND&amp;SearchLicNbr=4572943&amp;SearchIndvId=4572943</x:v>
      </x:c>
      <x:c r="AO308" s="7" t="str">
        <x:v>2026-10-08</x:v>
      </x:c>
      <x:c r="AP308" s="7" t="str">
        <x:v>4461884d0b25ce0ffefaef9dadbd598546b85d82c6f6699ae1d3d9038c7e61ec</x:v>
      </x:c>
      <x:c r="AQ308" s="7" t="str">
        <x:v>Life / Active / 08/17/2026 / 08/17/2026 / 08/31/2028</x:v>
      </x:c>
      <x:c r="AR308" s="7" t="str">
        <x:v>Active</x:v>
      </x:c>
      <x:c r="AS308" s="7" t="str">
        <x:v>Current detail page</x:v>
      </x:c>
    </x:row>
    <x:row r="309" ht="52" customHeight="1">
      <x:c r="A309" s="7" t="str">
        <x:v>AGUILAR OLIVIA VELAZQUEZ</x:v>
      </x:c>
      <x:c r="B309" s="14" t="str">
        <x:f>"4118741"</x:f>
        <x:v>4118741</x:v>
      </x:c>
      <x:c r="C309" s="7" t="str">
        <x:v>Approved</x:v>
      </x:c>
      <x:c r="D309" s="7" t="str">
        <x:v>PASS</x:v>
      </x:c>
      <x:c r="E309" s="13" t="str">
        <x:v>Pending</x:v>
      </x:c>
      <x:c r="F309" s="13" t="str"/>
      <x:c r="G309" s="13" t="str"/>
      <x:c r="H309" s="13" t="str"/>
      <x:c r="I309" s="7" t="str">
        <x:v>Confirm approval criteria and any unrecorded reason.</x:v>
      </x:c>
      <x:c r="J309" s="7" t="str">
        <x:v>P1</x:v>
      </x:c>
      <x:c r="K309" s="7" t="str">
        <x:v>Passes provisional observable screen; approval is independently established by PDF membership.</x:v>
      </x:c>
      <x:c r="L309" s="7" t="str">
        <x:v>Not supplied; membership is known, motive is not</x:v>
      </x:c>
      <x:c r="M309" s="7" t="n">
        <x:v>1</x:v>
      </x:c>
      <x:c r="N309" s="7" t="str">
        <x:v>First-call fit for stated IMO focus</x:v>
      </x:c>
      <x:c r="O309" s="7" t="str">
        <x:v>Active</x:v>
      </x:c>
      <x:c r="P309" s="7" t="str">
        <x:v>07/28/2021</x:v>
      </x:c>
      <x:c r="Q309" s="7" t="str">
        <x:v>07/31/2027</x:v>
      </x:c>
      <x:c r="R309" s="7" t="str">
        <x:v>Accident &amp; Health or Sickness; Life</x:v>
      </x:c>
      <x:c r="S309" s="15" t="str">
        <x:v>559-334-7478</x:v>
      </x:c>
      <x:c r="T309" s="7" t="str">
        <x:v>Current CDI</x:v>
      </x:c>
      <x:c r="U309" s="7" t="str">
        <x:v>5901 W WHITLEY AVE VISALIA CA, 93291</x:v>
      </x:c>
      <x:c r="V309" s="7" t="str">
        <x:v>Resident</x:v>
      </x:c>
      <x:c r="W309" s="7" t="str">
        <x:v>CA</x:v>
      </x:c>
      <x:c r="X309" s="7" t="str"/>
      <x:c r="Y309" s="7" t="str">
        <x:v>AMERICAN GENERAL LIFE INSURANCE COMPANY / Accident &amp; Health or Sickness / 08/31/2023
AMERICAN GENERAL LIFE INSURANCE COMPANY / Life / 08/31/2023
EQUITRUST LIFE INSURANCE COMPANY / Life / 12/22/2025
LINCOLN HERITAGE LIFE INSURANCE COMPANY / Life / 08/25/2025</x:v>
      </x:c>
      <x:c r="Z309" s="7" t="str"/>
      <x:c r="AA309" s="7" t="str"/>
      <x:c r="AB309" s="7" t="str"/>
      <x:c r="AC309" s="7" t="str"/>
      <x:c r="AD309" s="7" t="str">
        <x:v>Active general Life authority | Direct Life appointments outside the selected health-carrier set: AMERICAN GENERAL LIFE INSURANCE COMPANY, EQUITRUST LIFE INSURANCE COMPANY, LINCOLN HERITAGE LIFE INSURANCE COMPANY | Active A&amp;H supports optional cross-selling; not necessary for target products</x:v>
      </x:c>
      <x:c r="AE309" s="7" t="str"/>
      <x:c r="AF309" s="16" t="n">
        <x:v>5.2</x:v>
      </x:c>
      <x:c r="AG309" s="17" t="n">
        <x:v>296</x:v>
      </x:c>
      <x:c r="AH309" s="7" t="str">
        <x:v>2025-12-22</x:v>
      </x:c>
      <x:c r="AI309" s="7" t="str">
        <x:v>English</x:v>
      </x:c>
      <x:c r="AJ309" s="7" t="str">
        <x:v>Other / Affiliation Not Identified in Source (96)</x:v>
      </x:c>
      <x:c r="AK309" s="15" t="str">
        <x:v>559-334-7478</x:v>
      </x:c>
      <x:c r="AL309" s="7" t="str">
        <x:v>AGUILAR OLIVIA VELAZQUEZ</x:v>
      </x:c>
      <x:c r="AM309" s="7" t="str">
        <x:v>AGUILAR VELAZQUEZ OLIVIA</x:v>
      </x:c>
      <x:c r="AN309" s="7" t="str">
        <x:v>https://cdicloud.insurance.ca.gov/cal/LicenseDetail?SearchType=IND&amp;SearchLicNbr=4118741&amp;SearchIndvId=4118741</x:v>
      </x:c>
      <x:c r="AO309" s="7" t="str">
        <x:v>2026-10-08</x:v>
      </x:c>
      <x:c r="AP309" s="7" t="str">
        <x:v>f688c13ac104e77dda1396bec107dc56b37ae4af7633d21ab86f9dddf4a7ccc8</x:v>
      </x:c>
      <x:c r="AQ309" s="7" t="str">
        <x:v>Accident &amp; Health or Sickness / Active / 07/28/2021 / 08/29/2023 / 07/31/2027
Life / Active / 07/28/2021 / 08/29/2023 / 07/31/2027</x:v>
      </x:c>
      <x:c r="AR309" s="7" t="str">
        <x:v>Active</x:v>
      </x:c>
      <x:c r="AS309" s="7" t="str">
        <x:v>Current detail page</x:v>
      </x:c>
    </x:row>
    <x:row r="310" ht="52" customHeight="1">
      <x:c r="A310" s="7" t="str">
        <x:v>AGUILAR OLVERA JONATHAN</x:v>
      </x:c>
      <x:c r="B310" s="14" t="str">
        <x:f>"4501260"</x:f>
        <x:v>4501260</x:v>
      </x:c>
      <x:c r="C310" s="7" t="str">
        <x:v>Approved</x:v>
      </x:c>
      <x:c r="D310" s="7" t="str">
        <x:v>PASS</x:v>
      </x:c>
      <x:c r="E310" s="13" t="str">
        <x:v>Pending</x:v>
      </x:c>
      <x:c r="F310" s="13" t="str"/>
      <x:c r="G310" s="13" t="str"/>
      <x:c r="H310" s="13" t="str"/>
      <x:c r="I310" s="7" t="str">
        <x:v>Confirm approval criteria and any unrecorded reason.</x:v>
      </x:c>
      <x:c r="J310" s="7" t="str">
        <x:v>P1</x:v>
      </x:c>
      <x:c r="K310" s="7" t="str">
        <x:v>Passes provisional observable screen; approval is independently established by PDF membership.</x:v>
      </x:c>
      <x:c r="L310" s="7" t="str">
        <x:v>Not supplied; membership is known, motive is not</x:v>
      </x:c>
      <x:c r="M310" s="7" t="n">
        <x:v>1</x:v>
      </x:c>
      <x:c r="N310" s="7" t="str">
        <x:v>First-call fit for stated IMO focus</x:v>
      </x:c>
      <x:c r="O310" s="7" t="str">
        <x:v>Active</x:v>
      </x:c>
      <x:c r="P310" s="7" t="str">
        <x:v>10/20/2025</x:v>
      </x:c>
      <x:c r="Q310" s="7" t="str">
        <x:v>10/31/2027</x:v>
      </x:c>
      <x:c r="R310" s="7" t="str">
        <x:v>Life</x:v>
      </x:c>
      <x:c r="S310" s="15" t="str">
        <x:v>559-616-2168</x:v>
      </x:c>
      <x:c r="T310" s="7" t="str">
        <x:v>Current CDI</x:v>
      </x:c>
      <x:c r="U310" s="7" t="str">
        <x:v>1612 WEST MINERAL KING AVE STE D VISALIA CA, 93291</x:v>
      </x:c>
      <x:c r="V310" s="7" t="str">
        <x:v>Resident</x:v>
      </x:c>
      <x:c r="W310" s="7" t="str">
        <x:v>CA</x:v>
      </x:c>
      <x:c r="X310" s="7" t="str"/>
      <x:c r="Y310" s="7" t="str">
        <x:v>PRIMERICA LIFE INSURANCE COMPANY / Life / 10/21/2025</x:v>
      </x:c>
      <x:c r="Z310" s="7" t="str"/>
      <x:c r="AA310" s="7" t="str"/>
      <x:c r="AB310" s="7" t="str"/>
      <x:c r="AC310" s="7" t="str"/>
      <x:c r="AD310" s="7" t="str">
        <x:v>Active general Life authority | Primerica relationship: matches an explicitly targeted recruiting segment | Direct Life appointments outside the selected health-carrier set: PRIMERICA LIFE INSURANCE COMPANY</x:v>
      </x:c>
      <x:c r="AE310" s="7" t="str"/>
      <x:c r="AF310" s="16" t="n">
        <x:v>1</x:v>
      </x:c>
      <x:c r="AG310" s="17" t="n">
        <x:v>388</x:v>
      </x:c>
      <x:c r="AH310" s="7" t="str">
        <x:v>2025-10-21</x:v>
      </x:c>
      <x:c r="AI310" s="7" t="str">
        <x:v>English</x:v>
      </x:c>
      <x:c r="AJ310" s="7" t="str">
        <x:v>Primerica (33)</x:v>
      </x:c>
      <x:c r="AK310" s="15" t="str">
        <x:v>559-616-2168</x:v>
      </x:c>
      <x:c r="AL310" s="7" t="str">
        <x:v>AGUILAR OLVERA JONATHAN</x:v>
      </x:c>
      <x:c r="AM310" s="7" t="str">
        <x:v>AGUILAR OLVERA  JONATHAN</x:v>
      </x:c>
      <x:c r="AN310" s="7" t="str">
        <x:v>https://cdicloud.insurance.ca.gov/cal/LicenseDetail?SearchType=IND&amp;SearchLicNbr=4501260&amp;SearchIndvId=4501260</x:v>
      </x:c>
      <x:c r="AO310" s="7" t="str">
        <x:v>2026-10-08</x:v>
      </x:c>
      <x:c r="AP310" s="7" t="str">
        <x:v>b6dc50645bb0c72ad90b5b7b980d6970d98999fe88b56aeb747c5874db53ed91</x:v>
      </x:c>
      <x:c r="AQ310" s="7" t="str">
        <x:v>Life / Active / 10/20/2025 / 10/20/2025 / 10/31/2027</x:v>
      </x:c>
      <x:c r="AR310" s="7" t="str">
        <x:v>Active</x:v>
      </x:c>
      <x:c r="AS310" s="7" t="str">
        <x:v>Current detail page</x:v>
      </x:c>
    </x:row>
    <x:row r="311" ht="52" customHeight="1">
      <x:c r="A311" s="7" t="str">
        <x:v>AGUILAR PETRA</x:v>
      </x:c>
      <x:c r="B311" s="14" t="str">
        <x:f>"4118761"</x:f>
        <x:v>4118761</x:v>
      </x:c>
      <x:c r="C311" s="7" t="str">
        <x:v>Approved</x:v>
      </x:c>
      <x:c r="D311" s="7" t="str">
        <x:v>PASS</x:v>
      </x:c>
      <x:c r="E311" s="13" t="str">
        <x:v>Pending</x:v>
      </x:c>
      <x:c r="F311" s="13" t="str"/>
      <x:c r="G311" s="13" t="str"/>
      <x:c r="H311" s="13" t="str"/>
      <x:c r="I311" s="7" t="str">
        <x:v>Confirm approval criteria and any unrecorded reason.</x:v>
      </x:c>
      <x:c r="J311" s="7" t="str">
        <x:v>P1</x:v>
      </x:c>
      <x:c r="K311" s="7" t="str">
        <x:v>Passes provisional observable screen; approval is independently established by PDF membership.</x:v>
      </x:c>
      <x:c r="L311" s="7" t="str">
        <x:v>Not supplied; membership is known, motive is not</x:v>
      </x:c>
      <x:c r="M311" s="7" t="n">
        <x:v>1</x:v>
      </x:c>
      <x:c r="N311" s="7" t="str">
        <x:v>First-call fit for stated IMO focus</x:v>
      </x:c>
      <x:c r="O311" s="7" t="str">
        <x:v>Active</x:v>
      </x:c>
      <x:c r="P311" s="7" t="str">
        <x:v>04/23/2021</x:v>
      </x:c>
      <x:c r="Q311" s="7" t="str">
        <x:v>04/30/2027</x:v>
      </x:c>
      <x:c r="R311" s="7" t="str">
        <x:v>Life</x:v>
      </x:c>
      <x:c r="S311" s="15" t="str">
        <x:v>760-737-9000</x:v>
      </x:c>
      <x:c r="T311" s="7" t="str">
        <x:v>Current CDI</x:v>
      </x:c>
      <x:c r="U311" s="7" t="str">
        <x:v>3220 EXECUTIVE RIDGE SUITE 250 VISTA CA, 92081</x:v>
      </x:c>
      <x:c r="V311" s="7" t="str">
        <x:v>Resident</x:v>
      </x:c>
      <x:c r="W311" s="7" t="str">
        <x:v>CA</x:v>
      </x:c>
      <x:c r="X311" s="7" t="str"/>
      <x:c r="Y311" s="7" t="str">
        <x:v>PRIMERICA LIFE INSURANCE COMPANY / Life / 04/26/2021</x:v>
      </x:c>
      <x:c r="Z311" s="7" t="str"/>
      <x:c r="AA311" s="7" t="str"/>
      <x:c r="AB311" s="7" t="str"/>
      <x:c r="AC311" s="7" t="str"/>
      <x:c r="AD311" s="7" t="str">
        <x:v>Active general Life authority | Primerica relationship: matches an explicitly targeted recruiting segment | Direct Life appointments outside the selected health-carrier set: PRIMERICA LIFE INSURANCE COMPANY</x:v>
      </x:c>
      <x:c r="AE311" s="7" t="str"/>
      <x:c r="AF311" s="16" t="n">
        <x:v>5.5</x:v>
      </x:c>
      <x:c r="AG311" s="17" t="n">
        <x:v>204</x:v>
      </x:c>
      <x:c r="AH311" s="7" t="str">
        <x:v>2021-04-26</x:v>
      </x:c>
      <x:c r="AI311" s="7" t="str">
        <x:v>English</x:v>
      </x:c>
      <x:c r="AJ311" s="7" t="str">
        <x:v>Primerica (33)</x:v>
      </x:c>
      <x:c r="AK311" s="15" t="str">
        <x:v>760-737-9000</x:v>
      </x:c>
      <x:c r="AL311" s="7" t="str">
        <x:v>AGUILAR PETRA</x:v>
      </x:c>
      <x:c r="AM311" s="7" t="str">
        <x:v>AGUILAR  PETRA</x:v>
      </x:c>
      <x:c r="AN311" s="7" t="str">
        <x:v>https://cdicloud.insurance.ca.gov/cal/LicenseDetail?SearchType=IND&amp;SearchLicNbr=4118761&amp;SearchIndvId=4118761</x:v>
      </x:c>
      <x:c r="AO311" s="7" t="str">
        <x:v>2026-10-08</x:v>
      </x:c>
      <x:c r="AP311" s="7" t="str">
        <x:v>3908983a1b3f69f360288ca42d89b353bcac210a7ac55e306fdfcb23ec0a6458</x:v>
      </x:c>
      <x:c r="AQ311" s="7" t="str">
        <x:v>Life / Active / 04/23/2021 / 04/23/2021 / 04/30/2027</x:v>
      </x:c>
      <x:c r="AR311" s="7" t="str">
        <x:v>Active</x:v>
      </x:c>
      <x:c r="AS311" s="7" t="str">
        <x:v>Current detail page</x:v>
      </x:c>
    </x:row>
    <x:row r="312" ht="52" customHeight="1">
      <x:c r="A312" s="7" t="str">
        <x:v>AGUILAR RAUL</x:v>
      </x:c>
      <x:c r="B312" s="14" t="str">
        <x:f>"0G70596"</x:f>
        <x:v>0G70596</x:v>
      </x:c>
      <x:c r="C312" s="7" t="str">
        <x:v>Approved</x:v>
      </x:c>
      <x:c r="D312" s="7" t="str">
        <x:v>PASS</x:v>
      </x:c>
      <x:c r="E312" s="13" t="str">
        <x:v>Pending</x:v>
      </x:c>
      <x:c r="F312" s="13" t="str"/>
      <x:c r="G312" s="13" t="str"/>
      <x:c r="H312" s="13" t="str"/>
      <x:c r="I312" s="7" t="str">
        <x:v>Confirm approval criteria and any unrecorded reason.</x:v>
      </x:c>
      <x:c r="J312" s="7" t="str">
        <x:v>P1</x:v>
      </x:c>
      <x:c r="K312" s="7" t="str">
        <x:v>Passes provisional observable screen; approval is independently established by PDF membership.</x:v>
      </x:c>
      <x:c r="L312" s="7" t="str">
        <x:v>Not supplied; membership is known, motive is not</x:v>
      </x:c>
      <x:c r="M312" s="7" t="n">
        <x:v>1</x:v>
      </x:c>
      <x:c r="N312" s="7" t="str">
        <x:v>First-call fit for stated IMO focus</x:v>
      </x:c>
      <x:c r="O312" s="7" t="str">
        <x:v>Active</x:v>
      </x:c>
      <x:c r="P312" s="7" t="str">
        <x:v>07/29/2009</x:v>
      </x:c>
      <x:c r="Q312" s="7" t="str">
        <x:v>07/31/2027</x:v>
      </x:c>
      <x:c r="R312" s="7" t="str">
        <x:v>Life</x:v>
      </x:c>
      <x:c r="S312" s="15" t="str">
        <x:v>209-543-9507</x:v>
      </x:c>
      <x:c r="T312" s="7" t="str">
        <x:v>Current CDI</x:v>
      </x:c>
      <x:c r="U312" s="7" t="str">
        <x:v>4230 KIERNAN AVE SUITE 145 MODESTO CA, 95356</x:v>
      </x:c>
      <x:c r="V312" s="7" t="str">
        <x:v>Resident</x:v>
      </x:c>
      <x:c r="W312" s="7" t="str">
        <x:v>CA</x:v>
      </x:c>
      <x:c r="X312" s="7" t="str"/>
      <x:c r="Y312" s="7" t="str">
        <x:v>PRIMERICA LIFE INSURANCE COMPANY / Life / 07/21/2025</x:v>
      </x:c>
      <x:c r="Z312" s="7" t="str"/>
      <x:c r="AA312" s="7" t="str"/>
      <x:c r="AB312" s="7" t="str"/>
      <x:c r="AC312" s="7" t="str"/>
      <x:c r="AD312" s="7" t="str">
        <x:v>Active general Life authority | Primerica relationship: matches an explicitly targeted recruiting segment | Direct Life appointments outside the selected health-carrier set: PRIMERICA LIFE INSURANCE COMPANY</x:v>
      </x:c>
      <x:c r="AE312" s="7" t="str"/>
      <x:c r="AF312" s="16" t="n">
        <x:v>17.2</x:v>
      </x:c>
      <x:c r="AG312" s="17" t="n">
        <x:v>296</x:v>
      </x:c>
      <x:c r="AH312" s="7" t="str">
        <x:v>2025-07-21</x:v>
      </x:c>
      <x:c r="AI312" s="7" t="str">
        <x:v>English</x:v>
      </x:c>
      <x:c r="AJ312" s="7" t="str">
        <x:v>Primerica (33)</x:v>
      </x:c>
      <x:c r="AK312" s="15" t="str">
        <x:v>209-543-9507</x:v>
      </x:c>
      <x:c r="AL312" s="7" t="str">
        <x:v>AGUILAR RAUL</x:v>
      </x:c>
      <x:c r="AM312" s="7" t="str">
        <x:v>AGUILAR  RAUL</x:v>
      </x:c>
      <x:c r="AN312" s="7" t="str">
        <x:v>https://cdicloud.insurance.ca.gov/cal/LicenseDetail?SearchType=IND&amp;SearchLicNbr=0G70596&amp;SearchIndvId=1275235</x:v>
      </x:c>
      <x:c r="AO312" s="7" t="str">
        <x:v>2026-10-08</x:v>
      </x:c>
      <x:c r="AP312" s="7" t="str">
        <x:v>249d1264a9c106f7386d6502030b445aa96b418dba630fc350834ffbb23fbb17</x:v>
      </x:c>
      <x:c r="AQ312" s="7" t="str">
        <x:v>Life / Active / 07/29/2009 / 07/29/2009 / 07/31/2027</x:v>
      </x:c>
      <x:c r="AR312" s="7" t="str">
        <x:v>Active</x:v>
      </x:c>
      <x:c r="AS312" s="7" t="str">
        <x:v>Current detail page</x:v>
      </x:c>
    </x:row>
    <x:row r="313" ht="52" customHeight="1">
      <x:c r="A313" s="7" t="str">
        <x:v>AGUILAR RAUL JR</x:v>
      </x:c>
      <x:c r="B313" s="14" t="str">
        <x:f>"0F98153"</x:f>
        <x:v>0F98153</x:v>
      </x:c>
      <x:c r="C313" s="7" t="str">
        <x:v>Approved</x:v>
      </x:c>
      <x:c r="D313" s="7" t="str">
        <x:v>PASS</x:v>
      </x:c>
      <x:c r="E313" s="13" t="str">
        <x:v>Pending</x:v>
      </x:c>
      <x:c r="F313" s="13" t="str"/>
      <x:c r="G313" s="13" t="str"/>
      <x:c r="H313" s="13" t="str"/>
      <x:c r="I313" s="7" t="str">
        <x:v>Confirm approval criteria and any unrecorded reason.</x:v>
      </x:c>
      <x:c r="J313" s="7" t="str">
        <x:v>P1</x:v>
      </x:c>
      <x:c r="K313" s="7" t="str">
        <x:v>Passes provisional observable screen; approval is independently established by PDF membership.</x:v>
      </x:c>
      <x:c r="L313" s="7" t="str">
        <x:v>Not supplied; membership is known, motive is not</x:v>
      </x:c>
      <x:c r="M313" s="7" t="n">
        <x:v>1</x:v>
      </x:c>
      <x:c r="N313" s="7" t="str">
        <x:v>First-call fit for stated IMO focus</x:v>
      </x:c>
      <x:c r="O313" s="7" t="str">
        <x:v>Active</x:v>
      </x:c>
      <x:c r="P313" s="7" t="str">
        <x:v>02/18/2026</x:v>
      </x:c>
      <x:c r="Q313" s="7" t="str">
        <x:v>02/29/2028</x:v>
      </x:c>
      <x:c r="R313" s="7" t="str">
        <x:v>Life</x:v>
      </x:c>
      <x:c r="S313" s="15" t="str">
        <x:v>209-543-9507</x:v>
      </x:c>
      <x:c r="T313" s="7" t="str">
        <x:v>Current CDI</x:v>
      </x:c>
      <x:c r="U313" s="7" t="str">
        <x:v>4230 KIERNAN AVE STE 145 MODESTO CA, 95356</x:v>
      </x:c>
      <x:c r="V313" s="7" t="str">
        <x:v>Resident</x:v>
      </x:c>
      <x:c r="W313" s="7" t="str">
        <x:v>CA</x:v>
      </x:c>
      <x:c r="X313" s="7" t="str"/>
      <x:c r="Y313" s="7" t="str">
        <x:v>PRIMERICA LIFE INSURANCE COMPANY / Life / 02/19/2026</x:v>
      </x:c>
      <x:c r="Z313" s="7" t="str"/>
      <x:c r="AA313" s="7" t="str"/>
      <x:c r="AB313" s="7" t="str"/>
      <x:c r="AC313" s="7" t="str"/>
      <x:c r="AD313" s="7" t="str">
        <x:v>Active general Life authority | Primerica relationship: matches an explicitly targeted recruiting segment | Direct Life appointments outside the selected health-carrier set: PRIMERICA LIFE INSURANCE COMPANY</x:v>
      </x:c>
      <x:c r="AE313" s="7" t="str"/>
      <x:c r="AF313" s="16" t="n">
        <x:v>0.6</x:v>
      </x:c>
      <x:c r="AG313" s="17" t="n">
        <x:v>509</x:v>
      </x:c>
      <x:c r="AH313" s="7" t="str">
        <x:v>2026-02-19</x:v>
      </x:c>
      <x:c r="AI313" s="7" t="str">
        <x:v>English</x:v>
      </x:c>
      <x:c r="AJ313" s="7" t="str">
        <x:v>Primerica (33)</x:v>
      </x:c>
      <x:c r="AK313" s="15" t="str">
        <x:v>209-543-9507</x:v>
      </x:c>
      <x:c r="AL313" s="7" t="str">
        <x:v>AGUILAR RAUL JR</x:v>
      </x:c>
      <x:c r="AM313" s="7" t="str">
        <x:v>AGUILAR  RAUL</x:v>
      </x:c>
      <x:c r="AN313" s="7" t="str">
        <x:v>https://cdicloud.insurance.ca.gov/cal/LicenseDetail?SearchType=IND&amp;SearchLicNbr=0F98153&amp;SearchIndvId=1120696</x:v>
      </x:c>
      <x:c r="AO313" s="7" t="str">
        <x:v>2026-10-08</x:v>
      </x:c>
      <x:c r="AP313" s="7" t="str">
        <x:v>6dbc3bae398ba846d44d6ef6b420dd1dd136e6c43d1bc31a6031098fbc65d228</x:v>
      </x:c>
      <x:c r="AQ313" s="7" t="str">
        <x:v>Life / Active / 02/18/2026 / 02/18/2026 / 02/29/2028</x:v>
      </x:c>
      <x:c r="AR313" s="7" t="str">
        <x:v>Active</x:v>
      </x:c>
      <x:c r="AS313" s="7" t="str">
        <x:v>Current detail page</x:v>
      </x:c>
    </x:row>
    <x:row r="314" ht="52" customHeight="1">
      <x:c r="A314" s="7" t="str">
        <x:v>AGUILAR RENE OSMAR</x:v>
      </x:c>
      <x:c r="B314" s="14" t="str">
        <x:f>"4416905"</x:f>
        <x:v>4416905</x:v>
      </x:c>
      <x:c r="C314" s="7" t="str">
        <x:v>Approved</x:v>
      </x:c>
      <x:c r="D314" s="7" t="str">
        <x:v>PASS</x:v>
      </x:c>
      <x:c r="E314" s="13" t="str">
        <x:v>Pending</x:v>
      </x:c>
      <x:c r="F314" s="13" t="str"/>
      <x:c r="G314" s="13" t="str"/>
      <x:c r="H314" s="13" t="str"/>
      <x:c r="I314" s="7" t="str">
        <x:v>Confirm approval criteria and any unrecorded reason.</x:v>
      </x:c>
      <x:c r="J314" s="7" t="str">
        <x:v>P1</x:v>
      </x:c>
      <x:c r="K314" s="7" t="str">
        <x:v>Passes provisional observable screen; approval is independently established by PDF membership.</x:v>
      </x:c>
      <x:c r="L314" s="7" t="str">
        <x:v>Not supplied; membership is known, motive is not</x:v>
      </x:c>
      <x:c r="M314" s="7" t="n">
        <x:v>1</x:v>
      </x:c>
      <x:c r="N314" s="7" t="str">
        <x:v>First-call fit for stated IMO focus</x:v>
      </x:c>
      <x:c r="O314" s="7" t="str">
        <x:v>Active</x:v>
      </x:c>
      <x:c r="P314" s="7" t="str">
        <x:v>10/11/2024</x:v>
      </x:c>
      <x:c r="Q314" s="7" t="str">
        <x:v>10/31/2026</x:v>
      </x:c>
      <x:c r="R314" s="7" t="str">
        <x:v>Life</x:v>
      </x:c>
      <x:c r="S314" s="15" t="str">
        <x:v>818-425-9896</x:v>
      </x:c>
      <x:c r="T314" s="7" t="str">
        <x:v>Current CDI</x:v>
      </x:c>
      <x:c r="U314" s="7" t="str">
        <x:v>21080 CENTRE POINTE PKWY SUITE 102 SANTA CLARITA CA, 91350</x:v>
      </x:c>
      <x:c r="V314" s="7" t="str">
        <x:v>Resident</x:v>
      </x:c>
      <x:c r="W314" s="7" t="str">
        <x:v>CA</x:v>
      </x:c>
      <x:c r="X314" s="7" t="str"/>
      <x:c r="Y314" s="7" t="str">
        <x:v>PRIMERICA LIFE INSURANCE COMPANY / Life / 10/14/2024</x:v>
      </x:c>
      <x:c r="Z314" s="7" t="str"/>
      <x:c r="AA314" s="7" t="str"/>
      <x:c r="AB314" s="7" t="str"/>
      <x:c r="AC314" s="7" t="str"/>
      <x:c r="AD314" s="7" t="str">
        <x:v>Active general Life authority | Primerica relationship: matches an explicitly targeted recruiting segment | Direct Life appointments outside the selected health-carrier set: PRIMERICA LIFE INSURANCE COMPANY</x:v>
      </x:c>
      <x:c r="AE314" s="7" t="str">
        <x:v>Life expiration in 23 days: confirm renewal during onboarding</x:v>
      </x:c>
      <x:c r="AF314" s="16" t="n">
        <x:v>2</x:v>
      </x:c>
      <x:c r="AG314" s="17" t="n">
        <x:v>23</x:v>
      </x:c>
      <x:c r="AH314" s="7" t="str">
        <x:v>2024-10-14</x:v>
      </x:c>
      <x:c r="AI314" s="7" t="str">
        <x:v>English</x:v>
      </x:c>
      <x:c r="AJ314" s="7" t="str">
        <x:v>Primerica (33)</x:v>
      </x:c>
      <x:c r="AK314" s="15" t="str">
        <x:v>818-425-9896</x:v>
      </x:c>
      <x:c r="AL314" s="7" t="str">
        <x:v>AGUILAR RENE OSMAR</x:v>
      </x:c>
      <x:c r="AM314" s="7" t="str">
        <x:v>AGUILAR OSMAR RENE</x:v>
      </x:c>
      <x:c r="AN314" s="7" t="str">
        <x:v>https://cdicloud.insurance.ca.gov/cal/LicenseDetail?SearchType=IND&amp;SearchLicNbr=4416905&amp;SearchIndvId=4416905</x:v>
      </x:c>
      <x:c r="AO314" s="7" t="str">
        <x:v>2026-10-08</x:v>
      </x:c>
      <x:c r="AP314" s="7" t="str">
        <x:v>6ea02e0be53f1068b6406f6a35b8106d0ddfd121c2f7ea25575d63860706441a</x:v>
      </x:c>
      <x:c r="AQ314" s="7" t="str">
        <x:v>Life / Active / 10/11/2024 / 10/11/2024 / 10/31/2026</x:v>
      </x:c>
      <x:c r="AR314" s="7" t="str">
        <x:v>Active</x:v>
      </x:c>
      <x:c r="AS314" s="7" t="str">
        <x:v>Current detail page</x:v>
      </x:c>
    </x:row>
    <x:row r="315" ht="52" customHeight="1">
      <x:c r="A315" s="7" t="str">
        <x:v>AGUILAR REXILLE OVIEDO</x:v>
      </x:c>
      <x:c r="B315" s="14" t="str">
        <x:f>"0M38167"</x:f>
        <x:v>0M38167</x:v>
      </x:c>
      <x:c r="C315" s="7" t="str">
        <x:v>Approved</x:v>
      </x:c>
      <x:c r="D315" s="7" t="str">
        <x:v>PASS</x:v>
      </x:c>
      <x:c r="E315" s="13" t="str">
        <x:v>Pending</x:v>
      </x:c>
      <x:c r="F315" s="13" t="str"/>
      <x:c r="G315" s="13" t="str"/>
      <x:c r="H315" s="13" t="str"/>
      <x:c r="I315" s="7" t="str">
        <x:v>Confirm approval criteria and any unrecorded reason.</x:v>
      </x:c>
      <x:c r="J315" s="7" t="str">
        <x:v>P1</x:v>
      </x:c>
      <x:c r="K315" s="7" t="str">
        <x:v>Passes provisional observable screen; approval is independently established by PDF membership.</x:v>
      </x:c>
      <x:c r="L315" s="7" t="str">
        <x:v>Not supplied; membership is known, motive is not</x:v>
      </x:c>
      <x:c r="M315" s="7" t="n">
        <x:v>1</x:v>
      </x:c>
      <x:c r="N315" s="7" t="str">
        <x:v>First-call fit for stated IMO focus</x:v>
      </x:c>
      <x:c r="O315" s="7" t="str">
        <x:v>Active</x:v>
      </x:c>
      <x:c r="P315" s="7" t="str">
        <x:v>06/06/2018</x:v>
      </x:c>
      <x:c r="Q315" s="7" t="str">
        <x:v>04/30/2027</x:v>
      </x:c>
      <x:c r="R315" s="7" t="str">
        <x:v>Accident &amp; Health or Sickness; Life</x:v>
      </x:c>
      <x:c r="S315" s="15" t="str">
        <x:v>408-316-2234</x:v>
      </x:c>
      <x:c r="T315" s="7" t="str">
        <x:v>Current CDI</x:v>
      </x:c>
      <x:c r="U315" s="7" t="str">
        <x:v>1970 JALEN STREET HOLLISTER CA, 95023</x:v>
      </x:c>
      <x:c r="V315" s="7" t="str">
        <x:v>Resident</x:v>
      </x:c>
      <x:c r="W315" s="7" t="str">
        <x:v>CA</x:v>
      </x:c>
      <x:c r="X315" s="7" t="str"/>
      <x:c r="Y315" s="7" t="str">
        <x:v>FIDELITY &amp; GUARANTY LIFE INSURANCE COMPANY / Life / 04/22/2025
JOHN HANCOCK LIFE INSURANCE COMPANY (U.S.A.) / Accident &amp; Health or Sickness / 04/21/2025
JOHN HANCOCK LIFE INSURANCE COMPANY (U.S.A.) / Life / 04/21/2025</x:v>
      </x:c>
      <x:c r="Z315" s="7" t="str"/>
      <x:c r="AA315" s="7" t="str"/>
      <x:c r="AB315" s="7" t="str"/>
      <x:c r="AC315" s="7" t="str"/>
      <x:c r="AD315" s="7" t="str">
        <x:v>Active general Life authority | Direct Life appointments outside the selected health-carrier set: FIDELITY &amp; GUARANTY LIFE INSURANCE COMPANY, JOHN HANCOCK LIFE INSURANCE COMPANY (U.S.A.) | Active A&amp;H supports optional cross-selling; not necessary for target products</x:v>
      </x:c>
      <x:c r="AE315" s="7" t="str"/>
      <x:c r="AF315" s="16" t="n">
        <x:v>8.3</x:v>
      </x:c>
      <x:c r="AG315" s="17" t="n">
        <x:v>204</x:v>
      </x:c>
      <x:c r="AH315" s="7" t="str">
        <x:v>2025-04-22</x:v>
      </x:c>
      <x:c r="AI315" s="7" t="str">
        <x:v>English</x:v>
      </x:c>
      <x:c r="AJ315" s="7" t="str">
        <x:v>Other / Affiliation Not Identified in Source (96)</x:v>
      </x:c>
      <x:c r="AK315" s="15" t="str">
        <x:v>408-316-2234</x:v>
      </x:c>
      <x:c r="AL315" s="7" t="str">
        <x:v>AGUILAR REXILLE OVIEDO</x:v>
      </x:c>
      <x:c r="AM315" s="7" t="str">
        <x:v>Aguilar O Rexille | AGUILAR OVIEDO REXILLE</x:v>
      </x:c>
      <x:c r="AN315" s="7" t="str">
        <x:v>https://cdicloud.insurance.ca.gov/cal/LicenseDetail?SearchType=IND&amp;SearchLicNbr=0M38167&amp;SearchIndvId=2027026</x:v>
      </x:c>
      <x:c r="AO315" s="7" t="str">
        <x:v>2026-10-08</x:v>
      </x:c>
      <x:c r="AP315" s="7" t="str">
        <x:v>ea4bbfff509bff7f08d951e5ea30064af25dcc11c7491b4823100f34b2a1d21d</x:v>
      </x:c>
      <x:c r="AQ315" s="7" t="str">
        <x:v>Accident &amp; Health or Sickness / Active / 04/21/2025 / 04/21/2025 / 04/30/2027
Life / Active / 06/06/2018 / 04/21/2025 / 04/30/2027</x:v>
      </x:c>
      <x:c r="AR315" s="7" t="str">
        <x:v>Active</x:v>
      </x:c>
      <x:c r="AS315" s="7" t="str">
        <x:v>Current detail page</x:v>
      </x:c>
    </x:row>
    <x:row r="316" ht="52" customHeight="1">
      <x:c r="A316" s="7" t="str">
        <x:v>AGUILAR RICHARD LOUIS</x:v>
      </x:c>
      <x:c r="B316" s="14" t="str">
        <x:f>"0D44288"</x:f>
        <x:v>0D44288</x:v>
      </x:c>
      <x:c r="C316" s="7" t="str">
        <x:v>Approved</x:v>
      </x:c>
      <x:c r="D316" s="7" t="str">
        <x:v>PASS</x:v>
      </x:c>
      <x:c r="E316" s="13" t="str">
        <x:v>Pending</x:v>
      </x:c>
      <x:c r="F316" s="13" t="str"/>
      <x:c r="G316" s="13" t="str"/>
      <x:c r="H316" s="13" t="str"/>
      <x:c r="I316" s="7" t="str">
        <x:v>Confirm approval criteria and any unrecorded reason.</x:v>
      </x:c>
      <x:c r="J316" s="7" t="str">
        <x:v>P1</x:v>
      </x:c>
      <x:c r="K316" s="7" t="str">
        <x:v>Passes provisional observable screen; approval is independently established by PDF membership.</x:v>
      </x:c>
      <x:c r="L316" s="7" t="str">
        <x:v>Not supplied; membership is known, motive is not</x:v>
      </x:c>
      <x:c r="M316" s="7" t="n">
        <x:v>1</x:v>
      </x:c>
      <x:c r="N316" s="7" t="str">
        <x:v>First-call fit for stated IMO focus</x:v>
      </x:c>
      <x:c r="O316" s="7" t="str">
        <x:v>Active</x:v>
      </x:c>
      <x:c r="P316" s="7" t="str">
        <x:v>10/11/2001</x:v>
      </x:c>
      <x:c r="Q316" s="7" t="str">
        <x:v>10/31/2027</x:v>
      </x:c>
      <x:c r="R316" s="7" t="str">
        <x:v>Accident &amp; Health or Sickness; Life</x:v>
      </x:c>
      <x:c r="S316" s="15" t="str">
        <x:v>310-956-2180</x:v>
      </x:c>
      <x:c r="T316" s="7" t="str">
        <x:v>Current CDI</x:v>
      </x:c>
      <x:c r="U316" s="7" t="str">
        <x:v>3840 KILROY AIRPORT WAY 3840 KILROY AIRPORT WAY LONG BEACH CA, 90860</x:v>
      </x:c>
      <x:c r="V316" s="7" t="str">
        <x:v>Resident</x:v>
      </x:c>
      <x:c r="W316" s="7" t="str">
        <x:v>CA</x:v>
      </x:c>
      <x:c r="X316" s="7" t="str"/>
      <x:c r="Y316" s="7" t="str"/>
      <x:c r="Z316" s="7" t="str"/>
      <x:c r="AA316" s="7" t="str"/>
      <x:c r="AB316" s="7" t="str"/>
      <x:c r="AC316" s="7" t="str"/>
      <x:c r="AD316" s="7" t="str">
        <x:v>Active general Life authority | No agency or insurer displayed: onboarding opportunity possible; existing business unknown | Active A&amp;H supports optional cross-selling; not necessary for target products</x:v>
      </x:c>
      <x:c r="AE316" s="7" t="str"/>
      <x:c r="AF316" s="16" t="n">
        <x:v>25</x:v>
      </x:c>
      <x:c r="AG316" s="17" t="n">
        <x:v>388</x:v>
      </x:c>
      <x:c r="AH316" s="7" t="str"/>
      <x:c r="AI316" s="7" t="str">
        <x:v>English</x:v>
      </x:c>
      <x:c r="AJ316" s="7" t="str">
        <x:v>Other / Affiliation Not Identified in Source (96)</x:v>
      </x:c>
      <x:c r="AK316" s="15" t="str">
        <x:v>310-956-2180</x:v>
      </x:c>
      <x:c r="AL316" s="7" t="str">
        <x:v>AGUILAR RICHARD LOUIS</x:v>
      </x:c>
      <x:c r="AM316" s="7" t="str">
        <x:v>AGUILAR LOUIS RICHARD</x:v>
      </x:c>
      <x:c r="AN316" s="7" t="str">
        <x:v>https://cdicloud.insurance.ca.gov/cal/LicenseDetail?SearchType=IND&amp;SearchLicNbr=0D44288&amp;SearchIndvId=592118</x:v>
      </x:c>
      <x:c r="AO316" s="7" t="str">
        <x:v>2026-10-08</x:v>
      </x:c>
      <x:c r="AP316" s="7" t="str">
        <x:v>ae9e1e46fcfd1aa9e2ee32e76f4a4603ecf53d22934c3220f9320e353679a7aa</x:v>
      </x:c>
      <x:c r="AQ316" s="7" t="str">
        <x:v>Accident &amp; Health or Sickness / Active / 10/11/2001 / 11/01/2023 / 10/31/2027
Life / Active / 10/11/2001 / 11/01/2023 / 10/31/2027</x:v>
      </x:c>
      <x:c r="AR316" s="7" t="str">
        <x:v>Active</x:v>
      </x:c>
      <x:c r="AS316" s="7" t="str">
        <x:v>Current detail page</x:v>
      </x:c>
    </x:row>
    <x:row r="317" ht="52" customHeight="1">
      <x:c r="A317" s="7" t="str">
        <x:v>AGUILAR ROBERTA</x:v>
      </x:c>
      <x:c r="B317" s="14" t="str">
        <x:f>"4429182"</x:f>
        <x:v>4429182</x:v>
      </x:c>
      <x:c r="C317" s="7" t="str">
        <x:v>Approved</x:v>
      </x:c>
      <x:c r="D317" s="7" t="str">
        <x:v>PASS</x:v>
      </x:c>
      <x:c r="E317" s="13" t="str">
        <x:v>Pending</x:v>
      </x:c>
      <x:c r="F317" s="13" t="str"/>
      <x:c r="G317" s="13" t="str"/>
      <x:c r="H317" s="13" t="str"/>
      <x:c r="I317" s="7" t="str">
        <x:v>Confirm approval criteria and any unrecorded reason.</x:v>
      </x:c>
      <x:c r="J317" s="7" t="str">
        <x:v>P1</x:v>
      </x:c>
      <x:c r="K317" s="7" t="str">
        <x:v>Passes provisional observable screen; approval is independently established by PDF membership.</x:v>
      </x:c>
      <x:c r="L317" s="7" t="str">
        <x:v>Not supplied; membership is known, motive is not</x:v>
      </x:c>
      <x:c r="M317" s="7" t="n">
        <x:v>1</x:v>
      </x:c>
      <x:c r="N317" s="7" t="str">
        <x:v>First-call fit for stated IMO focus</x:v>
      </x:c>
      <x:c r="O317" s="7" t="str">
        <x:v>Active</x:v>
      </x:c>
      <x:c r="P317" s="7" t="str">
        <x:v>02/06/2025</x:v>
      </x:c>
      <x:c r="Q317" s="7" t="str">
        <x:v>02/28/2027</x:v>
      </x:c>
      <x:c r="R317" s="7" t="str">
        <x:v>Life</x:v>
      </x:c>
      <x:c r="S317" s="15" t="str">
        <x:v>760-565-2235</x:v>
      </x:c>
      <x:c r="T317" s="7" t="str">
        <x:v>Current CDI</x:v>
      </x:c>
      <x:c r="U317" s="7" t="str">
        <x:v>35325 DATE PALM DR SUITE 238 CATHEDRAL CITY CA, 92234</x:v>
      </x:c>
      <x:c r="V317" s="7" t="str">
        <x:v>Resident</x:v>
      </x:c>
      <x:c r="W317" s="7" t="str">
        <x:v>CA</x:v>
      </x:c>
      <x:c r="X317" s="7" t="str"/>
      <x:c r="Y317" s="7" t="str">
        <x:v>PRIMERICA LIFE INSURANCE COMPANY / Life / 02/07/2025</x:v>
      </x:c>
      <x:c r="Z317" s="7" t="str"/>
      <x:c r="AA317" s="7" t="str"/>
      <x:c r="AB317" s="7" t="str"/>
      <x:c r="AC317" s="7" t="str"/>
      <x:c r="AD317" s="7" t="str">
        <x:v>Active general Life authority | Primerica relationship: matches an explicitly targeted recruiting segment | Direct Life appointments outside the selected health-carrier set: PRIMERICA LIFE INSURANCE COMPANY</x:v>
      </x:c>
      <x:c r="AE317" s="7" t="str"/>
      <x:c r="AF317" s="16" t="n">
        <x:v>1.7</x:v>
      </x:c>
      <x:c r="AG317" s="17" t="n">
        <x:v>143</x:v>
      </x:c>
      <x:c r="AH317" s="7" t="str">
        <x:v>2025-02-07</x:v>
      </x:c>
      <x:c r="AI317" s="7" t="str">
        <x:v>English</x:v>
      </x:c>
      <x:c r="AJ317" s="7" t="str">
        <x:v>Primerica (33)</x:v>
      </x:c>
      <x:c r="AK317" s="15" t="str">
        <x:v>760-565-2235</x:v>
      </x:c>
      <x:c r="AL317" s="7" t="str">
        <x:v>AGUILAR ROBERTA</x:v>
      </x:c>
      <x:c r="AM317" s="7" t="str">
        <x:v>AGUILAR  ROBERTA</x:v>
      </x:c>
      <x:c r="AN317" s="7" t="str">
        <x:v>https://cdicloud.insurance.ca.gov/cal/LicenseDetail?SearchType=IND&amp;SearchLicNbr=4429182&amp;SearchIndvId=4429182</x:v>
      </x:c>
      <x:c r="AO317" s="7" t="str">
        <x:v>2026-10-08</x:v>
      </x:c>
      <x:c r="AP317" s="7" t="str">
        <x:v>4bc3c114c062f0f3b182803f96a6febcd22b9713e2759cfb3da40888399b9949</x:v>
      </x:c>
      <x:c r="AQ317" s="7" t="str">
        <x:v>Life / Active / 02/06/2025 / 02/06/2025 / 02/28/2027</x:v>
      </x:c>
      <x:c r="AR317" s="7" t="str">
        <x:v>Active</x:v>
      </x:c>
      <x:c r="AS317" s="7" t="str">
        <x:v>Current detail page</x:v>
      </x:c>
    </x:row>
    <x:row r="318" ht="52" customHeight="1">
      <x:c r="A318" s="7" t="str">
        <x:v>AGUILAR ROJAS ANDRES DANIEL</x:v>
      </x:c>
      <x:c r="B318" s="14" t="str">
        <x:f>"4528667"</x:f>
        <x:v>4528667</x:v>
      </x:c>
      <x:c r="C318" s="7" t="str">
        <x:v>Approved</x:v>
      </x:c>
      <x:c r="D318" s="7" t="str">
        <x:v>PASS</x:v>
      </x:c>
      <x:c r="E318" s="13" t="str">
        <x:v>Pending</x:v>
      </x:c>
      <x:c r="F318" s="13" t="str"/>
      <x:c r="G318" s="13" t="str"/>
      <x:c r="H318" s="13" t="str"/>
      <x:c r="I318" s="7" t="str">
        <x:v>Confirm approval criteria and any unrecorded reason.</x:v>
      </x:c>
      <x:c r="J318" s="7" t="str">
        <x:v>P1</x:v>
      </x:c>
      <x:c r="K318" s="7" t="str">
        <x:v>Passes provisional observable screen; approval is independently established by PDF membership.</x:v>
      </x:c>
      <x:c r="L318" s="7" t="str">
        <x:v>Not supplied; membership is known, motive is not</x:v>
      </x:c>
      <x:c r="M318" s="7" t="n">
        <x:v>1</x:v>
      </x:c>
      <x:c r="N318" s="7" t="str">
        <x:v>First-call fit for stated IMO focus</x:v>
      </x:c>
      <x:c r="O318" s="7" t="str">
        <x:v>Active</x:v>
      </x:c>
      <x:c r="P318" s="7" t="str">
        <x:v>04/27/2026</x:v>
      </x:c>
      <x:c r="Q318" s="7" t="str">
        <x:v>04/30/2028</x:v>
      </x:c>
      <x:c r="R318" s="7" t="str">
        <x:v>Life</x:v>
      </x:c>
      <x:c r="S318" s="15" t="str">
        <x:v>209-229-3885</x:v>
      </x:c>
      <x:c r="T318" s="7" t="str">
        <x:v>Current CDI</x:v>
      </x:c>
      <x:c r="U318" s="7" t="str">
        <x:v>1101 SYLVAN AVE A25A MODESTO CA, 95350</x:v>
      </x:c>
      <x:c r="V318" s="7" t="str">
        <x:v>Resident</x:v>
      </x:c>
      <x:c r="W318" s="7" t="str">
        <x:v>CA</x:v>
      </x:c>
      <x:c r="X318" s="7" t="str"/>
      <x:c r="Y318" s="7" t="str">
        <x:v>LIFE INSURANCE COMPANY OF THE SOUTHWEST / Life / 07/10/2026</x:v>
      </x:c>
      <x:c r="Z318" s="7" t="str"/>
      <x:c r="AA318" s="7" t="str"/>
      <x:c r="AB318" s="7" t="str"/>
      <x:c r="AC318" s="7" t="str"/>
      <x:c r="AD318" s="7" t="str">
        <x:v>Active general Life authority | Direct Life appointments outside the selected health-carrier set: LIFE INSURANCE COMPANY OF THE SOUTHWEST</x:v>
      </x:c>
      <x:c r="AE318" s="7" t="str"/>
      <x:c r="AF318" s="16" t="n">
        <x:v>0.4</x:v>
      </x:c>
      <x:c r="AG318" s="17" t="n">
        <x:v>570</x:v>
      </x:c>
      <x:c r="AH318" s="7" t="str">
        <x:v>2026-07-10</x:v>
      </x:c>
      <x:c r="AI318" s="7" t="str">
        <x:v>English</x:v>
      </x:c>
      <x:c r="AJ318" s="7" t="str">
        <x:v>Other / Affiliation Not Identified in Source (96)</x:v>
      </x:c>
      <x:c r="AK318" s="15" t="str">
        <x:v>209-229-3885</x:v>
      </x:c>
      <x:c r="AL318" s="7" t="str">
        <x:v>AGUILAR ROJAS ANDRES DANIEL</x:v>
      </x:c>
      <x:c r="AM318" s="7" t="str">
        <x:v>AGUILAR ROJAS DANIEL ANDRES | Aguilar Rojas  Andres Daniel</x:v>
      </x:c>
      <x:c r="AN318" s="7" t="str">
        <x:v>https://cdicloud.insurance.ca.gov/cal/LicenseDetail?SearchType=IND&amp;SearchLicNbr=4528667&amp;SearchIndvId=4528667</x:v>
      </x:c>
      <x:c r="AO318" s="7" t="str">
        <x:v>2026-10-08</x:v>
      </x:c>
      <x:c r="AP318" s="7" t="str">
        <x:v>5efdf6771404e4c85b89f96146ec206ab93372d10efc98b01e97ec031ec45bf8</x:v>
      </x:c>
      <x:c r="AQ318" s="7" t="str">
        <x:v>Life / Active / 04/27/2026 / 04/27/2026 / 04/30/2028</x:v>
      </x:c>
      <x:c r="AR318" s="7" t="str">
        <x:v>Active</x:v>
      </x:c>
      <x:c r="AS318" s="7" t="str">
        <x:v>Current detail page</x:v>
      </x:c>
    </x:row>
    <x:row r="319" ht="52" customHeight="1">
      <x:c r="A319" s="7" t="str">
        <x:v>AGUILAR ROMAN</x:v>
      </x:c>
      <x:c r="B319" s="14" t="str">
        <x:f>"4528376"</x:f>
        <x:v>4528376</x:v>
      </x:c>
      <x:c r="C319" s="7" t="str">
        <x:v>Approved</x:v>
      </x:c>
      <x:c r="D319" s="7" t="str">
        <x:v>PASS</x:v>
      </x:c>
      <x:c r="E319" s="13" t="str">
        <x:v>Pending</x:v>
      </x:c>
      <x:c r="F319" s="13" t="str"/>
      <x:c r="G319" s="13" t="str"/>
      <x:c r="H319" s="13" t="str"/>
      <x:c r="I319" s="7" t="str">
        <x:v>Confirm approval criteria and any unrecorded reason.</x:v>
      </x:c>
      <x:c r="J319" s="7" t="str">
        <x:v>P1</x:v>
      </x:c>
      <x:c r="K319" s="7" t="str">
        <x:v>Passes provisional observable screen; approval is independently established by PDF membership.</x:v>
      </x:c>
      <x:c r="L319" s="7" t="str">
        <x:v>Not supplied; membership is known, motive is not</x:v>
      </x:c>
      <x:c r="M319" s="7" t="n">
        <x:v>1</x:v>
      </x:c>
      <x:c r="N319" s="7" t="str">
        <x:v>First-call fit for stated IMO focus</x:v>
      </x:c>
      <x:c r="O319" s="7" t="str">
        <x:v>Active</x:v>
      </x:c>
      <x:c r="P319" s="7" t="str">
        <x:v>03/18/2026</x:v>
      </x:c>
      <x:c r="Q319" s="7" t="str">
        <x:v>03/31/2028</x:v>
      </x:c>
      <x:c r="R319" s="7" t="str">
        <x:v>Accident &amp; Health or Sickness; Life</x:v>
      </x:c>
      <x:c r="S319" s="15" t="str">
        <x:v>805-588-7567</x:v>
      </x:c>
      <x:c r="T319" s="7" t="str">
        <x:v>Current CDI</x:v>
      </x:c>
      <x:c r="U319" s="7" t="str">
        <x:v>298 OAK HILL DRIVE LOMPOC CA, 93436</x:v>
      </x:c>
      <x:c r="V319" s="7" t="str">
        <x:v>Resident</x:v>
      </x:c>
      <x:c r="W319" s="7" t="str">
        <x:v>CA</x:v>
      </x:c>
      <x:c r="X319" s="7" t="str"/>
      <x:c r="Y319" s="7" t="str">
        <x:v>AMERICAN FAMILY LIFE ASSURANCE COMPANY OF COLUMBUS / Accident &amp; Health or Sickness / 03/18/2026
AMERICAN FAMILY LIFE ASSURANCE COMPANY OF COLUMBUS / Life / 03/18/2026</x:v>
      </x:c>
      <x:c r="Z319" s="7" t="str"/>
      <x:c r="AA319" s="7" t="str"/>
      <x:c r="AB319" s="7" t="str"/>
      <x:c r="AC319" s="7" t="str"/>
      <x:c r="AD319" s="7" t="str">
        <x:v>Active general Life authority | Direct Life appointments outside the selected health-carrier set: AMERICAN FAMILY LIFE ASSURANCE COMPANY OF COLUMBUS | Active A&amp;H supports optional cross-selling; not necessary for target products</x:v>
      </x:c>
      <x:c r="AE319" s="7" t="str"/>
      <x:c r="AF319" s="16" t="n">
        <x:v>0.6</x:v>
      </x:c>
      <x:c r="AG319" s="17" t="n">
        <x:v>540</x:v>
      </x:c>
      <x:c r="AH319" s="7" t="str">
        <x:v>2026-03-18</x:v>
      </x:c>
      <x:c r="AI319" s="7" t="str">
        <x:v>English</x:v>
      </x:c>
      <x:c r="AJ319" s="7" t="str">
        <x:v>Other / Affiliation Not Identified in Source (96)</x:v>
      </x:c>
      <x:c r="AK319" s="15" t="str">
        <x:v>805-588-7567</x:v>
      </x:c>
      <x:c r="AL319" s="7" t="str">
        <x:v>AGUILAR ROMAN</x:v>
      </x:c>
      <x:c r="AM319" s="7" t="str">
        <x:v>AGUILAR  ROMAN</x:v>
      </x:c>
      <x:c r="AN319" s="7" t="str">
        <x:v>https://cdicloud.insurance.ca.gov/cal/LicenseDetail?SearchType=IND&amp;SearchLicNbr=4528376&amp;SearchIndvId=4528376</x:v>
      </x:c>
      <x:c r="AO319" s="7" t="str">
        <x:v>2026-10-08</x:v>
      </x:c>
      <x:c r="AP319" s="7" t="str">
        <x:v>2bd1a2129da64d267f9f66a5c20a7729af27679a1860242c707cad037e05986e</x:v>
      </x:c>
      <x:c r="AQ319" s="7" t="str">
        <x:v>Accident &amp; Health or Sickness / Active / 03/18/2026 / 03/18/2026 / 03/31/2028
Life / Active / 03/18/2026 / 03/18/2026 / 03/31/2028</x:v>
      </x:c>
      <x:c r="AR319" s="7" t="str">
        <x:v>Active</x:v>
      </x:c>
      <x:c r="AS319" s="7" t="str">
        <x:v>Current detail page</x:v>
      </x:c>
    </x:row>
    <x:row r="320" ht="52" customHeight="1">
      <x:c r="A320" s="7" t="str">
        <x:v>AGUILAR ROSALINDA</x:v>
      </x:c>
      <x:c r="B320" s="14" t="str">
        <x:f>"4225771"</x:f>
        <x:v>4225771</x:v>
      </x:c>
      <x:c r="C320" s="7" t="str">
        <x:v>Approved</x:v>
      </x:c>
      <x:c r="D320" s="7" t="str">
        <x:v>PASS</x:v>
      </x:c>
      <x:c r="E320" s="13" t="str">
        <x:v>Pending</x:v>
      </x:c>
      <x:c r="F320" s="13" t="str"/>
      <x:c r="G320" s="13" t="str"/>
      <x:c r="H320" s="13" t="str"/>
      <x:c r="I320" s="7" t="str">
        <x:v>Confirm approval criteria and any unrecorded reason.</x:v>
      </x:c>
      <x:c r="J320" s="7" t="str">
        <x:v>P1</x:v>
      </x:c>
      <x:c r="K320" s="7" t="str">
        <x:v>Passes provisional observable screen; approval is independently established by PDF membership.</x:v>
      </x:c>
      <x:c r="L320" s="7" t="str">
        <x:v>Not supplied; membership is known, motive is not</x:v>
      </x:c>
      <x:c r="M320" s="7" t="n">
        <x:v>1</x:v>
      </x:c>
      <x:c r="N320" s="7" t="str">
        <x:v>First-call fit for stated IMO focus</x:v>
      </x:c>
      <x:c r="O320" s="7" t="str">
        <x:v>Active</x:v>
      </x:c>
      <x:c r="P320" s="7" t="str">
        <x:v>05/04/2023</x:v>
      </x:c>
      <x:c r="Q320" s="7" t="str">
        <x:v>05/31/2027</x:v>
      </x:c>
      <x:c r="R320" s="7" t="str">
        <x:v>Accident &amp; Health or Sickness; Life</x:v>
      </x:c>
      <x:c r="S320" s="15" t="str">
        <x:v>408-309-6621</x:v>
      </x:c>
      <x:c r="T320" s="7" t="str">
        <x:v>Current CDI</x:v>
      </x:c>
      <x:c r="U320" s="7" t="str">
        <x:v>131 W, VIRGINIA ST SAN JOSE CA, 95110</x:v>
      </x:c>
      <x:c r="V320" s="7" t="str">
        <x:v>Resident</x:v>
      </x:c>
      <x:c r="W320" s="7" t="str">
        <x:v>CA</x:v>
      </x:c>
      <x:c r="X320" s="7" t="str"/>
      <x:c r="Y320" s="7" t="str">
        <x:v>AMERICAN NATIONAL INSURANCE COMPANY / Life / 04/18/2024
NORTH AMERICAN COMPANY FOR LIFE AND HEALTH INSURANCE / Life / 11/19/2025</x:v>
      </x:c>
      <x:c r="Z320" s="7" t="str"/>
      <x:c r="AA320" s="7" t="str"/>
      <x:c r="AB320" s="7" t="str"/>
      <x:c r="AC320" s="7" t="str"/>
      <x:c r="AD320" s="7" t="str">
        <x:v>Active general Life authority | Direct Life appointments outside the selected health-carrier set: AMERICAN NATIONAL INSURANCE COMPANY, NORTH AMERICAN COMPANY FOR LIFE AND HEALTH INSURANCE | Active A&amp;H supports optional cross-selling; not necessary for target products</x:v>
      </x:c>
      <x:c r="AE320" s="7" t="str"/>
      <x:c r="AF320" s="16" t="n">
        <x:v>3.4</x:v>
      </x:c>
      <x:c r="AG320" s="17" t="n">
        <x:v>235</x:v>
      </x:c>
      <x:c r="AH320" s="7" t="str">
        <x:v>2025-11-19</x:v>
      </x:c>
      <x:c r="AI320" s="7" t="str">
        <x:v>English</x:v>
      </x:c>
      <x:c r="AJ320" s="7" t="str">
        <x:v>Other / Affiliation Not Identified in Source (96)</x:v>
      </x:c>
      <x:c r="AK320" s="15" t="str">
        <x:v>408-309-6621</x:v>
      </x:c>
      <x:c r="AL320" s="7" t="str">
        <x:v>AGUILAR ROSALINDA</x:v>
      </x:c>
      <x:c r="AM320" s="7" t="str">
        <x:v>AGUILAR  ROSALINDA</x:v>
      </x:c>
      <x:c r="AN320" s="7" t="str">
        <x:v>https://cdicloud.insurance.ca.gov/cal/LicenseDetail?SearchType=IND&amp;SearchLicNbr=4225771&amp;SearchIndvId=4225771</x:v>
      </x:c>
      <x:c r="AO320" s="7" t="str">
        <x:v>2026-10-08</x:v>
      </x:c>
      <x:c r="AP320" s="7" t="str">
        <x:v>5ec77245a11b5ee6f868dbb51fdc63529b8d3b6e0b96d247e18e5b5499d4ba72</x:v>
      </x:c>
      <x:c r="AQ320" s="7" t="str">
        <x:v>Accident &amp; Health or Sickness / Active / 05/04/2023 / 05/04/2023 / 05/31/2027
Life / Active / 05/04/2023 / 05/04/2023 / 05/31/2027</x:v>
      </x:c>
      <x:c r="AR320" s="7" t="str">
        <x:v>Active</x:v>
      </x:c>
      <x:c r="AS320" s="7" t="str">
        <x:v>Current detail page</x:v>
      </x:c>
    </x:row>
    <x:row r="321" ht="52" customHeight="1">
      <x:c r="A321" s="7" t="str">
        <x:v>AGUILAR ROWENA QUIAMBAO</x:v>
      </x:c>
      <x:c r="B321" s="14" t="str">
        <x:f>"0G66752"</x:f>
        <x:v>0G66752</x:v>
      </x:c>
      <x:c r="C321" s="7" t="str">
        <x:v>Approved</x:v>
      </x:c>
      <x:c r="D321" s="7" t="str">
        <x:v>PASS</x:v>
      </x:c>
      <x:c r="E321" s="13" t="str">
        <x:v>Pending</x:v>
      </x:c>
      <x:c r="F321" s="13" t="str"/>
      <x:c r="G321" s="13" t="str"/>
      <x:c r="H321" s="13" t="str"/>
      <x:c r="I321" s="7" t="str">
        <x:v>Confirm approval criteria and any unrecorded reason.</x:v>
      </x:c>
      <x:c r="J321" s="7" t="str">
        <x:v>P1</x:v>
      </x:c>
      <x:c r="K321" s="7" t="str">
        <x:v>Passes provisional observable screen; approval is independently established by PDF membership.</x:v>
      </x:c>
      <x:c r="L321" s="7" t="str">
        <x:v>Not supplied; membership is known, motive is not</x:v>
      </x:c>
      <x:c r="M321" s="7" t="n">
        <x:v>1</x:v>
      </x:c>
      <x:c r="N321" s="7" t="str">
        <x:v>First-call fit for stated IMO focus</x:v>
      </x:c>
      <x:c r="O321" s="7" t="str">
        <x:v>Active</x:v>
      </x:c>
      <x:c r="P321" s="7" t="str">
        <x:v>05/19/2025</x:v>
      </x:c>
      <x:c r="Q321" s="7" t="str">
        <x:v>05/31/2027</x:v>
      </x:c>
      <x:c r="R321" s="7" t="str">
        <x:v>Life</x:v>
      </x:c>
      <x:c r="S321" s="15" t="str">
        <x:v>626-282-8294</x:v>
      </x:c>
      <x:c r="T321" s="7" t="str">
        <x:v>Current CDI</x:v>
      </x:c>
      <x:c r="U321" s="7" t="str">
        <x:v>13601 WHITTIER BLVD SUITE 301 WHITTIER CA, 90605</x:v>
      </x:c>
      <x:c r="V321" s="7" t="str">
        <x:v>Resident</x:v>
      </x:c>
      <x:c r="W321" s="7" t="str">
        <x:v>CA</x:v>
      </x:c>
      <x:c r="X321" s="7" t="str"/>
      <x:c r="Y321" s="7" t="str">
        <x:v>PRIMERICA LIFE INSURANCE COMPANY / Life / 05/19/2025</x:v>
      </x:c>
      <x:c r="Z321" s="7" t="str"/>
      <x:c r="AA321" s="7" t="str"/>
      <x:c r="AB321" s="7" t="str"/>
      <x:c r="AC321" s="7" t="str"/>
      <x:c r="AD321" s="7" t="str">
        <x:v>Active general Life authority | Primerica relationship: matches an explicitly targeted recruiting segment | Direct Life appointments outside the selected health-carrier set: PRIMERICA LIFE INSURANCE COMPANY</x:v>
      </x:c>
      <x:c r="AE321" s="7" t="str"/>
      <x:c r="AF321" s="16" t="n">
        <x:v>1.4</x:v>
      </x:c>
      <x:c r="AG321" s="17" t="n">
        <x:v>235</x:v>
      </x:c>
      <x:c r="AH321" s="7" t="str">
        <x:v>2025-05-19</x:v>
      </x:c>
      <x:c r="AI321" s="7" t="str">
        <x:v>English</x:v>
      </x:c>
      <x:c r="AJ321" s="7" t="str">
        <x:v>Primerica (33)</x:v>
      </x:c>
      <x:c r="AK321" s="15" t="str">
        <x:v>626-282-8294</x:v>
      </x:c>
      <x:c r="AL321" s="7" t="str">
        <x:v>AGUILAR ROWENA QUIAMBAO</x:v>
      </x:c>
      <x:c r="AM321" s="7" t="str">
        <x:v>AGUILAR QUIAMBAO ROWENA</x:v>
      </x:c>
      <x:c r="AN321" s="7" t="str">
        <x:v>https://cdicloud.insurance.ca.gov/cal/LicenseDetail?SearchType=IND&amp;SearchLicNbr=0G66752&amp;SearchIndvId=1344470</x:v>
      </x:c>
      <x:c r="AO321" s="7" t="str">
        <x:v>2026-10-08</x:v>
      </x:c>
      <x:c r="AP321" s="7" t="str">
        <x:v>06251141d305fd4cd12b46e2476cb282e4efc9380229e76912f26a2873533530</x:v>
      </x:c>
      <x:c r="AQ321" s="7" t="str">
        <x:v>Life / Active / 05/19/2025 / 05/19/2025 / 05/31/2027</x:v>
      </x:c>
      <x:c r="AR321" s="7" t="str">
        <x:v>Active</x:v>
      </x:c>
      <x:c r="AS321" s="7" t="str">
        <x:v>Current detail page</x:v>
      </x:c>
    </x:row>
    <x:row r="322" ht="52" customHeight="1">
      <x:c r="A322" s="7" t="str">
        <x:v>AGUILAR SILVA KAREN GUADALUPE</x:v>
      </x:c>
      <x:c r="B322" s="14" t="str">
        <x:f>"4537472"</x:f>
        <x:v>4537472</x:v>
      </x:c>
      <x:c r="C322" s="7" t="str">
        <x:v>Approved</x:v>
      </x:c>
      <x:c r="D322" s="7" t="str">
        <x:v>PASS</x:v>
      </x:c>
      <x:c r="E322" s="13" t="str">
        <x:v>Pending</x:v>
      </x:c>
      <x:c r="F322" s="13" t="str"/>
      <x:c r="G322" s="13" t="str"/>
      <x:c r="H322" s="13" t="str"/>
      <x:c r="I322" s="7" t="str">
        <x:v>Confirm approval criteria and any unrecorded reason.</x:v>
      </x:c>
      <x:c r="J322" s="7" t="str">
        <x:v>P1</x:v>
      </x:c>
      <x:c r="K322" s="7" t="str">
        <x:v>Passes provisional observable screen; approval is independently established by PDF membership.</x:v>
      </x:c>
      <x:c r="L322" s="7" t="str">
        <x:v>Not supplied; membership is known, motive is not</x:v>
      </x:c>
      <x:c r="M322" s="7" t="n">
        <x:v>1</x:v>
      </x:c>
      <x:c r="N322" s="7" t="str">
        <x:v>First-call fit for stated IMO focus</x:v>
      </x:c>
      <x:c r="O322" s="7" t="str">
        <x:v>Active</x:v>
      </x:c>
      <x:c r="P322" s="7" t="str">
        <x:v>06/19/2026</x:v>
      </x:c>
      <x:c r="Q322" s="7" t="str">
        <x:v>06/30/2028</x:v>
      </x:c>
      <x:c r="R322" s="7" t="str">
        <x:v>Life</x:v>
      </x:c>
      <x:c r="S322" s="15" t="str">
        <x:v>619-501-1255</x:v>
      </x:c>
      <x:c r="T322" s="7" t="str">
        <x:v>Current CDI</x:v>
      </x:c>
      <x:c r="U322" s="7" t="str">
        <x:v>438 CAMINO DEL RIO S STE 201 SAN DIEGO CA, 92108</x:v>
      </x:c>
      <x:c r="V322" s="7" t="str">
        <x:v>Resident</x:v>
      </x:c>
      <x:c r="W322" s="7" t="str">
        <x:v>CA</x:v>
      </x:c>
      <x:c r="X322" s="7" t="str"/>
      <x:c r="Y322" s="7" t="str">
        <x:v>PRIMERICA LIFE INSURANCE COMPANY / Life / 06/22/2026</x:v>
      </x:c>
      <x:c r="Z322" s="7" t="str"/>
      <x:c r="AA322" s="7" t="str"/>
      <x:c r="AB322" s="7" t="str"/>
      <x:c r="AC322" s="7" t="str"/>
      <x:c r="AD322" s="7" t="str">
        <x:v>Active general Life authority | Primerica relationship: matches an explicitly targeted recruiting segment | Direct Life appointments outside the selected health-carrier set: PRIMERICA LIFE INSURANCE COMPANY</x:v>
      </x:c>
      <x:c r="AE322" s="7" t="str"/>
      <x:c r="AF322" s="16" t="n">
        <x:v>0.3</x:v>
      </x:c>
      <x:c r="AG322" s="17" t="n">
        <x:v>631</x:v>
      </x:c>
      <x:c r="AH322" s="7" t="str">
        <x:v>2026-06-22</x:v>
      </x:c>
      <x:c r="AI322" s="7" t="str">
        <x:v>English</x:v>
      </x:c>
      <x:c r="AJ322" s="7" t="str">
        <x:v>Primerica (33)</x:v>
      </x:c>
      <x:c r="AK322" s="15" t="str">
        <x:v>619-501-1255</x:v>
      </x:c>
      <x:c r="AL322" s="7" t="str">
        <x:v>AGUILAR SILVA KAREN GUADALUPE</x:v>
      </x:c>
      <x:c r="AM322" s="7" t="str">
        <x:v>AGUILAR SILVA GUADALUPE KAREN</x:v>
      </x:c>
      <x:c r="AN322" s="7" t="str">
        <x:v>https://cdicloud.insurance.ca.gov/cal/LicenseDetail?SearchType=IND&amp;SearchLicNbr=4537472&amp;SearchIndvId=4537472</x:v>
      </x:c>
      <x:c r="AO322" s="7" t="str">
        <x:v>2026-10-08</x:v>
      </x:c>
      <x:c r="AP322" s="7" t="str">
        <x:v>375cdd7b4f536e1b9841efae5e15fcc85a41bdd4f2a70622ef929e849b525cf9</x:v>
      </x:c>
      <x:c r="AQ322" s="7" t="str">
        <x:v>Life / Active / 06/19/2026 / 06/19/2026 / 06/30/2028</x:v>
      </x:c>
      <x:c r="AR322" s="7" t="str">
        <x:v>Active</x:v>
      </x:c>
      <x:c r="AS322" s="7" t="str">
        <x:v>Current detail page</x:v>
      </x:c>
    </x:row>
    <x:row r="323" ht="52" customHeight="1">
      <x:c r="A323" s="7" t="str">
        <x:v>AGUILAR THOMAS ROBERT</x:v>
      </x:c>
      <x:c r="B323" s="14" t="str">
        <x:f>"0H00149"</x:f>
        <x:v>0H00149</x:v>
      </x:c>
      <x:c r="C323" s="7" t="str">
        <x:v>Approved</x:v>
      </x:c>
      <x:c r="D323" s="7" t="str">
        <x:v>PASS</x:v>
      </x:c>
      <x:c r="E323" s="13" t="str">
        <x:v>Pending</x:v>
      </x:c>
      <x:c r="F323" s="13" t="str"/>
      <x:c r="G323" s="13" t="str"/>
      <x:c r="H323" s="13" t="str"/>
      <x:c r="I323" s="7" t="str">
        <x:v>Confirm approval criteria and any unrecorded reason.</x:v>
      </x:c>
      <x:c r="J323" s="7" t="str">
        <x:v>P1</x:v>
      </x:c>
      <x:c r="K323" s="7" t="str">
        <x:v>Passes provisional observable screen; approval is independently established by PDF membership.</x:v>
      </x:c>
      <x:c r="L323" s="7" t="str">
        <x:v>Not supplied; membership is known, motive is not</x:v>
      </x:c>
      <x:c r="M323" s="7" t="n">
        <x:v>1</x:v>
      </x:c>
      <x:c r="N323" s="7" t="str">
        <x:v>First-call fit for stated IMO focus</x:v>
      </x:c>
      <x:c r="O323" s="7" t="str">
        <x:v>Active</x:v>
      </x:c>
      <x:c r="P323" s="7" t="str">
        <x:v>06/25/2010</x:v>
      </x:c>
      <x:c r="Q323" s="7" t="str">
        <x:v>06/30/2028</x:v>
      </x:c>
      <x:c r="R323" s="7" t="str">
        <x:v>Accident &amp; Health or Sickness; Life; Var Life and Var Annuity</x:v>
      </x:c>
      <x:c r="S323" s="15" t="str">
        <x:v>530-220-5179</x:v>
      </x:c>
      <x:c r="T323" s="7" t="str">
        <x:v>Current CDI</x:v>
      </x:c>
      <x:c r="U323" s="7" t="str">
        <x:v>85781 BURANO PLACE 85781 BURANO PLACE INDIO CA, 92203-2485</x:v>
      </x:c>
      <x:c r="V323" s="7" t="str">
        <x:v>Resident</x:v>
      </x:c>
      <x:c r="W323" s="7" t="str">
        <x:v>CA</x:v>
      </x:c>
      <x:c r="X323" s="7" t="str">
        <x:v>CALIFORNIA HEALTH BENEFIT EXCHANGE / Accident &amp; Health or Sickness / 10/05/2023</x:v>
      </x:c>
      <x:c r="Y323" s="7" t="str">
        <x:v>BLUE SHIELD OF CALIFORNIA LIFE &amp; HEALTH INSURANCE COMPANY / Accident &amp; Health or Sickness / 03/20/2015
BLUE SHIELD OF CALIFORNIA LIFE &amp; HEALTH INSURANCE COMPANY / Life / 03/20/2015
GENWORTH LIFE AND ANNUITY INSURANCE COMPANY / Accident &amp; Health or Sickness / 02/23/2012
GENWORTH LIFE AND ANNUITY INSURANCE COMPANY / Life / 02/23/2012
GENWORTH LIFE INSURANCE COMPANY / Accident &amp; Health or Sickness / 02/23/2012
GENWORTH LIFE INSURANCE COMPANY / Life / 02/23/2012
HEALTH NET LIFE INSURANCE COMPANY / Life / 07/23/2020
KAISER PERMANENTE INSURANCE COMPANY / Accident &amp; Health or Sickness / 01/14/2014
NATIONWIDE LIFE INSURANCE COMPANY / Accident &amp; Health or Sickness / 08/18/2023
NATIONWIDE LIFE INSURANCE COMPANY / Life / 08/18/2023
PROTECTIVE LIFE INSURANCE COMPANY / Accident &amp; Health or Sickness / 07/31/2014
PROTECTIVE LIFE INSURANCE COMPANY / Life / 07/31/2014
PROTECTIVE LIFE INSURANCE COMPANY / Var Life and Var Annuity / 07/31/2014
PRUCO LIFE INSURANCE COMPANY / Life / 07/23/2012
SUN LIFE ASSURANCE COMPANY OF CANADA / Accident &amp; Health or Sickness / 08/21/2014
SUN LIFE ASSURANCE COMPANY OF CANADA / Life / 08/21/2014</x:v>
      </x:c>
      <x:c r="Z323" s="7" t="str"/>
      <x:c r="AA323" s="7" t="str"/>
      <x:c r="AB323" s="7" t="str"/>
      <x:c r="AC323" s="7" t="str"/>
      <x:c r="AD323" s="7" t="str">
        <x:v>Active general Life authority | Direct Life appointments outside the selected health-carrier set: GENWORTH LIFE AND ANNUITY INSURANCE COMPANY, GENWORTH LIFE INSURANCE COMPANY, NATIONWIDE LIFE INSURANCE COMPANY, PROTECTIVE LIFE INSURANCE COMPANY, PRUCO LIFE INSURANCE COMPANY, SUN LIFE ASSURANCE COMPANY OF CANADA | Active A&amp;H supports optional cross-selling; not necessary for target products</x:v>
      </x:c>
      <x:c r="AE323" s="7" t="str">
        <x:v>Variable authority: financial-advice/variable-product capability; not needed for fixed annuities and not an automatic exclusion</x:v>
      </x:c>
      <x:c r="AF323" s="16" t="n">
        <x:v>16.3</x:v>
      </x:c>
      <x:c r="AG323" s="17" t="n">
        <x:v>631</x:v>
      </x:c>
      <x:c r="AH323" s="7" t="str">
        <x:v>2023-08-18</x:v>
      </x:c>
      <x:c r="AI323" s="7" t="str">
        <x:v>English</x:v>
      </x:c>
      <x:c r="AJ323" s="7" t="str">
        <x:v>Other / Affiliation Not Identified in Source (96)</x:v>
      </x:c>
      <x:c r="AK323" s="15" t="str">
        <x:v>530-220-5179</x:v>
      </x:c>
      <x:c r="AL323" s="7" t="str">
        <x:v>AGUILAR THOMAS ROBERT</x:v>
      </x:c>
      <x:c r="AM323" s="7" t="str">
        <x:v>AGUILAR ROBERT THOMAS</x:v>
      </x:c>
      <x:c r="AN323" s="7" t="str">
        <x:v>https://cdicloud.insurance.ca.gov/cal/LicenseDetail?SearchType=IND&amp;SearchLicNbr=0H00149&amp;SearchIndvId=1338552</x:v>
      </x:c>
      <x:c r="AO323" s="7" t="str">
        <x:v>2026-10-08</x:v>
      </x:c>
      <x:c r="AP323" s="7" t="str">
        <x:v>02fc0ea77908373aa65822212b1e0ee62380bae553a674468b90b73981d1b330</x:v>
      </x:c>
      <x:c r="AQ323" s="7" t="str">
        <x:v>Accident &amp; Health or Sickness / Active / 06/25/2010 / 06/25/2010 / 06/30/2028
Life / Active / 06/25/2010 / 06/25/2010 / 06/30/2028
Var Life and Var Annuity / Active / 01/17/2012 / 01/17/2012 / 06/30/2028</x:v>
      </x:c>
      <x:c r="AR323" s="7" t="str">
        <x:v>Active</x:v>
      </x:c>
      <x:c r="AS323" s="7" t="str">
        <x:v>Current detail page</x:v>
      </x:c>
    </x:row>
    <x:row r="324" ht="52" customHeight="1">
      <x:c r="A324" s="7" t="str">
        <x:v>AGUILAR VENECIA</x:v>
      </x:c>
      <x:c r="B324" s="14" t="str">
        <x:f>"4481392"</x:f>
        <x:v>4481392</x:v>
      </x:c>
      <x:c r="C324" s="7" t="str">
        <x:v>Approved</x:v>
      </x:c>
      <x:c r="D324" s="7" t="str">
        <x:v>PASS</x:v>
      </x:c>
      <x:c r="E324" s="13" t="str">
        <x:v>Pending</x:v>
      </x:c>
      <x:c r="F324" s="13" t="str"/>
      <x:c r="G324" s="13" t="str"/>
      <x:c r="H324" s="13" t="str"/>
      <x:c r="I324" s="7" t="str">
        <x:v>Confirm approval criteria and any unrecorded reason.</x:v>
      </x:c>
      <x:c r="J324" s="7" t="str">
        <x:v>P1</x:v>
      </x:c>
      <x:c r="K324" s="7" t="str">
        <x:v>Passes provisional observable screen; approval is independently established by PDF membership.</x:v>
      </x:c>
      <x:c r="L324" s="7" t="str">
        <x:v>Not supplied; membership is known, motive is not</x:v>
      </x:c>
      <x:c r="M324" s="7" t="n">
        <x:v>1</x:v>
      </x:c>
      <x:c r="N324" s="7" t="str">
        <x:v>First-call fit for stated IMO focus</x:v>
      </x:c>
      <x:c r="O324" s="7" t="str">
        <x:v>Active</x:v>
      </x:c>
      <x:c r="P324" s="7" t="str">
        <x:v>07/31/2025</x:v>
      </x:c>
      <x:c r="Q324" s="7" t="str">
        <x:v>07/31/2027</x:v>
      </x:c>
      <x:c r="R324" s="7" t="str">
        <x:v>Accident &amp; Health or Sickness; Life</x:v>
      </x:c>
      <x:c r="S324" s="15" t="str">
        <x:v>209-337-5691</x:v>
      </x:c>
      <x:c r="T324" s="7" t="str">
        <x:v>Current CDI</x:v>
      </x:c>
      <x:c r="U324" s="7" t="str">
        <x:v>1606 E. 7TH STREET STOCKTON CA, 95206</x:v>
      </x:c>
      <x:c r="V324" s="7" t="str">
        <x:v>Resident</x:v>
      </x:c>
      <x:c r="W324" s="7" t="str">
        <x:v>CA</x:v>
      </x:c>
      <x:c r="X324" s="7" t="str">
        <x:v>WORLD FINANCIAL GROUP INSURANCE AGENCY, LLC / Accident &amp; Health or Sickness / 08/08/2025
WORLD FINANCIAL GROUP INSURANCE AGENCY, LLC / Life / 08/08/2025</x:v>
      </x:c>
      <x:c r="Y324" s="7" t="str"/>
      <x:c r="Z324" s="7" t="str"/>
      <x:c r="AA324" s="7" t="str"/>
      <x:c r="AB324" s="7" t="str"/>
      <x:c r="AC324" s="7" t="str"/>
      <x:c r="AD324" s="7" t="str">
        <x:v>Active general Life authority | WFG relationship: matches an explicitly targeted recruiting segment | Active A&amp;H supports optional cross-selling; not necessary for target products</x:v>
      </x:c>
      <x:c r="AE324" s="7" t="str"/>
      <x:c r="AF324" s="16" t="n">
        <x:v>1.2</x:v>
      </x:c>
      <x:c r="AG324" s="17" t="n">
        <x:v>296</x:v>
      </x:c>
      <x:c r="AH324" s="7" t="str"/>
      <x:c r="AI324" s="7" t="str">
        <x:v>English</x:v>
      </x:c>
      <x:c r="AJ324" s="7" t="str">
        <x:v>WFG / World Financial Group (7)</x:v>
      </x:c>
      <x:c r="AK324" s="15" t="str">
        <x:v>209-337-5691</x:v>
      </x:c>
      <x:c r="AL324" s="7" t="str">
        <x:v>AGUILAR VENECIA</x:v>
      </x:c>
      <x:c r="AM324" s="7" t="str">
        <x:v>AGUILAR  VENECIA</x:v>
      </x:c>
      <x:c r="AN324" s="7" t="str">
        <x:v>https://cdicloud.insurance.ca.gov/cal/LicenseDetail?SearchType=IND&amp;SearchLicNbr=4481392&amp;SearchIndvId=4481392</x:v>
      </x:c>
      <x:c r="AO324" s="7" t="str">
        <x:v>2026-10-08</x:v>
      </x:c>
      <x:c r="AP324" s="7" t="str">
        <x:v>24aecda6ed6ee0a50beec7bce880df22bab2eeebdd1dbdb00ca4a67a30fe9ad7</x:v>
      </x:c>
      <x:c r="AQ324" s="7" t="str">
        <x:v>Accident &amp; Health or Sickness / Active / 07/31/2025 / 07/31/2025 / 07/31/2027
Life / Active / 07/31/2025 / 07/31/2025 / 07/31/2027</x:v>
      </x:c>
      <x:c r="AR324" s="7" t="str">
        <x:v>Active</x:v>
      </x:c>
      <x:c r="AS324" s="7" t="str">
        <x:v>Current detail page</x:v>
      </x:c>
    </x:row>
    <x:row r="325" ht="52" customHeight="1">
      <x:c r="A325" s="7" t="str">
        <x:v>AGUILAR VICTORIA ANGEL</x:v>
      </x:c>
      <x:c r="B325" s="14" t="str">
        <x:f>"4563225"</x:f>
        <x:v>4563225</x:v>
      </x:c>
      <x:c r="C325" s="7" t="str">
        <x:v>Approved</x:v>
      </x:c>
      <x:c r="D325" s="7" t="str">
        <x:v>PASS</x:v>
      </x:c>
      <x:c r="E325" s="13" t="str">
        <x:v>Pending</x:v>
      </x:c>
      <x:c r="F325" s="13" t="str"/>
      <x:c r="G325" s="13" t="str"/>
      <x:c r="H325" s="13" t="str"/>
      <x:c r="I325" s="7" t="str">
        <x:v>Confirm approval criteria and any unrecorded reason.</x:v>
      </x:c>
      <x:c r="J325" s="7" t="str">
        <x:v>P1</x:v>
      </x:c>
      <x:c r="K325" s="7" t="str">
        <x:v>Passes provisional observable screen; approval is independently established by PDF membership.</x:v>
      </x:c>
      <x:c r="L325" s="7" t="str">
        <x:v>Not supplied; membership is known, motive is not</x:v>
      </x:c>
      <x:c r="M325" s="7" t="n">
        <x:v>1</x:v>
      </x:c>
      <x:c r="N325" s="7" t="str">
        <x:v>First-call fit for stated IMO focus</x:v>
      </x:c>
      <x:c r="O325" s="7" t="str">
        <x:v>Active</x:v>
      </x:c>
      <x:c r="P325" s="7" t="str">
        <x:v>07/29/2026</x:v>
      </x:c>
      <x:c r="Q325" s="7" t="str">
        <x:v>07/31/2028</x:v>
      </x:c>
      <x:c r="R325" s="7" t="str">
        <x:v>Accident &amp; Health or Sickness; Life</x:v>
      </x:c>
      <x:c r="S325" s="15" t="str">
        <x:v>408-717-2186</x:v>
      </x:c>
      <x:c r="T325" s="7" t="str">
        <x:v>Current CDI</x:v>
      </x:c>
      <x:c r="U325" s="7" t="str">
        <x:v>781 JASPER STREET SAN JOSE CA, 95116</x:v>
      </x:c>
      <x:c r="V325" s="7" t="str">
        <x:v>Resident</x:v>
      </x:c>
      <x:c r="W325" s="7" t="str">
        <x:v>CA</x:v>
      </x:c>
      <x:c r="X325" s="7" t="str"/>
      <x:c r="Y325" s="7" t="str">
        <x:v>AMERICAN FIDELITY ASSURANCE COMPANY / Accident &amp; Health or Sickness / 07/29/2026
AMERICAN FIDELITY ASSURANCE COMPANY / Life / 07/29/2026
TEXAS LIFE INSURANCE COMPANY / Life / 08/26/2026</x:v>
      </x:c>
      <x:c r="Z325" s="7" t="str"/>
      <x:c r="AA325" s="7" t="str"/>
      <x:c r="AB325" s="7" t="str"/>
      <x:c r="AC325" s="7" t="str"/>
      <x:c r="AD325" s="7" t="str">
        <x:v>Active general Life authority | Direct Life appointments outside the selected health-carrier set: AMERICAN FIDELITY ASSURANCE COMPANY, TEXAS LIFE INSURANCE COMPANY | Active A&amp;H supports optional cross-selling; not necessary for target products</x:v>
      </x:c>
      <x:c r="AE325" s="7" t="str"/>
      <x:c r="AF325" s="16" t="n">
        <x:v>0.2</x:v>
      </x:c>
      <x:c r="AG325" s="17" t="n">
        <x:v>662</x:v>
      </x:c>
      <x:c r="AH325" s="7" t="str">
        <x:v>2026-08-26</x:v>
      </x:c>
      <x:c r="AI325" s="7" t="str">
        <x:v>English</x:v>
      </x:c>
      <x:c r="AJ325" s="7" t="str">
        <x:v>Other / Affiliation Not Identified in Source (96)</x:v>
      </x:c>
      <x:c r="AK325" s="15" t="str">
        <x:v>408-717-2186</x:v>
      </x:c>
      <x:c r="AL325" s="7" t="str">
        <x:v>AGUILAR VICTORIA ANGEL</x:v>
      </x:c>
      <x:c r="AM325" s="7" t="str">
        <x:v>AGUILAR ANGEL VICTORIA</x:v>
      </x:c>
      <x:c r="AN325" s="7" t="str">
        <x:v>https://cdicloud.insurance.ca.gov/cal/LicenseDetail?SearchType=IND&amp;SearchLicNbr=4563225&amp;SearchIndvId=4563225</x:v>
      </x:c>
      <x:c r="AO325" s="7" t="str">
        <x:v>2026-10-08</x:v>
      </x:c>
      <x:c r="AP325" s="7" t="str">
        <x:v>5a2213e12446538c6c9c5861a04ac1be364d7a2ebc98d3889f9e1ee4d23388d9</x:v>
      </x:c>
      <x:c r="AQ325" s="7" t="str">
        <x:v>Accident &amp; Health or Sickness / Active / 07/29/2026 / 07/29/2026 / 07/31/2028
Life / Active / 07/29/2026 / 07/29/2026 / 07/31/2028</x:v>
      </x:c>
      <x:c r="AR325" s="7" t="str">
        <x:v>Active</x:v>
      </x:c>
      <x:c r="AS325" s="7" t="str">
        <x:v>Current detail page</x:v>
      </x:c>
    </x:row>
    <x:row r="326" ht="52" customHeight="1">
      <x:c r="A326" s="7" t="str">
        <x:v>AGUILAR VIOLETTA ALEJANDRA</x:v>
      </x:c>
      <x:c r="B326" s="14" t="str">
        <x:f>"4467212"</x:f>
        <x:v>4467212</x:v>
      </x:c>
      <x:c r="C326" s="7" t="str">
        <x:v>Approved</x:v>
      </x:c>
      <x:c r="D326" s="7" t="str">
        <x:v>PASS</x:v>
      </x:c>
      <x:c r="E326" s="13" t="str">
        <x:v>Pending</x:v>
      </x:c>
      <x:c r="F326" s="13" t="str"/>
      <x:c r="G326" s="13" t="str"/>
      <x:c r="H326" s="13" t="str"/>
      <x:c r="I326" s="7" t="str">
        <x:v>Confirm approval criteria and any unrecorded reason.</x:v>
      </x:c>
      <x:c r="J326" s="7" t="str">
        <x:v>P1</x:v>
      </x:c>
      <x:c r="K326" s="7" t="str">
        <x:v>Passes provisional observable screen; approval is independently established by PDF membership.</x:v>
      </x:c>
      <x:c r="L326" s="7" t="str">
        <x:v>Not supplied; membership is known, motive is not</x:v>
      </x:c>
      <x:c r="M326" s="7" t="n">
        <x:v>1</x:v>
      </x:c>
      <x:c r="N326" s="7" t="str">
        <x:v>First-call fit for stated IMO focus</x:v>
      </x:c>
      <x:c r="O326" s="7" t="str">
        <x:v>Active</x:v>
      </x:c>
      <x:c r="P326" s="7" t="str">
        <x:v>09/08/2025</x:v>
      </x:c>
      <x:c r="Q326" s="7" t="str">
        <x:v>09/30/2027</x:v>
      </x:c>
      <x:c r="R326" s="7" t="str">
        <x:v>Accident &amp; Health or Sickness; Life</x:v>
      </x:c>
      <x:c r="S326" s="15" t="str">
        <x:v>626-551-2638</x:v>
      </x:c>
      <x:c r="T326" s="7" t="str">
        <x:v>Current CDI</x:v>
      </x:c>
      <x:c r="U326" s="7" t="str">
        <x:v>599 N MENTOR AVE PASADENA CA, 91106</x:v>
      </x:c>
      <x:c r="V326" s="7" t="str">
        <x:v>Resident</x:v>
      </x:c>
      <x:c r="W326" s="7" t="str">
        <x:v>CA</x:v>
      </x:c>
      <x:c r="X326" s="7" t="str"/>
      <x:c r="Y326" s="7" t="str"/>
      <x:c r="Z326" s="7" t="str"/>
      <x:c r="AA326" s="7" t="str"/>
      <x:c r="AB326" s="7" t="str"/>
      <x:c r="AC326" s="7" t="str"/>
      <x:c r="AD326" s="7" t="str">
        <x:v>Active general Life authority | No agency or insurer displayed: onboarding opportunity possible; existing business unknown | Active A&amp;H supports optional cross-selling; not necessary for target products</x:v>
      </x:c>
      <x:c r="AE326" s="7" t="str"/>
      <x:c r="AF326" s="16" t="n">
        <x:v>1.1</x:v>
      </x:c>
      <x:c r="AG326" s="17" t="n">
        <x:v>357</x:v>
      </x:c>
      <x:c r="AH326" s="7" t="str"/>
      <x:c r="AI326" s="7" t="str">
        <x:v>English</x:v>
      </x:c>
      <x:c r="AJ326" s="7" t="str">
        <x:v>Other / Affiliation Not Identified in Source (96)</x:v>
      </x:c>
      <x:c r="AK326" s="15" t="str">
        <x:v>626-551-2638</x:v>
      </x:c>
      <x:c r="AL326" s="7" t="str">
        <x:v>AGUILAR VIOLETTA ALEJANDRA</x:v>
      </x:c>
      <x:c r="AM326" s="7" t="str">
        <x:v>AGUILAR ALEJANDRA VIOLETTA</x:v>
      </x:c>
      <x:c r="AN326" s="7" t="str">
        <x:v>https://cdicloud.insurance.ca.gov/cal/LicenseDetail?SearchType=IND&amp;SearchLicNbr=4467212&amp;SearchIndvId=4467212</x:v>
      </x:c>
      <x:c r="AO326" s="7" t="str">
        <x:v>2026-10-08</x:v>
      </x:c>
      <x:c r="AP326" s="7" t="str">
        <x:v>070711a4e1e2ff6c5f520f2f73862c66db0d28d2d67e874aa0ebc7eab4dc34f7</x:v>
      </x:c>
      <x:c r="AQ326" s="7" t="str">
        <x:v>Accident &amp; Health or Sickness / Active / 09/08/2025 / 09/08/2025 / 09/30/2027
Life / Active / 09/08/2025 / 09/08/2025 / 09/30/2027</x:v>
      </x:c>
      <x:c r="AR326" s="7" t="str">
        <x:v>Active</x:v>
      </x:c>
      <x:c r="AS326" s="7" t="str">
        <x:v>Current detail page</x:v>
      </x:c>
    </x:row>
    <x:row r="327" ht="52" customHeight="1">
      <x:c r="A327" s="7" t="str">
        <x:v>AGUILAR-PRECIADO MARA BERENICE</x:v>
      </x:c>
      <x:c r="B327" s="14" t="str">
        <x:f>"0K14803"</x:f>
        <x:v>0K14803</x:v>
      </x:c>
      <x:c r="C327" s="7" t="str">
        <x:v>Approved</x:v>
      </x:c>
      <x:c r="D327" s="7" t="str">
        <x:v>PASS</x:v>
      </x:c>
      <x:c r="E327" s="13" t="str">
        <x:v>Pending</x:v>
      </x:c>
      <x:c r="F327" s="13" t="str"/>
      <x:c r="G327" s="13" t="str"/>
      <x:c r="H327" s="13" t="str"/>
      <x:c r="I327" s="7" t="str">
        <x:v>Confirm approval criteria and any unrecorded reason.</x:v>
      </x:c>
      <x:c r="J327" s="7" t="str">
        <x:v>P1</x:v>
      </x:c>
      <x:c r="K327" s="7" t="str">
        <x:v>Passes provisional observable screen; approval is independently established by PDF membership.</x:v>
      </x:c>
      <x:c r="L327" s="7" t="str">
        <x:v>Not supplied; membership is known, motive is not</x:v>
      </x:c>
      <x:c r="M327" s="7" t="n">
        <x:v>1</x:v>
      </x:c>
      <x:c r="N327" s="7" t="str">
        <x:v>First-call fit for stated IMO focus</x:v>
      </x:c>
      <x:c r="O327" s="7" t="str">
        <x:v>Active</x:v>
      </x:c>
      <x:c r="P327" s="7" t="str">
        <x:v>05/23/2025</x:v>
      </x:c>
      <x:c r="Q327" s="7" t="str">
        <x:v>05/31/2027</x:v>
      </x:c>
      <x:c r="R327" s="7" t="str">
        <x:v>Accident &amp; Health or Sickness; Life</x:v>
      </x:c>
      <x:c r="S327" s="15" t="str">
        <x:v>909-745-6316</x:v>
      </x:c>
      <x:c r="T327" s="7" t="str">
        <x:v>Current CDI</x:v>
      </x:c>
      <x:c r="U327" s="7" t="str">
        <x:v>8555 CITRUS AVE APT 313 FONTANA CA, 92335</x:v>
      </x:c>
      <x:c r="V327" s="7" t="str">
        <x:v>Resident</x:v>
      </x:c>
      <x:c r="W327" s="7" t="str">
        <x:v>CA</x:v>
      </x:c>
      <x:c r="X327" s="7" t="str"/>
      <x:c r="Y327" s="7" t="str"/>
      <x:c r="Z327" s="7" t="str"/>
      <x:c r="AA327" s="7" t="str"/>
      <x:c r="AB327" s="7" t="str"/>
      <x:c r="AC327" s="7" t="str"/>
      <x:c r="AD327" s="7" t="str">
        <x:v>Active general Life authority | No agency or insurer displayed: onboarding opportunity possible; existing business unknown | Active A&amp;H supports optional cross-selling; not necessary for target products</x:v>
      </x:c>
      <x:c r="AE327" s="7" t="str"/>
      <x:c r="AF327" s="16" t="n">
        <x:v>1.4</x:v>
      </x:c>
      <x:c r="AG327" s="17" t="n">
        <x:v>235</x:v>
      </x:c>
      <x:c r="AH327" s="7" t="str"/>
      <x:c r="AI327" s="7" t="str">
        <x:v>English</x:v>
      </x:c>
      <x:c r="AJ327" s="7" t="str">
        <x:v>Other / Affiliation Not Identified in Source (96)</x:v>
      </x:c>
      <x:c r="AK327" s="15" t="str">
        <x:v>909-745-6316</x:v>
      </x:c>
      <x:c r="AL327" s="7" t="str">
        <x:v>AGUILAR-PRECIADO MARA BERENICE</x:v>
      </x:c>
      <x:c r="AM327" s="7" t="str">
        <x:v>AGUILAR-PRECIADO BERENICE MARA</x:v>
      </x:c>
      <x:c r="AN327" s="7" t="str">
        <x:v>https://cdicloud.insurance.ca.gov/cal/LicenseDetail?SearchType=IND&amp;SearchLicNbr=0K14803&amp;SearchIndvId=1749058</x:v>
      </x:c>
      <x:c r="AO327" s="7" t="str">
        <x:v>2026-10-08</x:v>
      </x:c>
      <x:c r="AP327" s="7" t="str">
        <x:v>87430423a280c9257146c83748fd02be294ffe3b7f410c7bb3eac31fcbc2ac35</x:v>
      </x:c>
      <x:c r="AQ327" s="7" t="str">
        <x:v>Accident &amp; Health or Sickness / Active / 05/23/2025 / 05/23/2025 / 05/31/2027
Life / Active / 05/23/2025 / 05/23/2025 / 05/31/2027</x:v>
      </x:c>
      <x:c r="AR327" s="7" t="str">
        <x:v>Active</x:v>
      </x:c>
      <x:c r="AS327" s="7" t="str">
        <x:v>Current detail page</x:v>
      </x:c>
    </x:row>
    <x:row r="328" ht="52" customHeight="1">
      <x:c r="A328" s="7" t="str">
        <x:v>AGUILAR-ROMERO CASILDA</x:v>
      </x:c>
      <x:c r="B328" s="14" t="str">
        <x:f>"0F74660"</x:f>
        <x:v>0F74660</x:v>
      </x:c>
      <x:c r="C328" s="7" t="str">
        <x:v>Approved</x:v>
      </x:c>
      <x:c r="D328" s="7" t="str">
        <x:v>PASS</x:v>
      </x:c>
      <x:c r="E328" s="13" t="str">
        <x:v>Pending</x:v>
      </x:c>
      <x:c r="F328" s="13" t="str"/>
      <x:c r="G328" s="13" t="str"/>
      <x:c r="H328" s="13" t="str"/>
      <x:c r="I328" s="7" t="str">
        <x:v>Confirm approval criteria and any unrecorded reason.</x:v>
      </x:c>
      <x:c r="J328" s="7" t="str">
        <x:v>P1</x:v>
      </x:c>
      <x:c r="K328" s="7" t="str">
        <x:v>Passes provisional observable screen; approval is independently established by PDF membership.</x:v>
      </x:c>
      <x:c r="L328" s="7" t="str">
        <x:v>Not supplied; membership is known, motive is not</x:v>
      </x:c>
      <x:c r="M328" s="7" t="n">
        <x:v>1</x:v>
      </x:c>
      <x:c r="N328" s="7" t="str">
        <x:v>First-call fit for stated IMO focus</x:v>
      </x:c>
      <x:c r="O328" s="7" t="str">
        <x:v>Active</x:v>
      </x:c>
      <x:c r="P328" s="7" t="str">
        <x:v>08/03/2007</x:v>
      </x:c>
      <x:c r="Q328" s="7" t="str">
        <x:v>08/31/2027</x:v>
      </x:c>
      <x:c r="R328" s="7" t="str">
        <x:v>Accident &amp; Health or Sickness; Life</x:v>
      </x:c>
      <x:c r="S328" s="15" t="str">
        <x:v>760-508-2334</x:v>
      </x:c>
      <x:c r="T328" s="7" t="str">
        <x:v>Current CDI</x:v>
      </x:c>
      <x:c r="U328" s="7" t="str">
        <x:v>310 VIA VERA CRUZ 103 SAN MARCOS CA, 92078</x:v>
      </x:c>
      <x:c r="V328" s="7" t="str">
        <x:v>Resident</x:v>
      </x:c>
      <x:c r="W328" s="7" t="str">
        <x:v>CA</x:v>
      </x:c>
      <x:c r="X328" s="7" t="str"/>
      <x:c r="Y328" s="7" t="str"/>
      <x:c r="Z328" s="7" t="str"/>
      <x:c r="AA328" s="7" t="str"/>
      <x:c r="AB328" s="7" t="str"/>
      <x:c r="AC328" s="7" t="str"/>
      <x:c r="AD328" s="7" t="str">
        <x:v>Active general Life authority | No agency or insurer displayed: onboarding opportunity possible; existing business unknown | Active A&amp;H supports optional cross-selling; not necessary for target products</x:v>
      </x:c>
      <x:c r="AE328" s="7" t="str"/>
      <x:c r="AF328" s="16" t="n">
        <x:v>19.2</x:v>
      </x:c>
      <x:c r="AG328" s="17" t="n">
        <x:v>327</x:v>
      </x:c>
      <x:c r="AH328" s="7" t="str"/>
      <x:c r="AI328" s="7" t="str">
        <x:v>English</x:v>
      </x:c>
      <x:c r="AJ328" s="7" t="str">
        <x:v>Other / Affiliation Not Identified in Source (96)</x:v>
      </x:c>
      <x:c r="AK328" s="15" t="str">
        <x:v>760-508-2334</x:v>
      </x:c>
      <x:c r="AL328" s="7" t="str">
        <x:v>AGUILAR-ROMERO CASILDA</x:v>
      </x:c>
      <x:c r="AM328" s="7" t="str">
        <x:v>AGUILAR-ROMERO  CASILDA</x:v>
      </x:c>
      <x:c r="AN328" s="7" t="str">
        <x:v>https://cdicloud.insurance.ca.gov/cal/LicenseDetail?SearchType=IND&amp;SearchLicNbr=0F74660&amp;SearchIndvId=1094782</x:v>
      </x:c>
      <x:c r="AO328" s="7" t="str">
        <x:v>2026-10-08</x:v>
      </x:c>
      <x:c r="AP328" s="7" t="str">
        <x:v>73404dd8be695fb2a8ac755a09b704eee460649764d7392e37fc7790144e25a2</x:v>
      </x:c>
      <x:c r="AQ328" s="7" t="str">
        <x:v>Accident &amp; Health or Sickness / Active / 08/03/2007 / 02/01/2026 / 08/31/2027
Life / Active / 08/03/2007 / 02/01/2026 / 08/31/2027</x:v>
      </x:c>
      <x:c r="AR328" s="7" t="str">
        <x:v>Active</x:v>
      </x:c>
      <x:c r="AS328" s="7" t="str">
        <x:v>Current detail page</x:v>
      </x:c>
    </x:row>
    <x:row r="329" ht="52" customHeight="1">
      <x:c r="A329" s="7" t="str">
        <x:v>AGUILAR-ZAMORA ADRIAN</x:v>
      </x:c>
      <x:c r="B329" s="14" t="str">
        <x:f>"4462637"</x:f>
        <x:v>4462637</x:v>
      </x:c>
      <x:c r="C329" s="7" t="str">
        <x:v>Approved</x:v>
      </x:c>
      <x:c r="D329" s="7" t="str">
        <x:v>PASS</x:v>
      </x:c>
      <x:c r="E329" s="13" t="str">
        <x:v>Pending</x:v>
      </x:c>
      <x:c r="F329" s="13" t="str"/>
      <x:c r="G329" s="13" t="str"/>
      <x:c r="H329" s="13" t="str"/>
      <x:c r="I329" s="7" t="str">
        <x:v>Confirm approval criteria and any unrecorded reason.</x:v>
      </x:c>
      <x:c r="J329" s="7" t="str">
        <x:v>P1</x:v>
      </x:c>
      <x:c r="K329" s="7" t="str">
        <x:v>Passes provisional observable screen; approval is independently established by PDF membership.</x:v>
      </x:c>
      <x:c r="L329" s="7" t="str">
        <x:v>Not supplied; membership is known, motive is not</x:v>
      </x:c>
      <x:c r="M329" s="7" t="n">
        <x:v>1</x:v>
      </x:c>
      <x:c r="N329" s="7" t="str">
        <x:v>First-call fit for stated IMO focus</x:v>
      </x:c>
      <x:c r="O329" s="7" t="str">
        <x:v>Active</x:v>
      </x:c>
      <x:c r="P329" s="7" t="str">
        <x:v>05/20/2025</x:v>
      </x:c>
      <x:c r="Q329" s="7" t="str">
        <x:v>05/31/2027</x:v>
      </x:c>
      <x:c r="R329" s="7" t="str">
        <x:v>Life</x:v>
      </x:c>
      <x:c r="S329" s="15" t="str">
        <x:v>805-598-8986</x:v>
      </x:c>
      <x:c r="T329" s="7" t="str">
        <x:v>Current CDI</x:v>
      </x:c>
      <x:c r="U329" s="7" t="str">
        <x:v>422 S. OAKLEY AVE. SANTA MARIA CA, 93458</x:v>
      </x:c>
      <x:c r="V329" s="7" t="str">
        <x:v>Resident</x:v>
      </x:c>
      <x:c r="W329" s="7" t="str">
        <x:v>CA</x:v>
      </x:c>
      <x:c r="X329" s="7" t="str"/>
      <x:c r="Y329" s="7" t="str">
        <x:v>AMERICAN NATIONAL INSURANCE COMPANY / Life / 05/25/2025
LIFE INSURANCE COMPANY OF THE SOUTHWEST / Life / 06/10/2025</x:v>
      </x:c>
      <x:c r="Z329" s="7" t="str"/>
      <x:c r="AA329" s="7" t="str"/>
      <x:c r="AB329" s="7" t="str"/>
      <x:c r="AC329" s="7" t="str"/>
      <x:c r="AD329" s="7" t="str">
        <x:v>Active general Life authority | Direct Life appointments outside the selected health-carrier set: AMERICAN NATIONAL INSURANCE COMPANY, LIFE INSURANCE COMPANY OF THE SOUTHWEST</x:v>
      </x:c>
      <x:c r="AE329" s="7" t="str"/>
      <x:c r="AF329" s="16" t="n">
        <x:v>1.4</x:v>
      </x:c>
      <x:c r="AG329" s="17" t="n">
        <x:v>235</x:v>
      </x:c>
      <x:c r="AH329" s="7" t="str">
        <x:v>2025-06-10</x:v>
      </x:c>
      <x:c r="AI329" s="7" t="str">
        <x:v>English</x:v>
      </x:c>
      <x:c r="AJ329" s="7" t="str">
        <x:v>Other / Affiliation Not Identified in Source (96)</x:v>
      </x:c>
      <x:c r="AK329" s="15" t="str">
        <x:v>805-598-8986</x:v>
      </x:c>
      <x:c r="AL329" s="7" t="str">
        <x:v>AGUILAR-ZAMORA ADRIAN</x:v>
      </x:c>
      <x:c r="AM329" s="7" t="str">
        <x:v>AGUILAR-ZAMORA  ADRIAN</x:v>
      </x:c>
      <x:c r="AN329" s="7" t="str">
        <x:v>https://cdicloud.insurance.ca.gov/cal/LicenseDetail?SearchType=IND&amp;SearchLicNbr=4462637&amp;SearchIndvId=4462637</x:v>
      </x:c>
      <x:c r="AO329" s="7" t="str">
        <x:v>2026-10-08</x:v>
      </x:c>
      <x:c r="AP329" s="7" t="str">
        <x:v>4eb67ffe16bb7b4b1d85a348b704bf57209320ebcbe3cd84f40ef0f3bef3fcb7</x:v>
      </x:c>
      <x:c r="AQ329" s="7" t="str">
        <x:v>Life / Active / 05/20/2025 / 05/20/2025 / 05/31/2027</x:v>
      </x:c>
      <x:c r="AR329" s="7" t="str">
        <x:v>Active</x:v>
      </x:c>
      <x:c r="AS329" s="7" t="str">
        <x:v>Current detail page</x:v>
      </x:c>
    </x:row>
    <x:row r="330" ht="52" customHeight="1">
      <x:c r="A330" s="7" t="str">
        <x:v>ALVAREZ MARGARITA</x:v>
      </x:c>
      <x:c r="B330" s="14" t="str">
        <x:f>"0E15856"</x:f>
        <x:v>0E15856</x:v>
      </x:c>
      <x:c r="C330" s="7" t="str">
        <x:v>Approved</x:v>
      </x:c>
      <x:c r="D330" s="7" t="str">
        <x:v>PASS</x:v>
      </x:c>
      <x:c r="E330" s="13" t="str">
        <x:v>Pending</x:v>
      </x:c>
      <x:c r="F330" s="13" t="str"/>
      <x:c r="G330" s="13" t="str"/>
      <x:c r="H330" s="13" t="str"/>
      <x:c r="I330" s="7" t="str">
        <x:v>Confirm approval criteria and any unrecorded reason.</x:v>
      </x:c>
      <x:c r="J330" s="7" t="str">
        <x:v>P1</x:v>
      </x:c>
      <x:c r="K330" s="7" t="str">
        <x:v>Passes provisional observable screen; approval is independently established by PDF membership.</x:v>
      </x:c>
      <x:c r="L330" s="7" t="str">
        <x:v>Not supplied; membership is known, motive is not</x:v>
      </x:c>
      <x:c r="M330" s="7" t="n">
        <x:v>1</x:v>
      </x:c>
      <x:c r="N330" s="7" t="str">
        <x:v>First-call fit for stated IMO focus</x:v>
      </x:c>
      <x:c r="O330" s="7" t="str">
        <x:v>Active</x:v>
      </x:c>
      <x:c r="P330" s="7" t="str">
        <x:v>03/02/2023</x:v>
      </x:c>
      <x:c r="Q330" s="7" t="str">
        <x:v>03/31/2027</x:v>
      </x:c>
      <x:c r="R330" s="7" t="str">
        <x:v>Accident &amp; Health or Sickness; Casualty; Life; Property</x:v>
      </x:c>
      <x:c r="S330" s="15" t="str">
        <x:v>951-262-7515</x:v>
      </x:c>
      <x:c r="T330" s="7" t="str">
        <x:v>Current CDI</x:v>
      </x:c>
      <x:c r="U330" s="7" t="str">
        <x:v>211 N STATE STREET STE 116 211 N STATE STREET STE 116 HEMET CA, 92543</x:v>
      </x:c>
      <x:c r="V330" s="7" t="str">
        <x:v>Resident</x:v>
      </x:c>
      <x:c r="W330" s="7" t="str">
        <x:v>CA</x:v>
      </x:c>
      <x:c r="X330" s="7" t="str">
        <x:v>MONARKA'S INSURANCE SERVICES LLC / Accident &amp; Health or Sickness / 08/02/2024
MONARKA'S INSURANCE SERVICES LLC / Casualty / 08/02/2024
MONARKA'S INSURANCE SERVICES LLC / Property / 08/02/2024
MONARKA'S INSURANCE SERVICES LLC / Life / 08/02/2024</x:v>
      </x:c>
      <x:c r="Y330" s="7" t="str">
        <x:v>ANTHEM BLUE CROSS LIFE AND HEALTH INSURANCE COMPANY / Accident &amp; Health or Sickness / 11/18/2024
ANTHEM BLUE CROSS LIFE AND HEALTH INSURANCE COMPANY / Life / 11/18/2024
BLUE SHIELD OF CALIFORNIA LIFE &amp; HEALTH INSURANCE COMPANY / Accident &amp; Health or Sickness / 11/12/2024
BLUE SHIELD OF CALIFORNIA LIFE &amp; HEALTH INSURANCE COMPANY / Life / 11/12/2024
FOREMOST INSURANCE COMPANY GRAND RAPIDS, MICHIGAN / Casualty / 07/30/2026
FOREMOST INSURANCE COMPANY GRAND RAPIDS, MICHIGAN / Property / 07/30/2026
LIFE INSURANCE COMPANY OF THE SOUTHWEST / Accident &amp; Health or Sickness / 09/25/2026
LIFE INSURANCE COMPANY OF THE SOUTHWEST / Life / 09/25/2026
NEVADA GENERAL INSURANCE COMPANY / Casualty / 09/03/2026
NEVADA GENERAL INSURANCE COMPANY / Property / 09/03/2026
ROOT INSURANCE COMPANY / Casualty / 05/08/2026
ROOT INSURANCE COMPANY / Property / 05/08/2026</x:v>
      </x:c>
      <x:c r="Z330" s="7" t="str"/>
      <x:c r="AA330" s="7" t="str"/>
      <x:c r="AB330" s="7" t="str"/>
      <x:c r="AC330" s="7" t="str"/>
      <x:c r="AD330" s="7" t="str">
        <x:v>Active general Life authority | Direct Life appointments outside the selected health-carrier set: LIFE INSURANCE COMPANY OF THE SOUTHWEST | Active A&amp;H supports optional cross-selling; not necessary for target products</x:v>
      </x:c>
      <x:c r="AE330" s="7" t="str">
        <x:v>Mixed P&amp;C/Life qualifications; not an exclusion because approved examples have both</x:v>
      </x:c>
      <x:c r="AF330" s="16" t="n">
        <x:v>3.6</x:v>
      </x:c>
      <x:c r="AG330" s="17" t="n">
        <x:v>174</x:v>
      </x:c>
      <x:c r="AH330" s="7" t="str">
        <x:v>2026-09-25</x:v>
      </x:c>
      <x:c r="AI330" s="7" t="str">
        <x:v>English</x:v>
      </x:c>
      <x:c r="AJ330" s="7" t="str">
        <x:v>Other / Affiliation Not Identified in Source (96)</x:v>
      </x:c>
      <x:c r="AK330" s="15" t="str">
        <x:v>951-262-7515</x:v>
      </x:c>
      <x:c r="AL330" s="7" t="str">
        <x:v>ALVAREZ MARGARITA</x:v>
      </x:c>
      <x:c r="AM330" s="7" t="str">
        <x:v>AGUILAR MADRIZ MARGARITA</x:v>
      </x:c>
      <x:c r="AN330" s="7" t="str">
        <x:v>https://cdicloud.insurance.ca.gov/cal/LicenseDetail?SearchType=IND&amp;SearchLicNbr=0E15856&amp;SearchIndvId=290308</x:v>
      </x:c>
      <x:c r="AO330" s="7" t="str">
        <x:v>2026-10-08</x:v>
      </x:c>
      <x:c r="AP330" s="7" t="str">
        <x:v>d0f759afa3eeb898455ddcd054e9bfd4c7dbf2678e8c18485a541173b56f3d93</x:v>
      </x:c>
      <x:c r="AQ330" s="7" t="str">
        <x:v>Accident &amp; Health or Sickness / Active / 03/02/2023 / 03/02/2023 / 03/31/2027
Casualty / Active / 03/02/2023 / 03/02/2023 / 03/31/2027
Life / Active / 03/02/2023 / 03/02/2023 / 03/31/2027
Property / Active / 03/02/2023 / 03/02/2023 / 03/31/2027</x:v>
      </x:c>
      <x:c r="AR330" s="7" t="str">
        <x:v>Active</x:v>
      </x:c>
      <x:c r="AS330" s="7" t="str">
        <x:v>Current detail page</x:v>
      </x:c>
    </x:row>
    <x:row r="331" ht="52" customHeight="1">
      <x:c r="A331" s="7" t="str">
        <x:v>AYUB LESLIE J AGUILAR</x:v>
      </x:c>
      <x:c r="B331" s="14" t="str">
        <x:f>"4513137"</x:f>
        <x:v>4513137</x:v>
      </x:c>
      <x:c r="C331" s="7" t="str">
        <x:v>Approved</x:v>
      </x:c>
      <x:c r="D331" s="7" t="str">
        <x:v>PASS</x:v>
      </x:c>
      <x:c r="E331" s="13" t="str">
        <x:v>Pending</x:v>
      </x:c>
      <x:c r="F331" s="13" t="str"/>
      <x:c r="G331" s="13" t="str"/>
      <x:c r="H331" s="13" t="str"/>
      <x:c r="I331" s="7" t="str">
        <x:v>Confirm approval criteria and any unrecorded reason.</x:v>
      </x:c>
      <x:c r="J331" s="7" t="str">
        <x:v>P1</x:v>
      </x:c>
      <x:c r="K331" s="7" t="str">
        <x:v>Passes provisional observable screen; approval is independently established by PDF membership.</x:v>
      </x:c>
      <x:c r="L331" s="7" t="str">
        <x:v>Not supplied; membership is known, motive is not</x:v>
      </x:c>
      <x:c r="M331" s="7" t="n">
        <x:v>1</x:v>
      </x:c>
      <x:c r="N331" s="7" t="str">
        <x:v>First-call fit for stated IMO focus</x:v>
      </x:c>
      <x:c r="O331" s="7" t="str">
        <x:v>Active</x:v>
      </x:c>
      <x:c r="P331" s="7" t="str">
        <x:v>12/15/2025</x:v>
      </x:c>
      <x:c r="Q331" s="7" t="str">
        <x:v>12/31/2027</x:v>
      </x:c>
      <x:c r="R331" s="7" t="str">
        <x:v>Accident &amp; Health or Sickness; Life</x:v>
      </x:c>
      <x:c r="S331" s="15" t="str">
        <x:v>818-319-8349</x:v>
      </x:c>
      <x:c r="T331" s="7" t="str">
        <x:v>Current CDI</x:v>
      </x:c>
      <x:c r="U331" s="7" t="str">
        <x:v>1828 E COVINA BLVD COVINA CA, 91724</x:v>
      </x:c>
      <x:c r="V331" s="7" t="str">
        <x:v>Resident</x:v>
      </x:c>
      <x:c r="W331" s="7" t="str">
        <x:v>CA</x:v>
      </x:c>
      <x:c r="X331" s="7" t="str"/>
      <x:c r="Y331" s="7" t="str">
        <x:v>FIDELITY &amp; GUARANTY LIFE INSURANCE COMPANY / Life / 07/30/2026
LIFE INSURANCE COMPANY OF THE SOUTHWEST / Accident &amp; Health or Sickness / 12/24/2025
LIFE INSURANCE COMPANY OF THE SOUTHWEST / Life / 12/24/2025</x:v>
      </x:c>
      <x:c r="Z331" s="7" t="str"/>
      <x:c r="AA331" s="7" t="str"/>
      <x:c r="AB331" s="7" t="str"/>
      <x:c r="AC331" s="7" t="str"/>
      <x:c r="AD331" s="7" t="str">
        <x:v>Active general Life authority | Direct Life appointments outside the selected health-carrier set: FIDELITY &amp; GUARANTY LIFE INSURANCE COMPANY, LIFE INSURANCE COMPANY OF THE SOUTHWEST | Active A&amp;H supports optional cross-selling; not necessary for target products</x:v>
      </x:c>
      <x:c r="AE331" s="7" t="str"/>
      <x:c r="AF331" s="16" t="n">
        <x:v>0.8</x:v>
      </x:c>
      <x:c r="AG331" s="17" t="n">
        <x:v>449</x:v>
      </x:c>
      <x:c r="AH331" s="7" t="str">
        <x:v>2026-07-30</x:v>
      </x:c>
      <x:c r="AI331" s="7" t="str">
        <x:v>English</x:v>
      </x:c>
      <x:c r="AJ331" s="7" t="str">
        <x:v>Other / Affiliation Not Identified in Source (96)</x:v>
      </x:c>
      <x:c r="AK331" s="15" t="str">
        <x:v>818-319-8349</x:v>
      </x:c>
      <x:c r="AL331" s="7" t="str">
        <x:v>AYUB LESLIE J AGUILAR</x:v>
      </x:c>
      <x:c r="AM331" s="7" t="str">
        <x:v>Aguilar  Leslie</x:v>
      </x:c>
      <x:c r="AN331" s="7" t="str">
        <x:v>https://cdicloud.insurance.ca.gov/cal/LicenseDetail?SearchType=IND&amp;SearchLicNbr=4513137&amp;SearchIndvId=4513137</x:v>
      </x:c>
      <x:c r="AO331" s="7" t="str">
        <x:v>2026-10-08</x:v>
      </x:c>
      <x:c r="AP331" s="7" t="str">
        <x:v>0aef8eeaabcc35744e4047423ae2264abca42f552946fe77d2faee6c35a6286c</x:v>
      </x:c>
      <x:c r="AQ331" s="7" t="str">
        <x:v>Accident &amp; Health or Sickness / Active / 12/15/2025 / 12/15/2025 / 12/31/2027
Life / Active / 12/15/2025 / 12/15/2025 / 12/31/2027</x:v>
      </x:c>
      <x:c r="AR331" s="7" t="str">
        <x:v>Active</x:v>
      </x:c>
      <x:c r="AS331" s="7" t="str">
        <x:v>Current detail page</x:v>
      </x:c>
    </x:row>
    <x:row r="332" ht="52" customHeight="1">
      <x:c r="A332" s="7" t="str">
        <x:v>CORTEZ BRIANNA MICHELLE</x:v>
      </x:c>
      <x:c r="B332" s="14" t="str">
        <x:f>"0F03583"</x:f>
        <x:v>0F03583</x:v>
      </x:c>
      <x:c r="C332" s="7" t="str">
        <x:v>Approved</x:v>
      </x:c>
      <x:c r="D332" s="7" t="str">
        <x:v>PASS</x:v>
      </x:c>
      <x:c r="E332" s="13" t="str">
        <x:v>Pending</x:v>
      </x:c>
      <x:c r="F332" s="13" t="str"/>
      <x:c r="G332" s="13" t="str"/>
      <x:c r="H332" s="13" t="str"/>
      <x:c r="I332" s="7" t="str">
        <x:v>Confirm approval criteria and any unrecorded reason.</x:v>
      </x:c>
      <x:c r="J332" s="7" t="str">
        <x:v>P1</x:v>
      </x:c>
      <x:c r="K332" s="7" t="str">
        <x:v>Passes provisional observable screen; approval is independently established by PDF membership.</x:v>
      </x:c>
      <x:c r="L332" s="7" t="str">
        <x:v>Not supplied; membership is known, motive is not</x:v>
      </x:c>
      <x:c r="M332" s="7" t="n">
        <x:v>1</x:v>
      </x:c>
      <x:c r="N332" s="7" t="str">
        <x:v>First-call fit for stated IMO focus</x:v>
      </x:c>
      <x:c r="O332" s="7" t="str">
        <x:v>Active</x:v>
      </x:c>
      <x:c r="P332" s="7" t="str">
        <x:v>02/01/2006</x:v>
      </x:c>
      <x:c r="Q332" s="7" t="str">
        <x:v>03/31/2028</x:v>
      </x:c>
      <x:c r="R332" s="7" t="str">
        <x:v>Accident &amp; Health or Sickness; Life</x:v>
      </x:c>
      <x:c r="S332" s="15" t="str">
        <x:v>408-613-9064</x:v>
      </x:c>
      <x:c r="T332" s="7" t="str">
        <x:v>Current CDI</x:v>
      </x:c>
      <x:c r="U332" s="7" t="str">
        <x:v>2066 AMANECER AVENUE 2066 AMANECER AVENUE CLOVIS CA, 93619</x:v>
      </x:c>
      <x:c r="V332" s="7" t="str">
        <x:v>Resident</x:v>
      </x:c>
      <x:c r="W332" s="7" t="str">
        <x:v>CA</x:v>
      </x:c>
      <x:c r="X332" s="7" t="str"/>
      <x:c r="Y332" s="7" t="str">
        <x:v>NORTH AMERICAN COMPANY FOR LIFE AND HEALTH INSURANCE / Life / 07/20/2026</x:v>
      </x:c>
      <x:c r="Z332" s="7" t="str"/>
      <x:c r="AA332" s="7" t="str"/>
      <x:c r="AB332" s="7" t="str"/>
      <x:c r="AC332" s="7" t="str"/>
      <x:c r="AD332" s="7" t="str">
        <x:v>Active general Life authority | Direct Life appointments outside the selected health-carrier set: NORTH AMERICAN COMPANY FOR LIFE AND HEALTH INSURANCE | Active A&amp;H supports optional cross-selling; not necessary for target products</x:v>
      </x:c>
      <x:c r="AE332" s="7" t="str"/>
      <x:c r="AF332" s="16" t="n">
        <x:v>20.7</x:v>
      </x:c>
      <x:c r="AG332" s="17" t="n">
        <x:v>540</x:v>
      </x:c>
      <x:c r="AH332" s="7" t="str">
        <x:v>2026-07-20</x:v>
      </x:c>
      <x:c r="AI332" s="7" t="str">
        <x:v>English, Spanish, Spanish</x:v>
      </x:c>
      <x:c r="AJ332" s="7" t="str">
        <x:v>Other / Affiliation Not Identified in Source (96)</x:v>
      </x:c>
      <x:c r="AK332" s="15" t="str">
        <x:v>408-613-9064</x:v>
      </x:c>
      <x:c r="AL332" s="7" t="str">
        <x:v>CORTEZ BRIANNA MICHELLE</x:v>
      </x:c>
      <x:c r="AM332" s="7" t="str">
        <x:v>AGUILAR MICHELLE BRIANNA</x:v>
      </x:c>
      <x:c r="AN332" s="7" t="str">
        <x:v>https://cdicloud.insurance.ca.gov/cal/LicenseDetail?SearchType=IND&amp;SearchLicNbr=0F03583&amp;SearchIndvId=989543</x:v>
      </x:c>
      <x:c r="AO332" s="7" t="str">
        <x:v>2026-10-08</x:v>
      </x:c>
      <x:c r="AP332" s="7" t="str">
        <x:v>a426db8d3e67c7fd22c05682c8a9a6197a0729965d999b1ea60e16596c236ead</x:v>
      </x:c>
      <x:c r="AQ332" s="7" t="str">
        <x:v>Accident &amp; Health or Sickness / Active / 02/01/2006 / 06/23/2026 / 03/31/2028
Life / Active / 02/01/2006 / 06/23/2026 / 03/31/2028
Casualty / Inactive / 01/19/2006 / 03/31/2022 / 03/31/2022
Property / Inactive / 01/19/2006 / 03/31/2022 / 03/31/2022</x:v>
      </x:c>
      <x:c r="AR332" s="7" t="str">
        <x:v>Active</x:v>
      </x:c>
      <x:c r="AS332" s="7" t="str">
        <x:v>Current detail page</x:v>
      </x:c>
    </x:row>
    <x:row r="333" ht="52" customHeight="1">
      <x:c r="A333" s="7" t="str">
        <x:v>ESPARZA JOVANA MABEL</x:v>
      </x:c>
      <x:c r="B333" s="14" t="str">
        <x:f>"0F47941"</x:f>
        <x:v>0F47941</x:v>
      </x:c>
      <x:c r="C333" s="7" t="str">
        <x:v>Approved</x:v>
      </x:c>
      <x:c r="D333" s="7" t="str">
        <x:v>REVIEW</x:v>
      </x:c>
      <x:c r="E333" s="13" t="str">
        <x:v>Pending</x:v>
      </x:c>
      <x:c r="F333" s="13" t="str"/>
      <x:c r="G333" s="13" t="str"/>
      <x:c r="H333" s="13" t="str"/>
      <x:c r="I333" s="7" t="str">
        <x:v>Why was this person approved despite: PDF-only contact: currency verification? Confirm the exception or any intervening record change.</x:v>
      </x:c>
      <x:c r="J333" s="7" t="str">
        <x:v>R5</x:v>
      </x:c>
      <x:c r="K333" s="7" t="str">
        <x:v>Requires verification: PDF-only contact: currency verification. These facts do not establish the original reviewer’s motive.</x:v>
      </x:c>
      <x:c r="L333" s="7" t="str">
        <x:v>Not supplied; membership is known, motive is not</x:v>
      </x:c>
      <x:c r="M333" s="7" t="n">
        <x:v>1</x:v>
      </x:c>
      <x:c r="N333" s="7" t="str">
        <x:v>First-call fit for stated IMO focus</x:v>
      </x:c>
      <x:c r="O333" s="7" t="str">
        <x:v>Active</x:v>
      </x:c>
      <x:c r="P333" s="7" t="str">
        <x:v>12/18/2006</x:v>
      </x:c>
      <x:c r="Q333" s="7" t="str">
        <x:v>12/31/2028</x:v>
      </x:c>
      <x:c r="R333" s="7" t="str">
        <x:v>Accident &amp; Health or Sickness; Life</x:v>
      </x:c>
      <x:c r="S333" s="15" t="str">
        <x:v>657-325-8470</x:v>
      </x:c>
      <x:c r="T333" s="7" t="str">
        <x:v>Approved PDF; current CDI omits phone</x:v>
      </x:c>
      <x:c r="U333" s="7" t="str">
        <x:v>4660 GENEVIEVE ST N 4660 GENEVIEVE ST N SAN BERNARDINO CA, 92407-3208</x:v>
      </x:c>
      <x:c r="V333" s="7" t="str">
        <x:v>Resident</x:v>
      </x:c>
      <x:c r="W333" s="7" t="str">
        <x:v>CA</x:v>
      </x:c>
      <x:c r="X333" s="7" t="str"/>
      <x:c r="Y333" s="7" t="str"/>
      <x:c r="Z333" s="7" t="str"/>
      <x:c r="AA333" s="7" t="str"/>
      <x:c r="AB333" s="7" t="str"/>
      <x:c r="AC333" s="7" t="str"/>
      <x:c r="AD333" s="7" t="str">
        <x:v>Active general Life authority | No agency or insurer displayed: onboarding opportunity possible; existing business unknown | Active A&amp;H supports optional cross-selling; not necessary for target products</x:v>
      </x:c>
      <x:c r="AE333" s="7" t="str">
        <x:v>Approved PDF has a phone that current CDI does not display; verify currency</x:v>
      </x:c>
      <x:c r="AF333" s="16" t="n">
        <x:v>19.8</x:v>
      </x:c>
      <x:c r="AG333" s="17" t="n">
        <x:v>815</x:v>
      </x:c>
      <x:c r="AH333" s="7" t="str"/>
      <x:c r="AI333" s="7" t="str">
        <x:v>English</x:v>
      </x:c>
      <x:c r="AJ333" s="7" t="str">
        <x:v>Other / Affiliation Not Identified in Source (96)</x:v>
      </x:c>
      <x:c r="AK333" s="15" t="str">
        <x:v>657-325-8470</x:v>
      </x:c>
      <x:c r="AL333" s="7" t="str">
        <x:v>ESPARZA JOVANA MABEL</x:v>
      </x:c>
      <x:c r="AM333" s="7" t="str">
        <x:v>AGUILAR MABEL JOVANA</x:v>
      </x:c>
      <x:c r="AN333" s="7" t="str">
        <x:v>https://cdicloud.insurance.ca.gov/cal/LicenseDetail?SearchType=IND&amp;SearchLicNbr=0F47941&amp;SearchIndvId=1060285</x:v>
      </x:c>
      <x:c r="AO333" s="7" t="str">
        <x:v>2026-10-08</x:v>
      </x:c>
      <x:c r="AP333" s="7" t="str">
        <x:v>ae76798554f41f57c2f84e52aaaf902bdf395f158ff5c718f0746a328247cb49</x:v>
      </x:c>
      <x:c r="AQ333" s="7" t="str">
        <x:v>Accident &amp; Health or Sickness / Active / 12/18/2006 / 01/13/2025 / 12/31/2028
Life / Active / 12/18/2006 / 01/13/2025 / 12/31/2028</x:v>
      </x:c>
      <x:c r="AR333" s="7" t="str">
        <x:v>Active</x:v>
      </x:c>
      <x:c r="AS333" s="7" t="str">
        <x:v>Current detail page</x:v>
      </x:c>
    </x:row>
    <x:row r="334" ht="52" customHeight="1">
      <x:c r="A334" s="7" t="str">
        <x:v>INDA ANNA AGUILAR</x:v>
      </x:c>
      <x:c r="B334" s="14" t="str">
        <x:f>"0G01763"</x:f>
        <x:v>0G01763</x:v>
      </x:c>
      <x:c r="C334" s="7" t="str">
        <x:v>Approved</x:v>
      </x:c>
      <x:c r="D334" s="7" t="str">
        <x:v>PASS</x:v>
      </x:c>
      <x:c r="E334" s="13" t="str">
        <x:v>Pending</x:v>
      </x:c>
      <x:c r="F334" s="13" t="str"/>
      <x:c r="G334" s="13" t="str"/>
      <x:c r="H334" s="13" t="str"/>
      <x:c r="I334" s="7" t="str">
        <x:v>Confirm approval criteria and any unrecorded reason.</x:v>
      </x:c>
      <x:c r="J334" s="7" t="str">
        <x:v>P1</x:v>
      </x:c>
      <x:c r="K334" s="7" t="str">
        <x:v>Passes provisional observable screen; approval is independently established by PDF membership.</x:v>
      </x:c>
      <x:c r="L334" s="7" t="str">
        <x:v>Not supplied; membership is known, motive is not</x:v>
      </x:c>
      <x:c r="M334" s="7" t="n">
        <x:v>1</x:v>
      </x:c>
      <x:c r="N334" s="7" t="str">
        <x:v>First-call fit for stated IMO focus</x:v>
      </x:c>
      <x:c r="O334" s="7" t="str">
        <x:v>Active</x:v>
      </x:c>
      <x:c r="P334" s="7" t="str">
        <x:v>07/17/2018</x:v>
      </x:c>
      <x:c r="Q334" s="7" t="str">
        <x:v>11/30/2027</x:v>
      </x:c>
      <x:c r="R334" s="7" t="str">
        <x:v>Accident &amp; Health or Sickness; Casualty; Life; Property</x:v>
      </x:c>
      <x:c r="S334" s="15" t="str">
        <x:v>323-926-5541</x:v>
      </x:c>
      <x:c r="T334" s="7" t="str">
        <x:v>Current CDI</x:v>
      </x:c>
      <x:c r="U334" s="7" t="str">
        <x:v>16 BRYSON DR SUTTER CREEK CA, 95685-4246</x:v>
      </x:c>
      <x:c r="V334" s="7" t="str">
        <x:v>Resident</x:v>
      </x:c>
      <x:c r="W334" s="7" t="str">
        <x:v>CA</x:v>
      </x:c>
      <x:c r="X334" s="7" t="str">
        <x:v>ASSUREDPARTNERS OF CALIFORNIA INSURANCE SERVICES, LLC / Casualty / 11/25/2025
ASSUREDPARTNERS OF CALIFORNIA INSURANCE SERVICES, LLC / Life / 11/25/2025
ASSUREDPARTNERS OF CALIFORNIA INSURANCE SERVICES, LLC / Property / 11/25/2025
ASSUREDPARTNERS OF CALIFORNIA INSURANCE SERVICES, LLC / Accident &amp; Health or Sickness / 11/25/2025</x:v>
      </x:c>
      <x:c r="Y334" s="7" t="str">
        <x:v>AMERICAN HERITAGE LIFE INSURANCE COMPANY / Accident &amp; Health or Sickness / 10/26/2020
AMERICAN HERITAGE LIFE INSURANCE COMPANY / Disability Only / 10/26/2020
AMERICAN HERITAGE LIFE INSURANCE COMPANY / Life / 10/26/2020
AMERITAS LIFE INSURANCE CORP. / Accident &amp; Health or Sickness / 03/30/2021
ANTHEM BLUE CROSS LIFE AND HEALTH INSURANCE COMPANY / Accident &amp; Health or Sickness / 10/16/2020
ANTHEM BLUE CROSS LIFE AND HEALTH INSURANCE COMPANY / Life / 10/16/2020
FOREMOST INSURANCE COMPANY GRAND RAPIDS, MICHIGAN / Casualty / 05/25/2023
FOREMOST INSURANCE COMPANY GRAND RAPIDS, MICHIGAN / Property / 05/25/2023
GUARANTEE TRUST LIFE INSURANCE COMPANY / Accident &amp; Health or Sickness / 11/18/2021
HEALTH NET LIFE INSURANCE COMPANY / Life / 06/12/2019
NATIONAL HEALTH INSURANCE COMPANY / Accident &amp; Health or Sickness / 01/16/2021
NATIONAL HEALTH INSURANCE COMPANY / Life / 01/16/2021
PRIMERICA LIFE INSURANCE COMPANY / Accident &amp; Health or Sickness / 11/06/2020
PRIMERICA LIFE INSURANCE COMPANY / Life / 11/06/2020
UNITED STATES FIRE INSURANCE COMPANY / Accident &amp; Health or Sickness / 10/16/2020
WASHINGTON NATIONAL INSURANCE COMPANY / Accident &amp; Health or Sickness / 10/27/2020
WASHINGTON NATIONAL INSURANCE COMPANY / Life / 10/27/2020</x:v>
      </x:c>
      <x:c r="Z334" s="7" t="str"/>
      <x:c r="AA334" s="7" t="str"/>
      <x:c r="AB334" s="7" t="str"/>
      <x:c r="AC334" s="7" t="str"/>
      <x:c r="AD334" s="7" t="str">
        <x:v>Active general Life authority | Primerica relationship: matches an explicitly targeted recruiting segment | Direct Life appointments outside the selected health-carrier set: AMERICAN HERITAGE LIFE INSURANCE COMPANY, PRIMERICA LIFE INSURANCE COMPANY, WASHINGTON NATIONAL INSURANCE COMPANY | Active A&amp;H supports optional cross-selling; not necessary for target products</x:v>
      </x:c>
      <x:c r="AE334" s="7" t="str">
        <x:v>Mixed P&amp;C/Life qualifications; not an exclusion because approved examples have both</x:v>
      </x:c>
      <x:c r="AF334" s="16" t="n">
        <x:v>8.2</x:v>
      </x:c>
      <x:c r="AG334" s="17" t="n">
        <x:v>418</x:v>
      </x:c>
      <x:c r="AH334" s="7" t="str">
        <x:v>2021-01-16</x:v>
      </x:c>
      <x:c r="AI334" s="7" t="str">
        <x:v>English</x:v>
      </x:c>
      <x:c r="AJ334" s="7" t="str">
        <x:v>Other / Affiliation Not Identified in Source (96)</x:v>
      </x:c>
      <x:c r="AK334" s="15" t="str">
        <x:v>323-926-5541</x:v>
      </x:c>
      <x:c r="AL334" s="7" t="str">
        <x:v>INDA ANNA AGUILAR</x:v>
      </x:c>
      <x:c r="AM334" s="7" t="str">
        <x:v>AGUILAR DEL CARMEN ANNA</x:v>
      </x:c>
      <x:c r="AN334" s="7" t="str">
        <x:v>https://cdicloud.insurance.ca.gov/cal/LicenseDetail?SearchType=IND&amp;SearchLicNbr=0G01763&amp;SearchIndvId=1124232</x:v>
      </x:c>
      <x:c r="AO334" s="7" t="str">
        <x:v>2026-10-08</x:v>
      </x:c>
      <x:c r="AP334" s="7" t="str">
        <x:v>2b2690d250f0965f94db5c9d6e01da2d0439b58ce0993e75b2684a70a83fff7b</x:v>
      </x:c>
      <x:c r="AQ334" s="7" t="str">
        <x:v>Accident &amp; Health or Sickness / Active / 07/17/2018 / 07/17/2018 / 11/30/2027
Casualty / Active / 11/07/2017 / 11/07/2017 / 11/30/2027
Life / Active / 07/17/2018 / 07/17/2018 / 11/30/2027
Property / Active / 11/07/2017 / 11/07/2017 / 11/30/2027</x:v>
      </x:c>
      <x:c r="AR334" s="7" t="str">
        <x:v>Active</x:v>
      </x:c>
      <x:c r="AS334" s="7" t="str">
        <x:v>Current detail page</x:v>
      </x:c>
    </x:row>
    <x:row r="335" ht="52" customHeight="1">
      <x:c r="A335" s="7" t="str">
        <x:v>MARTINEZ JESSICA</x:v>
      </x:c>
      <x:c r="B335" s="14" t="str">
        <x:f>"4259355"</x:f>
        <x:v>4259355</x:v>
      </x:c>
      <x:c r="C335" s="7" t="str">
        <x:v>Approved</x:v>
      </x:c>
      <x:c r="D335" s="7" t="str">
        <x:v>PASS</x:v>
      </x:c>
      <x:c r="E335" s="13" t="str">
        <x:v>Pending</x:v>
      </x:c>
      <x:c r="F335" s="13" t="str"/>
      <x:c r="G335" s="13" t="str"/>
      <x:c r="H335" s="13" t="str"/>
      <x:c r="I335" s="7" t="str">
        <x:v>Confirm approval criteria and any unrecorded reason.</x:v>
      </x:c>
      <x:c r="J335" s="7" t="str">
        <x:v>P1</x:v>
      </x:c>
      <x:c r="K335" s="7" t="str">
        <x:v>Passes provisional observable screen; approval is independently established by PDF membership.</x:v>
      </x:c>
      <x:c r="L335" s="7" t="str">
        <x:v>Not supplied; membership is known, motive is not</x:v>
      </x:c>
      <x:c r="M335" s="7" t="n">
        <x:v>1</x:v>
      </x:c>
      <x:c r="N335" s="7" t="str">
        <x:v>First-call fit for stated IMO focus</x:v>
      </x:c>
      <x:c r="O335" s="7" t="str">
        <x:v>Active</x:v>
      </x:c>
      <x:c r="P335" s="7" t="str">
        <x:v>12/28/2022</x:v>
      </x:c>
      <x:c r="Q335" s="7" t="str">
        <x:v>12/31/2026</x:v>
      </x:c>
      <x:c r="R335" s="7" t="str">
        <x:v>Life</x:v>
      </x:c>
      <x:c r="S335" s="15" t="str">
        <x:v>916-753-3265</x:v>
      </x:c>
      <x:c r="T335" s="7" t="str">
        <x:v>Current CDI</x:v>
      </x:c>
      <x:c r="U335" s="7" t="str">
        <x:v>6732 CALVINE RD SACRAMENTO CA, 95823</x:v>
      </x:c>
      <x:c r="V335" s="7" t="str">
        <x:v>Resident</x:v>
      </x:c>
      <x:c r="W335" s="7" t="str">
        <x:v>CA</x:v>
      </x:c>
      <x:c r="X335" s="7" t="str"/>
      <x:c r="Y335" s="7" t="str"/>
      <x:c r="Z335" s="7" t="str"/>
      <x:c r="AA335" s="7" t="str"/>
      <x:c r="AB335" s="7" t="str"/>
      <x:c r="AC335" s="7" t="str"/>
      <x:c r="AD335" s="7" t="str">
        <x:v>Active general Life authority | No agency or insurer displayed: onboarding opportunity possible; existing business unknown</x:v>
      </x:c>
      <x:c r="AE335" s="7" t="str"/>
      <x:c r="AF335" s="16" t="n">
        <x:v>3.8</x:v>
      </x:c>
      <x:c r="AG335" s="17" t="n">
        <x:v>84</x:v>
      </x:c>
      <x:c r="AH335" s="7" t="str"/>
      <x:c r="AI335" s="7" t="str">
        <x:v>English</x:v>
      </x:c>
      <x:c r="AJ335" s="7" t="str">
        <x:v>Other / Affiliation Not Identified in Source (96)</x:v>
      </x:c>
      <x:c r="AK335" s="15" t="str">
        <x:v>916-753-3265</x:v>
      </x:c>
      <x:c r="AL335" s="7" t="str">
        <x:v>MARTINEZ JESSICA</x:v>
      </x:c>
      <x:c r="AM335" s="7" t="str">
        <x:v>AGUILAR CLAIRE JESSICA</x:v>
      </x:c>
      <x:c r="AN335" s="7" t="str">
        <x:v>https://cdicloud.insurance.ca.gov/cal/LicenseDetail?SearchType=IND&amp;SearchLicNbr=4259355&amp;SearchIndvId=4259355</x:v>
      </x:c>
      <x:c r="AO335" s="7" t="str">
        <x:v>2026-10-08</x:v>
      </x:c>
      <x:c r="AP335" s="7" t="str">
        <x:v>bde66fd0a3145073b34d40342185a790be1e5a8bceae29edc6a032427ae40a9f</x:v>
      </x:c>
      <x:c r="AQ335" s="7" t="str">
        <x:v>Life / Active / 12/28/2022 / 12/28/2022 / 12/31/2026</x:v>
      </x:c>
      <x:c r="AR335" s="7" t="str">
        <x:v>Active</x:v>
      </x:c>
      <x:c r="AS335" s="7" t="str">
        <x:v>Current detail page</x:v>
      </x:c>
    </x:row>
    <x:row r="336" ht="52" customHeight="1">
      <x:c r="A336" s="7" t="str">
        <x:v>AGUILAR DANI OSWALDO</x:v>
      </x:c>
      <x:c r="B336" s="14" t="str">
        <x:f>"0F45073"</x:f>
        <x:v>0F45073</x:v>
      </x:c>
      <x:c r="C336" s="7" t="str">
        <x:v>Approved</x:v>
      </x:c>
      <x:c r="D336" s="7" t="str">
        <x:v>REVIEW</x:v>
      </x:c>
      <x:c r="E336" s="13" t="str">
        <x:v>Pending</x:v>
      </x:c>
      <x:c r="F336" s="13" t="str"/>
      <x:c r="G336" s="13" t="str"/>
      <x:c r="H336" s="13" t="str"/>
      <x:c r="I336" s="7" t="str">
        <x:v>Why was this person approved despite: Toll-free number: direct reachability? Confirm the exception or any intervening record change.</x:v>
      </x:c>
      <x:c r="J336" s="7" t="str">
        <x:v>R5</x:v>
      </x:c>
      <x:c r="K336" s="7" t="str">
        <x:v>Requires verification: Toll-free number: direct reachability. These facts do not establish the original reviewer’s motive.</x:v>
      </x:c>
      <x:c r="L336" s="7" t="str">
        <x:v>Not supplied; membership is known, motive is not</x:v>
      </x:c>
      <x:c r="M336" s="7" t="n">
        <x:v>2</x:v>
      </x:c>
      <x:c r="N336" s="7" t="str">
        <x:v>Secondary call: verify product focus/reachability</x:v>
      </x:c>
      <x:c r="O336" s="7" t="str">
        <x:v>Active</x:v>
      </x:c>
      <x:c r="P336" s="7" t="str">
        <x:v>12/01/2006</x:v>
      </x:c>
      <x:c r="Q336" s="7" t="str">
        <x:v>07/31/2027</x:v>
      </x:c>
      <x:c r="R336" s="7" t="str">
        <x:v>Accident &amp; Health or Sickness; Life</x:v>
      </x:c>
      <x:c r="S336" s="15" t="str">
        <x:v>877-391-9888</x:v>
      </x:c>
      <x:c r="T336" s="7" t="str">
        <x:v>Current CDI</x:v>
      </x:c>
      <x:c r="U336" s="7" t="str">
        <x:v>17215 STUDEBAKER RD STE. 390 CERRITOS CA, 90703</x:v>
      </x:c>
      <x:c r="V336" s="7" t="str">
        <x:v>Resident</x:v>
      </x:c>
      <x:c r="W336" s="7" t="str">
        <x:v>CA</x:v>
      </x:c>
      <x:c r="X336" s="7" t="str">
        <x:v>CALIFORNIA HEALTH BENEFIT EXCHANGE / Accident &amp; Health or Sickness / 09/25/2026</x:v>
      </x:c>
      <x:c r="Y336" s="7" t="str">
        <x:v>ANTHEM BLUE CROSS LIFE AND HEALTH INSURANCE COMPANY / Accident &amp; Health or Sickness / 08/16/2021
ANTHEM BLUE CROSS LIFE AND HEALTH INSURANCE COMPANY / Life / 08/16/2021
ANTHEM INSURANCE COMPANIES, INC. / Accident &amp; Health or Sickness / 09/01/2026
BLUE SHIELD OF CALIFORNIA LIFE &amp; HEALTH INSURANCE COMPANY / Accident &amp; Health or Sickness / 08/17/2021
BLUE SHIELD OF CALIFORNIA LIFE &amp; HEALTH INSURANCE COMPANY / Life / 08/17/2021
HEALTH NET LIFE INSURANCE COMPANY / Accident &amp; Health or Sickness / 11/16/2021
NORTH AMERICAN COMPANY FOR LIFE AND HEALTH INSURANCE / Life / 02/21/2022
PRIMERICA LIFE INSURANCE COMPANY / Accident &amp; Health or Sickness / 12/28/2023
PRIMERICA LIFE INSURANCE COMPANY / Life / 12/28/2023</x:v>
      </x:c>
      <x:c r="Z336" s="7" t="str"/>
      <x:c r="AA336" s="7" t="str"/>
      <x:c r="AB336" s="7" t="str"/>
      <x:c r="AC336" s="7" t="str"/>
      <x:c r="AD336" s="7" t="str">
        <x:v>Active general Life authority | Primerica relationship: matches an explicitly targeted recruiting segment | Direct Life appointments outside the selected health-carrier set: NORTH AMERICAN COMPANY FOR LIFE AND HEALTH INSURANCE, PRIMERICA LIFE INSURANCE COMPANY | Active A&amp;H supports optional cross-selling; not necessary for target products</x:v>
      </x:c>
      <x:c r="AE336" s="7" t="str">
        <x:v>Toll-free business number: verify that it reaches the individual rather than a central office</x:v>
      </x:c>
      <x:c r="AF336" s="16" t="n">
        <x:v>19.9</x:v>
      </x:c>
      <x:c r="AG336" s="17" t="n">
        <x:v>296</x:v>
      </x:c>
      <x:c r="AH336" s="7" t="str">
        <x:v>2023-12-28</x:v>
      </x:c>
      <x:c r="AI336" s="7" t="str">
        <x:v>English</x:v>
      </x:c>
      <x:c r="AJ336" s="7" t="str">
        <x:v>Other / Affiliation Not Identified in Source (96)</x:v>
      </x:c>
      <x:c r="AK336" s="15" t="str">
        <x:v>877-391-9888</x:v>
      </x:c>
      <x:c r="AL336" s="7" t="str">
        <x:v>AGUILAR DANI OSWALDO</x:v>
      </x:c>
      <x:c r="AM336" s="7" t="str">
        <x:v>AGUILAR OSWALDO DANI</x:v>
      </x:c>
      <x:c r="AN336" s="7" t="str">
        <x:v>https://cdicloud.insurance.ca.gov/cal/LicenseDetail?SearchType=IND&amp;SearchLicNbr=0F45073&amp;SearchIndvId=1057888</x:v>
      </x:c>
      <x:c r="AO336" s="7" t="str">
        <x:v>2026-10-08</x:v>
      </x:c>
      <x:c r="AP336" s="7" t="str">
        <x:v>873e6b8ee1f5e99f51e33811d0932e756aa1eed51ca9b0af13b8a5020ea47f45</x:v>
      </x:c>
      <x:c r="AQ336" s="7" t="str">
        <x:v>Accident &amp; Health or Sickness / Active / 12/01/2006 / 07/27/2021 / 07/31/2027
Life / Active / 12/01/2006 / 07/27/2021 / 07/31/2027</x:v>
      </x:c>
      <x:c r="AR336" s="7" t="str">
        <x:v>Active</x:v>
      </x:c>
      <x:c r="AS336" s="7" t="str">
        <x:v>Current detail page</x:v>
      </x:c>
    </x:row>
    <x:row r="337" ht="52" customHeight="1">
      <x:c r="A337" s="7" t="str">
        <x:v>AGUILAR JONATHAN ANTONIO</x:v>
      </x:c>
      <x:c r="B337" s="14" t="str">
        <x:f>"0J07262"</x:f>
        <x:v>0J07262</x:v>
      </x:c>
      <x:c r="C337" s="7" t="str">
        <x:v>Approved</x:v>
      </x:c>
      <x:c r="D337" s="7" t="str">
        <x:v>REVIEW</x:v>
      </x:c>
      <x:c r="E337" s="13" t="str">
        <x:v>Pending</x:v>
      </x:c>
      <x:c r="F337" s="13" t="str"/>
      <x:c r="G337" s="13" t="str"/>
      <x:c r="H337" s="13" t="str"/>
      <x:c r="I337" s="7" t="str">
        <x:v>Why was this person approved despite: P&amp;C emphasis without separate core-Life signal? Confirm the exception or any intervening record change.</x:v>
      </x:c>
      <x:c r="J337" s="7" t="str">
        <x:v>R4</x:v>
      </x:c>
      <x:c r="K337" s="7" t="str">
        <x:v>Requires verification: P&amp;C emphasis without separate core-Life signal. These facts do not establish the original reviewer’s motive.</x:v>
      </x:c>
      <x:c r="L337" s="7" t="str">
        <x:v>Not supplied; membership is known, motive is not</x:v>
      </x:c>
      <x:c r="M337" s="7" t="n">
        <x:v>2</x:v>
      </x:c>
      <x:c r="N337" s="7" t="str">
        <x:v>Secondary call: verify product focus/reachability</x:v>
      </x:c>
      <x:c r="O337" s="7" t="str">
        <x:v>Active</x:v>
      </x:c>
      <x:c r="P337" s="7" t="str">
        <x:v>07/28/2017</x:v>
      </x:c>
      <x:c r="Q337" s="7" t="str">
        <x:v>10/31/2026</x:v>
      </x:c>
      <x:c r="R337" s="7" t="str">
        <x:v>Accident &amp; Health or Sickness; Casualty; Life; Property</x:v>
      </x:c>
      <x:c r="S337" s="15" t="str">
        <x:v>916-739-2020</x:v>
      </x:c>
      <x:c r="T337" s="7" t="str">
        <x:v>Current CDI</x:v>
      </x:c>
      <x:c r="U337" s="7" t="str">
        <x:v>1010 CAMERADO DRIVE SUITE 230 CAMERON PARK CA, 95682</x:v>
      </x:c>
      <x:c r="V337" s="7" t="str">
        <x:v>Resident</x:v>
      </x:c>
      <x:c r="W337" s="7" t="str">
        <x:v>CA</x:v>
      </x:c>
      <x:c r="X337" s="7" t="str"/>
      <x:c r="Y337" s="7" t="str"/>
      <x:c r="Z337" s="7" t="str"/>
      <x:c r="AA337" s="7" t="str"/>
      <x:c r="AB337" s="7" t="str"/>
      <x:c r="AC337" s="7" t="str"/>
      <x:c r="AD337" s="7" t="str">
        <x:v>Active general Life authority | No agency or insurer displayed: onboarding opportunity possible; existing business unknown | Active A&amp;H supports optional cross-selling; not necessary for target products</x:v>
      </x:c>
      <x:c r="AE337" s="7" t="str">
        <x:v>P&amp;C/Personal Lines authority without displayed core Life appointments; mixed profile requires review | Life expiration in 23 days: confirm renewal during onboarding</x:v>
      </x:c>
      <x:c r="AF337" s="16" t="n">
        <x:v>9.2</x:v>
      </x:c>
      <x:c r="AG337" s="17" t="n">
        <x:v>23</x:v>
      </x:c>
      <x:c r="AH337" s="7" t="str"/>
      <x:c r="AI337" s="7" t="str">
        <x:v>English, Spanish, Spanish</x:v>
      </x:c>
      <x:c r="AJ337" s="7" t="str">
        <x:v>Other / Affiliation Not Identified in Source (96)</x:v>
      </x:c>
      <x:c r="AK337" s="15" t="str">
        <x:v>916-739-2020</x:v>
      </x:c>
      <x:c r="AL337" s="7" t="str">
        <x:v>AGUILAR JONATHAN ANTONIO</x:v>
      </x:c>
      <x:c r="AM337" s="7" t="str">
        <x:v>AGUILAR ANTONIO JONATHAN</x:v>
      </x:c>
      <x:c r="AN337" s="7" t="str">
        <x:v>https://cdicloud.insurance.ca.gov/cal/LicenseDetail?SearchType=IND&amp;SearchLicNbr=0J07262&amp;SearchIndvId=1705026</x:v>
      </x:c>
      <x:c r="AO337" s="7" t="str">
        <x:v>2026-10-08</x:v>
      </x:c>
      <x:c r="AP337" s="7" t="str">
        <x:v>6d33de8d64351f2bfdc3a06a244a8a92a0417781a1e4ada23b6cec599c223b13</x:v>
      </x:c>
      <x:c r="AQ337" s="7" t="str">
        <x:v>Accident &amp; Health or Sickness / Active / 07/28/2017 / 11/04/2024 / 10/31/2026
Casualty / Active / 10/07/2014 / 11/04/2024 / 10/31/2026
Life / Active / 07/28/2017 / 11/04/2024 / 10/31/2026
Property / Active / 10/07/2014 / 11/04/2024 / 10/31/2026</x:v>
      </x:c>
      <x:c r="AR337" s="7" t="str">
        <x:v>Active</x:v>
      </x:c>
      <x:c r="AS337" s="7" t="str">
        <x:v>Current detail page</x:v>
      </x:c>
    </x:row>
    <x:row r="338" ht="52" customHeight="1">
      <x:c r="A338" s="7" t="str">
        <x:v>AGUILAR MARIO STEVEN</x:v>
      </x:c>
      <x:c r="B338" s="14" t="str">
        <x:f>"0E87078"</x:f>
        <x:v>0E87078</x:v>
      </x:c>
      <x:c r="C338" s="7" t="str">
        <x:v>Approved</x:v>
      </x:c>
      <x:c r="D338" s="7" t="str">
        <x:v>REVIEW</x:v>
      </x:c>
      <x:c r="E338" s="13" t="str">
        <x:v>Pending</x:v>
      </x:c>
      <x:c r="F338" s="13" t="str"/>
      <x:c r="G338" s="13" t="str"/>
      <x:c r="H338" s="13" t="str"/>
      <x:c r="I338" s="7" t="str">
        <x:v>Why was this person approved despite: Selected health-carrier Life mix? Confirm the exception or any intervening record change.</x:v>
      </x:c>
      <x:c r="J338" s="7" t="str">
        <x:v>R4</x:v>
      </x:c>
      <x:c r="K338" s="7" t="str">
        <x:v>Requires verification: Selected health-carrier Life mix. These facts do not establish the original reviewer’s motive.</x:v>
      </x:c>
      <x:c r="L338" s="7" t="str">
        <x:v>Not supplied; membership is known, motive is not</x:v>
      </x:c>
      <x:c r="M338" s="7" t="n">
        <x:v>2</x:v>
      </x:c>
      <x:c r="N338" s="7" t="str">
        <x:v>Secondary call: verify product focus/reachability</x:v>
      </x:c>
      <x:c r="O338" s="7" t="str">
        <x:v>Active</x:v>
      </x:c>
      <x:c r="P338" s="7" t="str">
        <x:v>07/29/2005</x:v>
      </x:c>
      <x:c r="Q338" s="7" t="str">
        <x:v>07/31/2027</x:v>
      </x:c>
      <x:c r="R338" s="7" t="str">
        <x:v>Accident &amp; Health or Sickness; Life</x:v>
      </x:c>
      <x:c r="S338" s="15" t="str">
        <x:v>805-358-0873</x:v>
      </x:c>
      <x:c r="T338" s="7" t="str">
        <x:v>Current CDI</x:v>
      </x:c>
      <x:c r="U338" s="7" t="str">
        <x:v>2352 ARCHWOOD LANE, # 45 SIMI VALLEY CA, 93063</x:v>
      </x:c>
      <x:c r="V338" s="7" t="str">
        <x:v>Resident</x:v>
      </x:c>
      <x:c r="W338" s="7" t="str">
        <x:v>CA</x:v>
      </x:c>
      <x:c r="X338" s="7" t="str"/>
      <x:c r="Y338" s="7" t="str">
        <x:v>ANTHEM BLUE CROSS LIFE AND HEALTH INSURANCE COMPANY / Accident &amp; Health or Sickness / 04/01/2007
ANTHEM BLUE CROSS LIFE AND HEALTH INSURANCE COMPANY / Life / 04/01/2007</x:v>
      </x:c>
      <x:c r="Z338" s="7" t="str"/>
      <x:c r="AA338" s="7" t="str"/>
      <x:c r="AB338" s="7" t="str"/>
      <x:c r="AC338" s="7" t="str"/>
      <x:c r="AD338" s="7" t="str">
        <x:v>Active general Life authority | Active A&amp;H supports optional cross-selling; not necessary for target products</x:v>
      </x:c>
      <x:c r="AE338" s="7" t="str">
        <x:v>Life appointments shown only at selected health-oriented carriers; core Life activity unestablished</x:v>
      </x:c>
      <x:c r="AF338" s="16" t="n">
        <x:v>21.2</x:v>
      </x:c>
      <x:c r="AG338" s="17" t="n">
        <x:v>296</x:v>
      </x:c>
      <x:c r="AH338" s="7" t="str">
        <x:v>2007-04-01</x:v>
      </x:c>
      <x:c r="AI338" s="7" t="str">
        <x:v>English</x:v>
      </x:c>
      <x:c r="AJ338" s="7" t="str">
        <x:v>Other / Affiliation Not Identified in Source (96)</x:v>
      </x:c>
      <x:c r="AK338" s="15" t="str">
        <x:v>805-358-0873</x:v>
      </x:c>
      <x:c r="AL338" s="7" t="str">
        <x:v>AGUILAR MARIO STEVEN</x:v>
      </x:c>
      <x:c r="AM338" s="7" t="str">
        <x:v>AGUILAR STEVEN MARIO</x:v>
      </x:c>
      <x:c r="AN338" s="7" t="str">
        <x:v>https://cdicloud.insurance.ca.gov/cal/LicenseDetail?SearchType=IND&amp;SearchLicNbr=0E87078&amp;SearchIndvId=962610</x:v>
      </x:c>
      <x:c r="AO338" s="7" t="str">
        <x:v>2026-10-08</x:v>
      </x:c>
      <x:c r="AP338" s="7" t="str">
        <x:v>e33ee43b16449638ae0716819acf04e27fa5ecc2e372a3c1385c50dfd3084378</x:v>
      </x:c>
      <x:c r="AQ338" s="7" t="str">
        <x:v>Accident &amp; Health or Sickness / Active / 07/29/2005 / 07/29/2005 / 07/31/2027
Life / Active / 07/29/2005 / 07/29/2005 / 07/31/2027</x:v>
      </x:c>
      <x:c r="AR338" s="7" t="str">
        <x:v>Active</x:v>
      </x:c>
      <x:c r="AS338" s="7" t="str">
        <x:v>Current detail page</x:v>
      </x:c>
    </x:row>
    <x:row r="339" ht="52" customHeight="1">
      <x:c r="A339" s="7" t="str">
        <x:v>AGUILAR MARTINEZ YOHOMARA</x:v>
      </x:c>
      <x:c r="B339" s="14" t="str">
        <x:f>"4494923"</x:f>
        <x:v>4494923</x:v>
      </x:c>
      <x:c r="C339" s="7" t="str">
        <x:v>Approved</x:v>
      </x:c>
      <x:c r="D339" s="7" t="str">
        <x:v>REVIEW</x:v>
      </x:c>
      <x:c r="E339" s="13" t="str">
        <x:v>Pending</x:v>
      </x:c>
      <x:c r="F339" s="13" t="str"/>
      <x:c r="G339" s="13" t="str"/>
      <x:c r="H339" s="13" t="str"/>
      <x:c r="I339" s="7" t="str">
        <x:v>Why was this person approved despite: Selected health-carrier Life mix? Confirm the exception or any intervening record change.</x:v>
      </x:c>
      <x:c r="J339" s="7" t="str">
        <x:v>R4</x:v>
      </x:c>
      <x:c r="K339" s="7" t="str">
        <x:v>Requires verification: Selected health-carrier Life mix. These facts do not establish the original reviewer’s motive.</x:v>
      </x:c>
      <x:c r="L339" s="7" t="str">
        <x:v>Not supplied; membership is known, motive is not</x:v>
      </x:c>
      <x:c r="M339" s="7" t="n">
        <x:v>2</x:v>
      </x:c>
      <x:c r="N339" s="7" t="str">
        <x:v>Secondary call: verify product focus/reachability</x:v>
      </x:c>
      <x:c r="O339" s="7" t="str">
        <x:v>Active</x:v>
      </x:c>
      <x:c r="P339" s="7" t="str">
        <x:v>09/22/2025</x:v>
      </x:c>
      <x:c r="Q339" s="7" t="str">
        <x:v>09/30/2027</x:v>
      </x:c>
      <x:c r="R339" s="7" t="str">
        <x:v>Accident &amp; Health or Sickness; Life</x:v>
      </x:c>
      <x:c r="S339" s="15" t="str">
        <x:v>619-551-4991</x:v>
      </x:c>
      <x:c r="T339" s="7" t="str">
        <x:v>Current CDI</x:v>
      </x:c>
      <x:c r="U339" s="7" t="str">
        <x:v>7590 FAY AVE SHE 512 LA JOLLA CA, 92037</x:v>
      </x:c>
      <x:c r="V339" s="7" t="str">
        <x:v>Resident</x:v>
      </x:c>
      <x:c r="W339" s="7" t="str">
        <x:v>CA</x:v>
      </x:c>
      <x:c r="X339" s="7" t="str"/>
      <x:c r="Y339" s="7" t="str">
        <x:v>BLUE SHIELD OF CALIFORNIA LIFE &amp; HEALTH INSURANCE COMPANY / Accident &amp; Health or Sickness / 10/16/2025
BLUE SHIELD OF CALIFORNIA LIFE &amp; HEALTH INSURANCE COMPANY / Life / 10/16/2025</x:v>
      </x:c>
      <x:c r="Z339" s="7" t="str"/>
      <x:c r="AA339" s="7" t="str"/>
      <x:c r="AB339" s="7" t="str"/>
      <x:c r="AC339" s="7" t="str"/>
      <x:c r="AD339" s="7" t="str">
        <x:v>Active general Life authority | Active A&amp;H supports optional cross-selling; not necessary for target products</x:v>
      </x:c>
      <x:c r="AE339" s="7" t="str">
        <x:v>Life appointments shown only at selected health-oriented carriers; core Life activity unestablished</x:v>
      </x:c>
      <x:c r="AF339" s="16" t="n">
        <x:v>1</x:v>
      </x:c>
      <x:c r="AG339" s="17" t="n">
        <x:v>357</x:v>
      </x:c>
      <x:c r="AH339" s="7" t="str">
        <x:v>2025-10-16</x:v>
      </x:c>
      <x:c r="AI339" s="7" t="str">
        <x:v>English</x:v>
      </x:c>
      <x:c r="AJ339" s="7" t="str">
        <x:v>Other / Affiliation Not Identified in Source (96)</x:v>
      </x:c>
      <x:c r="AK339" s="15" t="str">
        <x:v>619-551-4991</x:v>
      </x:c>
      <x:c r="AL339" s="7" t="str">
        <x:v>AGUILAR MARTINEZ YOHOMARA</x:v>
      </x:c>
      <x:c r="AM339" s="7" t="str">
        <x:v>Aguilar    Martinez  Yohomara | AGUILAR MARTINEZ  YOHOMARA</x:v>
      </x:c>
      <x:c r="AN339" s="7" t="str">
        <x:v>https://cdicloud.insurance.ca.gov/cal/LicenseDetail?SearchType=IND&amp;SearchLicNbr=4494923&amp;SearchIndvId=4494923</x:v>
      </x:c>
      <x:c r="AO339" s="7" t="str">
        <x:v>2026-10-08</x:v>
      </x:c>
      <x:c r="AP339" s="7" t="str">
        <x:v>9890be2a5530e14f88b012b54b1f555ce3129308c826e9b6afd75e17dbb76080</x:v>
      </x:c>
      <x:c r="AQ339" s="7" t="str">
        <x:v>Accident &amp; Health or Sickness / Active / 09/22/2025 / 09/22/2025 / 09/30/2027
Life / Active / 09/22/2025 / 09/22/2025 / 09/30/2027</x:v>
      </x:c>
      <x:c r="AR339" s="7" t="str">
        <x:v>Active</x:v>
      </x:c>
      <x:c r="AS339" s="7" t="str">
        <x:v>Current detail page</x:v>
      </x:c>
    </x:row>
    <x:row r="340" ht="52" customHeight="1">
      <x:c r="A340" s="7" t="str">
        <x:v>AGUILAR PARALUMAN ARLENE</x:v>
      </x:c>
      <x:c r="B340" s="14" t="str">
        <x:f>"0H75069"</x:f>
        <x:v>0H75069</x:v>
      </x:c>
      <x:c r="C340" s="7" t="str">
        <x:v>Approved</x:v>
      </x:c>
      <x:c r="D340" s="7" t="str">
        <x:v>REVIEW</x:v>
      </x:c>
      <x:c r="E340" s="13" t="str">
        <x:v>Pending</x:v>
      </x:c>
      <x:c r="F340" s="13" t="str"/>
      <x:c r="G340" s="13" t="str"/>
      <x:c r="H340" s="13" t="str"/>
      <x:c r="I340" s="7" t="str">
        <x:v>Why was this person approved despite: Toll-free number: direct reachability? Confirm the exception or any intervening record change.</x:v>
      </x:c>
      <x:c r="J340" s="7" t="str">
        <x:v>R5</x:v>
      </x:c>
      <x:c r="K340" s="7" t="str">
        <x:v>Requires verification: Toll-free number: direct reachability. These facts do not establish the original reviewer’s motive.</x:v>
      </x:c>
      <x:c r="L340" s="7" t="str">
        <x:v>Not supplied; membership is known, motive is not</x:v>
      </x:c>
      <x:c r="M340" s="7" t="n">
        <x:v>2</x:v>
      </x:c>
      <x:c r="N340" s="7" t="str">
        <x:v>Secondary call: verify product focus/reachability</x:v>
      </x:c>
      <x:c r="O340" s="7" t="str">
        <x:v>Active</x:v>
      </x:c>
      <x:c r="P340" s="7" t="str">
        <x:v>01/31/2012</x:v>
      </x:c>
      <x:c r="Q340" s="7" t="str">
        <x:v>01/31/2028</x:v>
      </x:c>
      <x:c r="R340" s="7" t="str">
        <x:v>Accident &amp; Health or Sickness; Life</x:v>
      </x:c>
      <x:c r="S340" s="15" t="str">
        <x:v>855-765-5151</x:v>
      </x:c>
      <x:c r="T340" s="7" t="str">
        <x:v>Current CDI</x:v>
      </x:c>
      <x:c r="U340" s="7" t="str">
        <x:v>9491 FOOTHILL BLVD STE C329 RANCHO CUCAMONGA CA, 91730</x:v>
      </x:c>
      <x:c r="V340" s="7" t="str">
        <x:v>Resident</x:v>
      </x:c>
      <x:c r="W340" s="7" t="str">
        <x:v>CA</x:v>
      </x:c>
      <x:c r="X340" s="7" t="str"/>
      <x:c r="Y340" s="7" t="str">
        <x:v>AMERICAN GENERAL LIFE INSURANCE COMPANY / Accident &amp; Health or Sickness / 08/18/2021
AMERICAN GENERAL LIFE INSURANCE COMPANY / Life / 08/18/2021
ANTHEM BLUE CROSS LIFE AND HEALTH INSURANCE COMPANY / Accident &amp; Health or Sickness / 09/04/2013
ANTHEM BLUE CROSS LIFE AND HEALTH INSURANCE COMPANY / Life / 09/04/2013
ATHENE ANNUITY AND LIFE COMPANY / Life / 12/10/2021
BLUE SHIELD OF CALIFORNIA LIFE &amp; HEALTH INSURANCE COMPANY / Accident &amp; Health or Sickness / 04/15/2015
BLUE SHIELD OF CALIFORNIA LIFE &amp; HEALTH INSURANCE COMPANY / Life / 04/15/2015
KAISER PERMANENTE INSURANCE COMPANY / Accident &amp; Health or Sickness / 04/07/2015</x:v>
      </x:c>
      <x:c r="Z340" s="7" t="str"/>
      <x:c r="AA340" s="7" t="str"/>
      <x:c r="AB340" s="7" t="str"/>
      <x:c r="AC340" s="7" t="str"/>
      <x:c r="AD340" s="7" t="str">
        <x:v>Active general Life authority | Direct Life appointments outside the selected health-carrier set: AMERICAN GENERAL LIFE INSURANCE COMPANY, ATHENE ANNUITY AND LIFE COMPANY | Active A&amp;H supports optional cross-selling; not necessary for target products</x:v>
      </x:c>
      <x:c r="AE340" s="7" t="str">
        <x:v>Toll-free business number: verify that it reaches the individual rather than a central office</x:v>
      </x:c>
      <x:c r="AF340" s="16" t="n">
        <x:v>14.7</x:v>
      </x:c>
      <x:c r="AG340" s="17" t="n">
        <x:v>480</x:v>
      </x:c>
      <x:c r="AH340" s="7" t="str">
        <x:v>2021-12-10</x:v>
      </x:c>
      <x:c r="AI340" s="7" t="str">
        <x:v>English, Tagalog</x:v>
      </x:c>
      <x:c r="AJ340" s="7" t="str">
        <x:v>Other / Affiliation Not Identified in Source (96)</x:v>
      </x:c>
      <x:c r="AK340" s="15" t="str">
        <x:v>855-765-5151</x:v>
      </x:c>
      <x:c r="AL340" s="7" t="str">
        <x:v>AGUILAR PARALUMAN ARLENE</x:v>
      </x:c>
      <x:c r="AM340" s="7" t="str">
        <x:v>AGUILAR ARLENE PARALUMAN</x:v>
      </x:c>
      <x:c r="AN340" s="7" t="str">
        <x:v>https://cdicloud.insurance.ca.gov/cal/LicenseDetail?SearchType=IND&amp;SearchLicNbr=0H75069&amp;SearchIndvId=1498472</x:v>
      </x:c>
      <x:c r="AO340" s="7" t="str">
        <x:v>2026-10-08</x:v>
      </x:c>
      <x:c r="AP340" s="7" t="str">
        <x:v>cc5af55648257061b17cd4e3074c76ac94e5d260298d015313d01a43b542c428</x:v>
      </x:c>
      <x:c r="AQ340" s="7" t="str">
        <x:v>Accident &amp; Health or Sickness / Active / 01/31/2012 / 01/31/2012 / 01/31/2028
Life / Active / 01/31/2012 / 01/31/2012 / 01/31/2028</x:v>
      </x:c>
      <x:c r="AR340" s="7" t="str">
        <x:v>Active</x:v>
      </x:c>
      <x:c r="AS340" s="7" t="str">
        <x:v>Current detail page</x:v>
      </x:c>
    </x:row>
    <x:row r="341" ht="52" customHeight="1">
      <x:c r="A341" s="7" t="str">
        <x:v>NAVA VICKY</x:v>
      </x:c>
      <x:c r="B341" s="14" t="str">
        <x:f>"4051310"</x:f>
        <x:v>4051310</x:v>
      </x:c>
      <x:c r="C341" s="7" t="str">
        <x:v>Approved</x:v>
      </x:c>
      <x:c r="D341" s="7" t="str">
        <x:v>REVIEW</x:v>
      </x:c>
      <x:c r="E341" s="13" t="str">
        <x:v>Pending</x:v>
      </x:c>
      <x:c r="F341" s="13" t="str"/>
      <x:c r="G341" s="13" t="str"/>
      <x:c r="H341" s="13" t="str"/>
      <x:c r="I341" s="7" t="str">
        <x:v>Why was this person approved despite: P&amp;C emphasis without separate core-Life signal? Confirm the exception or any intervening record change.</x:v>
      </x:c>
      <x:c r="J341" s="7" t="str">
        <x:v>R4</x:v>
      </x:c>
      <x:c r="K341" s="7" t="str">
        <x:v>Requires verification: P&amp;C emphasis without separate core-Life signal. These facts do not establish the original reviewer’s motive.</x:v>
      </x:c>
      <x:c r="L341" s="7" t="str">
        <x:v>Not supplied; membership is known, motive is not</x:v>
      </x:c>
      <x:c r="M341" s="7" t="n">
        <x:v>2</x:v>
      </x:c>
      <x:c r="N341" s="7" t="str">
        <x:v>Secondary call: verify product focus/reachability</x:v>
      </x:c>
      <x:c r="O341" s="7" t="str">
        <x:v>Active</x:v>
      </x:c>
      <x:c r="P341" s="7" t="str">
        <x:v>11/16/2021</x:v>
      </x:c>
      <x:c r="Q341" s="7" t="str">
        <x:v>07/31/2028</x:v>
      </x:c>
      <x:c r="R341" s="7" t="str">
        <x:v>Accident &amp; Health or Sickness; Casualty; Life; Property</x:v>
      </x:c>
      <x:c r="S341" s="15" t="str">
        <x:v>209-535-8204</x:v>
      </x:c>
      <x:c r="T341" s="7" t="str">
        <x:v>Current CDI</x:v>
      </x:c>
      <x:c r="U341" s="7" t="str">
        <x:v>770 THE CITY DR. STE 1500 ORANGE CA, 92868</x:v>
      </x:c>
      <x:c r="V341" s="7" t="str">
        <x:v>Resident</x:v>
      </x:c>
      <x:c r="W341" s="7" t="str">
        <x:v>CA</x:v>
      </x:c>
      <x:c r="X341" s="7" t="str">
        <x:v>PETRA PACIFIC INSURANCE SERVICE, INC. / Property / 03/03/2025
PETRA PACIFIC INSURANCE SERVICE, INC. / Casualty / 03/03/2025</x:v>
      </x:c>
      <x:c r="Y341" s="7" t="str"/>
      <x:c r="Z341" s="7" t="str"/>
      <x:c r="AA341" s="7" t="str"/>
      <x:c r="AB341" s="7" t="str">
        <x:v>BIDDISON MARGARET ANN / Casualty / 07/30/2020
BIDDISON MARGARET ANN / Property / 07/30/2020</x:v>
      </x:c>
      <x:c r="AC341" s="7" t="str"/>
      <x:c r="AD341" s="7" t="str">
        <x:v>Active general Life authority | Active A&amp;H supports optional cross-selling; not necessary for target products</x:v>
      </x:c>
      <x:c r="AE341" s="7" t="str">
        <x:v>P&amp;C/Personal Lines authority without displayed core Life appointments; mixed profile requires review | Sponsor relationships displayed: BIDDISON MARGARET ANN; inspect line-specific relationship, not a blanket employment inference</x:v>
      </x:c>
      <x:c r="AF341" s="16" t="n">
        <x:v>4.9</x:v>
      </x:c>
      <x:c r="AG341" s="17" t="n">
        <x:v>662</x:v>
      </x:c>
      <x:c r="AH341" s="7" t="str"/>
      <x:c r="AI341" s="7" t="str">
        <x:v>English</x:v>
      </x:c>
      <x:c r="AJ341" s="7" t="str">
        <x:v>Other / Affiliation Not Identified in Source (96)</x:v>
      </x:c>
      <x:c r="AK341" s="15" t="str">
        <x:v>209-535-8204</x:v>
      </x:c>
      <x:c r="AL341" s="7" t="str">
        <x:v>NAVA VICKY</x:v>
      </x:c>
      <x:c r="AM341" s="7" t="str">
        <x:v>AGUILAR  VICKY</x:v>
      </x:c>
      <x:c r="AN341" s="7" t="str">
        <x:v>https://cdicloud.insurance.ca.gov/cal/LicenseDetail?SearchType=IND&amp;SearchLicNbr=4051310&amp;SearchIndvId=4051310</x:v>
      </x:c>
      <x:c r="AO341" s="7" t="str">
        <x:v>2026-10-08</x:v>
      </x:c>
      <x:c r="AP341" s="7" t="str">
        <x:v>993b25bb238ce686afeaa1ace94827b1687b2299e47e7bd2bbc726d2b53adfa9</x:v>
      </x:c>
      <x:c r="AQ341" s="7" t="str">
        <x:v>Accident &amp; Health or Sickness / Active / 11/16/2021 / 11/16/2021 / 07/31/2028
Casualty / Active / 07/01/2020 / 07/01/2020 / 07/31/2028
Life / Active / 11/16/2021 / 11/16/2021 / 07/31/2028
Property / Active / 07/01/2020 / 07/01/2020 / 07/31/2028</x:v>
      </x:c>
      <x:c r="AR341" s="7" t="str">
        <x:v>Active</x:v>
      </x:c>
      <x:c r="AS341" s="7" t="str">
        <x:v>Current detail page</x:v>
      </x:c>
    </x:row>
    <x:row r="342" ht="52" customHeight="1">
      <x:c r="A342" s="7" t="str">
        <x:v>AGUILAR MARTIN ROBERT</x:v>
      </x:c>
      <x:c r="B342" s="14" t="str">
        <x:f>"0N15461"</x:f>
        <x:v>0N15461</x:v>
      </x:c>
      <x:c r="C342" s="7" t="str">
        <x:v>Approved</x:v>
      </x:c>
      <x:c r="D342" s="7" t="str">
        <x:v>REVIEW</x:v>
      </x:c>
      <x:c r="E342" s="13" t="str">
        <x:v>Pending</x:v>
      </x:c>
      <x:c r="F342" s="13" t="str"/>
      <x:c r="G342" s="13" t="str"/>
      <x:c r="H342" s="13" t="str"/>
      <x:c r="I342" s="7" t="str">
        <x:v>Why was this person approved despite: Actual order terms and carrier contracting? Confirm the exception or any intervening record change.</x:v>
      </x:c>
      <x:c r="J342" s="7" t="str">
        <x:v>R7</x:v>
      </x:c>
      <x:c r="K342" s="7" t="str">
        <x:v>Requires verification: Actual order terms and carrier contracting. These facts do not establish the original reviewer’s motive.</x:v>
      </x:c>
      <x:c r="L342" s="7" t="str">
        <x:v>Not supplied; membership is known, motive is not</x:v>
      </x:c>
      <x:c r="M342" s="7" t="n">
        <x:v>3</x:v>
      </x:c>
      <x:c r="N342" s="7" t="str">
        <x:v>Review order and contracting</x:v>
      </x:c>
      <x:c r="O342" s="7" t="str">
        <x:v>Active</x:v>
      </x:c>
      <x:c r="P342" s="7" t="str">
        <x:v>06/22/2020</x:v>
      </x:c>
      <x:c r="Q342" s="7" t="str">
        <x:v>06/30/2028</x:v>
      </x:c>
      <x:c r="R342" s="7" t="str">
        <x:v>Accident &amp; Health or Sickness; Life</x:v>
      </x:c>
      <x:c r="S342" s="15" t="str">
        <x:v>619-748-7037</x:v>
      </x:c>
      <x:c r="T342" s="7" t="str">
        <x:v>Current CDI</x:v>
      </x:c>
      <x:c r="U342" s="7" t="str">
        <x:v>1927 ISLA DEL CARMEN WAY SAN YSIDRO CA, 92173</x:v>
      </x:c>
      <x:c r="V342" s="7" t="str">
        <x:v>Resident</x:v>
      </x:c>
      <x:c r="W342" s="7" t="str">
        <x:v>CA</x:v>
      </x:c>
      <x:c r="X342" s="7" t="str"/>
      <x:c r="Y342" s="7" t="str">
        <x:v>AMERICAN GENERAL LIFE INSURANCE COMPANY / Life / 08/17/2022
BALTIMORE LIFE INSURANCE COMPANY (THE) / Life / 09/24/2026
FIDELITY &amp; GUARANTY LIFE INSURANCE COMPANY / Life / 02/14/2024
GREAT WESTERN INSURANCE COMPANY / Life / 01/10/2025
GUARANTEE TRUST LIFE INSURANCE COMPANY / Life / 05/20/2024
JOHN HANCOCK LIFE INSURANCE COMPANY (U.S.A.) / Life / 03/05/2024
LIFE INSURANCE COMPANY OF THE SOUTHWEST / Life / 04/30/2024
MIDLAND NATIONAL LIFE INSURANCE COMPANY / Life / 03/13/2025
SENTINEL SECURITY LIFE INSURANCE COMPANY / Life / 07/24/2025
TRANSAMERICA LIFE INSURANCE COMPANY / Accident &amp; Health or Sickness / 06/28/2026
TRANSAMERICA LIFE INSURANCE COMPANY / Life / 06/28/2026
UNITED OF OMAHA LIFE INSURANCE COMPANY / Accident &amp; Health or Sickness / 05/22/2025
UNITED OF OMAHA LIFE INSURANCE COMPANY / Life / 02/13/2024</x:v>
      </x:c>
      <x:c r="Z342" s="7" t="str">
        <x:v>ORDER ID: &lt;PLBS13027&gt; A: APPLICATION FOR LICENSE TO ACT AS AN INSURANCE PRODUCER IS HEREBY DENIED; ISSUE IN LIEU THEREOF A RESTRICTED LICENSE. / 06/22/2020</x:v>
      </x:c>
      <x:c r="AA342" s="7" t="str"/>
      <x:c r="AB342" s="7" t="str"/>
      <x:c r="AC342" s="7" t="str"/>
      <x:c r="AD342" s="7" t="str">
        <x:v>Active general Life authority | Direct Life appointments outside the selected health-carrier set: AMERICAN GENERAL LIFE INSURANCE COMPANY, BALTIMORE LIFE INSURANCE COMPANY (THE), FIDELITY &amp; GUARANTY LIFE INSURANCE COMPANY, GREAT WESTERN INSURANCE COMPANY, GUARANTEE TRUST LIFE INSURANCE COMPANY, JOHN HANCOCK LIFE INSURANCE COMPANY (U.S.A.), LIFE INSURANCE COMPANY OF THE SOUTHWEST, MIDLAND NATIONAL LIFE INSURANCE COMPANY, SENTINEL SECURITY LIFE INSURANCE COMPANY, TRANSAMERICA LIFE INSURANCE COMPANY, UNITED OF OMAHA LIFE INSURANCE COMPANY | Active A&amp;H supports optional cross-selling; not necessary for target products</x:v>
      </x:c>
      <x:c r="AE342" s="7" t="str">
        <x:v>Enforcement order requires direct review; latest displayed order is not a removal order</x:v>
      </x:c>
      <x:c r="AF342" s="16" t="n">
        <x:v>6.3</x:v>
      </x:c>
      <x:c r="AG342" s="17" t="n">
        <x:v>631</x:v>
      </x:c>
      <x:c r="AH342" s="7" t="str">
        <x:v>2026-09-24</x:v>
      </x:c>
      <x:c r="AI342" s="7" t="str">
        <x:v>English</x:v>
      </x:c>
      <x:c r="AJ342" s="7" t="str">
        <x:v>Other / Affiliation Not Identified in Source (96)</x:v>
      </x:c>
      <x:c r="AK342" s="15" t="str">
        <x:v>619-748-7037</x:v>
      </x:c>
      <x:c r="AL342" s="7" t="str">
        <x:v>AGUILAR MARTIN ROBERT</x:v>
      </x:c>
      <x:c r="AM342" s="7" t="str">
        <x:v>Aguilar R Martin | AGUILAR ROBERT MARTIN</x:v>
      </x:c>
      <x:c r="AN342" s="7" t="str">
        <x:v>https://cdicloud.insurance.ca.gov/cal/LicenseDetail?SearchType=IND&amp;SearchLicNbr=0N15461&amp;SearchIndvId=2073197</x:v>
      </x:c>
      <x:c r="AO342" s="7" t="str">
        <x:v>2026-10-08</x:v>
      </x:c>
      <x:c r="AP342" s="7" t="str">
        <x:v>ea11adb4f7a655c525593802e8fa201afc8bd72f3ac90bf4f22d62691f3becab</x:v>
      </x:c>
      <x:c r="AQ342" s="7" t="str">
        <x:v>Accident &amp; Health or Sickness / Active / 05/21/2025 / 05/21/2025 / 06/30/2028
Life / Active / 06/22/2020 / 11/04/2021 / 06/30/2028</x:v>
      </x:c>
      <x:c r="AR342" s="7" t="str">
        <x:v>Active</x:v>
      </x:c>
      <x:c r="AS342" s="7" t="str">
        <x:v>Current detail page</x:v>
      </x:c>
    </x:row>
    <x:row r="343" ht="52" customHeight="1">
      <x:c r="A343" s="7" t="str">
        <x:v>AGUILAR RAMIRO</x:v>
      </x:c>
      <x:c r="B343" s="14" t="str">
        <x:f>"4192130"</x:f>
        <x:v>4192130</x:v>
      </x:c>
      <x:c r="C343" s="7" t="str">
        <x:v>Approved</x:v>
      </x:c>
      <x:c r="D343" s="7" t="str">
        <x:v>REVIEW</x:v>
      </x:c>
      <x:c r="E343" s="13" t="str">
        <x:v>Pending</x:v>
      </x:c>
      <x:c r="F343" s="13" t="str"/>
      <x:c r="G343" s="13" t="str"/>
      <x:c r="H343" s="13" t="str"/>
      <x:c r="I343" s="7" t="str">
        <x:v>Why was this person approved despite: Geographic scope? Confirm the exception or any intervening record change.</x:v>
      </x:c>
      <x:c r="J343" s="7" t="str">
        <x:v>R6</x:v>
      </x:c>
      <x:c r="K343" s="7" t="str">
        <x:v>Requires verification: Geographic scope. These facts do not establish the original reviewer’s motive.</x:v>
      </x:c>
      <x:c r="L343" s="7" t="str">
        <x:v>Not supplied; membership is known, motive is not</x:v>
      </x:c>
      <x:c r="M343" s="7" t="n">
        <x:v>4</x:v>
      </x:c>
      <x:c r="N343" s="7" t="str">
        <x:v>Geographic scope review</x:v>
      </x:c>
      <x:c r="O343" s="7" t="str">
        <x:v>Active</x:v>
      </x:c>
      <x:c r="P343" s="7" t="str">
        <x:v>04/13/2022</x:v>
      </x:c>
      <x:c r="Q343" s="7" t="str">
        <x:v>04/30/2028</x:v>
      </x:c>
      <x:c r="R343" s="7" t="str">
        <x:v>Accident &amp; Health or Sickness; Life</x:v>
      </x:c>
      <x:c r="S343" s="15" t="str">
        <x:v>714-717-5398</x:v>
      </x:c>
      <x:c r="T343" s="7" t="str">
        <x:v>Current CDI</x:v>
      </x:c>
      <x:c r="U343" s="7" t="str">
        <x:v>1105 S 16TH ST MURRAY KY, 42071-2805</x:v>
      </x:c>
      <x:c r="V343" s="7" t="str">
        <x:v>Non-resident</x:v>
      </x:c>
      <x:c r="W343" s="7" t="str">
        <x:v>KY</x:v>
      </x:c>
      <x:c r="X343" s="7" t="str"/>
      <x:c r="Y343" s="7" t="str">
        <x:v>5 STAR LIFE INSURANCE COMPANY / Accident &amp; Health or Sickness / 05/28/2024
5 STAR LIFE INSURANCE COMPANY / Life / 05/28/2024
FIDELITY &amp; GUARANTY LIFE INSURANCE COMPANY / Life / 04/22/2026
TRUSTMARK INSURANCE COMPANY / Accident &amp; Health or Sickness / 05/28/2024
TRUSTMARK INSURANCE COMPANY / Life / 05/28/2024</x:v>
      </x:c>
      <x:c r="Z343" s="7" t="str"/>
      <x:c r="AA343" s="7" t="str"/>
      <x:c r="AB343" s="7" t="str"/>
      <x:c r="AC343" s="7" t="str"/>
      <x:c r="AD343" s="7" t="str">
        <x:v>Active general Life authority | Direct Life appointments outside the selected health-carrier set: 5 STAR LIFE INSURANCE COMPANY, FIDELITY &amp; GUARANTY LIFE INSURANCE COMPANY, TRUSTMARK INSURANCE COMPANY | Active A&amp;H supports optional cross-selling; not necessary for target products</x:v>
      </x:c>
      <x:c r="AE343" s="7" t="str">
        <x:v>Nonresident or address state outside CA; confirm geographic recruiting scope</x:v>
      </x:c>
      <x:c r="AF343" s="16" t="n">
        <x:v>4.5</x:v>
      </x:c>
      <x:c r="AG343" s="17" t="n">
        <x:v>570</x:v>
      </x:c>
      <x:c r="AH343" s="7" t="str">
        <x:v>2026-04-22</x:v>
      </x:c>
      <x:c r="AI343" s="7" t="str">
        <x:v>English, Spanish, Spanish</x:v>
      </x:c>
      <x:c r="AJ343" s="7" t="str">
        <x:v>Other / Affiliation Not Identified in Source (96)</x:v>
      </x:c>
      <x:c r="AK343" s="15" t="str">
        <x:v>714-717-5398</x:v>
      </x:c>
      <x:c r="AL343" s="7" t="str">
        <x:v>AGUILAR RAMIRO</x:v>
      </x:c>
      <x:c r="AM343" s="7" t="str">
        <x:v>AGUILAR  RAMIRO</x:v>
      </x:c>
      <x:c r="AN343" s="7" t="str">
        <x:v>https://cdicloud.insurance.ca.gov/cal/LicenseDetail?SearchType=IND&amp;SearchLicNbr=4192130&amp;SearchIndvId=4192130</x:v>
      </x:c>
      <x:c r="AO343" s="7" t="str">
        <x:v>2026-10-08</x:v>
      </x:c>
      <x:c r="AP343" s="7" t="str">
        <x:v>59e0f0a98d4aae5bfd965fb0831636f5c2db2082fc2400d773e8d45cb66f3552</x:v>
      </x:c>
      <x:c r="AQ343" s="7" t="str">
        <x:v>Accident &amp; Health or Sickness / Active / 04/13/2022 / 05/28/2024 / 04/30/2028
Life / Active / 04/13/2022 / 05/28/2024 / 04/30/2028</x:v>
      </x:c>
      <x:c r="AR343" s="7" t="str">
        <x:v>Active</x:v>
      </x:c>
      <x:c r="AS343" s="7" t="str">
        <x:v>Current detail page</x:v>
      </x:c>
    </x:row>
  </x:sheetData>
  <x:conditionalFormatting sqref="D6:D343">
    <x:cfRule type="containsText" dxfId="0" priority="1" operator="containsText" text="FAIL"/>
    <x:cfRule type="containsText" dxfId="1" priority="2" operator="containsText" text="REVIEW"/>
  </x:conditionalFormatting>
  <x:dataValidations count="1">
    <x:dataValidation type="list" sqref="E6:E343">
      <x:formula1>"Pending,Approve,Reject,Defer,Not reviewed"</x:formula1>
    </x:dataValidation>
  </x:dataValidations>
  <x:pageMargins left="0.7" right="0.7" top="0.75" bottom="0.75" header="0.3" footer="0.3"/>
  <x:tableParts count="1">
    <x:tablePart xmlns:r="http://schemas.openxmlformats.org/officeDocument/2006/relationships" r:id="Rddd1274ad4b24e04"/>
  </x:tableParts>
</x:worksheet>
</file>

<file path=xl/worksheets/sheet3.xml><?xml version="1.0" encoding="utf-8"?>
<x:worksheet xmlns:x="http://schemas.openxmlformats.org/spreadsheetml/2006/main">
  <x:sheetPr>
    <x:tabColor rgb="FF52718B"/>
  </x:sheetPr>
  <x:sheetViews>
    <x:sheetView showGridLines="0" workbookViewId="0">
      <x:pane xSplit="3" ySplit="5" topLeftCell="D6" activePane="bottomRight" state="frozen"/>
    </x:sheetView>
  </x:sheetViews>
  <x:sheetFormatPr defaultRowHeight="15"/>
  <x:cols>
    <x:col min="1" max="1" width="30" hidden="0" customWidth="1"/>
    <x:col min="2" max="2" width="13" hidden="0" customWidth="1"/>
    <x:col min="3" max="3" width="14" hidden="0" customWidth="1"/>
    <x:col min="4" max="4" width="14" hidden="0" customWidth="1"/>
    <x:col min="5" max="5" width="19" hidden="0" customWidth="1"/>
    <x:col min="6" max="6" width="45" hidden="0" customWidth="1"/>
    <x:col min="7" max="7" width="45" hidden="0" customWidth="1"/>
    <x:col min="8" max="8" width="23" hidden="0" customWidth="1"/>
    <x:col min="9" max="9" width="65" hidden="0" customWidth="1"/>
    <x:col min="10" max="10" width="15" hidden="0" customWidth="1"/>
    <x:col min="11" max="11" width="65" hidden="0" customWidth="1"/>
    <x:col min="12" max="12" width="36" hidden="0" customWidth="1"/>
    <x:col min="13" max="13" width="17" hidden="0" customWidth="1"/>
    <x:col min="14" max="14" width="43" hidden="0" customWidth="1"/>
    <x:col min="15" max="15" width="16" hidden="0" customWidth="1"/>
    <x:col min="16" max="16" width="15" hidden="0" customWidth="1"/>
    <x:col min="17" max="17" width="15" hidden="0" customWidth="1"/>
    <x:col min="18" max="18" width="43" hidden="0" customWidth="1"/>
    <x:col min="19" max="19" width="18" hidden="0" customWidth="1"/>
    <x:col min="20" max="20" width="42" hidden="0" customWidth="1"/>
    <x:col min="21" max="21" width="45" hidden="0" customWidth="1"/>
    <x:col min="22" max="22" width="16" hidden="0" customWidth="1"/>
    <x:col min="23" max="23" width="14" hidden="0" customWidth="1"/>
    <x:col min="24" max="24" width="65" hidden="0" customWidth="1"/>
    <x:col min="25" max="25" width="80" hidden="0" customWidth="1"/>
    <x:col min="26" max="26" width="60" hidden="0" customWidth="1"/>
    <x:col min="27" max="27" width="50" hidden="0" customWidth="1"/>
    <x:col min="28" max="28" width="50" hidden="0" customWidth="1"/>
    <x:col min="29" max="29" width="50" hidden="0" customWidth="1"/>
    <x:col min="30" max="30" width="65" hidden="0" customWidth="1"/>
    <x:col min="31" max="31" width="80" hidden="0" customWidth="1"/>
    <x:col min="32" max="32" width="24" hidden="0" customWidth="1"/>
    <x:col min="33" max="33" width="24" hidden="0" customWidth="1"/>
    <x:col min="34" max="34" width="24" hidden="0" customWidth="1"/>
    <x:col min="35" max="35" width="25" hidden="0" customWidth="1"/>
    <x:col min="36" max="36" width="45" hidden="0" customWidth="1"/>
    <x:col min="37" max="37" width="20" hidden="0" customWidth="1"/>
    <x:col min="38" max="38" width="35" hidden="0" customWidth="1"/>
    <x:col min="39" max="39" width="55" hidden="0" customWidth="1"/>
    <x:col min="40" max="40" width="80" hidden="0" customWidth="1"/>
    <x:col min="41" max="41" width="18" hidden="0" customWidth="1"/>
    <x:col min="42" max="42" width="70" hidden="0" customWidth="1"/>
    <x:col min="43" max="43" width="80" hidden="0" customWidth="1"/>
    <x:col min="44" max="44" width="22" hidden="0" customWidth="1"/>
    <x:col min="45" max="45" width="45" hidden="0" customWidth="1"/>
  </x:cols>
  <x:sheetData>
    <x:row r="2">
      <x:c r="A2" s="5" t="str">
        <x:v>Other licenses • 1,347 qualification mismatches + 20 unverifiable records</x:v>
      </x:c>
      <x:c r="B2" s="3"/>
      <x:c r="C2" s="3"/>
      <x:c r="D2" s="3"/>
      <x:c r="E2" s="3"/>
      <x:c r="F2" s="3"/>
      <x:c r="G2" s="3"/>
      <x:c r="H2" s="3"/>
      <x:c r="I2" s="3"/>
      <x:c r="J2" s="3"/>
      <x:c r="K2" s="3"/>
      <x:c r="L2" s="3"/>
      <x:c r="M2" s="3"/>
      <x:c r="N2" s="3"/>
      <x:c r="O2" s="3"/>
      <x:c r="P2" s="3"/>
      <x:c r="Q2" s="3"/>
      <x:c r="R2" s="3"/>
      <x:c r="S2" s="3"/>
      <x:c r="T2" s="3"/>
      <x:c r="U2" s="3"/>
      <x:c r="V2" s="3"/>
      <x:c r="W2" s="3"/>
      <x:c r="X2" s="3"/>
      <x:c r="Y2" s="3"/>
      <x:c r="Z2" s="3"/>
      <x:c r="AA2" s="3"/>
      <x:c r="AB2" s="3"/>
      <x:c r="AC2" s="3"/>
      <x:c r="AD2" s="3"/>
      <x:c r="AE2" s="3"/>
      <x:c r="AF2" s="3"/>
      <x:c r="AG2" s="3"/>
      <x:c r="AH2" s="3"/>
      <x:c r="AI2" s="3"/>
      <x:c r="AJ2" s="3"/>
      <x:c r="AK2" s="3"/>
      <x:c r="AL2" s="3"/>
      <x:c r="AM2" s="3"/>
      <x:c r="AN2" s="3"/>
      <x:c r="AO2" s="3"/>
      <x:c r="AP2" s="3"/>
      <x:c r="AQ2" s="3"/>
      <x:c r="AR2" s="3"/>
      <x:c r="AS2" s="3"/>
    </x:row>
    <x:row r="3">
      <x:c r="A3" s="6" t="str">
        <x:v>Amber E:H = reviewer input. Original membership stays unchanged. Filter tier 1 + Omitted for the 35 first-call discrepancies.</x:v>
      </x:c>
      <x:c r="B3" s="3"/>
      <x:c r="C3" s="3"/>
      <x:c r="D3" s="3"/>
      <x:c r="E3" s="3"/>
      <x:c r="F3" s="3"/>
      <x:c r="G3" s="3"/>
      <x:c r="H3" s="3"/>
      <x:c r="I3" s="3"/>
      <x:c r="J3" s="3"/>
      <x:c r="K3" s="3"/>
      <x:c r="L3" s="3"/>
      <x:c r="M3" s="3"/>
      <x:c r="N3" s="3"/>
      <x:c r="O3" s="3"/>
      <x:c r="P3" s="3"/>
      <x:c r="Q3" s="3"/>
      <x:c r="R3" s="3"/>
      <x:c r="S3" s="3"/>
      <x:c r="T3" s="3"/>
      <x:c r="U3" s="3"/>
      <x:c r="V3" s="3"/>
      <x:c r="W3" s="3"/>
      <x:c r="X3" s="3"/>
      <x:c r="Y3" s="3"/>
      <x:c r="Z3" s="3"/>
      <x:c r="AA3" s="3"/>
      <x:c r="AB3" s="3"/>
      <x:c r="AC3" s="3"/>
      <x:c r="AD3" s="3"/>
      <x:c r="AE3" s="3"/>
      <x:c r="AF3" s="3"/>
      <x:c r="AG3" s="3"/>
      <x:c r="AH3" s="3"/>
      <x:c r="AI3" s="3"/>
      <x:c r="AJ3" s="3"/>
      <x:c r="AK3" s="3"/>
      <x:c r="AL3" s="3"/>
      <x:c r="AM3" s="3"/>
      <x:c r="AN3" s="3"/>
      <x:c r="AO3" s="3"/>
      <x:c r="AP3" s="3"/>
      <x:c r="AQ3" s="3"/>
      <x:c r="AR3" s="3"/>
      <x:c r="AS3" s="3"/>
    </x:row>
    <x:row r="4">
      <x:c r="A4" s="3"/>
      <x:c r="B4" s="3"/>
      <x:c r="C4" s="3"/>
      <x:c r="D4" s="3"/>
      <x:c r="E4" s="3"/>
      <x:c r="F4" s="3"/>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row>
    <x:row r="5" ht="36" customHeight="1">
      <x:c r="A5" s="12" t="str">
        <x:v>Name</x:v>
      </x:c>
      <x:c r="B5" s="12" t="str">
        <x:v>License</x:v>
      </x:c>
      <x:c r="C5" s="12" t="str">
        <x:v>Original list</x:v>
      </x:c>
      <x:c r="D5" s="12" t="str">
        <x:v>Draft screen</x:v>
      </x:c>
      <x:c r="E5" s="12" t="str">
        <x:v>Reviewer decision</x:v>
      </x:c>
      <x:c r="F5" s="12" t="str">
        <x:v>Actual reason / correction</x:v>
      </x:c>
      <x:c r="G5" s="12" t="str">
        <x:v>Reviewer evidence / missing fact</x:v>
      </x:c>
      <x:c r="H5" s="12" t="str">
        <x:v>Reviewer / date</x:v>
      </x:c>
      <x:c r="I5" s="12" t="str">
        <x:v>Question for reviewer</x:v>
      </x:c>
      <x:c r="J5" s="12" t="str">
        <x:v>Draft rule IDs</x:v>
      </x:c>
      <x:c r="K5" s="12" t="str">
        <x:v>Observable explanation; motive unknown</x:v>
      </x:c>
      <x:c r="L5" s="12" t="str">
        <x:v>Historical reason status</x:v>
      </x:c>
      <x:c r="M5" s="12" t="str">
        <x:v>Earlier priority tier</x:v>
      </x:c>
      <x:c r="N5" s="12" t="str">
        <x:v>Earlier priority route</x:v>
      </x:c>
      <x:c r="O5" s="12" t="str">
        <x:v>Life status</x:v>
      </x:c>
      <x:c r="P5" s="12" t="str">
        <x:v>Life issued</x:v>
      </x:c>
      <x:c r="Q5" s="12" t="str">
        <x:v>Life expires</x:v>
      </x:c>
      <x:c r="R5" s="12" t="str">
        <x:v>All active qualifications</x:v>
      </x:c>
      <x:c r="S5" s="12" t="str">
        <x:v>Business phone</x:v>
      </x:c>
      <x:c r="T5" s="12" t="str">
        <x:v>Phone source</x:v>
      </x:c>
      <x:c r="U5" s="12" t="str">
        <x:v>Business address</x:v>
      </x:c>
      <x:c r="V5" s="12" t="str">
        <x:v>Residency</x:v>
      </x:c>
      <x:c r="W5" s="12" t="str">
        <x:v>Search state</x:v>
      </x:c>
      <x:c r="X5" s="12" t="str">
        <x:v>Agencies / qualification / effective date</x:v>
      </x:c>
      <x:c r="Y5" s="12" t="str">
        <x:v>Insurers / qualification / effective date</x:v>
      </x:c>
      <x:c r="Z5" s="12" t="str">
        <x:v>Enforcement / date</x:v>
      </x:c>
      <x:c r="AA5" s="12" t="str">
        <x:v>Complaints</x:v>
      </x:c>
      <x:c r="AB5" s="12" t="str">
        <x:v>Sponsors / qualification / date</x:v>
      </x:c>
      <x:c r="AC5" s="12" t="str">
        <x:v>Employer relationships</x:v>
      </x:c>
      <x:c r="AD5" s="12" t="str">
        <x:v>Positive signals</x:v>
      </x:c>
      <x:c r="AE5" s="12" t="str">
        <x:v>All contextual concerns</x:v>
      </x:c>
      <x:c r="AF5" s="12" t="str">
        <x:v>Life issue-date tenure (years)</x:v>
      </x:c>
      <x:c r="AG5" s="12" t="str">
        <x:v>Life expiry (days from check)</x:v>
      </x:c>
      <x:c r="AH5" s="12" t="str">
        <x:v>Latest Life appointment</x:v>
      </x:c>
      <x:c r="AI5" s="12" t="str">
        <x:v>Reported languages</x:v>
      </x:c>
      <x:c r="AJ5" s="12" t="str">
        <x:v>Original PDF heading</x:v>
      </x:c>
      <x:c r="AK5" s="12" t="str">
        <x:v>Original PDF phone</x:v>
      </x:c>
      <x:c r="AL5" s="12" t="str">
        <x:v>Original PDF name</x:v>
      </x:c>
      <x:c r="AM5" s="12" t="str">
        <x:v>Search names / aliases</x:v>
      </x:c>
      <x:c r="AN5" s="12" t="str">
        <x:v>Direct CDI source</x:v>
      </x:c>
      <x:c r="AO5" s="12" t="str">
        <x:v>Evidence checked</x:v>
      </x:c>
      <x:c r="AP5" s="12" t="str">
        <x:v>Cached source SHA-256</x:v>
      </x:c>
      <x:c r="AQ5" s="12" t="str">
        <x:v>All qualifications / status / issue / status date / expiry</x:v>
      </x:c>
      <x:c r="AR5" s="12" t="str">
        <x:v>Overall search status</x:v>
      </x:c>
      <x:c r="AS5" s="12" t="str">
        <x:v>Name source</x:v>
      </x:c>
    </x:row>
    <x:row r="6" ht="52" customHeight="1">
      <x:c r="A6" s="7" t="str">
        <x:v>ABREU ARIANA</x:v>
      </x:c>
      <x:c r="B6" s="14" t="str">
        <x:f>"4148006"</x:f>
        <x:v>4148006</x:v>
      </x:c>
      <x:c r="C6" s="7" t="str">
        <x:v>Omitted</x:v>
      </x:c>
      <x:c r="D6" s="7" t="str">
        <x:v>FAIL</x:v>
      </x:c>
      <x:c r="E6" s="13" t="str">
        <x:v>Pending</x:v>
      </x:c>
      <x:c r="F6" s="13" t="str"/>
      <x:c r="G6" s="13" t="str"/>
      <x:c r="H6" s="13" t="str"/>
      <x:c r="I6" s="7" t="str">
        <x:v>Was this person reviewed? If rejected, give the actual rule and evidence. If acceptable, correct the omission. Confirm the Life-qualification gate and any record change since selection.</x:v>
      </x:c>
      <x:c r="J6" s="7" t="str">
        <x:v>L1</x:v>
      </x:c>
      <x:c r="K6" s="7" t="str">
        <x:v>Verified qualifications do not include active general Life. Current target-pool mismatch; actual historical omission reason unknown.</x:v>
      </x:c>
      <x:c r="L6" s="7" t="str">
        <x:v>Not supplied; membership is known, motive is not</x:v>
      </x:c>
      <x:c r="M6" s="7" t="n">
        <x:v>7</x:v>
      </x:c>
      <x:c r="N6" s="7" t="str">
        <x:v>Outside current general-Life recruiting pool</x:v>
      </x:c>
      <x:c r="O6" s="7" t="str">
        <x:v>Not displayed</x:v>
      </x:c>
      <x:c r="P6" s="7" t="str"/>
      <x:c r="Q6" s="7" t="str"/>
      <x:c r="R6" s="7" t="str"/>
      <x:c r="S6" s="15" t="str">
        <x:v>661-854-5501</x:v>
      </x:c>
      <x:c r="T6" s="7" t="str">
        <x:v>Current CDI</x:v>
      </x:c>
      <x:c r="U6" s="7" t="str">
        <x:v>1525 COLUMBUS ST STE 400 BAKERSFIELD CA, 93305-2151</x:v>
      </x:c>
      <x:c r="V6" s="7" t="str">
        <x:v>Resident</x:v>
      </x:c>
      <x:c r="W6" s="7" t="str">
        <x:v>CA</x:v>
      </x:c>
      <x:c r="X6" s="7" t="str"/>
      <x:c r="Y6" s="7" t="str"/>
      <x:c r="Z6" s="7" t="str"/>
      <x:c r="AA6" s="7" t="str"/>
      <x:c r="AB6" s="7" t="str">
        <x:v>BRAZZELL MICHAEL ANTHONY / Casualty / 05/10/2022
BRAZZELL MICHAEL ANTHONY / Property / 05/10/2022</x:v>
      </x:c>
      <x:c r="AC6" s="7" t="str"/>
      <x:c r="AD6" s="7" t="str">
        <x:v>No agency or insurer displayed: onboarding opportunity possible; existing business unknown</x:v>
      </x:c>
      <x:c r="AE6" s="7" t="str">
        <x:v>Sponsor relationships displayed: BRAZZELL MICHAEL ANTHONY; inspect line-specific relationship, not a blanket employment inference</x:v>
      </x:c>
      <x:c r="AF6" s="16" t="str"/>
      <x:c r="AG6" s="17" t="str"/>
      <x:c r="AH6" s="7" t="str"/>
      <x:c r="AI6" s="7" t="str">
        <x:v>English</x:v>
      </x:c>
      <x:c r="AJ6" s="7" t="str"/>
      <x:c r="AK6" s="15" t="str"/>
      <x:c r="AL6" s="7" t="str"/>
      <x:c r="AM6" s="7" t="str">
        <x:v>AGUILAR  ARIANA</x:v>
      </x:c>
      <x:c r="AN6" s="7" t="str">
        <x:v>https://cdicloud.insurance.ca.gov/cal/LicenseDetail?SearchType=IND&amp;SearchLicNbr=4148006&amp;SearchIndvId=4148006</x:v>
      </x:c>
      <x:c r="AO6" s="7" t="str">
        <x:v>2026-10-08</x:v>
      </x:c>
      <x:c r="AP6" s="7" t="str">
        <x:v>8a9a52f024b02062a97d0f56a2b425be68b74c5bac65880d23a2f8739c53b866</x:v>
      </x:c>
      <x:c r="AQ6" s="7" t="str">
        <x:v>Casualty / Inactive / 05/09/2022 / 09/30/2023 / 09/30/2023
Motor Club Agent / Inactive / 09/29/2021 / 06/19/2025 / 06/19/2025
Property / Inactive / 05/09/2022 / 09/30/2023 / 09/30/2023</x:v>
      </x:c>
      <x:c r="AR6" s="7" t="str">
        <x:v>Inactive</x:v>
      </x:c>
      <x:c r="AS6" s="7" t="str">
        <x:v>Current detail page</x:v>
      </x:c>
    </x:row>
    <x:row r="7" ht="52" customHeight="1">
      <x:c r="A7" s="7" t="str">
        <x:v>AGUILAR AARON THOMAS</x:v>
      </x:c>
      <x:c r="B7" s="14" t="str">
        <x:f>"0I96992"</x:f>
        <x:v>0I96992</x:v>
      </x:c>
      <x:c r="C7" s="7" t="str">
        <x:v>Omitted</x:v>
      </x:c>
      <x:c r="D7" s="7" t="str">
        <x:v>FAIL</x:v>
      </x:c>
      <x:c r="E7" s="13" t="str">
        <x:v>Pending</x:v>
      </x:c>
      <x:c r="F7" s="13" t="str"/>
      <x:c r="G7" s="13" t="str"/>
      <x:c r="H7" s="13" t="str"/>
      <x:c r="I7" s="7" t="str">
        <x:v>Was this person reviewed? If rejected, give the actual rule and evidence. If acceptable, correct the omission. Confirm the Life-qualification gate and any record change since selection.</x:v>
      </x:c>
      <x:c r="J7" s="7" t="str">
        <x:v>L1</x:v>
      </x:c>
      <x:c r="K7" s="7" t="str">
        <x:v>Verified qualifications do not include active general Life. Current target-pool mismatch; actual historical omission reason unknown.</x:v>
      </x:c>
      <x:c r="L7" s="7" t="str">
        <x:v>Not supplied; membership is known, motive is not</x:v>
      </x:c>
      <x:c r="M7" s="7" t="n">
        <x:v>7</x:v>
      </x:c>
      <x:c r="N7" s="7" t="str">
        <x:v>Outside current general-Life recruiting pool</x:v>
      </x:c>
      <x:c r="O7" s="7" t="str">
        <x:v>Not displayed</x:v>
      </x:c>
      <x:c r="P7" s="7" t="str"/>
      <x:c r="Q7" s="7" t="str"/>
      <x:c r="R7" s="7" t="str"/>
      <x:c r="S7" s="15" t="str"/>
      <x:c r="T7" s="7" t="str">
        <x:v>No public business phone in collected record</x:v>
      </x:c>
      <x:c r="U7" s="7" t="str"/>
      <x:c r="V7" s="7" t="str">
        <x:v>Resident</x:v>
      </x:c>
      <x:c r="W7" s="7" t="str">
        <x:v>CA</x:v>
      </x:c>
      <x:c r="X7" s="7" t="str"/>
      <x:c r="Y7" s="7" t="str"/>
      <x:c r="Z7" s="7" t="str"/>
      <x:c r="AA7" s="7" t="str"/>
      <x:c r="AB7" s="7" t="str"/>
      <x:c r="AC7" s="7" t="str"/>
      <x:c r="AD7" s="7" t="str">
        <x:v>No agency or insurer displayed: onboarding opportunity possible; existing business unknown</x:v>
      </x:c>
      <x:c r="AE7" s="7" t="str">
        <x:v>No public business phone: contact enrichment needed, not proof of poor recruiting fit</x:v>
      </x:c>
      <x:c r="AF7" s="16" t="str"/>
      <x:c r="AG7" s="17" t="str"/>
      <x:c r="AH7" s="7" t="str"/>
      <x:c r="AI7" s="7" t="str"/>
      <x:c r="AJ7" s="7" t="str"/>
      <x:c r="AK7" s="15" t="str"/>
      <x:c r="AL7" s="7" t="str"/>
      <x:c r="AM7" s="7" t="str">
        <x:v>Aguilar T Aaron | AGUILAR THOMAS AARON</x:v>
      </x:c>
      <x:c r="AN7" s="7" t="str">
        <x:v>https://cdicloud.insurance.ca.gov/cal/LicenseDetail?SearchType=IND&amp;SearchLicNbr=0I96992&amp;SearchIndvId=1684281</x:v>
      </x:c>
      <x:c r="AO7" s="7" t="str">
        <x:v>2026-10-08</x:v>
      </x:c>
      <x:c r="AP7" s="7" t="str">
        <x:v>14b2abbd5bf869b8ec4d088e917581fa3a7ab48005547a8a5f86fa4905d07c27</x:v>
      </x:c>
      <x:c r="AQ7" s="7" t="str">
        <x:v>Life-Only / Inactive / 07/14/2014 / 07/31/2016 / 07/31/2016</x:v>
      </x:c>
      <x:c r="AR7" s="7" t="str">
        <x:v>Inactive</x:v>
      </x:c>
      <x:c r="AS7" s="7" t="str">
        <x:v>Current detail page</x:v>
      </x:c>
    </x:row>
    <x:row r="8" ht="52" customHeight="1">
      <x:c r="A8" s="7" t="str">
        <x:v>AGUILAR ABEL</x:v>
      </x:c>
      <x:c r="B8" s="14" t="str">
        <x:f>"0K54801"</x:f>
        <x:v>0K54801</x:v>
      </x:c>
      <x:c r="C8" s="7" t="str">
        <x:v>Omitted</x:v>
      </x:c>
      <x:c r="D8" s="7" t="str">
        <x:v>FAIL</x:v>
      </x:c>
      <x:c r="E8" s="13" t="str">
        <x:v>Pending</x:v>
      </x:c>
      <x:c r="F8" s="13" t="str"/>
      <x:c r="G8" s="13" t="str"/>
      <x:c r="H8" s="13" t="str"/>
      <x:c r="I8" s="7" t="str">
        <x:v>Was this person reviewed? If rejected, give the actual rule and evidence. If acceptable, correct the omission. Confirm the Life-qualification gate and any record change since selection.</x:v>
      </x:c>
      <x:c r="J8" s="7" t="str">
        <x:v>L1</x:v>
      </x:c>
      <x:c r="K8" s="7" t="str">
        <x:v>Verified qualifications do not include active general Life. Current target-pool mismatch; actual historical omission reason unknown.</x:v>
      </x:c>
      <x:c r="L8" s="7" t="str">
        <x:v>Not supplied; membership is known, motive is not</x:v>
      </x:c>
      <x:c r="M8" s="7" t="n">
        <x:v>7</x:v>
      </x:c>
      <x:c r="N8" s="7" t="str">
        <x:v>Outside current general-Life recruiting pool</x:v>
      </x:c>
      <x:c r="O8" s="7" t="str">
        <x:v>Inactive</x:v>
      </x:c>
      <x:c r="P8" s="7" t="str">
        <x:v>10/19/2015</x:v>
      </x:c>
      <x:c r="Q8" s="7" t="str">
        <x:v>10/31/2021</x:v>
      </x:c>
      <x:c r="R8" s="7" t="str"/>
      <x:c r="S8" s="15" t="str">
        <x:v>408-775-3518</x:v>
      </x:c>
      <x:c r="T8" s="7" t="str">
        <x:v>Current CDI</x:v>
      </x:c>
      <x:c r="U8" s="7" t="str">
        <x:v>2221 OAKLAND RD STE 100 SAN JOSE CA, 95131</x:v>
      </x:c>
      <x:c r="V8" s="7" t="str">
        <x:v>Resident</x:v>
      </x:c>
      <x:c r="W8" s="7" t="str">
        <x:v>CA</x:v>
      </x:c>
      <x:c r="X8" s="7" t="str"/>
      <x:c r="Y8" s="7" t="str"/>
      <x:c r="Z8" s="7" t="str"/>
      <x:c r="AA8" s="7" t="str"/>
      <x:c r="AB8" s="7" t="str"/>
      <x:c r="AC8" s="7" t="str"/>
      <x:c r="AD8" s="7" t="str">
        <x:v>No agency or insurer displayed: onboarding opportunity possible; existing business unknown</x:v>
      </x:c>
      <x:c r="AE8" s="7" t="str"/>
      <x:c r="AF8" s="16" t="str"/>
      <x:c r="AG8" s="17" t="str"/>
      <x:c r="AH8" s="7" t="str"/>
      <x:c r="AI8" s="7" t="str">
        <x:v>English</x:v>
      </x:c>
      <x:c r="AJ8" s="7" t="str"/>
      <x:c r="AK8" s="15" t="str"/>
      <x:c r="AL8" s="7" t="str"/>
      <x:c r="AM8" s="7" t="str">
        <x:v>AGUILAR  ABEL | Aguilar Nieto  Abel</x:v>
      </x:c>
      <x:c r="AN8" s="7" t="str">
        <x:v>https://cdicloud.insurance.ca.gov/cal/LicenseDetail?SearchType=IND&amp;SearchLicNbr=0K54801&amp;SearchIndvId=1796028</x:v>
      </x:c>
      <x:c r="AO8" s="7" t="str">
        <x:v>2026-10-08</x:v>
      </x:c>
      <x:c r="AP8" s="7" t="str">
        <x:v>f9a8fd987d2d15880db1d1a50b53c0a5c5c7eca2b10833d363f037585ca31e7a</x:v>
      </x:c>
      <x:c r="AQ8" s="7" t="str">
        <x:v>Life / Inactive / 10/19/2015 / 10/31/2021 / 10/31/2021</x:v>
      </x:c>
      <x:c r="AR8" s="7" t="str">
        <x:v>Inactive</x:v>
      </x:c>
      <x:c r="AS8" s="7" t="str">
        <x:v>Current detail page</x:v>
      </x:c>
    </x:row>
    <x:row r="9" ht="52" customHeight="1">
      <x:c r="A9" s="7" t="str">
        <x:v>AGUILAR ABEL CIRILO</x:v>
      </x:c>
      <x:c r="B9" s="14" t="str">
        <x:f>"0F21949"</x:f>
        <x:v>0F21949</x:v>
      </x:c>
      <x:c r="C9" s="7" t="str">
        <x:v>Omitted</x:v>
      </x:c>
      <x:c r="D9" s="7" t="str">
        <x:v>FAIL</x:v>
      </x:c>
      <x:c r="E9" s="13" t="str">
        <x:v>Pending</x:v>
      </x:c>
      <x:c r="F9" s="13" t="str"/>
      <x:c r="G9" s="13" t="str"/>
      <x:c r="H9" s="13" t="str"/>
      <x:c r="I9" s="7" t="str">
        <x:v>Was this person reviewed? If rejected, give the actual rule and evidence. If acceptable, correct the omission. Confirm the Life-qualification gate and any record change since selection.</x:v>
      </x:c>
      <x:c r="J9" s="7" t="str">
        <x:v>L1</x:v>
      </x:c>
      <x:c r="K9" s="7" t="str">
        <x:v>Verified qualifications do not include active general Life. Current target-pool mismatch; actual historical omission reason unknown.</x:v>
      </x:c>
      <x:c r="L9" s="7" t="str">
        <x:v>Not supplied; membership is known, motive is not</x:v>
      </x:c>
      <x:c r="M9" s="7" t="n">
        <x:v>7</x:v>
      </x:c>
      <x:c r="N9" s="7" t="str">
        <x:v>Outside current general-Life recruiting pool</x:v>
      </x:c>
      <x:c r="O9" s="7" t="str">
        <x:v>Not displayed</x:v>
      </x:c>
      <x:c r="P9" s="7" t="str"/>
      <x:c r="Q9" s="7" t="str"/>
      <x:c r="R9" s="7" t="str"/>
      <x:c r="S9" s="15" t="str"/>
      <x:c r="T9" s="7" t="str">
        <x:v>No public business phone in collected record</x:v>
      </x:c>
      <x:c r="U9" s="7" t="str"/>
      <x:c r="V9" s="7" t="str">
        <x:v>Resident</x:v>
      </x:c>
      <x:c r="W9" s="7" t="str">
        <x:v>CA</x:v>
      </x:c>
      <x:c r="X9" s="7" t="str"/>
      <x:c r="Y9" s="7" t="str"/>
      <x:c r="Z9" s="7" t="str"/>
      <x:c r="AA9" s="7" t="str"/>
      <x:c r="AB9" s="7" t="str"/>
      <x:c r="AC9" s="7" t="str"/>
      <x:c r="AD9" s="7" t="str">
        <x:v>No agency or insurer displayed: onboarding opportunity possible; existing business unknown</x:v>
      </x:c>
      <x:c r="AE9" s="7" t="str">
        <x:v>No public business phone: contact enrichment needed, not proof of poor recruiting fit</x:v>
      </x:c>
      <x:c r="AF9" s="16" t="str"/>
      <x:c r="AG9" s="17" t="str"/>
      <x:c r="AH9" s="7" t="str"/>
      <x:c r="AI9" s="7" t="str"/>
      <x:c r="AJ9" s="7" t="str"/>
      <x:c r="AK9" s="15" t="str"/>
      <x:c r="AL9" s="7" t="str"/>
      <x:c r="AM9" s="7" t="str">
        <x:v>AGUILAR CIRILO ABEL</x:v>
      </x:c>
      <x:c r="AN9" s="7" t="str">
        <x:v>https://cdicloud.insurance.ca.gov/cal/LicenseDetail?SearchType=IND&amp;SearchLicNbr=0F21949&amp;SearchIndvId=1029414</x:v>
      </x:c>
      <x:c r="AO9" s="7" t="str">
        <x:v>2026-10-08</x:v>
      </x:c>
      <x:c r="AP9" s="7" t="str">
        <x:v>1cb976b435df95c3db0018b878f99e2a526409729330c36224defa4435e9a6ae</x:v>
      </x:c>
      <x:c r="AQ9" s="7" t="str">
        <x:v>Accident and Health / Inactive / 06/06/2006 / 06/30/2008 / 06/30/2008
Life-Only / Inactive / 06/06/2006 / 06/30/2008 / 06/30/2008</x:v>
      </x:c>
      <x:c r="AR9" s="7" t="str">
        <x:v>Inactive</x:v>
      </x:c>
      <x:c r="AS9" s="7" t="str">
        <x:v>Current detail page</x:v>
      </x:c>
    </x:row>
    <x:row r="10" ht="52" customHeight="1">
      <x:c r="A10" s="7" t="str">
        <x:v>AGUILAR ABEL ERNESTO</x:v>
      </x:c>
      <x:c r="B10" s="14" t="str">
        <x:f>"0F33949"</x:f>
        <x:v>0F33949</x:v>
      </x:c>
      <x:c r="C10" s="7" t="str">
        <x:v>Omitted</x:v>
      </x:c>
      <x:c r="D10" s="7" t="str">
        <x:v>FAIL</x:v>
      </x:c>
      <x:c r="E10" s="13" t="str">
        <x:v>Pending</x:v>
      </x:c>
      <x:c r="F10" s="13" t="str"/>
      <x:c r="G10" s="13" t="str"/>
      <x:c r="H10" s="13" t="str"/>
      <x:c r="I10" s="7" t="str">
        <x:v>Was this person reviewed? If rejected, give the actual rule and evidence. If acceptable, correct the omission. Confirm the Life-qualification gate and any record change since selection.</x:v>
      </x:c>
      <x:c r="J10" s="7" t="str">
        <x:v>L1</x:v>
      </x:c>
      <x:c r="K10" s="7" t="str">
        <x:v>Verified qualifications do not include active general Life. Current target-pool mismatch; actual historical omission reason unknown.</x:v>
      </x:c>
      <x:c r="L10" s="7" t="str">
        <x:v>Not supplied; membership is known, motive is not</x:v>
      </x:c>
      <x:c r="M10" s="7" t="n">
        <x:v>7</x:v>
      </x:c>
      <x:c r="N10" s="7" t="str">
        <x:v>Outside current general-Life recruiting pool</x:v>
      </x:c>
      <x:c r="O10" s="7" t="str">
        <x:v>Not displayed</x:v>
      </x:c>
      <x:c r="P10" s="7" t="str"/>
      <x:c r="Q10" s="7" t="str"/>
      <x:c r="R10" s="7" t="str"/>
      <x:c r="S10" s="15" t="str"/>
      <x:c r="T10" s="7" t="str">
        <x:v>No public business phone in collected record</x:v>
      </x:c>
      <x:c r="U10" s="7" t="str"/>
      <x:c r="V10" s="7" t="str">
        <x:v>Resident</x:v>
      </x:c>
      <x:c r="W10" s="7" t="str">
        <x:v>CA</x:v>
      </x:c>
      <x:c r="X10" s="7" t="str"/>
      <x:c r="Y10" s="7" t="str"/>
      <x:c r="Z10" s="7" t="str"/>
      <x:c r="AA10" s="7" t="str"/>
      <x:c r="AB10" s="7" t="str"/>
      <x:c r="AC10" s="7" t="str"/>
      <x:c r="AD10" s="7" t="str">
        <x:v>No agency or insurer displayed: onboarding opportunity possible; existing business unknown</x:v>
      </x:c>
      <x:c r="AE10" s="7" t="str">
        <x:v>No public business phone: contact enrichment needed, not proof of poor recruiting fit</x:v>
      </x:c>
      <x:c r="AF10" s="16" t="str"/>
      <x:c r="AG10" s="17" t="str"/>
      <x:c r="AH10" s="7" t="str"/>
      <x:c r="AI10" s="7" t="str"/>
      <x:c r="AJ10" s="7" t="str"/>
      <x:c r="AK10" s="15" t="str"/>
      <x:c r="AL10" s="7" t="str"/>
      <x:c r="AM10" s="7" t="str">
        <x:v>AGUILAR ERNESTO ABEL</x:v>
      </x:c>
      <x:c r="AN10" s="7" t="str">
        <x:v>https://cdicloud.insurance.ca.gov/cal/LicenseDetail?SearchType=IND&amp;SearchLicNbr=0F33949&amp;SearchIndvId=1044558</x:v>
      </x:c>
      <x:c r="AO10" s="7" t="str">
        <x:v>2026-10-08</x:v>
      </x:c>
      <x:c r="AP10" s="7" t="str">
        <x:v>666377417c1e2ad1ae01fa2c4a29f1e26a4437309a9b2f2c3ba159668cd6bdd9</x:v>
      </x:c>
      <x:c r="AQ10" s="7" t="str">
        <x:v>Accident and Health / Inactive / 09/09/2006 / 09/30/2008 / 09/30/2008
Life-Only / Inactive / 09/09/2006 / 09/30/2008 / 09/30/2008</x:v>
      </x:c>
      <x:c r="AR10" s="7" t="str">
        <x:v>Inactive</x:v>
      </x:c>
      <x:c r="AS10" s="7" t="str">
        <x:v>Current detail page</x:v>
      </x:c>
    </x:row>
    <x:row r="11" ht="52" customHeight="1">
      <x:c r="A11" s="7" t="str">
        <x:v>AGUILAR ABIGAIL</x:v>
      </x:c>
      <x:c r="B11" s="14" t="str">
        <x:f>"4174310"</x:f>
        <x:v>4174310</x:v>
      </x:c>
      <x:c r="C11" s="7" t="str">
        <x:v>Omitted</x:v>
      </x:c>
      <x:c r="D11" s="7" t="str">
        <x:v>FAIL</x:v>
      </x:c>
      <x:c r="E11" s="13" t="str">
        <x:v>Pending</x:v>
      </x:c>
      <x:c r="F11" s="13" t="str"/>
      <x:c r="G11" s="13" t="str"/>
      <x:c r="H11" s="13" t="str"/>
      <x:c r="I11" s="7" t="str">
        <x:v>Was this person reviewed? If rejected, give the actual rule and evidence. If acceptable, correct the omission. Confirm the Life-qualification gate and any record change since selection.</x:v>
      </x:c>
      <x:c r="J11" s="7" t="str">
        <x:v>L1</x:v>
      </x:c>
      <x:c r="K11" s="7" t="str">
        <x:v>Verified qualifications do not include active general Life. Current target-pool mismatch; actual historical omission reason unknown.</x:v>
      </x:c>
      <x:c r="L11" s="7" t="str">
        <x:v>Not supplied; membership is known, motive is not</x:v>
      </x:c>
      <x:c r="M11" s="7" t="n">
        <x:v>7</x:v>
      </x:c>
      <x:c r="N11" s="7" t="str">
        <x:v>Outside current general-Life recruiting pool</x:v>
      </x:c>
      <x:c r="O11" s="7" t="str">
        <x:v>Inactive</x:v>
      </x:c>
      <x:c r="P11" s="7" t="str">
        <x:v>11/16/2021</x:v>
      </x:c>
      <x:c r="Q11" s="7" t="str">
        <x:v>11/30/2023</x:v>
      </x:c>
      <x:c r="R11" s="7" t="str"/>
      <x:c r="S11" s="15" t="str">
        <x:v>562-658-6280</x:v>
      </x:c>
      <x:c r="T11" s="7" t="str">
        <x:v>Current CDI</x:v>
      </x:c>
      <x:c r="U11" s="7" t="str">
        <x:v>5220 CLARK AVE STE 202 LAKEWOOD CA, 90712</x:v>
      </x:c>
      <x:c r="V11" s="7" t="str">
        <x:v>Resident</x:v>
      </x:c>
      <x:c r="W11" s="7" t="str">
        <x:v>CA</x:v>
      </x:c>
      <x:c r="X11" s="7" t="str"/>
      <x:c r="Y11" s="7" t="str"/>
      <x:c r="Z11" s="7" t="str"/>
      <x:c r="AA11" s="7" t="str"/>
      <x:c r="AB11" s="7" t="str"/>
      <x:c r="AC11" s="7" t="str"/>
      <x:c r="AD11" s="7" t="str">
        <x:v>No agency or insurer displayed: onboarding opportunity possible; existing business unknown</x:v>
      </x:c>
      <x:c r="AE11" s="7" t="str"/>
      <x:c r="AF11" s="16" t="str"/>
      <x:c r="AG11" s="17" t="str"/>
      <x:c r="AH11" s="7" t="str"/>
      <x:c r="AI11" s="7" t="str">
        <x:v>English</x:v>
      </x:c>
      <x:c r="AJ11" s="7" t="str"/>
      <x:c r="AK11" s="15" t="str"/>
      <x:c r="AL11" s="7" t="str"/>
      <x:c r="AM11" s="7" t="str">
        <x:v>AGUILAR  ABIGAIL</x:v>
      </x:c>
      <x:c r="AN11" s="7" t="str">
        <x:v>https://cdicloud.insurance.ca.gov/cal/LicenseDetail?SearchType=IND&amp;SearchLicNbr=4174310&amp;SearchIndvId=4174310</x:v>
      </x:c>
      <x:c r="AO11" s="7" t="str">
        <x:v>2026-10-08</x:v>
      </x:c>
      <x:c r="AP11" s="7" t="str">
        <x:v>e93a8869d6f0a7be27387b453b43e97af54521a172b626c72f8597bc29b18700</x:v>
      </x:c>
      <x:c r="AQ11" s="7" t="str">
        <x:v>Life / Inactive / 11/16/2021 / 11/30/2023 / 11/30/2023</x:v>
      </x:c>
      <x:c r="AR11" s="7" t="str">
        <x:v>Inactive</x:v>
      </x:c>
      <x:c r="AS11" s="7" t="str">
        <x:v>Current detail page</x:v>
      </x:c>
    </x:row>
    <x:row r="12" ht="52" customHeight="1">
      <x:c r="A12" s="7" t="str">
        <x:v>AGUILAR ABIGAIL</x:v>
      </x:c>
      <x:c r="B12" s="14" t="str">
        <x:f>"4578399"</x:f>
        <x:v>4578399</x:v>
      </x:c>
      <x:c r="C12" s="7" t="str">
        <x:v>Omitted</x:v>
      </x:c>
      <x:c r="D12" s="7" t="str">
        <x:v>FAIL</x:v>
      </x:c>
      <x:c r="E12" s="13" t="str">
        <x:v>Pending</x:v>
      </x:c>
      <x:c r="F12" s="13" t="str"/>
      <x:c r="G12" s="13" t="str"/>
      <x:c r="H12" s="13" t="str"/>
      <x:c r="I12" s="7" t="str">
        <x:v>Was this person reviewed? If rejected, give the actual rule and evidence. If acceptable, correct the omission. Confirm the Life-qualification gate and any record change since selection.</x:v>
      </x:c>
      <x:c r="J12" s="7" t="str">
        <x:v>L1</x:v>
      </x:c>
      <x:c r="K12" s="7" t="str">
        <x:v>Verified qualifications do not include active general Life. Current target-pool mismatch; actual historical omission reason unknown.</x:v>
      </x:c>
      <x:c r="L12" s="7" t="str">
        <x:v>Not supplied; membership is known, motive is not</x:v>
      </x:c>
      <x:c r="M12" s="7" t="n">
        <x:v>7</x:v>
      </x:c>
      <x:c r="N12" s="7" t="str">
        <x:v>Outside current general-Life recruiting pool</x:v>
      </x:c>
      <x:c r="O12" s="7" t="str">
        <x:v>Not displayed</x:v>
      </x:c>
      <x:c r="P12" s="7" t="str"/>
      <x:c r="Q12" s="7" t="str"/>
      <x:c r="R12" s="7" t="str">
        <x:v>Casualty; Property</x:v>
      </x:c>
      <x:c r="S12" s="15" t="str"/>
      <x:c r="T12" s="7" t="str">
        <x:v>No public business phone in collected record</x:v>
      </x:c>
      <x:c r="U12" s="7" t="str">
        <x:v>6303 OWENSMOUTH AVE WOODLAND HILLS CA, 91367-2264</x:v>
      </x:c>
      <x:c r="V12" s="7" t="str">
        <x:v>Non-resident</x:v>
      </x:c>
      <x:c r="W12" s="7" t="str">
        <x:v>CA</x:v>
      </x:c>
      <x:c r="X12" s="7" t="str">
        <x:v>FX INSURANCE AGENCY, LLC / Casualty / 09/24/2026
FX INSURANCE AGENCY, LLC / Property / 09/24/2026</x:v>
      </x:c>
      <x:c r="Y12" s="7" t="str">
        <x:v>FARMERS DIRECT PROPERTY AND CASUALTY INSURANCE COMPANY / Casualty / 09/19/2026
FARMERS DIRECT PROPERTY AND CASUALTY INSURANCE COMPANY / Property / 09/19/2026</x:v>
      </x:c>
      <x:c r="Z12" s="7" t="str"/>
      <x:c r="AA12" s="7" t="str"/>
      <x:c r="AB12" s="7" t="str"/>
      <x:c r="AC12" s="7" t="str"/>
      <x:c r="AD12" s="7" t="str"/>
      <x:c r="AE12"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12" s="16" t="str"/>
      <x:c r="AG12" s="17" t="str"/>
      <x:c r="AH12" s="7" t="str"/>
      <x:c r="AI12" s="7" t="str"/>
      <x:c r="AJ12" s="7" t="str"/>
      <x:c r="AK12" s="15" t="str"/>
      <x:c r="AL12" s="7" t="str"/>
      <x:c r="AM12" s="7" t="str">
        <x:v>AGUILAR  ABIGAIL</x:v>
      </x:c>
      <x:c r="AN12" s="7" t="str">
        <x:v>https://cdicloud.insurance.ca.gov/cal/LicenseDetail?SearchType=IND&amp;SearchLicNbr=4578399&amp;SearchIndvId=4578399</x:v>
      </x:c>
      <x:c r="AO12" s="7" t="str">
        <x:v>2026-10-08</x:v>
      </x:c>
      <x:c r="AP12" s="7" t="str">
        <x:v>198da8b1fe8f968771345663dc5be29720704fa4b5cf6526123a75d9d0b10cb8</x:v>
      </x:c>
      <x:c r="AQ12" s="7" t="str">
        <x:v>Casualty / Active / 09/17/2026 / 09/17/2026 / 09/30/2028
Property / Active / 09/17/2026 / 09/17/2026 / 09/30/2028</x:v>
      </x:c>
      <x:c r="AR12" s="7" t="str">
        <x:v>Active</x:v>
      </x:c>
      <x:c r="AS12" s="7" t="str">
        <x:v>Current detail page</x:v>
      </x:c>
    </x:row>
    <x:row r="13" ht="52" customHeight="1">
      <x:c r="A13" s="7" t="str">
        <x:v>AGUILAR ABINY JADE</x:v>
      </x:c>
      <x:c r="B13" s="14" t="str">
        <x:f>"4447037"</x:f>
        <x:v>4447037</x:v>
      </x:c>
      <x:c r="C13" s="7" t="str">
        <x:v>Omitted</x:v>
      </x:c>
      <x:c r="D13" s="7" t="str">
        <x:v>FAIL</x:v>
      </x:c>
      <x:c r="E13" s="13" t="str">
        <x:v>Pending</x:v>
      </x:c>
      <x:c r="F13" s="13" t="str"/>
      <x:c r="G13" s="13" t="str"/>
      <x:c r="H13" s="13" t="str"/>
      <x:c r="I13" s="7" t="str">
        <x:v>Was this person reviewed? If rejected, give the actual rule and evidence. If acceptable, correct the omission. Confirm the Life-qualification gate and any record change since selection.</x:v>
      </x:c>
      <x:c r="J13" s="7" t="str">
        <x:v>L1</x:v>
      </x:c>
      <x:c r="K13" s="7" t="str">
        <x:v>Verified qualifications do not include active general Life. Current target-pool mismatch; actual historical omission reason unknown.</x:v>
      </x:c>
      <x:c r="L13" s="7" t="str">
        <x:v>Not supplied; membership is known, motive is not</x:v>
      </x:c>
      <x:c r="M13" s="7" t="n">
        <x:v>7</x:v>
      </x:c>
      <x:c r="N13" s="7" t="str">
        <x:v>Outside current general-Life recruiting pool</x:v>
      </x:c>
      <x:c r="O13" s="7" t="str">
        <x:v>Not displayed</x:v>
      </x:c>
      <x:c r="P13" s="7" t="str"/>
      <x:c r="Q13" s="7" t="str"/>
      <x:c r="R13" s="7" t="str">
        <x:v>Accident &amp; Health or Sickness</x:v>
      </x:c>
      <x:c r="S13" s="15" t="str"/>
      <x:c r="T13" s="7" t="str">
        <x:v>No public business phone in collected record</x:v>
      </x:c>
      <x:c r="U13" s="7" t="str">
        <x:v>3323 W COMMERCIAL BLVD STE 200 FORT LAUDERDALE FL, 33309-3432</x:v>
      </x:c>
      <x:c r="V13" s="7" t="str">
        <x:v>Non-resident</x:v>
      </x:c>
      <x:c r="W13" s="7" t="str">
        <x:v>FL</x:v>
      </x:c>
      <x:c r="X13" s="7" t="str"/>
      <x:c r="Y13" s="7" t="str">
        <x:v>UNITED STATES FIRE INSURANCE COMPANY / Accident &amp; Health or Sickness / 10/16/2025
ZURICH AMERICAN INSURANCE COMPANY / Accident &amp; Health or Sickness / 05/20/2026</x:v>
      </x:c>
      <x:c r="Z13" s="7" t="str"/>
      <x:c r="AA13" s="7" t="str"/>
      <x:c r="AB13" s="7" t="str"/>
      <x:c r="AC13" s="7" t="str"/>
      <x:c r="AD13" s="7" t="str">
        <x:v>Active A&amp;H supports optional cross-selling; not necessary for target products</x:v>
      </x:c>
      <x:c r="AE13" s="7" t="str">
        <x:v>Displayed insurer appointments are A&amp;H/disability only despite active Life authority | Nonresident or address state outside CA; confirm geographic recruiting scope | No public business phone: contact enrichment needed, not proof of poor recruiting fit</x:v>
      </x:c>
      <x:c r="AF13" s="16" t="str"/>
      <x:c r="AG13" s="17" t="str"/>
      <x:c r="AH13" s="7" t="str"/>
      <x:c r="AI13" s="7" t="str"/>
      <x:c r="AJ13" s="7" t="str"/>
      <x:c r="AK13" s="15" t="str"/>
      <x:c r="AL13" s="7" t="str"/>
      <x:c r="AM13" s="7" t="str">
        <x:v>AGUILAR JADE ABINY</x:v>
      </x:c>
      <x:c r="AN13" s="7" t="str">
        <x:v>https://cdicloud.insurance.ca.gov/cal/LicenseDetail?SearchType=IND&amp;SearchLicNbr=4447037&amp;SearchIndvId=4447037</x:v>
      </x:c>
      <x:c r="AO13" s="7" t="str">
        <x:v>2026-10-08</x:v>
      </x:c>
      <x:c r="AP13" s="7" t="str">
        <x:v>0cf6169069f9f2ecab56197ac2e7287d10e287a798b480e98bfc7aa7149cd87b</x:v>
      </x:c>
      <x:c r="AQ13" s="7" t="str">
        <x:v>Accident &amp; Health or Sickness / Active / 03/03/2025 / 03/03/2025 / 03/31/2027</x:v>
      </x:c>
      <x:c r="AR13" s="7" t="str">
        <x:v>Active</x:v>
      </x:c>
      <x:c r="AS13" s="7" t="str">
        <x:v>Current detail page</x:v>
      </x:c>
    </x:row>
    <x:row r="14" ht="52" customHeight="1">
      <x:c r="A14" s="7" t="str">
        <x:v>AGUILAR ADAH LEAH</x:v>
      </x:c>
      <x:c r="B14" s="14" t="str">
        <x:f>"0D87366"</x:f>
        <x:v>0D87366</x:v>
      </x:c>
      <x:c r="C14" s="7" t="str">
        <x:v>Omitted</x:v>
      </x:c>
      <x:c r="D14" s="7" t="str">
        <x:v>FAIL</x:v>
      </x:c>
      <x:c r="E14" s="13" t="str">
        <x:v>Pending</x:v>
      </x:c>
      <x:c r="F14" s="13" t="str"/>
      <x:c r="G14" s="13" t="str"/>
      <x:c r="H14" s="13" t="str"/>
      <x:c r="I14" s="7" t="str">
        <x:v>Was this person reviewed? If rejected, give the actual rule and evidence. If acceptable, correct the omission. Confirm the Life-qualification gate and any record change since selection.</x:v>
      </x:c>
      <x:c r="J14" s="7" t="str">
        <x:v>L1</x:v>
      </x:c>
      <x:c r="K14" s="7" t="str">
        <x:v>Verified qualifications do not include active general Life. Current target-pool mismatch; actual historical omission reason unknown.</x:v>
      </x:c>
      <x:c r="L14" s="7" t="str">
        <x:v>Not supplied; membership is known, motive is not</x:v>
      </x:c>
      <x:c r="M14" s="7" t="n">
        <x:v>7</x:v>
      </x:c>
      <x:c r="N14" s="7" t="str">
        <x:v>Outside current general-Life recruiting pool</x:v>
      </x:c>
      <x:c r="O14" s="7" t="str">
        <x:v>Not displayed</x:v>
      </x:c>
      <x:c r="P14" s="7" t="str"/>
      <x:c r="Q14" s="7" t="str"/>
      <x:c r="R14" s="7" t="str"/>
      <x:c r="S14" s="15" t="str"/>
      <x:c r="T14" s="7" t="str">
        <x:v>No public business phone in collected record</x:v>
      </x:c>
      <x:c r="U14" s="7" t="str"/>
      <x:c r="V14" s="7" t="str">
        <x:v>Resident</x:v>
      </x:c>
      <x:c r="W14" s="7" t="str">
        <x:v>CA</x:v>
      </x:c>
      <x:c r="X14" s="7" t="str"/>
      <x:c r="Y14" s="7" t="str"/>
      <x:c r="Z14" s="7" t="str"/>
      <x:c r="AA14" s="7" t="str"/>
      <x:c r="AB14" s="7" t="str"/>
      <x:c r="AC14" s="7" t="str"/>
      <x:c r="AD14" s="7" t="str">
        <x:v>No agency or insurer displayed: onboarding opportunity possible; existing business unknown</x:v>
      </x:c>
      <x:c r="AE14" s="7" t="str">
        <x:v>No public business phone: contact enrichment needed, not proof of poor recruiting fit</x:v>
      </x:c>
      <x:c r="AF14" s="16" t="str"/>
      <x:c r="AG14" s="17" t="str"/>
      <x:c r="AH14" s="7" t="str"/>
      <x:c r="AI14" s="7" t="str"/>
      <x:c r="AJ14" s="7" t="str"/>
      <x:c r="AK14" s="15" t="str"/>
      <x:c r="AL14" s="7" t="str"/>
      <x:c r="AM14" s="7" t="str">
        <x:v>AGUILAR LEAH ADAH</x:v>
      </x:c>
      <x:c r="AN14" s="7" t="str">
        <x:v>https://cdicloud.insurance.ca.gov/cal/LicenseDetail?SearchType=IND&amp;SearchLicNbr=0D87366&amp;SearchIndvId=825813</x:v>
      </x:c>
      <x:c r="AO14" s="7" t="str">
        <x:v>2026-10-08</x:v>
      </x:c>
      <x:c r="AP14" s="7" t="str">
        <x:v>bb223f308eabbc95d995ca04892be64e45e02ca703e0fae5bd22f1d081fda518</x:v>
      </x:c>
      <x:c r="AQ14" s="7" t="str">
        <x:v>Casualty Broker-Agent / Inactive / 01/17/2003 / 01/31/2005 / 01/31/2005
Property Broker-Agent / Inactive / 01/17/2003 / 01/31/2005 / 01/31/2005</x:v>
      </x:c>
      <x:c r="AR14" s="7" t="str">
        <x:v>Inactive</x:v>
      </x:c>
      <x:c r="AS14" s="7" t="str">
        <x:v>Current detail page</x:v>
      </x:c>
    </x:row>
    <x:row r="15" ht="52" customHeight="1">
      <x:c r="A15" s="7" t="str">
        <x:v>AGUILAR ADAM ALFREDO</x:v>
      </x:c>
      <x:c r="B15" s="14" t="str">
        <x:f>"0K79449"</x:f>
        <x:v>0K79449</x:v>
      </x:c>
      <x:c r="C15" s="7" t="str">
        <x:v>Omitted</x:v>
      </x:c>
      <x:c r="D15" s="7" t="str">
        <x:v>FAIL</x:v>
      </x:c>
      <x:c r="E15" s="13" t="str">
        <x:v>Pending</x:v>
      </x:c>
      <x:c r="F15" s="13" t="str"/>
      <x:c r="G15" s="13" t="str"/>
      <x:c r="H15" s="13" t="str"/>
      <x:c r="I15" s="7" t="str">
        <x:v>Was this person reviewed? If rejected, give the actual rule and evidence. If acceptable, correct the omission. Confirm the Life-qualification gate and any record change since selection.</x:v>
      </x:c>
      <x:c r="J15" s="7" t="str">
        <x:v>L1</x:v>
      </x:c>
      <x:c r="K15" s="7" t="str">
        <x:v>Verified qualifications do not include active general Life. Current target-pool mismatch; actual historical omission reason unknown.</x:v>
      </x:c>
      <x:c r="L15" s="7" t="str">
        <x:v>Not supplied; membership is known, motive is not</x:v>
      </x:c>
      <x:c r="M15" s="7" t="n">
        <x:v>7</x:v>
      </x:c>
      <x:c r="N15" s="7" t="str">
        <x:v>Outside current general-Life recruiting pool</x:v>
      </x:c>
      <x:c r="O15" s="7" t="str">
        <x:v>Not displayed</x:v>
      </x:c>
      <x:c r="P15" s="7" t="str"/>
      <x:c r="Q15" s="7" t="str"/>
      <x:c r="R15" s="7" t="str"/>
      <x:c r="S15" s="15" t="str"/>
      <x:c r="T15" s="7" t="str">
        <x:v>No public business phone in collected record</x:v>
      </x:c>
      <x:c r="U15" s="7" t="str"/>
      <x:c r="V15" s="7" t="str">
        <x:v>Resident</x:v>
      </x:c>
      <x:c r="W15" s="7" t="str">
        <x:v>CA</x:v>
      </x:c>
      <x:c r="X15" s="7" t="str"/>
      <x:c r="Y15" s="7" t="str"/>
      <x:c r="Z15" s="7" t="str"/>
      <x:c r="AA15" s="7" t="str"/>
      <x:c r="AB15" s="7" t="str"/>
      <x:c r="AC15" s="7" t="str"/>
      <x:c r="AD15" s="7" t="str">
        <x:v>No agency or insurer displayed: onboarding opportunity possible; existing business unknown</x:v>
      </x:c>
      <x:c r="AE15" s="7" t="str">
        <x:v>No public business phone: contact enrichment needed, not proof of poor recruiting fit</x:v>
      </x:c>
      <x:c r="AF15" s="16" t="str"/>
      <x:c r="AG15" s="17" t="str"/>
      <x:c r="AH15" s="7" t="str"/>
      <x:c r="AI15" s="7" t="str"/>
      <x:c r="AJ15" s="7" t="str"/>
      <x:c r="AK15" s="15" t="str"/>
      <x:c r="AL15" s="7" t="str"/>
      <x:c r="AM15" s="7" t="str">
        <x:v>Aguilar A Adam | AGUILAR ALFREDO ADAM</x:v>
      </x:c>
      <x:c r="AN15" s="7" t="str">
        <x:v>https://cdicloud.insurance.ca.gov/cal/LicenseDetail?SearchType=IND&amp;SearchLicNbr=0K79449&amp;SearchIndvId=1824106</x:v>
      </x:c>
      <x:c r="AO15" s="7" t="str">
        <x:v>2026-10-08</x:v>
      </x:c>
      <x:c r="AP15" s="7" t="str">
        <x:v>1ab06e9ad7e36c010c48fcd7c0d1a7a0b018c0e544d049dd4851f6ad5a60c098</x:v>
      </x:c>
      <x:c r="AQ15" s="7" t="str">
        <x:v>Life-Only / Inactive / 03/15/2016 / 03/31/2018 / 03/31/2018</x:v>
      </x:c>
      <x:c r="AR15" s="7" t="str">
        <x:v>Inactive</x:v>
      </x:c>
      <x:c r="AS15" s="7" t="str">
        <x:v>Current detail page</x:v>
      </x:c>
    </x:row>
    <x:row r="16" ht="52" customHeight="1">
      <x:c r="A16" s="7" t="str">
        <x:v>AGUILAR ADAM PAUL</x:v>
      </x:c>
      <x:c r="B16" s="14" t="str">
        <x:f>"0L05970"</x:f>
        <x:v>0L05970</x:v>
      </x:c>
      <x:c r="C16" s="7" t="str">
        <x:v>Omitted</x:v>
      </x:c>
      <x:c r="D16" s="7" t="str">
        <x:v>FAIL</x:v>
      </x:c>
      <x:c r="E16" s="13" t="str">
        <x:v>Pending</x:v>
      </x:c>
      <x:c r="F16" s="13" t="str"/>
      <x:c r="G16" s="13" t="str"/>
      <x:c r="H16" s="13" t="str"/>
      <x:c r="I16" s="7" t="str">
        <x:v>Was this person reviewed? If rejected, give the actual rule and evidence. If acceptable, correct the omission. Confirm the Life-qualification gate and any record change since selection.</x:v>
      </x:c>
      <x:c r="J16" s="7" t="str">
        <x:v>L1</x:v>
      </x:c>
      <x:c r="K16" s="7" t="str">
        <x:v>Verified qualifications do not include active general Life. Current target-pool mismatch; actual historical omission reason unknown.</x:v>
      </x:c>
      <x:c r="L16" s="7" t="str">
        <x:v>Not supplied; membership is known, motive is not</x:v>
      </x:c>
      <x:c r="M16" s="7" t="n">
        <x:v>7</x:v>
      </x:c>
      <x:c r="N16" s="7" t="str">
        <x:v>Outside current general-Life recruiting pool</x:v>
      </x:c>
      <x:c r="O16" s="7" t="str">
        <x:v>Inactive</x:v>
      </x:c>
      <x:c r="P16" s="7" t="str">
        <x:v>08/15/2016</x:v>
      </x:c>
      <x:c r="Q16" s="7" t="str">
        <x:v>08/31/2022</x:v>
      </x:c>
      <x:c r="R16" s="7" t="str"/>
      <x:c r="S16" s="15" t="str">
        <x:v>562-392-2146</x:v>
      </x:c>
      <x:c r="T16" s="7" t="str">
        <x:v>Current CDI</x:v>
      </x:c>
      <x:c r="U16" s="7" t="str">
        <x:v>7215 VANPORT AVE WHITTIER CA, 90606</x:v>
      </x:c>
      <x:c r="V16" s="7" t="str">
        <x:v>Resident</x:v>
      </x:c>
      <x:c r="W16" s="7" t="str">
        <x:v>CA</x:v>
      </x:c>
      <x:c r="X16" s="7" t="str"/>
      <x:c r="Y16" s="7" t="str"/>
      <x:c r="Z16" s="7" t="str"/>
      <x:c r="AA16" s="7" t="str"/>
      <x:c r="AB16" s="7" t="str"/>
      <x:c r="AC16" s="7" t="str"/>
      <x:c r="AD16" s="7" t="str">
        <x:v>No agency or insurer displayed: onboarding opportunity possible; existing business unknown</x:v>
      </x:c>
      <x:c r="AE16" s="7" t="str"/>
      <x:c r="AF16" s="16" t="str"/>
      <x:c r="AG16" s="17" t="str"/>
      <x:c r="AH16" s="7" t="str"/>
      <x:c r="AI16" s="7" t="str">
        <x:v>English</x:v>
      </x:c>
      <x:c r="AJ16" s="7" t="str"/>
      <x:c r="AK16" s="15" t="str"/>
      <x:c r="AL16" s="7" t="str"/>
      <x:c r="AM16" s="7" t="str">
        <x:v>Aguilar P Adam | AGUILAR PAUL ADAM</x:v>
      </x:c>
      <x:c r="AN16" s="7" t="str">
        <x:v>https://cdicloud.insurance.ca.gov/cal/LicenseDetail?SearchType=IND&amp;SearchLicNbr=0L05970&amp;SearchIndvId=1842052</x:v>
      </x:c>
      <x:c r="AO16" s="7" t="str">
        <x:v>2026-10-08</x:v>
      </x:c>
      <x:c r="AP16" s="7" t="str">
        <x:v>cee7401d1bc0fd0a7438d0adf4e39a32605fcb4887038d6340678ca6e8016591</x:v>
      </x:c>
      <x:c r="AQ16" s="7" t="str">
        <x:v>Life / Inactive / 08/15/2016 / 08/31/2022 / 08/31/2022</x:v>
      </x:c>
      <x:c r="AR16" s="7" t="str">
        <x:v>Inactive</x:v>
      </x:c>
      <x:c r="AS16" s="7" t="str">
        <x:v>Current detail page</x:v>
      </x:c>
    </x:row>
    <x:row r="17" ht="52" customHeight="1">
      <x:c r="A17" s="7" t="str">
        <x:v>AGUILAR ADAN</x:v>
      </x:c>
      <x:c r="B17" s="14" t="str">
        <x:f>"0K53901"</x:f>
        <x:v>0K53901</x:v>
      </x:c>
      <x:c r="C17" s="7" t="str">
        <x:v>Omitted</x:v>
      </x:c>
      <x:c r="D17" s="7" t="str">
        <x:v>FAIL</x:v>
      </x:c>
      <x:c r="E17" s="13" t="str">
        <x:v>Pending</x:v>
      </x:c>
      <x:c r="F17" s="13" t="str"/>
      <x:c r="G17" s="13" t="str"/>
      <x:c r="H17" s="13" t="str"/>
      <x:c r="I17" s="7" t="str">
        <x:v>Was this person reviewed? If rejected, give the actual rule and evidence. If acceptable, correct the omission. Confirm the Life-qualification gate and any record change since selection.</x:v>
      </x:c>
      <x:c r="J17" s="7" t="str">
        <x:v>L1</x:v>
      </x:c>
      <x:c r="K17" s="7" t="str">
        <x:v>Verified qualifications do not include active general Life. Current target-pool mismatch; actual historical omission reason unknown.</x:v>
      </x:c>
      <x:c r="L17" s="7" t="str">
        <x:v>Not supplied; membership is known, motive is not</x:v>
      </x:c>
      <x:c r="M17" s="7" t="n">
        <x:v>7</x:v>
      </x:c>
      <x:c r="N17" s="7" t="str">
        <x:v>Outside current general-Life recruiting pool</x:v>
      </x:c>
      <x:c r="O17" s="7" t="str">
        <x:v>Not displayed</x:v>
      </x:c>
      <x:c r="P17" s="7" t="str"/>
      <x:c r="Q17" s="7" t="str"/>
      <x:c r="R17" s="7" t="str"/>
      <x:c r="S17" s="15" t="str"/>
      <x:c r="T17" s="7" t="str">
        <x:v>No public business phone in collected record</x:v>
      </x:c>
      <x:c r="U17" s="7" t="str"/>
      <x:c r="V17" s="7" t="str">
        <x:v>Resident</x:v>
      </x:c>
      <x:c r="W17" s="7" t="str">
        <x:v>CA</x:v>
      </x:c>
      <x:c r="X17" s="7" t="str"/>
      <x:c r="Y17" s="7" t="str"/>
      <x:c r="Z17" s="7" t="str"/>
      <x:c r="AA17" s="7" t="str"/>
      <x:c r="AB17" s="7" t="str"/>
      <x:c r="AC17" s="7" t="str"/>
      <x:c r="AD17" s="7" t="str">
        <x:v>No agency or insurer displayed: onboarding opportunity possible; existing business unknown</x:v>
      </x:c>
      <x:c r="AE17" s="7" t="str">
        <x:v>No public business phone: contact enrichment needed, not proof of poor recruiting fit</x:v>
      </x:c>
      <x:c r="AF17" s="16" t="str"/>
      <x:c r="AG17" s="17" t="str"/>
      <x:c r="AH17" s="7" t="str"/>
      <x:c r="AI17" s="7" t="str"/>
      <x:c r="AJ17" s="7" t="str"/>
      <x:c r="AK17" s="15" t="str"/>
      <x:c r="AL17" s="7" t="str"/>
      <x:c r="AM17" s="7" t="str">
        <x:v>AGUILAR  ADAN</x:v>
      </x:c>
      <x:c r="AN17" s="7" t="str">
        <x:v>https://cdicloud.insurance.ca.gov/cal/LicenseDetail?SearchType=IND&amp;SearchLicNbr=0K53901&amp;SearchIndvId=1793380</x:v>
      </x:c>
      <x:c r="AO17" s="7" t="str">
        <x:v>2026-10-08</x:v>
      </x:c>
      <x:c r="AP17" s="7" t="str">
        <x:v>de4782eafd800e29bd1ee7f9d28d4175178625b282b213578dca13598c9b9a77</x:v>
      </x:c>
      <x:c r="AQ17" s="7" t="str">
        <x:v>Life-Only / Inactive / 10/14/2015 / 10/31/2017 / 10/31/2017</x:v>
      </x:c>
      <x:c r="AR17" s="7" t="str">
        <x:v>Inactive</x:v>
      </x:c>
      <x:c r="AS17" s="7" t="str">
        <x:v>Current detail page</x:v>
      </x:c>
    </x:row>
    <x:row r="18" ht="52" customHeight="1">
      <x:c r="A18" s="7" t="str">
        <x:v>AGUILAR ADOLFO JAVELL</x:v>
      </x:c>
      <x:c r="B18" s="14" t="str">
        <x:f>"0K89890"</x:f>
        <x:v>0K89890</x:v>
      </x:c>
      <x:c r="C18" s="7" t="str">
        <x:v>Omitted</x:v>
      </x:c>
      <x:c r="D18" s="7" t="str">
        <x:v>FAIL</x:v>
      </x:c>
      <x:c r="E18" s="13" t="str">
        <x:v>Pending</x:v>
      </x:c>
      <x:c r="F18" s="13" t="str"/>
      <x:c r="G18" s="13" t="str"/>
      <x:c r="H18" s="13" t="str"/>
      <x:c r="I18" s="7" t="str">
        <x:v>Was this person reviewed? If rejected, give the actual rule and evidence. If acceptable, correct the omission. Confirm the Life-qualification gate and any record change since selection.</x:v>
      </x:c>
      <x:c r="J18" s="7" t="str">
        <x:v>L1</x:v>
      </x:c>
      <x:c r="K18" s="7" t="str">
        <x:v>Verified qualifications do not include active general Life. Current target-pool mismatch; actual historical omission reason unknown.</x:v>
      </x:c>
      <x:c r="L18" s="7" t="str">
        <x:v>Not supplied; membership is known, motive is not</x:v>
      </x:c>
      <x:c r="M18" s="7" t="n">
        <x:v>7</x:v>
      </x:c>
      <x:c r="N18" s="7" t="str">
        <x:v>Outside current general-Life recruiting pool</x:v>
      </x:c>
      <x:c r="O18" s="7" t="str">
        <x:v>Not displayed</x:v>
      </x:c>
      <x:c r="P18" s="7" t="str"/>
      <x:c r="Q18" s="7" t="str"/>
      <x:c r="R18" s="7" t="str"/>
      <x:c r="S18" s="15" t="str"/>
      <x:c r="T18" s="7" t="str">
        <x:v>No public business phone in collected record</x:v>
      </x:c>
      <x:c r="U18" s="7" t="str"/>
      <x:c r="V18" s="7" t="str">
        <x:v>Non-resident</x:v>
      </x:c>
      <x:c r="W18" s="7" t="str">
        <x:v>FL</x:v>
      </x:c>
      <x:c r="X18" s="7" t="str"/>
      <x:c r="Y18" s="7" t="str"/>
      <x:c r="Z18" s="7" t="str"/>
      <x:c r="AA18" s="7" t="str"/>
      <x:c r="AB18" s="7" t="str"/>
      <x:c r="AC18" s="7" t="str"/>
      <x:c r="AD18" s="7" t="str">
        <x:v>No agency or insurer displayed: onboarding opportunity possible; existing business unknown</x:v>
      </x:c>
      <x:c r="AE18" s="7" t="str">
        <x:v>Nonresident or address state outside CA; confirm geographic recruiting scope | No public business phone: contact enrichment needed, not proof of poor recruiting fit</x:v>
      </x:c>
      <x:c r="AF18" s="16" t="str"/>
      <x:c r="AG18" s="17" t="str"/>
      <x:c r="AH18" s="7" t="str"/>
      <x:c r="AI18" s="7" t="str"/>
      <x:c r="AJ18" s="7" t="str"/>
      <x:c r="AK18" s="15" t="str"/>
      <x:c r="AL18" s="7" t="str"/>
      <x:c r="AM18" s="7" t="str">
        <x:v>AGUILAR JAVELL ADOLFO</x:v>
      </x:c>
      <x:c r="AN18" s="7" t="str">
        <x:v>https://cdicloud.insurance.ca.gov/cal/LicenseDetail?SearchType=IND&amp;SearchLicNbr=0K89890&amp;SearchIndvId=1839458</x:v>
      </x:c>
      <x:c r="AO18" s="7" t="str">
        <x:v>2026-10-08</x:v>
      </x:c>
      <x:c r="AP18" s="7" t="str">
        <x:v>dc39f7903ee4b668e78833b02a3523bd91de29bf6226c533f079f32567337997</x:v>
      </x:c>
      <x:c r="AQ18" s="7" t="str">
        <x:v>Personal Lines Broker-Agent / Inactive / 05/16/2016 / 05/31/2020 / 05/31/2020</x:v>
      </x:c>
      <x:c r="AR18" s="7" t="str">
        <x:v>Inactive</x:v>
      </x:c>
      <x:c r="AS18" s="7" t="str">
        <x:v>Current detail page</x:v>
      </x:c>
    </x:row>
    <x:row r="19" ht="52" customHeight="1">
      <x:c r="A19" s="7" t="str">
        <x:v>AGUILAR ADONYS EMMANUELLE</x:v>
      </x:c>
      <x:c r="B19" s="14" t="str">
        <x:f>"0I11176"</x:f>
        <x:v>0I11176</x:v>
      </x:c>
      <x:c r="C19" s="7" t="str">
        <x:v>Omitted</x:v>
      </x:c>
      <x:c r="D19" s="7" t="str">
        <x:v>FAIL</x:v>
      </x:c>
      <x:c r="E19" s="13" t="str">
        <x:v>Pending</x:v>
      </x:c>
      <x:c r="F19" s="13" t="str"/>
      <x:c r="G19" s="13" t="str"/>
      <x:c r="H19" s="13" t="str"/>
      <x:c r="I19" s="7" t="str">
        <x:v>Was this person reviewed? If rejected, give the actual rule and evidence. If acceptable, correct the omission. Confirm the Life-qualification gate and any record change since selection.</x:v>
      </x:c>
      <x:c r="J19" s="7" t="str">
        <x:v>L1</x:v>
      </x:c>
      <x:c r="K19" s="7" t="str">
        <x:v>Verified qualifications do not include active general Life. Current target-pool mismatch; actual historical omission reason unknown.</x:v>
      </x:c>
      <x:c r="L19" s="7" t="str">
        <x:v>Not supplied; membership is known, motive is not</x:v>
      </x:c>
      <x:c r="M19" s="7" t="n">
        <x:v>7</x:v>
      </x:c>
      <x:c r="N19" s="7" t="str">
        <x:v>Outside current general-Life recruiting pool</x:v>
      </x:c>
      <x:c r="O19" s="7" t="str">
        <x:v>Not displayed</x:v>
      </x:c>
      <x:c r="P19" s="7" t="str"/>
      <x:c r="Q19" s="7" t="str"/>
      <x:c r="R19" s="7" t="str"/>
      <x:c r="S19" s="15" t="str"/>
      <x:c r="T19" s="7" t="str">
        <x:v>No public business phone in collected record</x:v>
      </x:c>
      <x:c r="U19" s="7" t="str"/>
      <x:c r="V19" s="7" t="str">
        <x:v>Resident</x:v>
      </x:c>
      <x:c r="W19" s="7" t="str">
        <x:v>CA</x:v>
      </x:c>
      <x:c r="X19" s="7" t="str"/>
      <x:c r="Y19" s="7" t="str"/>
      <x:c r="Z19" s="7" t="str"/>
      <x:c r="AA19" s="7" t="str"/>
      <x:c r="AB19" s="7" t="str"/>
      <x:c r="AC19" s="7" t="str"/>
      <x:c r="AD19" s="7" t="str">
        <x:v>No agency or insurer displayed: onboarding opportunity possible; existing business unknown</x:v>
      </x:c>
      <x:c r="AE19" s="7" t="str">
        <x:v>No public business phone: contact enrichment needed, not proof of poor recruiting fit</x:v>
      </x:c>
      <x:c r="AF19" s="16" t="str"/>
      <x:c r="AG19" s="17" t="str"/>
      <x:c r="AH19" s="7" t="str"/>
      <x:c r="AI19" s="7" t="str"/>
      <x:c r="AJ19" s="7" t="str"/>
      <x:c r="AK19" s="15" t="str"/>
      <x:c r="AL19" s="7" t="str"/>
      <x:c r="AM19" s="7" t="str">
        <x:v>AGUILAR EMMANUELLE ADONYS</x:v>
      </x:c>
      <x:c r="AN19" s="7" t="str">
        <x:v>https://cdicloud.insurance.ca.gov/cal/LicenseDetail?SearchType=IND&amp;SearchLicNbr=0I11176&amp;SearchIndvId=1537946</x:v>
      </x:c>
      <x:c r="AO19" s="7" t="str">
        <x:v>2026-10-08</x:v>
      </x:c>
      <x:c r="AP19" s="7" t="str">
        <x:v>ef38bc5dcf077cd41ea7d36ceff74e50eda2a58b5e5555cd8104391aaa160a82</x:v>
      </x:c>
      <x:c r="AQ19" s="7" t="str">
        <x:v>Life-Only / Inactive / 10/31/2012 / 10/31/2014 / 10/31/2014
Variable Contracts / Inactive / 10/31/2012 / 10/31/2014 / 10/31/2014</x:v>
      </x:c>
      <x:c r="AR19" s="7" t="str">
        <x:v>Inactive</x:v>
      </x:c>
      <x:c r="AS19" s="7" t="str">
        <x:v>Current detail page</x:v>
      </x:c>
    </x:row>
    <x:row r="20" ht="52" customHeight="1">
      <x:c r="A20" s="7" t="str">
        <x:v>AGUILAR ADRIAN</x:v>
      </x:c>
      <x:c r="B20" s="14" t="str">
        <x:f>"0F16801"</x:f>
        <x:v>0F16801</x:v>
      </x:c>
      <x:c r="C20" s="7" t="str">
        <x:v>Omitted</x:v>
      </x:c>
      <x:c r="D20" s="7" t="str">
        <x:v>FAIL</x:v>
      </x:c>
      <x:c r="E20" s="13" t="str">
        <x:v>Pending</x:v>
      </x:c>
      <x:c r="F20" s="13" t="str"/>
      <x:c r="G20" s="13" t="str"/>
      <x:c r="H20" s="13" t="str"/>
      <x:c r="I20" s="7" t="str">
        <x:v>Was this person reviewed? If rejected, give the actual rule and evidence. If acceptable, correct the omission. Confirm the Life-qualification gate and any record change since selection.</x:v>
      </x:c>
      <x:c r="J20" s="7" t="str">
        <x:v>L1</x:v>
      </x:c>
      <x:c r="K20" s="7" t="str">
        <x:v>Verified qualifications do not include active general Life. Current target-pool mismatch; actual historical omission reason unknown.</x:v>
      </x:c>
      <x:c r="L20" s="7" t="str">
        <x:v>Not supplied; membership is known, motive is not</x:v>
      </x:c>
      <x:c r="M20" s="7" t="n">
        <x:v>7</x:v>
      </x:c>
      <x:c r="N20" s="7" t="str">
        <x:v>Outside current general-Life recruiting pool</x:v>
      </x:c>
      <x:c r="O20" s="7" t="str">
        <x:v>Not displayed</x:v>
      </x:c>
      <x:c r="P20" s="7" t="str"/>
      <x:c r="Q20" s="7" t="str"/>
      <x:c r="R20" s="7" t="str"/>
      <x:c r="S20" s="15" t="str"/>
      <x:c r="T20" s="7" t="str">
        <x:v>No public business phone in collected record</x:v>
      </x:c>
      <x:c r="U20" s="7" t="str"/>
      <x:c r="V20" s="7" t="str">
        <x:v>Non-resident</x:v>
      </x:c>
      <x:c r="W20" s="7" t="str">
        <x:v>TX</x:v>
      </x:c>
      <x:c r="X20" s="7" t="str"/>
      <x:c r="Y20" s="7" t="str"/>
      <x:c r="Z20" s="7" t="str"/>
      <x:c r="AA20" s="7" t="str"/>
      <x:c r="AB20" s="7" t="str"/>
      <x:c r="AC20" s="7" t="str"/>
      <x:c r="AD20" s="7" t="str">
        <x:v>No agency or insurer displayed: onboarding opportunity possible; existing business unknown</x:v>
      </x:c>
      <x:c r="AE20" s="7" t="str">
        <x:v>Nonresident or address state outside CA; confirm geographic recruiting scope | No public business phone: contact enrichment needed, not proof of poor recruiting fit</x:v>
      </x:c>
      <x:c r="AF20" s="16" t="str"/>
      <x:c r="AG20" s="17" t="str"/>
      <x:c r="AH20" s="7" t="str"/>
      <x:c r="AI20" s="7" t="str"/>
      <x:c r="AJ20" s="7" t="str"/>
      <x:c r="AK20" s="15" t="str"/>
      <x:c r="AL20" s="7" t="str"/>
      <x:c r="AM20" s="7" t="str">
        <x:v>AGUILAR  ADRIAN</x:v>
      </x:c>
      <x:c r="AN20" s="7" t="str">
        <x:v>https://cdicloud.insurance.ca.gov/cal/LicenseDetail?SearchType=IND&amp;SearchLicNbr=0F16801&amp;SearchIndvId=1005544</x:v>
      </x:c>
      <x:c r="AO20" s="7" t="str">
        <x:v>2026-10-08</x:v>
      </x:c>
      <x:c r="AP20" s="7" t="str">
        <x:v>2bad26543c4cb25b7bbb7de267418bcfcc767117b7ba2139ee979eea674b48ca</x:v>
      </x:c>
      <x:c r="AQ20" s="7" t="str">
        <x:v>Personal Lines Broker-Agent / Inactive / 04/19/2006 / 12/31/2007 / 12/31/2007</x:v>
      </x:c>
      <x:c r="AR20" s="7" t="str">
        <x:v>Inactive</x:v>
      </x:c>
      <x:c r="AS20" s="7" t="str">
        <x:v>Current detail page</x:v>
      </x:c>
    </x:row>
    <x:row r="21" ht="52" customHeight="1">
      <x:c r="A21" s="7" t="str">
        <x:v>AGUILAR ADRIAN</x:v>
      </x:c>
      <x:c r="B21" s="14" t="str">
        <x:f>"0L57686"</x:f>
        <x:v>0L57686</x:v>
      </x:c>
      <x:c r="C21" s="7" t="str">
        <x:v>Omitted</x:v>
      </x:c>
      <x:c r="D21" s="7" t="str">
        <x:v>FAIL</x:v>
      </x:c>
      <x:c r="E21" s="13" t="str">
        <x:v>Pending</x:v>
      </x:c>
      <x:c r="F21" s="13" t="str"/>
      <x:c r="G21" s="13" t="str"/>
      <x:c r="H21" s="13" t="str"/>
      <x:c r="I21" s="7" t="str">
        <x:v>Was this person reviewed? If rejected, give the actual rule and evidence. If acceptable, correct the omission. Confirm the Life-qualification gate and any record change since selection.</x:v>
      </x:c>
      <x:c r="J21" s="7" t="str">
        <x:v>L1</x:v>
      </x:c>
      <x:c r="K21" s="7" t="str">
        <x:v>Verified qualifications do not include active general Life. Current target-pool mismatch; actual historical omission reason unknown.</x:v>
      </x:c>
      <x:c r="L21" s="7" t="str">
        <x:v>Not supplied; membership is known, motive is not</x:v>
      </x:c>
      <x:c r="M21" s="7" t="n">
        <x:v>7</x:v>
      </x:c>
      <x:c r="N21" s="7" t="str">
        <x:v>Outside current general-Life recruiting pool</x:v>
      </x:c>
      <x:c r="O21" s="7" t="str">
        <x:v>Not displayed</x:v>
      </x:c>
      <x:c r="P21" s="7" t="str"/>
      <x:c r="Q21" s="7" t="str"/>
      <x:c r="R21" s="7" t="str"/>
      <x:c r="S21" s="15" t="str"/>
      <x:c r="T21" s="7" t="str">
        <x:v>No public business phone in collected record</x:v>
      </x:c>
      <x:c r="U21" s="7" t="str"/>
      <x:c r="V21" s="7" t="str">
        <x:v>Resident</x:v>
      </x:c>
      <x:c r="W21" s="7" t="str">
        <x:v>CA</x:v>
      </x:c>
      <x:c r="X21" s="7" t="str"/>
      <x:c r="Y21" s="7" t="str"/>
      <x:c r="Z21" s="7" t="str"/>
      <x:c r="AA21" s="7" t="str"/>
      <x:c r="AB21" s="7" t="str"/>
      <x:c r="AC21" s="7" t="str"/>
      <x:c r="AD21" s="7" t="str">
        <x:v>No agency or insurer displayed: onboarding opportunity possible; existing business unknown</x:v>
      </x:c>
      <x:c r="AE21" s="7" t="str">
        <x:v>No public business phone: contact enrichment needed, not proof of poor recruiting fit</x:v>
      </x:c>
      <x:c r="AF21" s="16" t="str"/>
      <x:c r="AG21" s="17" t="str"/>
      <x:c r="AH21" s="7" t="str"/>
      <x:c r="AI21" s="7" t="str"/>
      <x:c r="AJ21" s="7" t="str"/>
      <x:c r="AK21" s="15" t="str"/>
      <x:c r="AL21" s="7" t="str"/>
      <x:c r="AM21" s="7" t="str">
        <x:v>AGUILAR  ADRIAN</x:v>
      </x:c>
      <x:c r="AN21" s="7" t="str">
        <x:v>https://cdicloud.insurance.ca.gov/cal/LicenseDetail?SearchType=IND&amp;SearchLicNbr=0L57686&amp;SearchIndvId=1909942</x:v>
      </x:c>
      <x:c r="AO21" s="7" t="str">
        <x:v>2026-10-08</x:v>
      </x:c>
      <x:c r="AP21" s="7" t="str">
        <x:v>78e71f54968b34f6cc18af1f8c20027126e13efd5a26b68fac67102841e1662d</x:v>
      </x:c>
      <x:c r="AQ21" s="7" t="str">
        <x:v>Life-Only / Inactive / 02/27/2017 / 02/28/2019 / 02/28/2019
Variable Contracts / Inactive / 02/27/2017 / 02/28/2019 / 02/28/2019</x:v>
      </x:c>
      <x:c r="AR21" s="7" t="str">
        <x:v>Inactive</x:v>
      </x:c>
      <x:c r="AS21" s="7" t="str">
        <x:v>Current detail page</x:v>
      </x:c>
    </x:row>
    <x:row r="22" ht="52" customHeight="1">
      <x:c r="A22" s="7" t="str">
        <x:v>AGUILAR ADRIAN LOUIE</x:v>
      </x:c>
      <x:c r="B22" s="14" t="str">
        <x:f>"0K00224"</x:f>
        <x:v>0K00224</x:v>
      </x:c>
      <x:c r="C22" s="7" t="str">
        <x:v>Omitted</x:v>
      </x:c>
      <x:c r="D22" s="7" t="str">
        <x:v>FAIL</x:v>
      </x:c>
      <x:c r="E22" s="13" t="str">
        <x:v>Pending</x:v>
      </x:c>
      <x:c r="F22" s="13" t="str"/>
      <x:c r="G22" s="13" t="str"/>
      <x:c r="H22" s="13" t="str"/>
      <x:c r="I22" s="7" t="str">
        <x:v>Was this person reviewed? If rejected, give the actual rule and evidence. If acceptable, correct the omission. Confirm the Life-qualification gate and any record change since selection.</x:v>
      </x:c>
      <x:c r="J22" s="7" t="str">
        <x:v>L1</x:v>
      </x:c>
      <x:c r="K22" s="7" t="str">
        <x:v>Verified qualifications do not include active general Life. Current target-pool mismatch; actual historical omission reason unknown.</x:v>
      </x:c>
      <x:c r="L22" s="7" t="str">
        <x:v>Not supplied; membership is known, motive is not</x:v>
      </x:c>
      <x:c r="M22" s="7" t="n">
        <x:v>7</x:v>
      </x:c>
      <x:c r="N22" s="7" t="str">
        <x:v>Outside current general-Life recruiting pool</x:v>
      </x:c>
      <x:c r="O22" s="7" t="str">
        <x:v>Inactive</x:v>
      </x:c>
      <x:c r="P22" s="7" t="str">
        <x:v>12/16/2014</x:v>
      </x:c>
      <x:c r="Q22" s="7" t="str">
        <x:v>12/31/2024</x:v>
      </x:c>
      <x:c r="R22" s="7" t="str"/>
      <x:c r="S22" s="15" t="str">
        <x:v>866-865-2755</x:v>
      </x:c>
      <x:c r="T22" s="7" t="str">
        <x:v>Current CDI</x:v>
      </x:c>
      <x:c r="U22" s="7" t="str">
        <x:v>2171 S GROVE AVE SUITE L LOS ANGELES CA, 91761</x:v>
      </x:c>
      <x:c r="V22" s="7" t="str">
        <x:v>Resident</x:v>
      </x:c>
      <x:c r="W22" s="7" t="str">
        <x:v>CA</x:v>
      </x:c>
      <x:c r="X22" s="7" t="str"/>
      <x:c r="Y22" s="7" t="str"/>
      <x:c r="Z22" s="7" t="str"/>
      <x:c r="AA22" s="7" t="str"/>
      <x:c r="AB22" s="7" t="str"/>
      <x:c r="AC22" s="7" t="str"/>
      <x:c r="AD22" s="7" t="str">
        <x:v>No agency or insurer displayed: onboarding opportunity possible; existing business unknown</x:v>
      </x:c>
      <x:c r="AE22" s="7" t="str">
        <x:v>Toll-free business number: verify that it reaches the individual rather than a central office</x:v>
      </x:c>
      <x:c r="AF22" s="16" t="str"/>
      <x:c r="AG22" s="17" t="str"/>
      <x:c r="AH22" s="7" t="str"/>
      <x:c r="AI22" s="7" t="str">
        <x:v>English</x:v>
      </x:c>
      <x:c r="AJ22" s="7" t="str"/>
      <x:c r="AK22" s="15" t="str"/>
      <x:c r="AL22" s="7" t="str"/>
      <x:c r="AM22" s="7" t="str">
        <x:v>Aguilar L Adrian | AGUILAR LOUIE ADRIAN</x:v>
      </x:c>
      <x:c r="AN22" s="7" t="str">
        <x:v>https://cdicloud.insurance.ca.gov/cal/LicenseDetail?SearchType=IND&amp;SearchLicNbr=0K00224&amp;SearchIndvId=1724400</x:v>
      </x:c>
      <x:c r="AO22" s="7" t="str">
        <x:v>2026-10-08</x:v>
      </x:c>
      <x:c r="AP22" s="7" t="str">
        <x:v>1c0557d276f4a9e4d6c805a89891fa68b0fdbed92d9e0fb8a9318b840a3b068a</x:v>
      </x:c>
      <x:c r="AQ22" s="7" t="str">
        <x:v>Life / Inactive / 12/16/2014 / 12/31/2024 / 12/31/2024</x:v>
      </x:c>
      <x:c r="AR22" s="7" t="str">
        <x:v>Inactive</x:v>
      </x:c>
      <x:c r="AS22" s="7" t="str">
        <x:v>Current detail page</x:v>
      </x:c>
    </x:row>
    <x:row r="23" ht="52" customHeight="1">
      <x:c r="A23" s="7" t="str">
        <x:v>AGUILAR ADRIAN RAFAEL</x:v>
      </x:c>
      <x:c r="B23" s="14" t="str">
        <x:f>"0D92121"</x:f>
        <x:v>0D92121</x:v>
      </x:c>
      <x:c r="C23" s="7" t="str">
        <x:v>Omitted</x:v>
      </x:c>
      <x:c r="D23" s="7" t="str">
        <x:v>FAIL</x:v>
      </x:c>
      <x:c r="E23" s="13" t="str">
        <x:v>Pending</x:v>
      </x:c>
      <x:c r="F23" s="13" t="str"/>
      <x:c r="G23" s="13" t="str"/>
      <x:c r="H23" s="13" t="str"/>
      <x:c r="I23" s="7" t="str">
        <x:v>Was this person reviewed? If rejected, give the actual rule and evidence. If acceptable, correct the omission. Confirm the Life-qualification gate and any record change since selection.</x:v>
      </x:c>
      <x:c r="J23" s="7" t="str">
        <x:v>L1</x:v>
      </x:c>
      <x:c r="K23" s="7" t="str">
        <x:v>Verified qualifications do not include active general Life. Current target-pool mismatch; actual historical omission reason unknown.</x:v>
      </x:c>
      <x:c r="L23" s="7" t="str">
        <x:v>Not supplied; membership is known, motive is not</x:v>
      </x:c>
      <x:c r="M23" s="7" t="n">
        <x:v>7</x:v>
      </x:c>
      <x:c r="N23" s="7" t="str">
        <x:v>Outside current general-Life recruiting pool</x:v>
      </x:c>
      <x:c r="O23" s="7" t="str">
        <x:v>Not displayed</x:v>
      </x:c>
      <x:c r="P23" s="7" t="str"/>
      <x:c r="Q23" s="7" t="str"/>
      <x:c r="R23" s="7" t="str"/>
      <x:c r="S23" s="15" t="str"/>
      <x:c r="T23" s="7" t="str">
        <x:v>No public business phone in collected record</x:v>
      </x:c>
      <x:c r="U23" s="7" t="str"/>
      <x:c r="V23" s="7" t="str">
        <x:v>Resident</x:v>
      </x:c>
      <x:c r="W23" s="7" t="str">
        <x:v>CA</x:v>
      </x:c>
      <x:c r="X23" s="7" t="str"/>
      <x:c r="Y23" s="7" t="str"/>
      <x:c r="Z23" s="7" t="str"/>
      <x:c r="AA23" s="7" t="str"/>
      <x:c r="AB23" s="7" t="str"/>
      <x:c r="AC23" s="7" t="str"/>
      <x:c r="AD23" s="7" t="str">
        <x:v>No agency or insurer displayed: onboarding opportunity possible; existing business unknown</x:v>
      </x:c>
      <x:c r="AE23" s="7" t="str">
        <x:v>No public business phone: contact enrichment needed, not proof of poor recruiting fit</x:v>
      </x:c>
      <x:c r="AF23" s="16" t="str"/>
      <x:c r="AG23" s="17" t="str"/>
      <x:c r="AH23" s="7" t="str"/>
      <x:c r="AI23" s="7" t="str"/>
      <x:c r="AJ23" s="7" t="str"/>
      <x:c r="AK23" s="15" t="str"/>
      <x:c r="AL23" s="7" t="str"/>
      <x:c r="AM23" s="7" t="str">
        <x:v>AGUILAR RAFAEL ADRIAN</x:v>
      </x:c>
      <x:c r="AN23" s="7" t="str">
        <x:v>https://cdicloud.insurance.ca.gov/cal/LicenseDetail?SearchType=IND&amp;SearchLicNbr=0D92121&amp;SearchIndvId=831037</x:v>
      </x:c>
      <x:c r="AO23" s="7" t="str">
        <x:v>2026-10-08</x:v>
      </x:c>
      <x:c r="AP23" s="7" t="str">
        <x:v>63ce268bd829620720bf1a9d2c102d55f86333935272a3d9eaedf23f26f02e57</x:v>
      </x:c>
      <x:c r="AQ23" s="7" t="str">
        <x:v>Accident and Health / Inactive / 02/26/2003 / 02/28/2005 / 02/28/2005
Life-Only / Inactive / 02/26/2003 / 02/28/2005 / 02/28/2005</x:v>
      </x:c>
      <x:c r="AR23" s="7" t="str">
        <x:v>Inactive</x:v>
      </x:c>
      <x:c r="AS23" s="7" t="str">
        <x:v>Current detail page</x:v>
      </x:c>
    </x:row>
    <x:row r="24" ht="52" customHeight="1">
      <x:c r="A24" s="7" t="str">
        <x:v>AGUILAR ADRIANA</x:v>
      </x:c>
      <x:c r="B24" s="14" t="str">
        <x:f>"0F98071"</x:f>
        <x:v>0F98071</x:v>
      </x:c>
      <x:c r="C24" s="7" t="str">
        <x:v>Omitted</x:v>
      </x:c>
      <x:c r="D24" s="7" t="str">
        <x:v>FAIL</x:v>
      </x:c>
      <x:c r="E24" s="13" t="str">
        <x:v>Pending</x:v>
      </x:c>
      <x:c r="F24" s="13" t="str"/>
      <x:c r="G24" s="13" t="str"/>
      <x:c r="H24" s="13" t="str"/>
      <x:c r="I24" s="7" t="str">
        <x:v>Was this person reviewed? If rejected, give the actual rule and evidence. If acceptable, correct the omission. Confirm the Life-qualification gate and any record change since selection.</x:v>
      </x:c>
      <x:c r="J24" s="7" t="str">
        <x:v>L1</x:v>
      </x:c>
      <x:c r="K24" s="7" t="str">
        <x:v>Verified qualifications do not include active general Life. Current target-pool mismatch; actual historical omission reason unknown.</x:v>
      </x:c>
      <x:c r="L24" s="7" t="str">
        <x:v>Not supplied; membership is known, motive is not</x:v>
      </x:c>
      <x:c r="M24" s="7" t="n">
        <x:v>7</x:v>
      </x:c>
      <x:c r="N24" s="7" t="str">
        <x:v>Outside current general-Life recruiting pool</x:v>
      </x:c>
      <x:c r="O24" s="7" t="str">
        <x:v>Not displayed</x:v>
      </x:c>
      <x:c r="P24" s="7" t="str"/>
      <x:c r="Q24" s="7" t="str"/>
      <x:c r="R24" s="7" t="str"/>
      <x:c r="S24" s="15" t="str"/>
      <x:c r="T24" s="7" t="str">
        <x:v>No public business phone in collected record</x:v>
      </x:c>
      <x:c r="U24" s="7" t="str"/>
      <x:c r="V24" s="7" t="str">
        <x:v>Resident</x:v>
      </x:c>
      <x:c r="W24" s="7" t="str">
        <x:v>CA</x:v>
      </x:c>
      <x:c r="X24" s="7" t="str"/>
      <x:c r="Y24" s="7" t="str"/>
      <x:c r="Z24" s="7" t="str">
        <x:v>ORDER ID: &lt;LBB004417&gt; AP APPLICATION TO ACT AS A LIFE ONLY AGENT AND AN ACCIDENT AND HEALTH AGENT IS HEREBY DENIED; ISSUE IN LIEU THEREOF A RESTRICTED LICENSE. / 01/23/2008</x:v>
      </x:c>
      <x:c r="AA24" s="7" t="str"/>
      <x:c r="AB24" s="7" t="str"/>
      <x:c r="AC24" s="7" t="str"/>
      <x:c r="AD24" s="7" t="str">
        <x:v>No agency or insurer displayed: onboarding opportunity possible; existing business unknown</x:v>
      </x:c>
      <x:c r="AE24" s="7" t="str">
        <x:v>Enforcement order requires direct review; latest displayed order is not a removal order | No public business phone: contact enrichment needed, not proof of poor recruiting fit</x:v>
      </x:c>
      <x:c r="AF24" s="16" t="str"/>
      <x:c r="AG24" s="17" t="str"/>
      <x:c r="AH24" s="7" t="str"/>
      <x:c r="AI24" s="7" t="str"/>
      <x:c r="AJ24" s="7" t="str"/>
      <x:c r="AK24" s="15" t="str"/>
      <x:c r="AL24" s="7" t="str"/>
      <x:c r="AM24" s="7" t="str">
        <x:v>AGUILAR  ADRIANA</x:v>
      </x:c>
      <x:c r="AN24" s="7" t="str">
        <x:v>https://cdicloud.insurance.ca.gov/cal/LicenseDetail?SearchType=IND&amp;SearchLicNbr=0F98071&amp;SearchIndvId=1104626</x:v>
      </x:c>
      <x:c r="AO24" s="7" t="str">
        <x:v>2026-10-08</x:v>
      </x:c>
      <x:c r="AP24" s="7" t="str">
        <x:v>657f70502a501a62c064fa9c0c86935cae3fc65a64d0b8439a0032136bf502dc</x:v>
      </x:c>
      <x:c r="AQ24" s="7" t="str">
        <x:v>Accident and Health / Inactive / 01/23/2008 / 01/31/2010 / 01/31/2010
Life-Only / Inactive / 01/23/2008 / 01/31/2010 / 01/31/2010</x:v>
      </x:c>
      <x:c r="AR24" s="7" t="str">
        <x:v>Inactive</x:v>
      </x:c>
      <x:c r="AS24" s="7" t="str">
        <x:v>Current detail page</x:v>
      </x:c>
    </x:row>
    <x:row r="25" ht="52" customHeight="1">
      <x:c r="A25" s="7" t="str">
        <x:v>AGUILAR ADRIANA ARTEAGA</x:v>
      </x:c>
      <x:c r="B25" s="14" t="str">
        <x:f>"4351893"</x:f>
        <x:v>4351893</x:v>
      </x:c>
      <x:c r="C25" s="7" t="str">
        <x:v>Omitted</x:v>
      </x:c>
      <x:c r="D25" s="7" t="str">
        <x:v>FAIL</x:v>
      </x:c>
      <x:c r="E25" s="13" t="str">
        <x:v>Pending</x:v>
      </x:c>
      <x:c r="F25" s="13" t="str"/>
      <x:c r="G25" s="13" t="str"/>
      <x:c r="H25" s="13" t="str"/>
      <x:c r="I25" s="7" t="str">
        <x:v>Was this person reviewed? If rejected, give the actual rule and evidence. If acceptable, correct the omission. Confirm the Life-qualification gate and any record change since selection.</x:v>
      </x:c>
      <x:c r="J25" s="7" t="str">
        <x:v>L1</x:v>
      </x:c>
      <x:c r="K25" s="7" t="str">
        <x:v>Verified qualifications do not include active general Life. Current target-pool mismatch; actual historical omission reason unknown.</x:v>
      </x:c>
      <x:c r="L25" s="7" t="str">
        <x:v>Not supplied; membership is known, motive is not</x:v>
      </x:c>
      <x:c r="M25" s="7" t="n">
        <x:v>7</x:v>
      </x:c>
      <x:c r="N25" s="7" t="str">
        <x:v>Outside current general-Life recruiting pool</x:v>
      </x:c>
      <x:c r="O25" s="7" t="str">
        <x:v>Inactive</x:v>
      </x:c>
      <x:c r="P25" s="7" t="str">
        <x:v>01/08/2024</x:v>
      </x:c>
      <x:c r="Q25" s="7" t="str">
        <x:v>01/31/2026</x:v>
      </x:c>
      <x:c r="R25" s="7" t="str"/>
      <x:c r="S25" s="15" t="str">
        <x:v>562-528-0443</x:v>
      </x:c>
      <x:c r="T25" s="7" t="str">
        <x:v>Current CDI</x:v>
      </x:c>
      <x:c r="U25" s="7" t="str">
        <x:v>1145 E DOMINGUEZ ST STE L CARSON CA, 90746</x:v>
      </x:c>
      <x:c r="V25" s="7" t="str">
        <x:v>Resident</x:v>
      </x:c>
      <x:c r="W25" s="7" t="str">
        <x:v>CA</x:v>
      </x:c>
      <x:c r="X25" s="7" t="str"/>
      <x:c r="Y25" s="7" t="str"/>
      <x:c r="Z25" s="7" t="str"/>
      <x:c r="AA25" s="7" t="str"/>
      <x:c r="AB25" s="7" t="str"/>
      <x:c r="AC25" s="7" t="str"/>
      <x:c r="AD25" s="7" t="str">
        <x:v>No agency or insurer displayed: onboarding opportunity possible; existing business unknown</x:v>
      </x:c>
      <x:c r="AE25" s="7" t="str"/>
      <x:c r="AF25" s="16" t="str"/>
      <x:c r="AG25" s="17" t="str"/>
      <x:c r="AH25" s="7" t="str"/>
      <x:c r="AI25" s="7" t="str">
        <x:v>English</x:v>
      </x:c>
      <x:c r="AJ25" s="7" t="str"/>
      <x:c r="AK25" s="15" t="str"/>
      <x:c r="AL25" s="7" t="str"/>
      <x:c r="AM25" s="7" t="str">
        <x:v>AGUILAR ARTEAGA ADRIANA</x:v>
      </x:c>
      <x:c r="AN25" s="7" t="str">
        <x:v>https://cdicloud.insurance.ca.gov/cal/LicenseDetail?SearchType=IND&amp;SearchLicNbr=4351893&amp;SearchIndvId=4351893</x:v>
      </x:c>
      <x:c r="AO25" s="7" t="str">
        <x:v>2026-10-08</x:v>
      </x:c>
      <x:c r="AP25" s="7" t="str">
        <x:v>a2677ab3858598594b8ad997034a04ff4dbb8a30e6bebed8f60909b8a3448c03</x:v>
      </x:c>
      <x:c r="AQ25" s="7" t="str">
        <x:v>Life / Inactive / 01/08/2024 / 01/31/2026 / 01/31/2026</x:v>
      </x:c>
      <x:c r="AR25" s="7" t="str">
        <x:v>Inactive</x:v>
      </x:c>
      <x:c r="AS25" s="7" t="str">
        <x:v>Current detail page</x:v>
      </x:c>
    </x:row>
    <x:row r="26" ht="52" customHeight="1">
      <x:c r="A26" s="7" t="str">
        <x:v>AGUILAR ADRIANA LUCIA</x:v>
      </x:c>
      <x:c r="B26" s="14" t="str">
        <x:f>"0M22941"</x:f>
        <x:v>0M22941</x:v>
      </x:c>
      <x:c r="C26" s="7" t="str">
        <x:v>Omitted</x:v>
      </x:c>
      <x:c r="D26" s="7" t="str">
        <x:v>FAIL</x:v>
      </x:c>
      <x:c r="E26" s="13" t="str">
        <x:v>Pending</x:v>
      </x:c>
      <x:c r="F26" s="13" t="str"/>
      <x:c r="G26" s="13" t="str"/>
      <x:c r="H26" s="13" t="str"/>
      <x:c r="I26" s="7" t="str">
        <x:v>Was this person reviewed? If rejected, give the actual rule and evidence. If acceptable, correct the omission. Confirm the Life-qualification gate and any record change since selection.</x:v>
      </x:c>
      <x:c r="J26" s="7" t="str">
        <x:v>L1</x:v>
      </x:c>
      <x:c r="K26" s="7" t="str">
        <x:v>Verified qualifications do not include active general Life. Current target-pool mismatch; actual historical omission reason unknown.</x:v>
      </x:c>
      <x:c r="L26" s="7" t="str">
        <x:v>Not supplied; membership is known, motive is not</x:v>
      </x:c>
      <x:c r="M26" s="7" t="n">
        <x:v>7</x:v>
      </x:c>
      <x:c r="N26" s="7" t="str">
        <x:v>Outside current general-Life recruiting pool</x:v>
      </x:c>
      <x:c r="O26" s="7" t="str">
        <x:v>Not displayed</x:v>
      </x:c>
      <x:c r="P26" s="7" t="str"/>
      <x:c r="Q26" s="7" t="str"/>
      <x:c r="R26" s="7" t="str"/>
      <x:c r="S26" s="15" t="str">
        <x:v>916-229-8199</x:v>
      </x:c>
      <x:c r="T26" s="7" t="str">
        <x:v>Current CDI</x:v>
      </x:c>
      <x:c r="U26" s="7" t="str">
        <x:v>6108 WATT AVE NORTH HIGHLANDS CA, 95660</x:v>
      </x:c>
      <x:c r="V26" s="7" t="str">
        <x:v>Resident</x:v>
      </x:c>
      <x:c r="W26" s="7" t="str">
        <x:v>CA</x:v>
      </x:c>
      <x:c r="X26" s="7" t="str"/>
      <x:c r="Y26" s="7" t="str"/>
      <x:c r="Z26" s="7" t="str"/>
      <x:c r="AA26" s="7" t="str"/>
      <x:c r="AB26" s="7" t="str"/>
      <x:c r="AC26" s="7" t="str"/>
      <x:c r="AD26" s="7" t="str">
        <x:v>No agency or insurer displayed: onboarding opportunity possible; existing business unknown</x:v>
      </x:c>
      <x:c r="AE26" s="7" t="str"/>
      <x:c r="AF26" s="16" t="str"/>
      <x:c r="AG26" s="17" t="str"/>
      <x:c r="AH26" s="7" t="str"/>
      <x:c r="AI26" s="7" t="str">
        <x:v>English, Spanish, Spanish</x:v>
      </x:c>
      <x:c r="AJ26" s="7" t="str"/>
      <x:c r="AK26" s="15" t="str"/>
      <x:c r="AL26" s="7" t="str"/>
      <x:c r="AM26" s="7" t="str">
        <x:v>aguilar l adriana | AGUILAR LUCIA ADRIANA</x:v>
      </x:c>
      <x:c r="AN26" s="7" t="str">
        <x:v>https://cdicloud.insurance.ca.gov/cal/LicenseDetail?SearchType=IND&amp;SearchLicNbr=0M22941&amp;SearchIndvId=1999636</x:v>
      </x:c>
      <x:c r="AO26" s="7" t="str">
        <x:v>2026-10-08</x:v>
      </x:c>
      <x:c r="AP26" s="7" t="str">
        <x:v>a9a846699e20f798776c03767c8b9fe1784cac8600795d01afe3f82f0b158df6</x:v>
      </x:c>
      <x:c r="AQ26" s="7" t="str">
        <x:v>Personal Lines / Inactive / 03/06/2018 / 03/31/2024 / 03/31/2024</x:v>
      </x:c>
      <x:c r="AR26" s="7" t="str">
        <x:v>Inactive</x:v>
      </x:c>
      <x:c r="AS26" s="7" t="str">
        <x:v>Current detail page</x:v>
      </x:c>
    </x:row>
    <x:row r="27" ht="52" customHeight="1">
      <x:c r="A27" s="7" t="str">
        <x:v>AGUILAR ADRIENNE RENEE</x:v>
      </x:c>
      <x:c r="B27" s="14" t="str">
        <x:f>"4014582"</x:f>
        <x:v>4014582</x:v>
      </x:c>
      <x:c r="C27" s="7" t="str">
        <x:v>Omitted</x:v>
      </x:c>
      <x:c r="D27" s="7" t="str">
        <x:v>FAIL</x:v>
      </x:c>
      <x:c r="E27" s="13" t="str">
        <x:v>Pending</x:v>
      </x:c>
      <x:c r="F27" s="13" t="str"/>
      <x:c r="G27" s="13" t="str"/>
      <x:c r="H27" s="13" t="str"/>
      <x:c r="I27" s="7" t="str">
        <x:v>Was this person reviewed? If rejected, give the actual rule and evidence. If acceptable, correct the omission. Confirm the Life-qualification gate and any record change since selection.</x:v>
      </x:c>
      <x:c r="J27" s="7" t="str">
        <x:v>L1</x:v>
      </x:c>
      <x:c r="K27" s="7" t="str">
        <x:v>Verified qualifications do not include active general Life. Current target-pool mismatch; actual historical omission reason unknown.</x:v>
      </x:c>
      <x:c r="L27" s="7" t="str">
        <x:v>Not supplied; membership is known, motive is not</x:v>
      </x:c>
      <x:c r="M27" s="7" t="n">
        <x:v>7</x:v>
      </x:c>
      <x:c r="N27" s="7" t="str">
        <x:v>Outside current general-Life recruiting pool</x:v>
      </x:c>
      <x:c r="O27" s="7" t="str">
        <x:v>Not displayed</x:v>
      </x:c>
      <x:c r="P27" s="7" t="str"/>
      <x:c r="Q27" s="7" t="str"/>
      <x:c r="R27" s="7" t="str"/>
      <x:c r="S27" s="15" t="str"/>
      <x:c r="T27" s="7" t="str">
        <x:v>No public business phone in collected record</x:v>
      </x:c>
      <x:c r="U27" s="7" t="str">
        <x:v>1600 EBERHARDT RD TEMPLE TX, 76504</x:v>
      </x:c>
      <x:c r="V27" s="7" t="str">
        <x:v>Non-resident</x:v>
      </x:c>
      <x:c r="W27" s="7" t="str">
        <x:v>TX</x:v>
      </x:c>
      <x:c r="X27" s="7" t="str"/>
      <x:c r="Y27" s="7" t="str"/>
      <x:c r="Z27" s="7" t="str"/>
      <x:c r="AA27" s="7" t="str"/>
      <x:c r="AB27" s="7" t="str"/>
      <x:c r="AC27" s="7" t="str"/>
      <x:c r="AD27" s="7" t="str">
        <x:v>No agency or insurer displayed: onboarding opportunity possible; existing business unknown</x:v>
      </x:c>
      <x:c r="AE27" s="7" t="str">
        <x:v>Nonresident or address state outside CA; confirm geographic recruiting scope | No public business phone: contact enrichment needed, not proof of poor recruiting fit</x:v>
      </x:c>
      <x:c r="AF27" s="16" t="str"/>
      <x:c r="AG27" s="17" t="str"/>
      <x:c r="AH27" s="7" t="str"/>
      <x:c r="AI27" s="7" t="str"/>
      <x:c r="AJ27" s="7" t="str"/>
      <x:c r="AK27" s="15" t="str"/>
      <x:c r="AL27" s="7" t="str"/>
      <x:c r="AM27" s="7" t="str">
        <x:v>AGUILAR RENEE ADRIENNE</x:v>
      </x:c>
      <x:c r="AN27" s="7" t="str">
        <x:v>https://cdicloud.insurance.ca.gov/cal/LicenseDetail?SearchType=IND&amp;SearchLicNbr=4014582&amp;SearchIndvId=4014582</x:v>
      </x:c>
      <x:c r="AO27" s="7" t="str">
        <x:v>2026-10-08</x:v>
      </x:c>
      <x:c r="AP27" s="7" t="str">
        <x:v>848c3a88b94ae5594cdb8d3279320c0d50232a65bddf09ad110111763413c6ab</x:v>
      </x:c>
      <x:c r="AQ27" s="7" t="str">
        <x:v>Accident &amp; Health or Sickness / Inactive / 10/22/2019 / 10/31/2021 / 10/31/2021</x:v>
      </x:c>
      <x:c r="AR27" s="7" t="str">
        <x:v>Inactive</x:v>
      </x:c>
      <x:c r="AS27" s="7" t="str">
        <x:v>Current detail page</x:v>
      </x:c>
    </x:row>
    <x:row r="28" ht="52" customHeight="1">
      <x:c r="A28" s="7" t="str">
        <x:v>AGUILAR AGUSTIN ANTONIO</x:v>
      </x:c>
      <x:c r="B28" s="14" t="str">
        <x:f>"0H41239"</x:f>
        <x:v>0H41239</x:v>
      </x:c>
      <x:c r="C28" s="7" t="str">
        <x:v>Omitted</x:v>
      </x:c>
      <x:c r="D28" s="7" t="str">
        <x:v>FAIL</x:v>
      </x:c>
      <x:c r="E28" s="13" t="str">
        <x:v>Pending</x:v>
      </x:c>
      <x:c r="F28" s="13" t="str"/>
      <x:c r="G28" s="13" t="str"/>
      <x:c r="H28" s="13" t="str"/>
      <x:c r="I28" s="7" t="str">
        <x:v>Was this person reviewed? If rejected, give the actual rule and evidence. If acceptable, correct the omission. Confirm the Life-qualification gate and any record change since selection.</x:v>
      </x:c>
      <x:c r="J28" s="7" t="str">
        <x:v>L1</x:v>
      </x:c>
      <x:c r="K28" s="7" t="str">
        <x:v>Verified qualifications do not include active general Life. Current target-pool mismatch; actual historical omission reason unknown.</x:v>
      </x:c>
      <x:c r="L28" s="7" t="str">
        <x:v>Not supplied; membership is known, motive is not</x:v>
      </x:c>
      <x:c r="M28" s="7" t="n">
        <x:v>7</x:v>
      </x:c>
      <x:c r="N28" s="7" t="str">
        <x:v>Outside current general-Life recruiting pool</x:v>
      </x:c>
      <x:c r="O28" s="7" t="str">
        <x:v>Not displayed</x:v>
      </x:c>
      <x:c r="P28" s="7" t="str"/>
      <x:c r="Q28" s="7" t="str"/>
      <x:c r="R28" s="7" t="str"/>
      <x:c r="S28" s="15" t="str"/>
      <x:c r="T28" s="7" t="str">
        <x:v>No public business phone in collected record</x:v>
      </x:c>
      <x:c r="U28" s="7" t="str"/>
      <x:c r="V28" s="7" t="str">
        <x:v>Resident</x:v>
      </x:c>
      <x:c r="W28" s="7" t="str">
        <x:v>CA</x:v>
      </x:c>
      <x:c r="X28" s="7" t="str"/>
      <x:c r="Y28" s="7" t="str"/>
      <x:c r="Z28" s="7" t="str"/>
      <x:c r="AA28" s="7" t="str"/>
      <x:c r="AB28" s="7" t="str"/>
      <x:c r="AC28" s="7" t="str"/>
      <x:c r="AD28" s="7" t="str">
        <x:v>No agency or insurer displayed: onboarding opportunity possible; existing business unknown</x:v>
      </x:c>
      <x:c r="AE28" s="7" t="str">
        <x:v>No public business phone: contact enrichment needed, not proof of poor recruiting fit</x:v>
      </x:c>
      <x:c r="AF28" s="16" t="str"/>
      <x:c r="AG28" s="17" t="str"/>
      <x:c r="AH28" s="7" t="str"/>
      <x:c r="AI28" s="7" t="str"/>
      <x:c r="AJ28" s="7" t="str"/>
      <x:c r="AK28" s="15" t="str"/>
      <x:c r="AL28" s="7" t="str"/>
      <x:c r="AM28" s="7" t="str">
        <x:v>AGUILAR ANTONIO AGUSTIN</x:v>
      </x:c>
      <x:c r="AN28" s="7" t="str">
        <x:v>https://cdicloud.insurance.ca.gov/cal/LicenseDetail?SearchType=IND&amp;SearchLicNbr=0H41239&amp;SearchIndvId=1451984</x:v>
      </x:c>
      <x:c r="AO28" s="7" t="str">
        <x:v>2026-10-08</x:v>
      </x:c>
      <x:c r="AP28" s="7" t="str">
        <x:v>41b518a8303db43eaddfc1cbf73e0efb191a9bb619d8599639fc03ecab2d58f6</x:v>
      </x:c>
      <x:c r="AQ28" s="7" t="str">
        <x:v>Life-Only / Inactive / 05/10/2011 / 05/31/2015 / 05/31/2015</x:v>
      </x:c>
      <x:c r="AR28" s="7" t="str">
        <x:v>Inactive</x:v>
      </x:c>
      <x:c r="AS28" s="7" t="str">
        <x:v>Current detail page</x:v>
      </x:c>
    </x:row>
    <x:row r="29" ht="52" customHeight="1">
      <x:c r="A29" s="7" t="str">
        <x:v>AGUILAR AGUSTINA</x:v>
      </x:c>
      <x:c r="B29" s="14" t="str">
        <x:f>"0F57993"</x:f>
        <x:v>0F57993</x:v>
      </x:c>
      <x:c r="C29" s="7" t="str">
        <x:v>Omitted</x:v>
      </x:c>
      <x:c r="D29" s="7" t="str">
        <x:v>FAIL</x:v>
      </x:c>
      <x:c r="E29" s="13" t="str">
        <x:v>Pending</x:v>
      </x:c>
      <x:c r="F29" s="13" t="str"/>
      <x:c r="G29" s="13" t="str"/>
      <x:c r="H29" s="13" t="str"/>
      <x:c r="I29" s="7" t="str">
        <x:v>Was this person reviewed? If rejected, give the actual rule and evidence. If acceptable, correct the omission. Confirm the Life-qualification gate and any record change since selection.</x:v>
      </x:c>
      <x:c r="J29" s="7" t="str">
        <x:v>L1</x:v>
      </x:c>
      <x:c r="K29" s="7" t="str">
        <x:v>Verified qualifications do not include active general Life. Current target-pool mismatch; actual historical omission reason unknown.</x:v>
      </x:c>
      <x:c r="L29" s="7" t="str">
        <x:v>Not supplied; membership is known, motive is not</x:v>
      </x:c>
      <x:c r="M29" s="7" t="n">
        <x:v>7</x:v>
      </x:c>
      <x:c r="N29" s="7" t="str">
        <x:v>Outside current general-Life recruiting pool</x:v>
      </x:c>
      <x:c r="O29" s="7" t="str">
        <x:v>Not displayed</x:v>
      </x:c>
      <x:c r="P29" s="7" t="str"/>
      <x:c r="Q29" s="7" t="str"/>
      <x:c r="R29" s="7" t="str"/>
      <x:c r="S29" s="15" t="str"/>
      <x:c r="T29" s="7" t="str">
        <x:v>No public business phone in collected record</x:v>
      </x:c>
      <x:c r="U29" s="7" t="str"/>
      <x:c r="V29" s="7" t="str">
        <x:v>Resident</x:v>
      </x:c>
      <x:c r="W29" s="7" t="str">
        <x:v>CA</x:v>
      </x:c>
      <x:c r="X29" s="7" t="str"/>
      <x:c r="Y29" s="7" t="str"/>
      <x:c r="Z29" s="7" t="str"/>
      <x:c r="AA29" s="7" t="str"/>
      <x:c r="AB29" s="7" t="str"/>
      <x:c r="AC29" s="7" t="str"/>
      <x:c r="AD29" s="7" t="str">
        <x:v>No agency or insurer displayed: onboarding opportunity possible; existing business unknown</x:v>
      </x:c>
      <x:c r="AE29" s="7" t="str">
        <x:v>No public business phone: contact enrichment needed, not proof of poor recruiting fit</x:v>
      </x:c>
      <x:c r="AF29" s="16" t="str"/>
      <x:c r="AG29" s="17" t="str"/>
      <x:c r="AH29" s="7" t="str"/>
      <x:c r="AI29" s="7" t="str"/>
      <x:c r="AJ29" s="7" t="str"/>
      <x:c r="AK29" s="15" t="str"/>
      <x:c r="AL29" s="7" t="str"/>
      <x:c r="AM29" s="7" t="str">
        <x:v>AGUILAR  AGUSTINA</x:v>
      </x:c>
      <x:c r="AN29" s="7" t="str">
        <x:v>https://cdicloud.insurance.ca.gov/cal/LicenseDetail?SearchType=IND&amp;SearchLicNbr=0F57993&amp;SearchIndvId=1073295</x:v>
      </x:c>
      <x:c r="AO29" s="7" t="str">
        <x:v>2026-10-08</x:v>
      </x:c>
      <x:c r="AP29" s="7" t="str">
        <x:v>990995d04138ef3741f1dbe638c90b1bd250167d811f6c0f5f22015d8c271a95</x:v>
      </x:c>
      <x:c r="AQ29" s="7" t="str">
        <x:v>Accident and Health / Inactive / 03/16/2007 / 03/31/2009 / 03/31/2009
Life-Only / Inactive / 03/16/2007 / 03/31/2009 / 03/31/2009</x:v>
      </x:c>
      <x:c r="AR29" s="7" t="str">
        <x:v>Inactive</x:v>
      </x:c>
      <x:c r="AS29" s="7" t="str">
        <x:v>Current detail page</x:v>
      </x:c>
    </x:row>
    <x:row r="30" ht="52" customHeight="1">
      <x:c r="A30" s="7" t="str">
        <x:v>AGUILAR AGUSTINA</x:v>
      </x:c>
      <x:c r="B30" s="14" t="str">
        <x:f>"0I93649"</x:f>
        <x:v>0I93649</x:v>
      </x:c>
      <x:c r="C30" s="7" t="str">
        <x:v>Omitted</x:v>
      </x:c>
      <x:c r="D30" s="7" t="str">
        <x:v>FAIL</x:v>
      </x:c>
      <x:c r="E30" s="13" t="str">
        <x:v>Pending</x:v>
      </x:c>
      <x:c r="F30" s="13" t="str"/>
      <x:c r="G30" s="13" t="str"/>
      <x:c r="H30" s="13" t="str"/>
      <x:c r="I30" s="7" t="str">
        <x:v>Was this person reviewed? If rejected, give the actual rule and evidence. If acceptable, correct the omission. Confirm the Life-qualification gate and any record change since selection.</x:v>
      </x:c>
      <x:c r="J30" s="7" t="str">
        <x:v>L1</x:v>
      </x:c>
      <x:c r="K30" s="7" t="str">
        <x:v>Verified qualifications do not include active general Life. Current target-pool mismatch; actual historical omission reason unknown.</x:v>
      </x:c>
      <x:c r="L30" s="7" t="str">
        <x:v>Not supplied; membership is known, motive is not</x:v>
      </x:c>
      <x:c r="M30" s="7" t="n">
        <x:v>7</x:v>
      </x:c>
      <x:c r="N30" s="7" t="str">
        <x:v>Outside current general-Life recruiting pool</x:v>
      </x:c>
      <x:c r="O30" s="7" t="str">
        <x:v>Not displayed</x:v>
      </x:c>
      <x:c r="P30" s="7" t="str"/>
      <x:c r="Q30" s="7" t="str"/>
      <x:c r="R30" s="7" t="str"/>
      <x:c r="S30" s="15" t="str"/>
      <x:c r="T30" s="7" t="str">
        <x:v>No public business phone in collected record</x:v>
      </x:c>
      <x:c r="U30" s="7" t="str"/>
      <x:c r="V30" s="7" t="str">
        <x:v>Resident</x:v>
      </x:c>
      <x:c r="W30" s="7" t="str">
        <x:v>CA</x:v>
      </x:c>
      <x:c r="X30" s="7" t="str"/>
      <x:c r="Y30" s="7" t="str"/>
      <x:c r="Z30" s="7" t="str"/>
      <x:c r="AA30" s="7" t="str"/>
      <x:c r="AB30" s="7" t="str"/>
      <x:c r="AC30" s="7" t="str"/>
      <x:c r="AD30" s="7" t="str">
        <x:v>No agency or insurer displayed: onboarding opportunity possible; existing business unknown</x:v>
      </x:c>
      <x:c r="AE30" s="7" t="str">
        <x:v>No public business phone: contact enrichment needed, not proof of poor recruiting fit</x:v>
      </x:c>
      <x:c r="AF30" s="16" t="str"/>
      <x:c r="AG30" s="17" t="str"/>
      <x:c r="AH30" s="7" t="str"/>
      <x:c r="AI30" s="7" t="str"/>
      <x:c r="AJ30" s="7" t="str"/>
      <x:c r="AK30" s="15" t="str"/>
      <x:c r="AL30" s="7" t="str"/>
      <x:c r="AM30" s="7" t="str">
        <x:v>AGUILAR  AGUSTINA</x:v>
      </x:c>
      <x:c r="AN30" s="7" t="str">
        <x:v>https://cdicloud.insurance.ca.gov/cal/LicenseDetail?SearchType=IND&amp;SearchLicNbr=0I93649&amp;SearchIndvId=1629718</x:v>
      </x:c>
      <x:c r="AO30" s="7" t="str">
        <x:v>2026-10-08</x:v>
      </x:c>
      <x:c r="AP30" s="7" t="str">
        <x:v>d6508006cc7b61ac5c145dc8bbdfa4f1ae1ae1f44e8fee52d9036b9600209575</x:v>
      </x:c>
      <x:c r="AQ30" s="7" t="str">
        <x:v>Life-Only / Inactive / 06/18/2014 / 06/30/2016 / 06/30/2016</x:v>
      </x:c>
      <x:c r="AR30" s="7" t="str">
        <x:v>Inactive</x:v>
      </x:c>
      <x:c r="AS30" s="7" t="str">
        <x:v>Current detail page</x:v>
      </x:c>
    </x:row>
    <x:row r="31" ht="52" customHeight="1">
      <x:c r="A31" s="7" t="str">
        <x:v>AGUILAR AIMEE R</x:v>
      </x:c>
      <x:c r="B31" s="14" t="str">
        <x:f>"4150370"</x:f>
        <x:v>4150370</x:v>
      </x:c>
      <x:c r="C31" s="7" t="str">
        <x:v>Omitted</x:v>
      </x:c>
      <x:c r="D31" s="7" t="str">
        <x:v>FAIL</x:v>
      </x:c>
      <x:c r="E31" s="13" t="str">
        <x:v>Pending</x:v>
      </x:c>
      <x:c r="F31" s="13" t="str"/>
      <x:c r="G31" s="13" t="str"/>
      <x:c r="H31" s="13" t="str"/>
      <x:c r="I31" s="7" t="str">
        <x:v>Was this person reviewed? If rejected, give the actual rule and evidence. If acceptable, correct the omission. Confirm the Life-qualification gate and any record change since selection.</x:v>
      </x:c>
      <x:c r="J31" s="7" t="str">
        <x:v>L1</x:v>
      </x:c>
      <x:c r="K31" s="7" t="str">
        <x:v>Verified qualifications do not include active general Life. Current target-pool mismatch; actual historical omission reason unknown.</x:v>
      </x:c>
      <x:c r="L31" s="7" t="str">
        <x:v>Not supplied; membership is known, motive is not</x:v>
      </x:c>
      <x:c r="M31" s="7" t="n">
        <x:v>7</x:v>
      </x:c>
      <x:c r="N31" s="7" t="str">
        <x:v>Outside current general-Life recruiting pool</x:v>
      </x:c>
      <x:c r="O31" s="7" t="str">
        <x:v>Inactive</x:v>
      </x:c>
      <x:c r="P31" s="7" t="str">
        <x:v>08/30/2021</x:v>
      </x:c>
      <x:c r="Q31" s="7" t="str">
        <x:v>08/31/2025</x:v>
      </x:c>
      <x:c r="R31" s="7" t="str"/>
      <x:c r="S31" s="15" t="str"/>
      <x:c r="T31" s="7" t="str">
        <x:v>No public business phone in collected record</x:v>
      </x:c>
      <x:c r="U31" s="7" t="str">
        <x:v>5223 FRIARS LOOP TEMPLE TX, 76502-8030</x:v>
      </x:c>
      <x:c r="V31" s="7" t="str">
        <x:v>Non-resident</x:v>
      </x:c>
      <x:c r="W31" s="7" t="str">
        <x:v>TX</x:v>
      </x:c>
      <x:c r="X31" s="7" t="str"/>
      <x:c r="Y31" s="7" t="str"/>
      <x:c r="Z31" s="7" t="str"/>
      <x:c r="AA31" s="7" t="str"/>
      <x:c r="AB31" s="7" t="str"/>
      <x:c r="AC31" s="7" t="str"/>
      <x:c r="AD31" s="7" t="str">
        <x:v>No agency or insurer displayed: onboarding opportunity possible; existing business unknown</x:v>
      </x:c>
      <x:c r="AE31" s="7" t="str">
        <x:v>Nonresident or address state outside CA; confirm geographic recruiting scope | No public business phone: contact enrichment needed, not proof of poor recruiting fit</x:v>
      </x:c>
      <x:c r="AF31" s="16" t="str"/>
      <x:c r="AG31" s="17" t="str"/>
      <x:c r="AH31" s="7" t="str"/>
      <x:c r="AI31" s="7" t="str"/>
      <x:c r="AJ31" s="7" t="str"/>
      <x:c r="AK31" s="15" t="str"/>
      <x:c r="AL31" s="7" t="str"/>
      <x:c r="AM31" s="7" t="str">
        <x:v>AGUILAR R AIMEE</x:v>
      </x:c>
      <x:c r="AN31" s="7" t="str">
        <x:v>https://cdicloud.insurance.ca.gov/cal/LicenseDetail?SearchType=IND&amp;SearchLicNbr=4150370&amp;SearchIndvId=4150370</x:v>
      </x:c>
      <x:c r="AO31" s="7" t="str">
        <x:v>2026-10-08</x:v>
      </x:c>
      <x:c r="AP31" s="7" t="str">
        <x:v>ec006c3076614a4ca381728383c9a3f0078c264e05cbfe8fb6b9e2e75aae2d5f</x:v>
      </x:c>
      <x:c r="AQ31" s="7" t="str">
        <x:v>Accident &amp; Health or Sickness / Inactive / 08/30/2021 / 08/31/2025 / 08/31/2025
Life / Inactive / 08/30/2021 / 08/31/2025 / 08/31/2025</x:v>
      </x:c>
      <x:c r="AR31" s="7" t="str">
        <x:v>Inactive</x:v>
      </x:c>
      <x:c r="AS31" s="7" t="str">
        <x:v>Current detail page</x:v>
      </x:c>
    </x:row>
    <x:row r="32" ht="52" customHeight="1">
      <x:c r="A32" s="7" t="str">
        <x:v>AGUILAR ALAINA</x:v>
      </x:c>
      <x:c r="B32" s="14" t="str">
        <x:f>"4080182"</x:f>
        <x:v>4080182</x:v>
      </x:c>
      <x:c r="C32" s="7" t="str">
        <x:v>Omitted</x:v>
      </x:c>
      <x:c r="D32" s="7" t="str">
        <x:v>FAIL</x:v>
      </x:c>
      <x:c r="E32" s="13" t="str">
        <x:v>Pending</x:v>
      </x:c>
      <x:c r="F32" s="13" t="str"/>
      <x:c r="G32" s="13" t="str"/>
      <x:c r="H32" s="13" t="str"/>
      <x:c r="I32" s="7" t="str">
        <x:v>Was this person reviewed? If rejected, give the actual rule and evidence. If acceptable, correct the omission. Confirm the Life-qualification gate and any record change since selection.</x:v>
      </x:c>
      <x:c r="J32" s="7" t="str">
        <x:v>L1</x:v>
      </x:c>
      <x:c r="K32" s="7" t="str">
        <x:v>Verified qualifications do not include active general Life. Current target-pool mismatch; actual historical omission reason unknown.</x:v>
      </x:c>
      <x:c r="L32" s="7" t="str">
        <x:v>Not supplied; membership is known, motive is not</x:v>
      </x:c>
      <x:c r="M32" s="7" t="n">
        <x:v>7</x:v>
      </x:c>
      <x:c r="N32" s="7" t="str">
        <x:v>Outside current general-Life recruiting pool</x:v>
      </x:c>
      <x:c r="O32" s="7" t="str">
        <x:v>Not displayed</x:v>
      </x:c>
      <x:c r="P32" s="7" t="str"/>
      <x:c r="Q32" s="7" t="str"/>
      <x:c r="R32" s="7" t="str"/>
      <x:c r="S32" s="15" t="str"/>
      <x:c r="T32" s="7" t="str">
        <x:v>No public business phone in collected record</x:v>
      </x:c>
      <x:c r="U32" s="7" t="str">
        <x:v>3600 ECOMMERCE PL DAYTONA FL, 32114</x:v>
      </x:c>
      <x:c r="V32" s="7" t="str">
        <x:v>Non-resident</x:v>
      </x:c>
      <x:c r="W32" s="7" t="str">
        <x:v>FL</x:v>
      </x:c>
      <x:c r="X32" s="7" t="str"/>
      <x:c r="Y32" s="7" t="str"/>
      <x:c r="Z32" s="7" t="str"/>
      <x:c r="AA32" s="7" t="str"/>
      <x:c r="AB32" s="7" t="str"/>
      <x:c r="AC32" s="7" t="str"/>
      <x:c r="AD32" s="7" t="str">
        <x:v>No agency or insurer displayed: onboarding opportunity possible; existing business unknown</x:v>
      </x:c>
      <x:c r="AE32" s="7" t="str">
        <x:v>Nonresident or address state outside CA; confirm geographic recruiting scope | No public business phone: contact enrichment needed, not proof of poor recruiting fit</x:v>
      </x:c>
      <x:c r="AF32" s="16" t="str"/>
      <x:c r="AG32" s="17" t="str"/>
      <x:c r="AH32" s="7" t="str"/>
      <x:c r="AI32" s="7" t="str"/>
      <x:c r="AJ32" s="7" t="str"/>
      <x:c r="AK32" s="15" t="str"/>
      <x:c r="AL32" s="7" t="str"/>
      <x:c r="AM32" s="7" t="str">
        <x:v>AGUILAR  ALAINA</x:v>
      </x:c>
      <x:c r="AN32" s="7" t="str">
        <x:v>https://cdicloud.insurance.ca.gov/cal/LicenseDetail?SearchType=IND&amp;SearchLicNbr=4080182&amp;SearchIndvId=4080182</x:v>
      </x:c>
      <x:c r="AO32" s="7" t="str">
        <x:v>2026-10-08</x:v>
      </x:c>
      <x:c r="AP32" s="7" t="str">
        <x:v>7b2b1983b3fb9c5180abfce999eed3744a1ce3b8555a689a2bd9fd7ec4fc8cda</x:v>
      </x:c>
      <x:c r="AQ32" s="7" t="str">
        <x:v>Accident &amp; Health or Sickness / Inactive / 10/23/2020 / 10/31/2022 / 10/31/2022</x:v>
      </x:c>
      <x:c r="AR32" s="7" t="str">
        <x:v>Inactive</x:v>
      </x:c>
      <x:c r="AS32" s="7" t="str">
        <x:v>Current detail page</x:v>
      </x:c>
    </x:row>
    <x:row r="33" ht="52" customHeight="1">
      <x:c r="A33" s="7" t="str">
        <x:v>AGUILAR ALAMILLO MARIA YOSELIN</x:v>
      </x:c>
      <x:c r="B33" s="14" t="str">
        <x:f>"4468129"</x:f>
        <x:v>4468129</x:v>
      </x:c>
      <x:c r="C33" s="7" t="str">
        <x:v>Omitted</x:v>
      </x:c>
      <x:c r="D33" s="7" t="str">
        <x:v>FAIL</x:v>
      </x:c>
      <x:c r="E33" s="13" t="str">
        <x:v>Pending</x:v>
      </x:c>
      <x:c r="F33" s="13" t="str"/>
      <x:c r="G33" s="13" t="str"/>
      <x:c r="H33" s="13" t="str"/>
      <x:c r="I33" s="7" t="str">
        <x:v>Was this person reviewed? If rejected, give the actual rule and evidence. If acceptable, correct the omission. Confirm the Life-qualification gate and any record change since selection.</x:v>
      </x:c>
      <x:c r="J33" s="7" t="str">
        <x:v>L1</x:v>
      </x:c>
      <x:c r="K33" s="7" t="str">
        <x:v>Verified qualifications do not include active general Life. Current target-pool mismatch; actual historical omission reason unknown.</x:v>
      </x:c>
      <x:c r="L33" s="7" t="str">
        <x:v>Not supplied; membership is known, motive is not</x:v>
      </x:c>
      <x:c r="M33" s="7" t="n">
        <x:v>7</x:v>
      </x:c>
      <x:c r="N33" s="7" t="str">
        <x:v>Outside current general-Life recruiting pool</x:v>
      </x:c>
      <x:c r="O33" s="7" t="str">
        <x:v>Not displayed</x:v>
      </x:c>
      <x:c r="P33" s="7" t="str"/>
      <x:c r="Q33" s="7" t="str"/>
      <x:c r="R33" s="7" t="str">
        <x:v>Personal Lines</x:v>
      </x:c>
      <x:c r="S33" s="15" t="str">
        <x:v>510-629-9979</x:v>
      </x:c>
      <x:c r="T33" s="7" t="str">
        <x:v>Current CDI</x:v>
      </x:c>
      <x:c r="U33" s="7" t="str">
        <x:v>646 HEGENBERGER ROAD STE D OAKLAND CA, 94621</x:v>
      </x:c>
      <x:c r="V33" s="7" t="str">
        <x:v>Resident</x:v>
      </x:c>
      <x:c r="W33" s="7" t="str">
        <x:v>CA</x:v>
      </x:c>
      <x:c r="X33" s="7" t="str">
        <x:v>FIESTA INSURANCE FRANCHISE CORPORATION / Personal Lines / 06/05/2025</x:v>
      </x:c>
      <x:c r="Y33" s="7" t="str"/>
      <x:c r="Z33" s="7" t="str"/>
      <x:c r="AA33" s="7" t="str"/>
      <x:c r="AB33" s="7" t="str"/>
      <x:c r="AC33" s="7" t="str"/>
      <x:c r="AD33" s="7" t="str"/>
      <x:c r="AE33" s="7" t="str">
        <x:v>P&amp;C/Personal Lines authority without displayed core Life appointments; mixed profile requires review</x:v>
      </x:c>
      <x:c r="AF33" s="16" t="str"/>
      <x:c r="AG33" s="17" t="str"/>
      <x:c r="AH33" s="7" t="str"/>
      <x:c r="AI33" s="7" t="str">
        <x:v>English</x:v>
      </x:c>
      <x:c r="AJ33" s="7" t="str"/>
      <x:c r="AK33" s="15" t="str"/>
      <x:c r="AL33" s="7" t="str"/>
      <x:c r="AM33" s="7" t="str">
        <x:v>AGUILAR ALAMILLO YOSELIN MARIA</x:v>
      </x:c>
      <x:c r="AN33" s="7" t="str">
        <x:v>https://cdicloud.insurance.ca.gov/cal/LicenseDetail?SearchType=IND&amp;SearchLicNbr=4468129&amp;SearchIndvId=4468129</x:v>
      </x:c>
      <x:c r="AO33" s="7" t="str">
        <x:v>2026-10-08</x:v>
      </x:c>
      <x:c r="AP33" s="7" t="str">
        <x:v>a5fe64ffbc5b3dc4099bd0223f0dc3632dc00918449172aeaa92d1e485321b0a</x:v>
      </x:c>
      <x:c r="AQ33" s="7" t="str">
        <x:v>Personal Lines / Active / 06/03/2025 / 06/03/2025 / 06/30/2027</x:v>
      </x:c>
      <x:c r="AR33" s="7" t="str">
        <x:v>Active</x:v>
      </x:c>
      <x:c r="AS33" s="7" t="str">
        <x:v>Current detail page</x:v>
      </x:c>
    </x:row>
    <x:row r="34" ht="52" customHeight="1">
      <x:c r="A34" s="7" t="str">
        <x:v>AGUILAR ALAN MAXIMILIANO</x:v>
      </x:c>
      <x:c r="B34" s="14" t="str">
        <x:f>"4076680"</x:f>
        <x:v>4076680</x:v>
      </x:c>
      <x:c r="C34" s="7" t="str">
        <x:v>Omitted</x:v>
      </x:c>
      <x:c r="D34" s="7" t="str">
        <x:v>FAIL</x:v>
      </x:c>
      <x:c r="E34" s="13" t="str">
        <x:v>Pending</x:v>
      </x:c>
      <x:c r="F34" s="13" t="str"/>
      <x:c r="G34" s="13" t="str"/>
      <x:c r="H34" s="13" t="str"/>
      <x:c r="I34" s="7" t="str">
        <x:v>Was this person reviewed? If rejected, give the actual rule and evidence. If acceptable, correct the omission. Confirm the Life-qualification gate and any record change since selection.</x:v>
      </x:c>
      <x:c r="J34" s="7" t="str">
        <x:v>L1</x:v>
      </x:c>
      <x:c r="K34" s="7" t="str">
        <x:v>Verified qualifications do not include active general Life. Current target-pool mismatch; actual historical omission reason unknown.</x:v>
      </x:c>
      <x:c r="L34" s="7" t="str">
        <x:v>Not supplied; membership is known, motive is not</x:v>
      </x:c>
      <x:c r="M34" s="7" t="n">
        <x:v>7</x:v>
      </x:c>
      <x:c r="N34" s="7" t="str">
        <x:v>Outside current general-Life recruiting pool</x:v>
      </x:c>
      <x:c r="O34" s="7" t="str">
        <x:v>Not displayed</x:v>
      </x:c>
      <x:c r="P34" s="7" t="str"/>
      <x:c r="Q34" s="7" t="str"/>
      <x:c r="R34" s="7" t="str"/>
      <x:c r="S34" s="15" t="str"/>
      <x:c r="T34" s="7" t="str">
        <x:v>No public business phone in collected record</x:v>
      </x:c>
      <x:c r="U34" s="7" t="str">
        <x:v>4250 DOREL DR NO A202 LAREDO TX, 78043</x:v>
      </x:c>
      <x:c r="V34" s="7" t="str">
        <x:v>Non-resident</x:v>
      </x:c>
      <x:c r="W34" s="7" t="str">
        <x:v>TX</x:v>
      </x:c>
      <x:c r="X34" s="7" t="str"/>
      <x:c r="Y34" s="7" t="str"/>
      <x:c r="Z34" s="7" t="str"/>
      <x:c r="AA34" s="7" t="str"/>
      <x:c r="AB34" s="7" t="str"/>
      <x:c r="AC34" s="7" t="str"/>
      <x:c r="AD34" s="7" t="str">
        <x:v>No agency or insurer displayed: onboarding opportunity possible; existing business unknown</x:v>
      </x:c>
      <x:c r="AE34" s="7" t="str">
        <x:v>Nonresident or address state outside CA; confirm geographic recruiting scope | No public business phone: contact enrichment needed, not proof of poor recruiting fit</x:v>
      </x:c>
      <x:c r="AF34" s="16" t="str"/>
      <x:c r="AG34" s="17" t="str"/>
      <x:c r="AH34" s="7" t="str"/>
      <x:c r="AI34" s="7" t="str"/>
      <x:c r="AJ34" s="7" t="str"/>
      <x:c r="AK34" s="15" t="str"/>
      <x:c r="AL34" s="7" t="str"/>
      <x:c r="AM34" s="7" t="str">
        <x:v>AGUILAR MAXIMILIANO ALAN</x:v>
      </x:c>
      <x:c r="AN34" s="7" t="str">
        <x:v>https://cdicloud.insurance.ca.gov/cal/LicenseDetail?SearchType=IND&amp;SearchLicNbr=4076680&amp;SearchIndvId=4076680</x:v>
      </x:c>
      <x:c r="AO34" s="7" t="str">
        <x:v>2026-10-08</x:v>
      </x:c>
      <x:c r="AP34" s="7" t="str">
        <x:v>ec02e59852db87512d2f577b4e6b6c8382fe3fec10db4ca0c60626ef42dc2c62</x:v>
      </x:c>
      <x:c r="AQ34" s="7" t="str">
        <x:v>Accident &amp; Health or Sickness / Inactive / 10/12/2020 / 10/31/2022 / 10/31/2022</x:v>
      </x:c>
      <x:c r="AR34" s="7" t="str">
        <x:v>Inactive</x:v>
      </x:c>
      <x:c r="AS34" s="7" t="str">
        <x:v>Current detail page</x:v>
      </x:c>
    </x:row>
    <x:row r="35" ht="52" customHeight="1">
      <x:c r="A35" s="7" t="str">
        <x:v>AGUILAR ALBERT</x:v>
      </x:c>
      <x:c r="B35" s="14" t="str">
        <x:f>"0B75875"</x:f>
        <x:v>0B75875</x:v>
      </x:c>
      <x:c r="C35" s="7" t="str">
        <x:v>Omitted</x:v>
      </x:c>
      <x:c r="D35" s="7" t="str">
        <x:v>FAIL</x:v>
      </x:c>
      <x:c r="E35" s="13" t="str">
        <x:v>Pending</x:v>
      </x:c>
      <x:c r="F35" s="13" t="str"/>
      <x:c r="G35" s="13" t="str"/>
      <x:c r="H35" s="13" t="str"/>
      <x:c r="I35" s="7" t="str">
        <x:v>Was this person reviewed? If rejected, give the actual rule and evidence. If acceptable, correct the omission. Confirm the Life-qualification gate and any record change since selection.</x:v>
      </x:c>
      <x:c r="J35" s="7" t="str">
        <x:v>L1</x:v>
      </x:c>
      <x:c r="K35" s="7" t="str">
        <x:v>Verified qualifications do not include active general Life. Current target-pool mismatch; actual historical omission reason unknown.</x:v>
      </x:c>
      <x:c r="L35" s="7" t="str">
        <x:v>Not supplied; membership is known, motive is not</x:v>
      </x:c>
      <x:c r="M35" s="7" t="n">
        <x:v>7</x:v>
      </x:c>
      <x:c r="N35" s="7" t="str">
        <x:v>Outside current general-Life recruiting pool</x:v>
      </x:c>
      <x:c r="O35" s="7" t="str">
        <x:v>Not displayed</x:v>
      </x:c>
      <x:c r="P35" s="7" t="str"/>
      <x:c r="Q35" s="7" t="str"/>
      <x:c r="R35" s="7" t="str"/>
      <x:c r="S35" s="15" t="str"/>
      <x:c r="T35" s="7" t="str">
        <x:v>No public business phone in collected record</x:v>
      </x:c>
      <x:c r="U35" s="7" t="str"/>
      <x:c r="V35" s="7" t="str">
        <x:v>Resident</x:v>
      </x:c>
      <x:c r="W35" s="7" t="str">
        <x:v>CA</x:v>
      </x:c>
      <x:c r="X35" s="7" t="str"/>
      <x:c r="Y35" s="7" t="str"/>
      <x:c r="Z35" s="7" t="str"/>
      <x:c r="AA35" s="7" t="str"/>
      <x:c r="AB35" s="7" t="str"/>
      <x:c r="AC35" s="7" t="str"/>
      <x:c r="AD35" s="7" t="str">
        <x:v>No agency or insurer displayed: onboarding opportunity possible; existing business unknown</x:v>
      </x:c>
      <x:c r="AE35" s="7" t="str">
        <x:v>No public business phone: contact enrichment needed, not proof of poor recruiting fit</x:v>
      </x:c>
      <x:c r="AF35" s="16" t="str"/>
      <x:c r="AG35" s="17" t="str"/>
      <x:c r="AH35" s="7" t="str"/>
      <x:c r="AI35" s="7" t="str"/>
      <x:c r="AJ35" s="7" t="str"/>
      <x:c r="AK35" s="15" t="str"/>
      <x:c r="AL35" s="7" t="str"/>
      <x:c r="AM35" s="7" t="str">
        <x:v>AGUILAR  ALBERT</x:v>
      </x:c>
      <x:c r="AN35" s="7" t="str">
        <x:v>https://cdicloud.insurance.ca.gov/cal/LicenseDetail?SearchType=IND&amp;SearchLicNbr=0B75875&amp;SearchIndvId=253780</x:v>
      </x:c>
      <x:c r="AO35" s="7" t="str">
        <x:v>2026-10-08</x:v>
      </x:c>
      <x:c r="AP35" s="7" t="str">
        <x:v>eafb11b517a4da599064e9316a84639fa18ecb71a57e33fdddbf5bfbba6d7ac1</x:v>
      </x:c>
      <x:c r="AQ35" s="7" t="str">
        <x:v>Accident and Health / Inactive / 03/22/1996 / 03/31/1998 / 03/31/1998
Life-Only / Inactive / 03/22/1996 / 03/31/1998 / 03/31/1998</x:v>
      </x:c>
      <x:c r="AR35" s="7" t="str">
        <x:v>Inactive</x:v>
      </x:c>
      <x:c r="AS35" s="7" t="str">
        <x:v>Current detail page</x:v>
      </x:c>
    </x:row>
    <x:row r="36" ht="52" customHeight="1">
      <x:c r="A36" s="7" t="str">
        <x:v>AGUILAR ALBERT</x:v>
      </x:c>
      <x:c r="B36" s="14" t="str">
        <x:f>"0D87184"</x:f>
        <x:v>0D87184</x:v>
      </x:c>
      <x:c r="C36" s="7" t="str">
        <x:v>Omitted</x:v>
      </x:c>
      <x:c r="D36" s="7" t="str">
        <x:v>FAIL</x:v>
      </x:c>
      <x:c r="E36" s="13" t="str">
        <x:v>Pending</x:v>
      </x:c>
      <x:c r="F36" s="13" t="str"/>
      <x:c r="G36" s="13" t="str"/>
      <x:c r="H36" s="13" t="str"/>
      <x:c r="I36" s="7" t="str">
        <x:v>Was this person reviewed? If rejected, give the actual rule and evidence. If acceptable, correct the omission. Confirm the Life-qualification gate and any record change since selection.</x:v>
      </x:c>
      <x:c r="J36" s="7" t="str">
        <x:v>L1</x:v>
      </x:c>
      <x:c r="K36" s="7" t="str">
        <x:v>Verified qualifications do not include active general Life. Current target-pool mismatch; actual historical omission reason unknown.</x:v>
      </x:c>
      <x:c r="L36" s="7" t="str">
        <x:v>Not supplied; membership is known, motive is not</x:v>
      </x:c>
      <x:c r="M36" s="7" t="n">
        <x:v>7</x:v>
      </x:c>
      <x:c r="N36" s="7" t="str">
        <x:v>Outside current general-Life recruiting pool</x:v>
      </x:c>
      <x:c r="O36" s="7" t="str">
        <x:v>Not displayed</x:v>
      </x:c>
      <x:c r="P36" s="7" t="str"/>
      <x:c r="Q36" s="7" t="str"/>
      <x:c r="R36" s="7" t="str"/>
      <x:c r="S36" s="15" t="str"/>
      <x:c r="T36" s="7" t="str">
        <x:v>No public business phone in collected record</x:v>
      </x:c>
      <x:c r="U36" s="7" t="str"/>
      <x:c r="V36" s="7" t="str">
        <x:v>Non-resident</x:v>
      </x:c>
      <x:c r="W36" s="7" t="str">
        <x:v>TX</x:v>
      </x:c>
      <x:c r="X36" s="7" t="str"/>
      <x:c r="Y36" s="7" t="str"/>
      <x:c r="Z36" s="7" t="str"/>
      <x:c r="AA36" s="7" t="str"/>
      <x:c r="AB36" s="7" t="str"/>
      <x:c r="AC36" s="7" t="str"/>
      <x:c r="AD36" s="7" t="str">
        <x:v>No agency or insurer displayed: onboarding opportunity possible; existing business unknown</x:v>
      </x:c>
      <x:c r="AE36" s="7" t="str">
        <x:v>Nonresident or address state outside CA; confirm geographic recruiting scope | No public business phone: contact enrichment needed, not proof of poor recruiting fit</x:v>
      </x:c>
      <x:c r="AF36" s="16" t="str"/>
      <x:c r="AG36" s="17" t="str"/>
      <x:c r="AH36" s="7" t="str"/>
      <x:c r="AI36" s="7" t="str"/>
      <x:c r="AJ36" s="7" t="str"/>
      <x:c r="AK36" s="15" t="str"/>
      <x:c r="AL36" s="7" t="str"/>
      <x:c r="AM36" s="7" t="str">
        <x:v>AGUILAR  ALBERT</x:v>
      </x:c>
      <x:c r="AN36" s="7" t="str">
        <x:v>https://cdicloud.insurance.ca.gov/cal/LicenseDetail?SearchType=IND&amp;SearchLicNbr=0D87184&amp;SearchIndvId=828017</x:v>
      </x:c>
      <x:c r="AO36" s="7" t="str">
        <x:v>2026-10-08</x:v>
      </x:c>
      <x:c r="AP36" s="7" t="str">
        <x:v>e3e365402a3a3761139169904debcc2b2de9959c94a1eb8ee0cd706c9712f1ed</x:v>
      </x:c>
      <x:c r="AQ36" s="7" t="str">
        <x:v>Casualty Broker-Agent / Inactive / 02/06/2003 / 02/28/2005 / 02/28/2005
Property Broker-Agent / Inactive / 02/06/2003 / 02/28/2005 / 02/28/2005</x:v>
      </x:c>
      <x:c r="AR36" s="7" t="str">
        <x:v>Inactive</x:v>
      </x:c>
      <x:c r="AS36" s="7" t="str">
        <x:v>Current detail page</x:v>
      </x:c>
    </x:row>
    <x:row r="37" ht="52" customHeight="1">
      <x:c r="A37" s="7" t="str">
        <x:v>AGUILAR ALBERT</x:v>
      </x:c>
      <x:c r="B37" s="14" t="str">
        <x:f>"0E73439"</x:f>
        <x:v>0E73439</x:v>
      </x:c>
      <x:c r="C37" s="7" t="str">
        <x:v>Omitted</x:v>
      </x:c>
      <x:c r="D37" s="7" t="str">
        <x:v>FAIL</x:v>
      </x:c>
      <x:c r="E37" s="13" t="str">
        <x:v>Pending</x:v>
      </x:c>
      <x:c r="F37" s="13" t="str"/>
      <x:c r="G37" s="13" t="str"/>
      <x:c r="H37" s="13" t="str"/>
      <x:c r="I37" s="7" t="str">
        <x:v>Was this person reviewed? If rejected, give the actual rule and evidence. If acceptable, correct the omission. Confirm the Life-qualification gate and any record change since selection.</x:v>
      </x:c>
      <x:c r="J37" s="7" t="str">
        <x:v>L1</x:v>
      </x:c>
      <x:c r="K37" s="7" t="str">
        <x:v>Verified qualifications do not include active general Life. Current target-pool mismatch; actual historical omission reason unknown.</x:v>
      </x:c>
      <x:c r="L37" s="7" t="str">
        <x:v>Not supplied; membership is known, motive is not</x:v>
      </x:c>
      <x:c r="M37" s="7" t="n">
        <x:v>7</x:v>
      </x:c>
      <x:c r="N37" s="7" t="str">
        <x:v>Outside current general-Life recruiting pool</x:v>
      </x:c>
      <x:c r="O37" s="7" t="str">
        <x:v>Not displayed</x:v>
      </x:c>
      <x:c r="P37" s="7" t="str"/>
      <x:c r="Q37" s="7" t="str"/>
      <x:c r="R37" s="7" t="str"/>
      <x:c r="S37" s="15" t="str"/>
      <x:c r="T37" s="7" t="str">
        <x:v>No public business phone in collected record</x:v>
      </x:c>
      <x:c r="U37" s="7" t="str"/>
      <x:c r="V37" s="7" t="str">
        <x:v>Resident</x:v>
      </x:c>
      <x:c r="W37" s="7" t="str">
        <x:v>CA</x:v>
      </x:c>
      <x:c r="X37" s="7" t="str"/>
      <x:c r="Y37" s="7" t="str"/>
      <x:c r="Z37" s="7" t="str"/>
      <x:c r="AA37" s="7" t="str"/>
      <x:c r="AB37" s="7" t="str"/>
      <x:c r="AC37" s="7" t="str"/>
      <x:c r="AD37" s="7" t="str">
        <x:v>No agency or insurer displayed: onboarding opportunity possible; existing business unknown</x:v>
      </x:c>
      <x:c r="AE37" s="7" t="str">
        <x:v>No public business phone: contact enrichment needed, not proof of poor recruiting fit</x:v>
      </x:c>
      <x:c r="AF37" s="16" t="str"/>
      <x:c r="AG37" s="17" t="str"/>
      <x:c r="AH37" s="7" t="str"/>
      <x:c r="AI37" s="7" t="str"/>
      <x:c r="AJ37" s="7" t="str"/>
      <x:c r="AK37" s="15" t="str"/>
      <x:c r="AL37" s="7" t="str"/>
      <x:c r="AM37" s="7" t="str">
        <x:v>AGUILAR  ALBERT</x:v>
      </x:c>
      <x:c r="AN37" s="7" t="str">
        <x:v>https://cdicloud.insurance.ca.gov/cal/LicenseDetail?SearchType=IND&amp;SearchLicNbr=0E73439&amp;SearchIndvId=943434</x:v>
      </x:c>
      <x:c r="AO37" s="7" t="str">
        <x:v>2026-10-08</x:v>
      </x:c>
      <x:c r="AP37" s="7" t="str">
        <x:v>1501cfb4c812e5ed47d08b4830cff79801536e8a379e85dd9d8c59684ef98171</x:v>
      </x:c>
      <x:c r="AQ37" s="7" t="str">
        <x:v>Accident and Health / Inactive / 03/22/2005 / 03/31/2007 / 03/31/2007
Life-Only / Inactive / 03/22/2005 / 03/31/2007 / 03/31/2007</x:v>
      </x:c>
      <x:c r="AR37" s="7" t="str">
        <x:v>Inactive</x:v>
      </x:c>
      <x:c r="AS37" s="7" t="str">
        <x:v>Current detail page</x:v>
      </x:c>
    </x:row>
    <x:row r="38" ht="52" customHeight="1">
      <x:c r="A38" s="7" t="str">
        <x:v>AGUILAR ALBERT</x:v>
      </x:c>
      <x:c r="B38" s="14" t="str">
        <x:f>"0H62893"</x:f>
        <x:v>0H62893</x:v>
      </x:c>
      <x:c r="C38" s="7" t="str">
        <x:v>Omitted</x:v>
      </x:c>
      <x:c r="D38" s="7" t="str">
        <x:v>FAIL</x:v>
      </x:c>
      <x:c r="E38" s="13" t="str">
        <x:v>Pending</x:v>
      </x:c>
      <x:c r="F38" s="13" t="str"/>
      <x:c r="G38" s="13" t="str"/>
      <x:c r="H38" s="13" t="str"/>
      <x:c r="I38" s="7" t="str">
        <x:v>Was this person reviewed? If rejected, give the actual rule and evidence. If acceptable, correct the omission. Confirm the Life-qualification gate and any record change since selection.</x:v>
      </x:c>
      <x:c r="J38" s="7" t="str">
        <x:v>L1</x:v>
      </x:c>
      <x:c r="K38" s="7" t="str">
        <x:v>Verified qualifications do not include active general Life. Current target-pool mismatch; actual historical omission reason unknown.</x:v>
      </x:c>
      <x:c r="L38" s="7" t="str">
        <x:v>Not supplied; membership is known, motive is not</x:v>
      </x:c>
      <x:c r="M38" s="7" t="n">
        <x:v>7</x:v>
      </x:c>
      <x:c r="N38" s="7" t="str">
        <x:v>Outside current general-Life recruiting pool</x:v>
      </x:c>
      <x:c r="O38" s="7" t="str">
        <x:v>Not displayed</x:v>
      </x:c>
      <x:c r="P38" s="7" t="str"/>
      <x:c r="Q38" s="7" t="str"/>
      <x:c r="R38" s="7" t="str"/>
      <x:c r="S38" s="15" t="str"/>
      <x:c r="T38" s="7" t="str">
        <x:v>No public business phone in collected record</x:v>
      </x:c>
      <x:c r="U38" s="7" t="str"/>
      <x:c r="V38" s="7" t="str">
        <x:v>Resident</x:v>
      </x:c>
      <x:c r="W38" s="7" t="str">
        <x:v>CA</x:v>
      </x:c>
      <x:c r="X38" s="7" t="str"/>
      <x:c r="Y38" s="7" t="str"/>
      <x:c r="Z38" s="7" t="str"/>
      <x:c r="AA38" s="7" t="str"/>
      <x:c r="AB38" s="7" t="str"/>
      <x:c r="AC38" s="7" t="str"/>
      <x:c r="AD38" s="7" t="str">
        <x:v>No agency or insurer displayed: onboarding opportunity possible; existing business unknown</x:v>
      </x:c>
      <x:c r="AE38" s="7" t="str">
        <x:v>No public business phone: contact enrichment needed, not proof of poor recruiting fit</x:v>
      </x:c>
      <x:c r="AF38" s="16" t="str"/>
      <x:c r="AG38" s="17" t="str"/>
      <x:c r="AH38" s="7" t="str"/>
      <x:c r="AI38" s="7" t="str"/>
      <x:c r="AJ38" s="7" t="str"/>
      <x:c r="AK38" s="15" t="str"/>
      <x:c r="AL38" s="7" t="str"/>
      <x:c r="AM38" s="7" t="str">
        <x:v>AGUILAR  ALBERT</x:v>
      </x:c>
      <x:c r="AN38" s="7" t="str">
        <x:v>https://cdicloud.insurance.ca.gov/cal/LicenseDetail?SearchType=IND&amp;SearchLicNbr=0H62893&amp;SearchIndvId=1485272</x:v>
      </x:c>
      <x:c r="AO38" s="7" t="str">
        <x:v>2026-10-08</x:v>
      </x:c>
      <x:c r="AP38" s="7" t="str">
        <x:v>ab5c7e564b3854f947c43c3c617fc66b48b45b6c7846efbf4a5857b382714326</x:v>
      </x:c>
      <x:c r="AQ38" s="7" t="str">
        <x:v>Life-Only / Inactive / 10/28/2011 / 10/31/2017 / 10/31/2017
Variable Contracts / Inactive / 10/28/2011 / 10/31/2017 / 10/31/2017</x:v>
      </x:c>
      <x:c r="AR38" s="7" t="str">
        <x:v>Inactive</x:v>
      </x:c>
      <x:c r="AS38" s="7" t="str">
        <x:v>Current detail page</x:v>
      </x:c>
    </x:row>
    <x:row r="39" ht="52" customHeight="1">
      <x:c r="A39" s="7" t="str">
        <x:v>AGUILAR ALBERT ANTHONY</x:v>
      </x:c>
      <x:c r="B39" s="14" t="str">
        <x:f>"0C97427"</x:f>
        <x:v>0C97427</x:v>
      </x:c>
      <x:c r="C39" s="7" t="str">
        <x:v>Omitted</x:v>
      </x:c>
      <x:c r="D39" s="7" t="str">
        <x:v>FAIL</x:v>
      </x:c>
      <x:c r="E39" s="13" t="str">
        <x:v>Pending</x:v>
      </x:c>
      <x:c r="F39" s="13" t="str"/>
      <x:c r="G39" s="13" t="str"/>
      <x:c r="H39" s="13" t="str"/>
      <x:c r="I39" s="7" t="str">
        <x:v>Was this person reviewed? If rejected, give the actual rule and evidence. If acceptable, correct the omission. Confirm the Life-qualification gate and any record change since selection.</x:v>
      </x:c>
      <x:c r="J39" s="7" t="str">
        <x:v>L1</x:v>
      </x:c>
      <x:c r="K39" s="7" t="str">
        <x:v>Verified qualifications do not include active general Life. Current target-pool mismatch; actual historical omission reason unknown.</x:v>
      </x:c>
      <x:c r="L39" s="7" t="str">
        <x:v>Not supplied; membership is known, motive is not</x:v>
      </x:c>
      <x:c r="M39" s="7" t="n">
        <x:v>7</x:v>
      </x:c>
      <x:c r="N39" s="7" t="str">
        <x:v>Outside current general-Life recruiting pool</x:v>
      </x:c>
      <x:c r="O39" s="7" t="str">
        <x:v>Not displayed</x:v>
      </x:c>
      <x:c r="P39" s="7" t="str"/>
      <x:c r="Q39" s="7" t="str"/>
      <x:c r="R39" s="7" t="str"/>
      <x:c r="S39" s="15" t="str"/>
      <x:c r="T39" s="7" t="str">
        <x:v>No public business phone in collected record</x:v>
      </x:c>
      <x:c r="U39" s="7" t="str"/>
      <x:c r="V39" s="7" t="str">
        <x:v>Resident</x:v>
      </x:c>
      <x:c r="W39" s="7" t="str">
        <x:v>CA</x:v>
      </x:c>
      <x:c r="X39" s="7" t="str"/>
      <x:c r="Y39" s="7" t="str"/>
      <x:c r="Z39" s="7" t="str"/>
      <x:c r="AA39" s="7" t="str"/>
      <x:c r="AB39" s="7" t="str"/>
      <x:c r="AC39" s="7" t="str"/>
      <x:c r="AD39" s="7" t="str">
        <x:v>No agency or insurer displayed: onboarding opportunity possible; existing business unknown</x:v>
      </x:c>
      <x:c r="AE39" s="7" t="str">
        <x:v>No public business phone: contact enrichment needed, not proof of poor recruiting fit</x:v>
      </x:c>
      <x:c r="AF39" s="16" t="str"/>
      <x:c r="AG39" s="17" t="str"/>
      <x:c r="AH39" s="7" t="str"/>
      <x:c r="AI39" s="7" t="str"/>
      <x:c r="AJ39" s="7" t="str"/>
      <x:c r="AK39" s="15" t="str"/>
      <x:c r="AL39" s="7" t="str"/>
      <x:c r="AM39" s="7" t="str">
        <x:v>AGUILAR ANTHONY ALBERT</x:v>
      </x:c>
      <x:c r="AN39" s="7" t="str">
        <x:v>https://cdicloud.insurance.ca.gov/cal/LicenseDetail?SearchType=IND&amp;SearchLicNbr=0C97427&amp;SearchIndvId=488799</x:v>
      </x:c>
      <x:c r="AO39" s="7" t="str">
        <x:v>2026-10-08</x:v>
      </x:c>
      <x:c r="AP39" s="7" t="str">
        <x:v>f076cbe8de883fe2543c5fdbff8c8b1ba8a7e65ae0b5cc15b6c73b42ab4054df</x:v>
      </x:c>
      <x:c r="AQ39" s="7" t="str">
        <x:v>Personal Lines Broker-Agent / Inactive / 02/26/2002 / 11/12/2009 / 11/12/2009
Accident and Health / Inactive / 06/07/2000 / 06/30/2008 / 06/30/2008
Life-Only / Inactive / 06/07/2000 / 06/30/2008 / 06/30/2008</x:v>
      </x:c>
      <x:c r="AR39" s="7" t="str">
        <x:v>Inactive</x:v>
      </x:c>
      <x:c r="AS39" s="7" t="str">
        <x:v>Current detail page</x:v>
      </x:c>
    </x:row>
    <x:row r="40" ht="52" customHeight="1">
      <x:c r="A40" s="7" t="str">
        <x:v>AGUILAR ALBERTO CARLOS</x:v>
      </x:c>
      <x:c r="B40" s="14" t="str">
        <x:f>"0L46272"</x:f>
        <x:v>0L46272</x:v>
      </x:c>
      <x:c r="C40" s="7" t="str">
        <x:v>Omitted</x:v>
      </x:c>
      <x:c r="D40" s="7" t="str">
        <x:v>FAIL</x:v>
      </x:c>
      <x:c r="E40" s="13" t="str">
        <x:v>Pending</x:v>
      </x:c>
      <x:c r="F40" s="13" t="str"/>
      <x:c r="G40" s="13" t="str"/>
      <x:c r="H40" s="13" t="str"/>
      <x:c r="I40" s="7" t="str">
        <x:v>Was this person reviewed? If rejected, give the actual rule and evidence. If acceptable, correct the omission. Confirm the Life-qualification gate and any record change since selection.</x:v>
      </x:c>
      <x:c r="J40" s="7" t="str">
        <x:v>L1</x:v>
      </x:c>
      <x:c r="K40" s="7" t="str">
        <x:v>Verified qualifications do not include active general Life. Current target-pool mismatch; actual historical omission reason unknown.</x:v>
      </x:c>
      <x:c r="L40" s="7" t="str">
        <x:v>Not supplied; membership is known, motive is not</x:v>
      </x:c>
      <x:c r="M40" s="7" t="n">
        <x:v>7</x:v>
      </x:c>
      <x:c r="N40" s="7" t="str">
        <x:v>Outside current general-Life recruiting pool</x:v>
      </x:c>
      <x:c r="O40" s="7" t="str">
        <x:v>Not displayed</x:v>
      </x:c>
      <x:c r="P40" s="7" t="str"/>
      <x:c r="Q40" s="7" t="str"/>
      <x:c r="R40" s="7" t="str"/>
      <x:c r="S40" s="15" t="str"/>
      <x:c r="T40" s="7" t="str">
        <x:v>No public business phone in collected record</x:v>
      </x:c>
      <x:c r="U40" s="7" t="str"/>
      <x:c r="V40" s="7" t="str">
        <x:v>Resident</x:v>
      </x:c>
      <x:c r="W40" s="7" t="str">
        <x:v>CA</x:v>
      </x:c>
      <x:c r="X40" s="7" t="str"/>
      <x:c r="Y40" s="7" t="str"/>
      <x:c r="Z40" s="7" t="str"/>
      <x:c r="AA40" s="7" t="str"/>
      <x:c r="AB40" s="7" t="str"/>
      <x:c r="AC40" s="7" t="str"/>
      <x:c r="AD40" s="7" t="str">
        <x:v>No agency or insurer displayed: onboarding opportunity possible; existing business unknown</x:v>
      </x:c>
      <x:c r="AE40" s="7" t="str">
        <x:v>No public business phone: contact enrichment needed, not proof of poor recruiting fit</x:v>
      </x:c>
      <x:c r="AF40" s="16" t="str"/>
      <x:c r="AG40" s="17" t="str"/>
      <x:c r="AH40" s="7" t="str"/>
      <x:c r="AI40" s="7" t="str"/>
      <x:c r="AJ40" s="7" t="str"/>
      <x:c r="AK40" s="15" t="str"/>
      <x:c r="AL40" s="7" t="str"/>
      <x:c r="AM40" s="7" t="str">
        <x:v>AGUILAR CARLOS ALBERTO</x:v>
      </x:c>
      <x:c r="AN40" s="7" t="str">
        <x:v>https://cdicloud.insurance.ca.gov/cal/LicenseDetail?SearchType=IND&amp;SearchLicNbr=0L46272&amp;SearchIndvId=1862745</x:v>
      </x:c>
      <x:c r="AO40" s="7" t="str">
        <x:v>2026-10-08</x:v>
      </x:c>
      <x:c r="AP40" s="7" t="str">
        <x:v>7d675b5247d26d028680b1a8e9c4378ff52d23cf12cf48e0dcaae3c2c5dd6b51</x:v>
      </x:c>
      <x:c r="AQ40" s="7" t="str">
        <x:v>Accident and Health / Inactive / 12/21/2016 / 12/31/2018 / 12/31/2018
Life-Only / Inactive / 12/21/2016 / 12/31/2018 / 12/31/2018</x:v>
      </x:c>
      <x:c r="AR40" s="7" t="str">
        <x:v>Inactive</x:v>
      </x:c>
      <x:c r="AS40" s="7" t="str">
        <x:v>Current detail page</x:v>
      </x:c>
    </x:row>
    <x:row r="41" ht="52" customHeight="1">
      <x:c r="A41" s="7" t="str">
        <x:v>AGUILAR ALDO</x:v>
      </x:c>
      <x:c r="B41" s="14" t="str">
        <x:f>"0C09930"</x:f>
        <x:v>0C09930</x:v>
      </x:c>
      <x:c r="C41" s="7" t="str">
        <x:v>Omitted</x:v>
      </x:c>
      <x:c r="D41" s="7" t="str">
        <x:v>FAIL</x:v>
      </x:c>
      <x:c r="E41" s="13" t="str">
        <x:v>Pending</x:v>
      </x:c>
      <x:c r="F41" s="13" t="str"/>
      <x:c r="G41" s="13" t="str"/>
      <x:c r="H41" s="13" t="str"/>
      <x:c r="I41" s="7" t="str">
        <x:v>Was this person reviewed? If rejected, give the actual rule and evidence. If acceptable, correct the omission. Confirm the Life-qualification gate and any record change since selection.</x:v>
      </x:c>
      <x:c r="J41" s="7" t="str">
        <x:v>L1</x:v>
      </x:c>
      <x:c r="K41" s="7" t="str">
        <x:v>Verified qualifications do not include active general Life. Current target-pool mismatch; actual historical omission reason unknown.</x:v>
      </x:c>
      <x:c r="L41" s="7" t="str">
        <x:v>Not supplied; membership is known, motive is not</x:v>
      </x:c>
      <x:c r="M41" s="7" t="n">
        <x:v>7</x:v>
      </x:c>
      <x:c r="N41" s="7" t="str">
        <x:v>Outside current general-Life recruiting pool</x:v>
      </x:c>
      <x:c r="O41" s="7" t="str">
        <x:v>Not displayed</x:v>
      </x:c>
      <x:c r="P41" s="7" t="str"/>
      <x:c r="Q41" s="7" t="str"/>
      <x:c r="R41" s="7" t="str"/>
      <x:c r="S41" s="15" t="str"/>
      <x:c r="T41" s="7" t="str">
        <x:v>No public business phone in collected record</x:v>
      </x:c>
      <x:c r="U41" s="7" t="str"/>
      <x:c r="V41" s="7" t="str">
        <x:v>Resident</x:v>
      </x:c>
      <x:c r="W41" s="7" t="str">
        <x:v>CA</x:v>
      </x:c>
      <x:c r="X41" s="7" t="str"/>
      <x:c r="Y41" s="7" t="str"/>
      <x:c r="Z41" s="7" t="str"/>
      <x:c r="AA41" s="7" t="str"/>
      <x:c r="AB41" s="7" t="str"/>
      <x:c r="AC41" s="7" t="str"/>
      <x:c r="AD41" s="7" t="str">
        <x:v>No agency or insurer displayed: onboarding opportunity possible; existing business unknown</x:v>
      </x:c>
      <x:c r="AE41" s="7" t="str">
        <x:v>No public business phone: contact enrichment needed, not proof of poor recruiting fit</x:v>
      </x:c>
      <x:c r="AF41" s="16" t="str"/>
      <x:c r="AG41" s="17" t="str"/>
      <x:c r="AH41" s="7" t="str"/>
      <x:c r="AI41" s="7" t="str"/>
      <x:c r="AJ41" s="7" t="str"/>
      <x:c r="AK41" s="15" t="str"/>
      <x:c r="AL41" s="7" t="str"/>
      <x:c r="AM41" s="7" t="str">
        <x:v>AGUILAR  ALDO</x:v>
      </x:c>
      <x:c r="AN41" s="7" t="str">
        <x:v>https://cdicloud.insurance.ca.gov/cal/LicenseDetail?SearchType=IND&amp;SearchLicNbr=0C09930&amp;SearchIndvId=286051</x:v>
      </x:c>
      <x:c r="AO41" s="7" t="str">
        <x:v>2026-10-08</x:v>
      </x:c>
      <x:c r="AP41" s="7" t="str">
        <x:v>37bd757b3cdd093063a6c513a7a2cb6c88f16121b5409d10756ba9ea0c035b8b</x:v>
      </x:c>
      <x:c r="AQ41" s="7" t="str">
        <x:v>Accident and Health / Inactive / 07/28/1997 / 07/31/1999 / 07/31/1999
Life-Only / Inactive / 07/28/1997 / 07/31/1999 / 07/31/1999</x:v>
      </x:c>
      <x:c r="AR41" s="7" t="str">
        <x:v>Inactive</x:v>
      </x:c>
      <x:c r="AS41" s="7" t="str">
        <x:v>Current detail page</x:v>
      </x:c>
    </x:row>
    <x:row r="42" ht="52" customHeight="1">
      <x:c r="A42" s="7" t="str">
        <x:v>AGUILAR ALEJANDRA</x:v>
      </x:c>
      <x:c r="B42" s="14" t="str">
        <x:f>"0M86388"</x:f>
        <x:v>0M86388</x:v>
      </x:c>
      <x:c r="C42" s="7" t="str">
        <x:v>Omitted</x:v>
      </x:c>
      <x:c r="D42" s="7" t="str">
        <x:v>FAIL</x:v>
      </x:c>
      <x:c r="E42" s="13" t="str">
        <x:v>Pending</x:v>
      </x:c>
      <x:c r="F42" s="13" t="str"/>
      <x:c r="G42" s="13" t="str"/>
      <x:c r="H42" s="13" t="str"/>
      <x:c r="I42" s="7" t="str">
        <x:v>Was this person reviewed? If rejected, give the actual rule and evidence. If acceptable, correct the omission. Confirm the Life-qualification gate and any record change since selection.</x:v>
      </x:c>
      <x:c r="J42" s="7" t="str">
        <x:v>L1</x:v>
      </x:c>
      <x:c r="K42" s="7" t="str">
        <x:v>Verified qualifications do not include active general Life. Current target-pool mismatch; actual historical omission reason unknown.</x:v>
      </x:c>
      <x:c r="L42" s="7" t="str">
        <x:v>Not supplied; membership is known, motive is not</x:v>
      </x:c>
      <x:c r="M42" s="7" t="n">
        <x:v>7</x:v>
      </x:c>
      <x:c r="N42" s="7" t="str">
        <x:v>Outside current general-Life recruiting pool</x:v>
      </x:c>
      <x:c r="O42" s="7" t="str">
        <x:v>Not displayed</x:v>
      </x:c>
      <x:c r="P42" s="7" t="str"/>
      <x:c r="Q42" s="7" t="str"/>
      <x:c r="R42" s="7" t="str"/>
      <x:c r="S42" s="15" t="str"/>
      <x:c r="T42" s="7" t="str">
        <x:v>No public business phone in collected record</x:v>
      </x:c>
      <x:c r="U42" s="7" t="str"/>
      <x:c r="V42" s="7" t="str">
        <x:v>Resident</x:v>
      </x:c>
      <x:c r="W42" s="7" t="str">
        <x:v>CA</x:v>
      </x:c>
      <x:c r="X42" s="7" t="str"/>
      <x:c r="Y42" s="7" t="str"/>
      <x:c r="Z42" s="7" t="str"/>
      <x:c r="AA42" s="7" t="str"/>
      <x:c r="AB42" s="7" t="str"/>
      <x:c r="AC42" s="7" t="str"/>
      <x:c r="AD42" s="7" t="str">
        <x:v>No agency or insurer displayed: onboarding opportunity possible; existing business unknown</x:v>
      </x:c>
      <x:c r="AE42" s="7" t="str">
        <x:v>No public business phone: contact enrichment needed, not proof of poor recruiting fit</x:v>
      </x:c>
      <x:c r="AF42" s="16" t="str"/>
      <x:c r="AG42" s="17" t="str"/>
      <x:c r="AH42" s="7" t="str"/>
      <x:c r="AI42" s="7" t="str"/>
      <x:c r="AJ42" s="7" t="str"/>
      <x:c r="AK42" s="15" t="str"/>
      <x:c r="AL42" s="7" t="str"/>
      <x:c r="AM42" s="7" t="str">
        <x:v>AGUILAR  ALEJANDRA</x:v>
      </x:c>
      <x:c r="AN42" s="7" t="str">
        <x:v>https://cdicloud.insurance.ca.gov/cal/LicenseDetail?SearchType=IND&amp;SearchLicNbr=0M86388&amp;SearchIndvId=2052529</x:v>
      </x:c>
      <x:c r="AO42" s="7" t="str">
        <x:v>2026-10-08</x:v>
      </x:c>
      <x:c r="AP42" s="7" t="str">
        <x:v>d22677615c2f31417824b0aa45d6cbadded1986b062807f87d5d3d8bb2a6f6a2</x:v>
      </x:c>
      <x:c r="AQ42" s="7" t="str">
        <x:v>Accident and Health / Inactive / 03/08/2019 / 03/31/2021 / 03/31/2021
Life-Only / Inactive / 03/08/2019 / 03/31/2021 / 03/31/2021</x:v>
      </x:c>
      <x:c r="AR42" s="7" t="str">
        <x:v>Inactive</x:v>
      </x:c>
      <x:c r="AS42" s="7" t="str">
        <x:v>Current detail page</x:v>
      </x:c>
    </x:row>
    <x:row r="43" ht="52" customHeight="1">
      <x:c r="A43" s="7" t="str">
        <x:v>AGUILAR ALEJANDRA</x:v>
      </x:c>
      <x:c r="B43" s="14" t="str">
        <x:f>"4359364"</x:f>
        <x:v>4359364</x:v>
      </x:c>
      <x:c r="C43" s="7" t="str">
        <x:v>Omitted</x:v>
      </x:c>
      <x:c r="D43" s="7" t="str">
        <x:v>FAIL</x:v>
      </x:c>
      <x:c r="E43" s="13" t="str">
        <x:v>Pending</x:v>
      </x:c>
      <x:c r="F43" s="13" t="str"/>
      <x:c r="G43" s="13" t="str"/>
      <x:c r="H43" s="13" t="str"/>
      <x:c r="I43" s="7" t="str">
        <x:v>Was this person reviewed? If rejected, give the actual rule and evidence. If acceptable, correct the omission. Confirm the Life-qualification gate and any record change since selection.</x:v>
      </x:c>
      <x:c r="J43" s="7" t="str">
        <x:v>L1</x:v>
      </x:c>
      <x:c r="K43" s="7" t="str">
        <x:v>Verified qualifications do not include active general Life. Current target-pool mismatch; actual historical omission reason unknown.</x:v>
      </x:c>
      <x:c r="L43" s="7" t="str">
        <x:v>Not supplied; membership is known, motive is not</x:v>
      </x:c>
      <x:c r="M43" s="7" t="n">
        <x:v>7</x:v>
      </x:c>
      <x:c r="N43" s="7" t="str">
        <x:v>Outside current general-Life recruiting pool</x:v>
      </x:c>
      <x:c r="O43" s="7" t="str">
        <x:v>Not displayed</x:v>
      </x:c>
      <x:c r="P43" s="7" t="str"/>
      <x:c r="Q43" s="7" t="str"/>
      <x:c r="R43" s="7" t="str">
        <x:v>Casualty; Property</x:v>
      </x:c>
      <x:c r="S43" s="15" t="str"/>
      <x:c r="T43" s="7" t="str">
        <x:v>No public business phone in collected record</x:v>
      </x:c>
      <x:c r="U43" s="7" t="str">
        <x:v>11215 N COMMUNITY HOUSE RD STE 100 CHARLOTTE NC, 28277-4435</x:v>
      </x:c>
      <x:c r="V43" s="7" t="str">
        <x:v>Non-resident</x:v>
      </x:c>
      <x:c r="W43" s="7" t="str">
        <x:v>NC</x:v>
      </x:c>
      <x:c r="X43" s="7" t="str">
        <x:v>MARSH &amp; MCLENNAN AGENCY LLC / Casualty / 02/23/2024
MARSH &amp; MCLENNAN AGENCY LLC / Property / 02/23/2024</x:v>
      </x:c>
      <x:c r="Y43" s="7" t="str">
        <x:v>PRIVILEGE UNDERWRITERS RECIPROCAL EXCHANGE / Casualty / 05/27/2024
PRIVILEGE UNDERWRITERS RECIPROCAL EXCHANGE / Property / 05/27/2024</x:v>
      </x:c>
      <x:c r="Z43" s="7" t="str"/>
      <x:c r="AA43" s="7" t="str"/>
      <x:c r="AB43" s="7" t="str"/>
      <x:c r="AC43" s="7" t="str"/>
      <x:c r="AD43" s="7" t="str"/>
      <x:c r="AE43" s="7" t="str">
        <x:v>Benefits/large-broker agency signal: MARSH &amp; MCLENNAN AGENCY LLC | P&amp;C/Personal Lines authority without displayed core Life appointments; mixed profile requires review | Nonresident or address state outside CA; confirm geographic recruiting scope | No public business phone: contact enrichment needed, not proof of poor recruiting fit</x:v>
      </x:c>
      <x:c r="AF43" s="16" t="str"/>
      <x:c r="AG43" s="17" t="str"/>
      <x:c r="AH43" s="7" t="str"/>
      <x:c r="AI43" s="7" t="str"/>
      <x:c r="AJ43" s="7" t="str"/>
      <x:c r="AK43" s="15" t="str"/>
      <x:c r="AL43" s="7" t="str"/>
      <x:c r="AM43" s="7" t="str">
        <x:v>AGUILAR  ALEJANDRA</x:v>
      </x:c>
      <x:c r="AN43" s="7" t="str">
        <x:v>https://cdicloud.insurance.ca.gov/cal/LicenseDetail?SearchType=IND&amp;SearchLicNbr=4359364&amp;SearchIndvId=4359364</x:v>
      </x:c>
      <x:c r="AO43" s="7" t="str">
        <x:v>2026-10-08</x:v>
      </x:c>
      <x:c r="AP43" s="7" t="str">
        <x:v>cbe8a67715d70a4c24a313453b5672501facdb14d6c6051b2cd5f66fddb7079d</x:v>
      </x:c>
      <x:c r="AQ43" s="7" t="str">
        <x:v>Casualty / Active / 02/14/2024 / 02/14/2024 / 02/29/2028
Property / Active / 02/14/2024 / 02/14/2024 / 02/29/2028</x:v>
      </x:c>
      <x:c r="AR43" s="7" t="str">
        <x:v>Active</x:v>
      </x:c>
      <x:c r="AS43" s="7" t="str">
        <x:v>Current detail page</x:v>
      </x:c>
    </x:row>
    <x:row r="44" ht="52" customHeight="1">
      <x:c r="A44" s="7" t="str">
        <x:v>AGUILAR ALEJANDRA</x:v>
      </x:c>
      <x:c r="B44" s="14" t="str">
        <x:f>"E4266850"</x:f>
        <x:v>E4266850</x:v>
      </x:c>
      <x:c r="C44" s="7" t="str">
        <x:v>Omitted</x:v>
      </x:c>
      <x:c r="D44" s="7" t="str">
        <x:v>REVIEW</x:v>
      </x:c>
      <x:c r="E44" s="13" t="str">
        <x:v>Pending</x:v>
      </x:c>
      <x:c r="F44" s="13" t="str"/>
      <x:c r="G44" s="13" t="str"/>
      <x:c r="H44" s="13" t="str"/>
      <x:c r="I44" s="7" t="str">
        <x:v>Was this record reviewed? The detail page provides no qualifications. Verify the actual license type and Life authority before deciding; do not reject for missing data.</x:v>
      </x:c>
      <x:c r="J44" s="7" t="str">
        <x:v>L1</x:v>
      </x:c>
      <x:c r="K44" s="7" t="str">
        <x:v>Detail page displays no qualification information. Life authority cannot be verified; missing data is not a qualification failure. Historical omission reason unknown.</x:v>
      </x:c>
      <x:c r="L44" s="7" t="str">
        <x:v>Not supplied; membership is known, motive is not</x:v>
      </x:c>
      <x:c r="M44" s="7" t="n">
        <x:v>7</x:v>
      </x:c>
      <x:c r="N44" s="7" t="str">
        <x:v>Outside current general-Life recruiting pool</x:v>
      </x:c>
      <x:c r="O44" s="7" t="str">
        <x:v>Not displayed</x:v>
      </x:c>
      <x:c r="P44" s="7" t="str"/>
      <x:c r="Q44" s="7" t="str"/>
      <x:c r="R44" s="7" t="str"/>
      <x:c r="S44" s="15" t="str"/>
      <x:c r="T44" s="7" t="str">
        <x:v>No public business phone in collected record</x:v>
      </x:c>
      <x:c r="U44" s="7" t="str"/>
      <x:c r="V44" s="7" t="str">
        <x:v>Resident</x:v>
      </x:c>
      <x:c r="W44" s="7" t="str">
        <x:v>CA</x:v>
      </x:c>
      <x:c r="X44" s="7" t="str"/>
      <x:c r="Y44" s="7" t="str"/>
      <x:c r="Z44" s="7" t="str"/>
      <x:c r="AA44" s="7" t="str"/>
      <x:c r="AB44" s="7" t="str"/>
      <x:c r="AC44" s="7" t="str"/>
      <x:c r="AD44" s="7" t="str">
        <x:v>No agency or insurer displayed: onboarding opportunity possible; existing business unknown</x:v>
      </x:c>
      <x:c r="AE44" s="7" t="str">
        <x:v>No public business phone: contact enrichment needed, not proof of poor recruiting fit</x:v>
      </x:c>
      <x:c r="AF44" s="16" t="str"/>
      <x:c r="AG44" s="17" t="str"/>
      <x:c r="AH44" s="7" t="str"/>
      <x:c r="AI44" s="7" t="str">
        <x:v>English</x:v>
      </x:c>
      <x:c r="AJ44" s="7" t="str"/>
      <x:c r="AK44" s="15" t="str"/>
      <x:c r="AL44" s="7" t="str"/>
      <x:c r="AM44" s="7" t="str">
        <x:v>AGUILAR  ALEJANDRA</x:v>
      </x:c>
      <x:c r="AN44" s="7" t="str">
        <x:v>https://cdicloud.insurance.ca.gov/cal/LicenseDetail?SearchType=IND&amp;SearchLicNbr=E4266850&amp;SearchIndvId=4266850</x:v>
      </x:c>
      <x:c r="AO44" s="7" t="str">
        <x:v>2026-10-08</x:v>
      </x:c>
      <x:c r="AP44" s="7" t="str">
        <x:v>642d9977fddbbd4e10e8bb3f2563a0ce3a15c685d35bd23830f72e7b4043ab09</x:v>
      </x:c>
      <x:c r="AQ44" s="7" t="str"/>
      <x:c r="AR44" s="7" t="str">
        <x:v>Active</x:v>
      </x:c>
      <x:c r="AS44" s="7" t="str">
        <x:v>Current detail page</x:v>
      </x:c>
    </x:row>
    <x:row r="45" ht="52" customHeight="1">
      <x:c r="A45" s="7" t="str">
        <x:v>AGUILAR ALEJANDRIA SAAVEDRA</x:v>
      </x:c>
      <x:c r="B45" s="14" t="str">
        <x:f>"0678379"</x:f>
        <x:v>0678379</x:v>
      </x:c>
      <x:c r="C45" s="7" t="str">
        <x:v>Omitted</x:v>
      </x:c>
      <x:c r="D45" s="7" t="str">
        <x:v>FAIL</x:v>
      </x:c>
      <x:c r="E45" s="13" t="str">
        <x:v>Pending</x:v>
      </x:c>
      <x:c r="F45" s="13" t="str"/>
      <x:c r="G45" s="13" t="str"/>
      <x:c r="H45" s="13" t="str"/>
      <x:c r="I45" s="7" t="str">
        <x:v>Was this person reviewed? If rejected, give the actual rule and evidence. If acceptable, correct the omission. Confirm the Life-qualification gate and any record change since selection.</x:v>
      </x:c>
      <x:c r="J45" s="7" t="str">
        <x:v>L1</x:v>
      </x:c>
      <x:c r="K45" s="7" t="str">
        <x:v>Verified qualifications do not include active general Life. Current target-pool mismatch; actual historical omission reason unknown.</x:v>
      </x:c>
      <x:c r="L45" s="7" t="str">
        <x:v>Not supplied; membership is known, motive is not</x:v>
      </x:c>
      <x:c r="M45" s="7" t="n">
        <x:v>7</x:v>
      </x:c>
      <x:c r="N45" s="7" t="str">
        <x:v>Outside current general-Life recruiting pool</x:v>
      </x:c>
      <x:c r="O45" s="7" t="str">
        <x:v>Not displayed</x:v>
      </x:c>
      <x:c r="P45" s="7" t="str"/>
      <x:c r="Q45" s="7" t="str"/>
      <x:c r="R45" s="7" t="str"/>
      <x:c r="S45" s="15" t="str"/>
      <x:c r="T45" s="7" t="str">
        <x:v>No public business phone in collected record</x:v>
      </x:c>
      <x:c r="U45" s="7" t="str"/>
      <x:c r="V45" s="7" t="str">
        <x:v>Resident</x:v>
      </x:c>
      <x:c r="W45" s="7" t="str"/>
      <x:c r="X45" s="7" t="str"/>
      <x:c r="Y45" s="7" t="str"/>
      <x:c r="Z45" s="7" t="str"/>
      <x:c r="AA45" s="7" t="str"/>
      <x:c r="AB45" s="7" t="str"/>
      <x:c r="AC45" s="7" t="str"/>
      <x:c r="AD45" s="7" t="str">
        <x:v>No agency or insurer displayed: onboarding opportunity possible; existing business unknown</x:v>
      </x:c>
      <x:c r="AE45" s="7" t="str">
        <x:v>Nonresident or address state outside CA; confirm geographic recruiting scope | No public business phone: contact enrichment needed, not proof of poor recruiting fit</x:v>
      </x:c>
      <x:c r="AF45" s="16" t="str"/>
      <x:c r="AG45" s="17" t="str"/>
      <x:c r="AH45" s="7" t="str"/>
      <x:c r="AI45" s="7" t="str"/>
      <x:c r="AJ45" s="7" t="str"/>
      <x:c r="AK45" s="15" t="str"/>
      <x:c r="AL45" s="7" t="str"/>
      <x:c r="AM45" s="7" t="str">
        <x:v>AGUILAR SAAVEDRA ALEJANDRIA</x:v>
      </x:c>
      <x:c r="AN45" s="7" t="str">
        <x:v>https://cdicloud.insurance.ca.gov/cal/LicenseDetail?SearchType=IND&amp;SearchLicNbr=0678379&amp;SearchIndvId=408881</x:v>
      </x:c>
      <x:c r="AO45" s="7" t="str">
        <x:v>2026-10-08</x:v>
      </x:c>
      <x:c r="AP45" s="7" t="str">
        <x:v>3ac5b51d8c066b06a9cce2dbadd7facd907f57d267d2eae68e0203695f4c733e</x:v>
      </x:c>
      <x:c r="AQ45" s="7" t="str">
        <x:v>Accident and Health / Inactive / 01/29/1985 / 11/30/1994 / 11/30/1994
Life-Only / Inactive / 01/29/1985 / 11/30/1994 / 11/30/1994</x:v>
      </x:c>
      <x:c r="AR45" s="7" t="str">
        <x:v>Inactive</x:v>
      </x:c>
      <x:c r="AS45" s="7" t="str">
        <x:v>Current detail page</x:v>
      </x:c>
    </x:row>
    <x:row r="46" ht="52" customHeight="1">
      <x:c r="A46" s="7" t="str">
        <x:v>AGUILAR ALEJANDRO</x:v>
      </x:c>
      <x:c r="B46" s="14" t="str">
        <x:f>"0I12167"</x:f>
        <x:v>0I12167</x:v>
      </x:c>
      <x:c r="C46" s="7" t="str">
        <x:v>Omitted</x:v>
      </x:c>
      <x:c r="D46" s="7" t="str">
        <x:v>FAIL</x:v>
      </x:c>
      <x:c r="E46" s="13" t="str">
        <x:v>Pending</x:v>
      </x:c>
      <x:c r="F46" s="13" t="str"/>
      <x:c r="G46" s="13" t="str"/>
      <x:c r="H46" s="13" t="str"/>
      <x:c r="I46" s="7" t="str">
        <x:v>Was this person reviewed? If rejected, give the actual rule and evidence. If acceptable, correct the omission. Confirm the Life-qualification gate and any record change since selection.</x:v>
      </x:c>
      <x:c r="J46" s="7" t="str">
        <x:v>L1</x:v>
      </x:c>
      <x:c r="K46" s="7" t="str">
        <x:v>Verified qualifications do not include active general Life. Current target-pool mismatch; actual historical omission reason unknown.</x:v>
      </x:c>
      <x:c r="L46" s="7" t="str">
        <x:v>Not supplied; membership is known, motive is not</x:v>
      </x:c>
      <x:c r="M46" s="7" t="n">
        <x:v>7</x:v>
      </x:c>
      <x:c r="N46" s="7" t="str">
        <x:v>Outside current general-Life recruiting pool</x:v>
      </x:c>
      <x:c r="O46" s="7" t="str">
        <x:v>Not displayed</x:v>
      </x:c>
      <x:c r="P46" s="7" t="str"/>
      <x:c r="Q46" s="7" t="str"/>
      <x:c r="R46" s="7" t="str"/>
      <x:c r="S46" s="15" t="str"/>
      <x:c r="T46" s="7" t="str">
        <x:v>No public business phone in collected record</x:v>
      </x:c>
      <x:c r="U46" s="7" t="str"/>
      <x:c r="V46" s="7" t="str">
        <x:v>Resident</x:v>
      </x:c>
      <x:c r="W46" s="7" t="str">
        <x:v>CA</x:v>
      </x:c>
      <x:c r="X46" s="7" t="str"/>
      <x:c r="Y46" s="7" t="str"/>
      <x:c r="Z46" s="7" t="str"/>
      <x:c r="AA46" s="7" t="str"/>
      <x:c r="AB46" s="7" t="str"/>
      <x:c r="AC46" s="7" t="str"/>
      <x:c r="AD46" s="7" t="str">
        <x:v>No agency or insurer displayed: onboarding opportunity possible; existing business unknown</x:v>
      </x:c>
      <x:c r="AE46" s="7" t="str">
        <x:v>No public business phone: contact enrichment needed, not proof of poor recruiting fit</x:v>
      </x:c>
      <x:c r="AF46" s="16" t="str"/>
      <x:c r="AG46" s="17" t="str"/>
      <x:c r="AH46" s="7" t="str"/>
      <x:c r="AI46" s="7" t="str"/>
      <x:c r="AJ46" s="7" t="str"/>
      <x:c r="AK46" s="15" t="str"/>
      <x:c r="AL46" s="7" t="str"/>
      <x:c r="AM46" s="7" t="str">
        <x:v>AGUILAR  ALEJANDRO</x:v>
      </x:c>
      <x:c r="AN46" s="7" t="str">
        <x:v>https://cdicloud.insurance.ca.gov/cal/LicenseDetail?SearchType=IND&amp;SearchLicNbr=0I12167&amp;SearchIndvId=1512551</x:v>
      </x:c>
      <x:c r="AO46" s="7" t="str">
        <x:v>2026-10-08</x:v>
      </x:c>
      <x:c r="AP46" s="7" t="str">
        <x:v>4bf2ae1a9fabfc3bd5039f282d9583498601e22c2e06289a79e2e0b9deef0ef7</x:v>
      </x:c>
      <x:c r="AQ46" s="7" t="str">
        <x:v>Life-Only / Inactive / 11/14/2012 / 11/30/2014 / 11/30/2014</x:v>
      </x:c>
      <x:c r="AR46" s="7" t="str">
        <x:v>Inactive</x:v>
      </x:c>
      <x:c r="AS46" s="7" t="str">
        <x:v>Current detail page</x:v>
      </x:c>
    </x:row>
    <x:row r="47" ht="52" customHeight="1">
      <x:c r="A47" s="7" t="str">
        <x:v>AGUILAR ALEJANDRO</x:v>
      </x:c>
      <x:c r="B47" s="14" t="str">
        <x:f>"0L85039"</x:f>
        <x:v>0L85039</x:v>
      </x:c>
      <x:c r="C47" s="7" t="str">
        <x:v>Omitted</x:v>
      </x:c>
      <x:c r="D47" s="7" t="str">
        <x:v>FAIL</x:v>
      </x:c>
      <x:c r="E47" s="13" t="str">
        <x:v>Pending</x:v>
      </x:c>
      <x:c r="F47" s="13" t="str"/>
      <x:c r="G47" s="13" t="str"/>
      <x:c r="H47" s="13" t="str"/>
      <x:c r="I47" s="7" t="str">
        <x:v>Was this person reviewed? If rejected, give the actual rule and evidence. If acceptable, correct the omission. Confirm the Life-qualification gate and any record change since selection.</x:v>
      </x:c>
      <x:c r="J47" s="7" t="str">
        <x:v>L1</x:v>
      </x:c>
      <x:c r="K47" s="7" t="str">
        <x:v>Verified qualifications do not include active general Life. Current target-pool mismatch; actual historical omission reason unknown.</x:v>
      </x:c>
      <x:c r="L47" s="7" t="str">
        <x:v>Not supplied; membership is known, motive is not</x:v>
      </x:c>
      <x:c r="M47" s="7" t="n">
        <x:v>7</x:v>
      </x:c>
      <x:c r="N47" s="7" t="str">
        <x:v>Outside current general-Life recruiting pool</x:v>
      </x:c>
      <x:c r="O47" s="7" t="str">
        <x:v>Not displayed</x:v>
      </x:c>
      <x:c r="P47" s="7" t="str"/>
      <x:c r="Q47" s="7" t="str"/>
      <x:c r="R47" s="7" t="str"/>
      <x:c r="S47" s="15" t="str"/>
      <x:c r="T47" s="7" t="str">
        <x:v>No public business phone in collected record</x:v>
      </x:c>
      <x:c r="U47" s="7" t="str"/>
      <x:c r="V47" s="7" t="str">
        <x:v>Resident</x:v>
      </x:c>
      <x:c r="W47" s="7" t="str">
        <x:v>CA</x:v>
      </x:c>
      <x:c r="X47" s="7" t="str"/>
      <x:c r="Y47" s="7" t="str"/>
      <x:c r="Z47" s="7" t="str"/>
      <x:c r="AA47" s="7" t="str"/>
      <x:c r="AB47" s="7" t="str"/>
      <x:c r="AC47" s="7" t="str"/>
      <x:c r="AD47" s="7" t="str">
        <x:v>No agency or insurer displayed: onboarding opportunity possible; existing business unknown</x:v>
      </x:c>
      <x:c r="AE47" s="7" t="str">
        <x:v>No public business phone: contact enrichment needed, not proof of poor recruiting fit</x:v>
      </x:c>
      <x:c r="AF47" s="16" t="str"/>
      <x:c r="AG47" s="17" t="str"/>
      <x:c r="AH47" s="7" t="str"/>
      <x:c r="AI47" s="7" t="str"/>
      <x:c r="AJ47" s="7" t="str"/>
      <x:c r="AK47" s="15" t="str"/>
      <x:c r="AL47" s="7" t="str"/>
      <x:c r="AM47" s="7" t="str">
        <x:v>AGUILAR  ALEJANDRO</x:v>
      </x:c>
      <x:c r="AN47" s="7" t="str">
        <x:v>https://cdicloud.insurance.ca.gov/cal/LicenseDetail?SearchType=IND&amp;SearchLicNbr=0L85039&amp;SearchIndvId=1951691</x:v>
      </x:c>
      <x:c r="AO47" s="7" t="str">
        <x:v>2026-10-08</x:v>
      </x:c>
      <x:c r="AP47" s="7" t="str">
        <x:v>610ba37bf6633e5e16ccc5813917b33453ce2d2b7266f9bb7bd5f55ca68cd888</x:v>
      </x:c>
      <x:c r="AQ47" s="7" t="str">
        <x:v>Life-Only / Inactive / 07/26/2017 / 07/31/2019 / 07/31/2019</x:v>
      </x:c>
      <x:c r="AR47" s="7" t="str">
        <x:v>Inactive</x:v>
      </x:c>
      <x:c r="AS47" s="7" t="str">
        <x:v>Current detail page</x:v>
      </x:c>
    </x:row>
    <x:row r="48" ht="52" customHeight="1">
      <x:c r="A48" s="7" t="str">
        <x:v>AGUILAR ALEJO</x:v>
      </x:c>
      <x:c r="B48" s="14" t="str">
        <x:f>"0F23204"</x:f>
        <x:v>0F23204</x:v>
      </x:c>
      <x:c r="C48" s="7" t="str">
        <x:v>Omitted</x:v>
      </x:c>
      <x:c r="D48" s="7" t="str">
        <x:v>FAIL</x:v>
      </x:c>
      <x:c r="E48" s="13" t="str">
        <x:v>Pending</x:v>
      </x:c>
      <x:c r="F48" s="13" t="str"/>
      <x:c r="G48" s="13" t="str"/>
      <x:c r="H48" s="13" t="str"/>
      <x:c r="I48" s="7" t="str">
        <x:v>Was this person reviewed? If rejected, give the actual rule and evidence. If acceptable, correct the omission. Confirm the Life-qualification gate and any record change since selection.</x:v>
      </x:c>
      <x:c r="J48" s="7" t="str">
        <x:v>L1</x:v>
      </x:c>
      <x:c r="K48" s="7" t="str">
        <x:v>Verified qualifications do not include active general Life. Current target-pool mismatch; actual historical omission reason unknown.</x:v>
      </x:c>
      <x:c r="L48" s="7" t="str">
        <x:v>Not supplied; membership is known, motive is not</x:v>
      </x:c>
      <x:c r="M48" s="7" t="n">
        <x:v>7</x:v>
      </x:c>
      <x:c r="N48" s="7" t="str">
        <x:v>Outside current general-Life recruiting pool</x:v>
      </x:c>
      <x:c r="O48" s="7" t="str">
        <x:v>Not displayed</x:v>
      </x:c>
      <x:c r="P48" s="7" t="str"/>
      <x:c r="Q48" s="7" t="str"/>
      <x:c r="R48" s="7" t="str"/>
      <x:c r="S48" s="15" t="str"/>
      <x:c r="T48" s="7" t="str">
        <x:v>No public business phone in collected record</x:v>
      </x:c>
      <x:c r="U48" s="7" t="str"/>
      <x:c r="V48" s="7" t="str">
        <x:v>Non-resident</x:v>
      </x:c>
      <x:c r="W48" s="7" t="str">
        <x:v>FL</x:v>
      </x:c>
      <x:c r="X48" s="7" t="str"/>
      <x:c r="Y48" s="7" t="str"/>
      <x:c r="Z48" s="7" t="str"/>
      <x:c r="AA48" s="7" t="str"/>
      <x:c r="AB48" s="7" t="str"/>
      <x:c r="AC48" s="7" t="str"/>
      <x:c r="AD48" s="7" t="str">
        <x:v>No agency or insurer displayed: onboarding opportunity possible; existing business unknown</x:v>
      </x:c>
      <x:c r="AE48" s="7" t="str">
        <x:v>Nonresident or address state outside CA; confirm geographic recruiting scope | No public business phone: contact enrichment needed, not proof of poor recruiting fit</x:v>
      </x:c>
      <x:c r="AF48" s="16" t="str"/>
      <x:c r="AG48" s="17" t="str"/>
      <x:c r="AH48" s="7" t="str"/>
      <x:c r="AI48" s="7" t="str"/>
      <x:c r="AJ48" s="7" t="str"/>
      <x:c r="AK48" s="15" t="str"/>
      <x:c r="AL48" s="7" t="str"/>
      <x:c r="AM48" s="7" t="str">
        <x:v>AGUILAR  ALEJO</x:v>
      </x:c>
      <x:c r="AN48" s="7" t="str">
        <x:v>https://cdicloud.insurance.ca.gov/cal/LicenseDetail?SearchType=IND&amp;SearchLicNbr=0F23204&amp;SearchIndvId=1030277</x:v>
      </x:c>
      <x:c r="AO48" s="7" t="str">
        <x:v>2026-10-08</x:v>
      </x:c>
      <x:c r="AP48" s="7" t="str">
        <x:v>42146c797648942ffadd49a07f3fa3fc3a7f418ac7431f0badf0041c6022520c</x:v>
      </x:c>
      <x:c r="AQ48" s="7" t="str">
        <x:v>Personal Lines Broker-Agent / Inactive / 06/10/2006 / 12/31/2007 / 12/31/2007</x:v>
      </x:c>
      <x:c r="AR48" s="7" t="str">
        <x:v>Inactive</x:v>
      </x:c>
      <x:c r="AS48" s="7" t="str">
        <x:v>Current detail page</x:v>
      </x:c>
    </x:row>
    <x:row r="49" ht="52" customHeight="1">
      <x:c r="A49" s="7" t="str">
        <x:v>AGUILAR ALEX</x:v>
      </x:c>
      <x:c r="B49" s="14" t="str">
        <x:f>"0K10866"</x:f>
        <x:v>0K10866</x:v>
      </x:c>
      <x:c r="C49" s="7" t="str">
        <x:v>Omitted</x:v>
      </x:c>
      <x:c r="D49" s="7" t="str">
        <x:v>FAIL</x:v>
      </x:c>
      <x:c r="E49" s="13" t="str">
        <x:v>Pending</x:v>
      </x:c>
      <x:c r="F49" s="13" t="str"/>
      <x:c r="G49" s="13" t="str"/>
      <x:c r="H49" s="13" t="str"/>
      <x:c r="I49" s="7" t="str">
        <x:v>Was this person reviewed? If rejected, give the actual rule and evidence. If acceptable, correct the omission. Confirm the Life-qualification gate and any record change since selection.</x:v>
      </x:c>
      <x:c r="J49" s="7" t="str">
        <x:v>L1</x:v>
      </x:c>
      <x:c r="K49" s="7" t="str">
        <x:v>Verified qualifications do not include active general Life. Current target-pool mismatch; actual historical omission reason unknown.</x:v>
      </x:c>
      <x:c r="L49" s="7" t="str">
        <x:v>Not supplied; membership is known, motive is not</x:v>
      </x:c>
      <x:c r="M49" s="7" t="n">
        <x:v>7</x:v>
      </x:c>
      <x:c r="N49" s="7" t="str">
        <x:v>Outside current general-Life recruiting pool</x:v>
      </x:c>
      <x:c r="O49" s="7" t="str">
        <x:v>Not displayed</x:v>
      </x:c>
      <x:c r="P49" s="7" t="str"/>
      <x:c r="Q49" s="7" t="str"/>
      <x:c r="R49" s="7" t="str">
        <x:v>Casualty; Property</x:v>
      </x:c>
      <x:c r="S49" s="15" t="str">
        <x:v>707-863-9194</x:v>
      </x:c>
      <x:c r="T49" s="7" t="str">
        <x:v>Current CDI</x:v>
      </x:c>
      <x:c r="U49" s="7" t="str">
        <x:v>5251 BUSINESS CENTER DR FAIRFIELD CA, 94534</x:v>
      </x:c>
      <x:c r="V49" s="7" t="str">
        <x:v>Resident</x:v>
      </x:c>
      <x:c r="W49" s="7" t="str">
        <x:v>CA</x:v>
      </x:c>
      <x:c r="X49" s="7" t="str"/>
      <x:c r="Y49" s="7" t="str"/>
      <x:c r="Z49" s="7" t="str"/>
      <x:c r="AA49" s="7" t="str"/>
      <x:c r="AB49" s="7" t="str"/>
      <x:c r="AC49" s="7" t="str"/>
      <x:c r="AD49" s="7" t="str">
        <x:v>No agency or insurer displayed: onboarding opportunity possible; existing business unknown</x:v>
      </x:c>
      <x:c r="AE49" s="7" t="str">
        <x:v>P&amp;C/Personal Lines authority without displayed core Life appointments; mixed profile requires review</x:v>
      </x:c>
      <x:c r="AF49" s="16" t="str"/>
      <x:c r="AG49" s="17" t="str"/>
      <x:c r="AH49" s="7" t="str"/>
      <x:c r="AI49" s="7" t="str">
        <x:v>English</x:v>
      </x:c>
      <x:c r="AJ49" s="7" t="str"/>
      <x:c r="AK49" s="15" t="str"/>
      <x:c r="AL49" s="7" t="str"/>
      <x:c r="AM49" s="7" t="str">
        <x:v>AGUILAR  ALEX</x:v>
      </x:c>
      <x:c r="AN49" s="7" t="str">
        <x:v>https://cdicloud.insurance.ca.gov/cal/LicenseDetail?SearchType=IND&amp;SearchLicNbr=0K10866&amp;SearchIndvId=1739501</x:v>
      </x:c>
      <x:c r="AO49" s="7" t="str">
        <x:v>2026-10-08</x:v>
      </x:c>
      <x:c r="AP49" s="7" t="str">
        <x:v>44366e0061b5ae07f33a38514a32a25556215e88a02656c2995662a6ee6427bb</x:v>
      </x:c>
      <x:c r="AQ49" s="7" t="str">
        <x:v>Casualty / Active / 02/19/2015 / 02/19/2015 / 02/28/2027
Property / Active / 02/19/2015 / 02/19/2015 / 02/28/2027</x:v>
      </x:c>
      <x:c r="AR49" s="7" t="str">
        <x:v>Active</x:v>
      </x:c>
      <x:c r="AS49" s="7" t="str">
        <x:v>Current detail page</x:v>
      </x:c>
    </x:row>
    <x:row r="50" ht="52" customHeight="1">
      <x:c r="A50" s="7" t="str">
        <x:v>AGUILAR ALEXA DAMALI</x:v>
      </x:c>
      <x:c r="B50" s="14" t="str">
        <x:f>"1N13155"</x:f>
        <x:v>1N13155</x:v>
      </x:c>
      <x:c r="C50" s="7" t="str">
        <x:v>Omitted</x:v>
      </x:c>
      <x:c r="D50" s="7" t="str">
        <x:v>FAIL</x:v>
      </x:c>
      <x:c r="E50" s="13" t="str">
        <x:v>Pending</x:v>
      </x:c>
      <x:c r="F50" s="13" t="str"/>
      <x:c r="G50" s="13" t="str"/>
      <x:c r="H50" s="13" t="str"/>
      <x:c r="I50" s="7" t="str">
        <x:v>Was this person reviewed? If rejected, give the actual rule and evidence. If acceptable, correct the omission. Confirm the Life-qualification gate and any record change since selection.</x:v>
      </x:c>
      <x:c r="J50" s="7" t="str">
        <x:v>L1</x:v>
      </x:c>
      <x:c r="K50" s="7" t="str">
        <x:v>Verified qualifications do not include active general Life. Current target-pool mismatch; actual historical omission reason unknown.</x:v>
      </x:c>
      <x:c r="L50" s="7" t="str">
        <x:v>Not supplied; membership is known, motive is not</x:v>
      </x:c>
      <x:c r="M50" s="7" t="n">
        <x:v>7</x:v>
      </x:c>
      <x:c r="N50" s="7" t="str">
        <x:v>Outside current general-Life recruiting pool</x:v>
      </x:c>
      <x:c r="O50" s="7" t="str">
        <x:v>Not displayed</x:v>
      </x:c>
      <x:c r="P50" s="7" t="str"/>
      <x:c r="Q50" s="7" t="str"/>
      <x:c r="R50" s="7" t="str"/>
      <x:c r="S50" s="15" t="str">
        <x:v>760-347-9795</x:v>
      </x:c>
      <x:c r="T50" s="7" t="str">
        <x:v>Current CDI</x:v>
      </x:c>
      <x:c r="U50" s="7" t="str">
        <x:v>82-365 CA-111 STE 1 INDIO CA, 92201</x:v>
      </x:c>
      <x:c r="V50" s="7" t="str">
        <x:v>Resident</x:v>
      </x:c>
      <x:c r="W50" s="7" t="str">
        <x:v>CA</x:v>
      </x:c>
      <x:c r="X50" s="7" t="str"/>
      <x:c r="Y50" s="7" t="str"/>
      <x:c r="Z50" s="7" t="str"/>
      <x:c r="AA50" s="7" t="str"/>
      <x:c r="AB50" s="7" t="str"/>
      <x:c r="AC50" s="7" t="str"/>
      <x:c r="AD50" s="7" t="str">
        <x:v>No agency or insurer displayed: onboarding opportunity possible; existing business unknown</x:v>
      </x:c>
      <x:c r="AE50" s="7" t="str"/>
      <x:c r="AF50" s="16" t="str"/>
      <x:c r="AG50" s="17" t="str"/>
      <x:c r="AH50" s="7" t="str"/>
      <x:c r="AI50" s="7" t="str">
        <x:v>English CAL Comment: CAL: LIC STATUS: INACTIVE EFF: 03/22/2023, NO BOND ON RECORD</x:v>
      </x:c>
      <x:c r="AJ50" s="7" t="str"/>
      <x:c r="AK50" s="15" t="str"/>
      <x:c r="AL50" s="7" t="str"/>
      <x:c r="AM50" s="7" t="str">
        <x:v>AGUILAR DAMALI ALEXA</x:v>
      </x:c>
      <x:c r="AN50" s="7" t="str">
        <x:v>https://cdicloud.insurance.ca.gov/cal/LicenseDetail?SearchType=IND&amp;SearchLicNbr=1N13155&amp;SearchIndvId=4187693</x:v>
      </x:c>
      <x:c r="AO50" s="7" t="str">
        <x:v>2026-10-08</x:v>
      </x:c>
      <x:c r="AP50" s="7" t="str">
        <x:v>0be503e8d44d5299633fdd17a6ac7bfcbc03c573d342b8750d816402fe5e619b</x:v>
      </x:c>
      <x:c r="AQ50" s="7" t="str">
        <x:v>Bail Agent / Inactive / 02/04/2022 / 03/22/2023 / 03/22/2023</x:v>
      </x:c>
      <x:c r="AR50" s="7" t="str">
        <x:v>Inactive</x:v>
      </x:c>
      <x:c r="AS50" s="7" t="str">
        <x:v>Current detail page</x:v>
      </x:c>
    </x:row>
    <x:row r="51" ht="52" customHeight="1">
      <x:c r="A51" s="7" t="str">
        <x:v>AGUILAR ALEXANDER</x:v>
      </x:c>
      <x:c r="B51" s="14" t="str">
        <x:f>"4288117"</x:f>
        <x:v>4288117</x:v>
      </x:c>
      <x:c r="C51" s="7" t="str">
        <x:v>Omitted</x:v>
      </x:c>
      <x:c r="D51" s="7" t="str">
        <x:v>FAIL</x:v>
      </x:c>
      <x:c r="E51" s="13" t="str">
        <x:v>Pending</x:v>
      </x:c>
      <x:c r="F51" s="13" t="str"/>
      <x:c r="G51" s="13" t="str"/>
      <x:c r="H51" s="13" t="str"/>
      <x:c r="I51" s="7" t="str">
        <x:v>Was this person reviewed? If rejected, give the actual rule and evidence. If acceptable, correct the omission. Confirm the Life-qualification gate and any record change since selection.</x:v>
      </x:c>
      <x:c r="J51" s="7" t="str">
        <x:v>L1</x:v>
      </x:c>
      <x:c r="K51" s="7" t="str">
        <x:v>Verified qualifications do not include active general Life. Current target-pool mismatch; actual historical omission reason unknown.</x:v>
      </x:c>
      <x:c r="L51" s="7" t="str">
        <x:v>Not supplied; membership is known, motive is not</x:v>
      </x:c>
      <x:c r="M51" s="7" t="n">
        <x:v>7</x:v>
      </x:c>
      <x:c r="N51" s="7" t="str">
        <x:v>Outside current general-Life recruiting pool</x:v>
      </x:c>
      <x:c r="O51" s="7" t="str">
        <x:v>Not displayed</x:v>
      </x:c>
      <x:c r="P51" s="7" t="str"/>
      <x:c r="Q51" s="7" t="str"/>
      <x:c r="R51" s="7" t="str">
        <x:v>Accident &amp; Health or Sickness</x:v>
      </x:c>
      <x:c r="S51" s="15" t="str"/>
      <x:c r="T51" s="7" t="str">
        <x:v>No public business phone in collected record</x:v>
      </x:c>
      <x:c r="U51" s="7" t="str">
        <x:v>UNITEDHEALTHCARE 1000 NW 57TH CT STE 500 MIAMI FL, 33126-3293</x:v>
      </x:c>
      <x:c r="V51" s="7" t="str">
        <x:v>Non-resident</x:v>
      </x:c>
      <x:c r="W51" s="7" t="str">
        <x:v>FL</x:v>
      </x:c>
      <x:c r="X51" s="7" t="str"/>
      <x:c r="Y51" s="7" t="str">
        <x:v>SIERRA HEALTH AND LIFE INSURANCE COMPANY, INC. / Accident &amp; Health or Sickness / 04/17/2023
UNITEDHEALTHCARE INSURANCE COMPANY / Accident &amp; Health or Sickness / 04/17/2023</x:v>
      </x:c>
      <x:c r="Z51" s="7" t="str"/>
      <x:c r="AA51" s="7" t="str"/>
      <x:c r="AB51" s="7" t="str"/>
      <x:c r="AC51" s="7" t="str"/>
      <x:c r="AD51" s="7" t="str">
        <x:v>Active A&amp;H supports optional cross-selling; not necessary for target products</x:v>
      </x:c>
      <x:c r="AE51" s="7" t="str">
        <x:v>Displayed insurer appointments are A&amp;H/disability only despite active Life authority | Nonresident or address state outside CA; confirm geographic recruiting scope | No public business phone: contact enrichment needed, not proof of poor recruiting fit</x:v>
      </x:c>
      <x:c r="AF51" s="16" t="str"/>
      <x:c r="AG51" s="17" t="str"/>
      <x:c r="AH51" s="7" t="str"/>
      <x:c r="AI51" s="7" t="str"/>
      <x:c r="AJ51" s="7" t="str"/>
      <x:c r="AK51" s="15" t="str"/>
      <x:c r="AL51" s="7" t="str"/>
      <x:c r="AM51" s="7" t="str">
        <x:v>AGUILAR  ALEXANDER</x:v>
      </x:c>
      <x:c r="AN51" s="7" t="str">
        <x:v>https://cdicloud.insurance.ca.gov/cal/LicenseDetail?SearchType=IND&amp;SearchLicNbr=4288117&amp;SearchIndvId=4288117</x:v>
      </x:c>
      <x:c r="AO51" s="7" t="str">
        <x:v>2026-10-08</x:v>
      </x:c>
      <x:c r="AP51" s="7" t="str">
        <x:v>682e65e16e690897d06ecea20b34c484d74633376cfe06d5720c847601366e10</x:v>
      </x:c>
      <x:c r="AQ51" s="7" t="str">
        <x:v>Accident &amp; Health or Sickness / Active / 04/17/2023 / 04/17/2023 / 04/30/2027</x:v>
      </x:c>
      <x:c r="AR51" s="7" t="str">
        <x:v>Active</x:v>
      </x:c>
      <x:c r="AS51" s="7" t="str">
        <x:v>Current detail page</x:v>
      </x:c>
    </x:row>
    <x:row r="52" ht="52" customHeight="1">
      <x:c r="A52" s="7" t="str">
        <x:v>AGUILAR ALEXANDRA</x:v>
      </x:c>
      <x:c r="B52" s="14" t="str">
        <x:f>"0H31518"</x:f>
        <x:v>0H31518</x:v>
      </x:c>
      <x:c r="C52" s="7" t="str">
        <x:v>Omitted</x:v>
      </x:c>
      <x:c r="D52" s="7" t="str">
        <x:v>FAIL</x:v>
      </x:c>
      <x:c r="E52" s="13" t="str">
        <x:v>Pending</x:v>
      </x:c>
      <x:c r="F52" s="13" t="str"/>
      <x:c r="G52" s="13" t="str"/>
      <x:c r="H52" s="13" t="str"/>
      <x:c r="I52" s="7" t="str">
        <x:v>Was this person reviewed? If rejected, give the actual rule and evidence. If acceptable, correct the omission. Confirm the Life-qualification gate and any record change since selection.</x:v>
      </x:c>
      <x:c r="J52" s="7" t="str">
        <x:v>L1</x:v>
      </x:c>
      <x:c r="K52" s="7" t="str">
        <x:v>Verified qualifications do not include active general Life. Current target-pool mismatch; actual historical omission reason unknown.</x:v>
      </x:c>
      <x:c r="L52" s="7" t="str">
        <x:v>Not supplied; membership is known, motive is not</x:v>
      </x:c>
      <x:c r="M52" s="7" t="n">
        <x:v>7</x:v>
      </x:c>
      <x:c r="N52" s="7" t="str">
        <x:v>Outside current general-Life recruiting pool</x:v>
      </x:c>
      <x:c r="O52" s="7" t="str">
        <x:v>Not displayed</x:v>
      </x:c>
      <x:c r="P52" s="7" t="str"/>
      <x:c r="Q52" s="7" t="str"/>
      <x:c r="R52" s="7" t="str"/>
      <x:c r="S52" s="15" t="str"/>
      <x:c r="T52" s="7" t="str">
        <x:v>No public business phone in collected record</x:v>
      </x:c>
      <x:c r="U52" s="7" t="str"/>
      <x:c r="V52" s="7" t="str">
        <x:v>Resident</x:v>
      </x:c>
      <x:c r="W52" s="7" t="str">
        <x:v>CA</x:v>
      </x:c>
      <x:c r="X52" s="7" t="str"/>
      <x:c r="Y52" s="7" t="str"/>
      <x:c r="Z52" s="7" t="str"/>
      <x:c r="AA52" s="7" t="str"/>
      <x:c r="AB52" s="7" t="str"/>
      <x:c r="AC52" s="7" t="str"/>
      <x:c r="AD52" s="7" t="str">
        <x:v>No agency or insurer displayed: onboarding opportunity possible; existing business unknown</x:v>
      </x:c>
      <x:c r="AE52" s="7" t="str">
        <x:v>No public business phone: contact enrichment needed, not proof of poor recruiting fit</x:v>
      </x:c>
      <x:c r="AF52" s="16" t="str"/>
      <x:c r="AG52" s="17" t="str"/>
      <x:c r="AH52" s="7" t="str"/>
      <x:c r="AI52" s="7" t="str"/>
      <x:c r="AJ52" s="7" t="str"/>
      <x:c r="AK52" s="15" t="str"/>
      <x:c r="AL52" s="7" t="str"/>
      <x:c r="AM52" s="7" t="str">
        <x:v>AGUILAR  ALEXANDRA</x:v>
      </x:c>
      <x:c r="AN52" s="7" t="str">
        <x:v>https://cdicloud.insurance.ca.gov/cal/LicenseDetail?SearchType=IND&amp;SearchLicNbr=0H31518&amp;SearchIndvId=1393490</x:v>
      </x:c>
      <x:c r="AO52" s="7" t="str">
        <x:v>2026-10-08</x:v>
      </x:c>
      <x:c r="AP52" s="7" t="str">
        <x:v>73cc2747e5e54b91468d29f322526b94481ba41c82c19a093c4077947382fd22</x:v>
      </x:c>
      <x:c r="AQ52" s="7" t="str">
        <x:v>Life-Only / Inactive / 02/02/2011 / 02/28/2013 / 02/28/2013</x:v>
      </x:c>
      <x:c r="AR52" s="7" t="str">
        <x:v>Inactive</x:v>
      </x:c>
      <x:c r="AS52" s="7" t="str">
        <x:v>Current detail page</x:v>
      </x:c>
    </x:row>
    <x:row r="53" ht="52" customHeight="1">
      <x:c r="A53" s="7" t="str">
        <x:v>AGUILAR ALEXANDRA ANGELES</x:v>
      </x:c>
      <x:c r="B53" s="14" t="str">
        <x:f>"0F13844"</x:f>
        <x:v>0F13844</x:v>
      </x:c>
      <x:c r="C53" s="7" t="str">
        <x:v>Omitted</x:v>
      </x:c>
      <x:c r="D53" s="7" t="str">
        <x:v>FAIL</x:v>
      </x:c>
      <x:c r="E53" s="13" t="str">
        <x:v>Pending</x:v>
      </x:c>
      <x:c r="F53" s="13" t="str"/>
      <x:c r="G53" s="13" t="str"/>
      <x:c r="H53" s="13" t="str"/>
      <x:c r="I53" s="7" t="str">
        <x:v>Was this person reviewed? If rejected, give the actual rule and evidence. If acceptable, correct the omission. Confirm the Life-qualification gate and any record change since selection.</x:v>
      </x:c>
      <x:c r="J53" s="7" t="str">
        <x:v>L1</x:v>
      </x:c>
      <x:c r="K53" s="7" t="str">
        <x:v>Verified qualifications do not include active general Life. Current target-pool mismatch; actual historical omission reason unknown.</x:v>
      </x:c>
      <x:c r="L53" s="7" t="str">
        <x:v>Not supplied; membership is known, motive is not</x:v>
      </x:c>
      <x:c r="M53" s="7" t="n">
        <x:v>7</x:v>
      </x:c>
      <x:c r="N53" s="7" t="str">
        <x:v>Outside current general-Life recruiting pool</x:v>
      </x:c>
      <x:c r="O53" s="7" t="str">
        <x:v>Not displayed</x:v>
      </x:c>
      <x:c r="P53" s="7" t="str"/>
      <x:c r="Q53" s="7" t="str"/>
      <x:c r="R53" s="7" t="str"/>
      <x:c r="S53" s="15" t="str"/>
      <x:c r="T53" s="7" t="str">
        <x:v>No public business phone in collected record</x:v>
      </x:c>
      <x:c r="U53" s="7" t="str"/>
      <x:c r="V53" s="7" t="str">
        <x:v>Resident</x:v>
      </x:c>
      <x:c r="W53" s="7" t="str">
        <x:v>CA</x:v>
      </x:c>
      <x:c r="X53" s="7" t="str"/>
      <x:c r="Y53" s="7" t="str"/>
      <x:c r="Z53" s="7" t="str"/>
      <x:c r="AA53" s="7" t="str"/>
      <x:c r="AB53" s="7" t="str"/>
      <x:c r="AC53" s="7" t="str"/>
      <x:c r="AD53" s="7" t="str">
        <x:v>No agency or insurer displayed: onboarding opportunity possible; existing business unknown</x:v>
      </x:c>
      <x:c r="AE53" s="7" t="str">
        <x:v>No public business phone: contact enrichment needed, not proof of poor recruiting fit</x:v>
      </x:c>
      <x:c r="AF53" s="16" t="str"/>
      <x:c r="AG53" s="17" t="str"/>
      <x:c r="AH53" s="7" t="str"/>
      <x:c r="AI53" s="7" t="str"/>
      <x:c r="AJ53" s="7" t="str"/>
      <x:c r="AK53" s="15" t="str"/>
      <x:c r="AL53" s="7" t="str"/>
      <x:c r="AM53" s="7" t="str">
        <x:v>AGUILAR ANGELES ALEXANDRA</x:v>
      </x:c>
      <x:c r="AN53" s="7" t="str">
        <x:v>https://cdicloud.insurance.ca.gov/cal/LicenseDetail?SearchType=IND&amp;SearchLicNbr=0F13844&amp;SearchIndvId=1002118</x:v>
      </x:c>
      <x:c r="AO53" s="7" t="str">
        <x:v>2026-10-08</x:v>
      </x:c>
      <x:c r="AP53" s="7" t="str">
        <x:v>e3bac3f438ffbae9e9cc05030bb6688f53c132f6d8472fdea61d15168c1c124e</x:v>
      </x:c>
      <x:c r="AQ53" s="7" t="str">
        <x:v>Accident and Health / Inactive / 03/30/2006 / 03/31/2008 / 03/31/2008
Life-Only / Inactive / 03/30/2006 / 03/31/2008 / 03/31/2008</x:v>
      </x:c>
      <x:c r="AR53" s="7" t="str">
        <x:v>Inactive</x:v>
      </x:c>
      <x:c r="AS53" s="7" t="str">
        <x:v>Current detail page</x:v>
      </x:c>
    </x:row>
    <x:row r="54" ht="52" customHeight="1">
      <x:c r="A54" s="7" t="str">
        <x:v>AGUILAR ALEXANDRA PATRICIA</x:v>
      </x:c>
      <x:c r="B54" s="14" t="str">
        <x:f>"4005012"</x:f>
        <x:v>4005012</x:v>
      </x:c>
      <x:c r="C54" s="7" t="str">
        <x:v>Omitted</x:v>
      </x:c>
      <x:c r="D54" s="7" t="str">
        <x:v>FAIL</x:v>
      </x:c>
      <x:c r="E54" s="13" t="str">
        <x:v>Pending</x:v>
      </x:c>
      <x:c r="F54" s="13" t="str"/>
      <x:c r="G54" s="13" t="str"/>
      <x:c r="H54" s="13" t="str"/>
      <x:c r="I54" s="7" t="str">
        <x:v>Was this person reviewed? If rejected, give the actual rule and evidence. If acceptable, correct the omission. Confirm the Life-qualification gate and any record change since selection.</x:v>
      </x:c>
      <x:c r="J54" s="7" t="str">
        <x:v>L1</x:v>
      </x:c>
      <x:c r="K54" s="7" t="str">
        <x:v>Verified qualifications do not include active general Life. Current target-pool mismatch; actual historical omission reason unknown.</x:v>
      </x:c>
      <x:c r="L54" s="7" t="str">
        <x:v>Not supplied; membership is known, motive is not</x:v>
      </x:c>
      <x:c r="M54" s="7" t="n">
        <x:v>7</x:v>
      </x:c>
      <x:c r="N54" s="7" t="str">
        <x:v>Outside current general-Life recruiting pool</x:v>
      </x:c>
      <x:c r="O54" s="7" t="str">
        <x:v>Inactive</x:v>
      </x:c>
      <x:c r="P54" s="7" t="str">
        <x:v>09/24/2019</x:v>
      </x:c>
      <x:c r="Q54" s="7" t="str">
        <x:v>09/30/2021</x:v>
      </x:c>
      <x:c r="R54" s="7" t="str"/>
      <x:c r="S54" s="15" t="str"/>
      <x:c r="T54" s="7" t="str">
        <x:v>No public business phone in collected record</x:v>
      </x:c>
      <x:c r="U54" s="7" t="str"/>
      <x:c r="V54" s="7" t="str">
        <x:v>Resident</x:v>
      </x:c>
      <x:c r="W54" s="7" t="str">
        <x:v>CA</x:v>
      </x:c>
      <x:c r="X54" s="7" t="str"/>
      <x:c r="Y54" s="7" t="str"/>
      <x:c r="Z54" s="7" t="str"/>
      <x:c r="AA54" s="7" t="str"/>
      <x:c r="AB54" s="7" t="str"/>
      <x:c r="AC54" s="7" t="str"/>
      <x:c r="AD54" s="7" t="str">
        <x:v>No agency or insurer displayed: onboarding opportunity possible; existing business unknown</x:v>
      </x:c>
      <x:c r="AE54" s="7" t="str">
        <x:v>No public business phone: contact enrichment needed, not proof of poor recruiting fit</x:v>
      </x:c>
      <x:c r="AF54" s="16" t="str"/>
      <x:c r="AG54" s="17" t="str"/>
      <x:c r="AH54" s="7" t="str"/>
      <x:c r="AI54" s="7" t="str"/>
      <x:c r="AJ54" s="7" t="str"/>
      <x:c r="AK54" s="15" t="str"/>
      <x:c r="AL54" s="7" t="str"/>
      <x:c r="AM54" s="7" t="str">
        <x:v>Aguilar P Alexandra | AGUILAR PATRICIA ALEXANDRA</x:v>
      </x:c>
      <x:c r="AN54" s="7" t="str">
        <x:v>https://cdicloud.insurance.ca.gov/cal/LicenseDetail?SearchType=IND&amp;SearchLicNbr=4005012&amp;SearchIndvId=4005012</x:v>
      </x:c>
      <x:c r="AO54" s="7" t="str">
        <x:v>2026-10-08</x:v>
      </x:c>
      <x:c r="AP54" s="7" t="str">
        <x:v>128831065473ffe9fb5e2612d91ca58060b27d1224d74977e6b24834e4c0b86a</x:v>
      </x:c>
      <x:c r="AQ54" s="7" t="str">
        <x:v>Life / Inactive / 09/24/2019 / 09/30/2021 / 09/30/2021</x:v>
      </x:c>
      <x:c r="AR54" s="7" t="str">
        <x:v>Inactive</x:v>
      </x:c>
      <x:c r="AS54" s="7" t="str">
        <x:v>Current detail page</x:v>
      </x:c>
    </x:row>
    <x:row r="55" ht="52" customHeight="1">
      <x:c r="A55" s="7" t="str">
        <x:v>AGUILAR ALEXANDRIA RAZO</x:v>
      </x:c>
      <x:c r="B55" s="14" t="str">
        <x:f>"0G55718"</x:f>
        <x:v>0G55718</x:v>
      </x:c>
      <x:c r="C55" s="7" t="str">
        <x:v>Omitted</x:v>
      </x:c>
      <x:c r="D55" s="7" t="str">
        <x:v>FAIL</x:v>
      </x:c>
      <x:c r="E55" s="13" t="str">
        <x:v>Pending</x:v>
      </x:c>
      <x:c r="F55" s="13" t="str"/>
      <x:c r="G55" s="13" t="str"/>
      <x:c r="H55" s="13" t="str"/>
      <x:c r="I55" s="7" t="str">
        <x:v>Was this person reviewed? If rejected, give the actual rule and evidence. If acceptable, correct the omission. Confirm the Life-qualification gate and any record change since selection.</x:v>
      </x:c>
      <x:c r="J55" s="7" t="str">
        <x:v>L1</x:v>
      </x:c>
      <x:c r="K55" s="7" t="str">
        <x:v>Verified qualifications do not include active general Life. Current target-pool mismatch; actual historical omission reason unknown.</x:v>
      </x:c>
      <x:c r="L55" s="7" t="str">
        <x:v>Not supplied; membership is known, motive is not</x:v>
      </x:c>
      <x:c r="M55" s="7" t="n">
        <x:v>7</x:v>
      </x:c>
      <x:c r="N55" s="7" t="str">
        <x:v>Outside current general-Life recruiting pool</x:v>
      </x:c>
      <x:c r="O55" s="7" t="str">
        <x:v>Not displayed</x:v>
      </x:c>
      <x:c r="P55" s="7" t="str"/>
      <x:c r="Q55" s="7" t="str"/>
      <x:c r="R55" s="7" t="str"/>
      <x:c r="S55" s="15" t="str"/>
      <x:c r="T55" s="7" t="str">
        <x:v>No public business phone in collected record</x:v>
      </x:c>
      <x:c r="U55" s="7" t="str"/>
      <x:c r="V55" s="7" t="str">
        <x:v>Resident</x:v>
      </x:c>
      <x:c r="W55" s="7" t="str">
        <x:v>CA</x:v>
      </x:c>
      <x:c r="X55" s="7" t="str"/>
      <x:c r="Y55" s="7" t="str"/>
      <x:c r="Z55" s="7" t="str"/>
      <x:c r="AA55" s="7" t="str"/>
      <x:c r="AB55" s="7" t="str"/>
      <x:c r="AC55" s="7" t="str"/>
      <x:c r="AD55" s="7" t="str">
        <x:v>No agency or insurer displayed: onboarding opportunity possible; existing business unknown</x:v>
      </x:c>
      <x:c r="AE55" s="7" t="str">
        <x:v>No public business phone: contact enrichment needed, not proof of poor recruiting fit</x:v>
      </x:c>
      <x:c r="AF55" s="16" t="str"/>
      <x:c r="AG55" s="17" t="str"/>
      <x:c r="AH55" s="7" t="str"/>
      <x:c r="AI55" s="7" t="str"/>
      <x:c r="AJ55" s="7" t="str"/>
      <x:c r="AK55" s="15" t="str"/>
      <x:c r="AL55" s="7" t="str"/>
      <x:c r="AM55" s="7" t="str">
        <x:v>AGUILAR  ALEXANDRA | AGUILAR RAZO ALEXANDRIA</x:v>
      </x:c>
      <x:c r="AN55" s="7" t="str">
        <x:v>https://cdicloud.insurance.ca.gov/cal/LicenseDetail?SearchType=IND&amp;SearchLicNbr=0G55718&amp;SearchIndvId=1244059</x:v>
      </x:c>
      <x:c r="AO55" s="7" t="str">
        <x:v>2026-10-08</x:v>
      </x:c>
      <x:c r="AP55" s="7" t="str">
        <x:v>cab965d11b6252fc69b04ef7995e9c3ae4ba543e81186f37790ea7f401822362</x:v>
      </x:c>
      <x:c r="AQ55" s="7" t="str">
        <x:v>Life-Only / Inactive / 04/02/2009 / 04/30/2011 / 04/30/2011</x:v>
      </x:c>
      <x:c r="AR55" s="7" t="str">
        <x:v>Inactive</x:v>
      </x:c>
      <x:c r="AS55" s="7" t="str">
        <x:v>Current detail page</x:v>
      </x:c>
    </x:row>
    <x:row r="56" ht="52" customHeight="1">
      <x:c r="A56" s="7" t="str">
        <x:v>AGUILAR ALEXANDRO</x:v>
      </x:c>
      <x:c r="B56" s="14" t="str">
        <x:f>"0E85497"</x:f>
        <x:v>0E85497</x:v>
      </x:c>
      <x:c r="C56" s="7" t="str">
        <x:v>Omitted</x:v>
      </x:c>
      <x:c r="D56" s="7" t="str">
        <x:v>FAIL</x:v>
      </x:c>
      <x:c r="E56" s="13" t="str">
        <x:v>Pending</x:v>
      </x:c>
      <x:c r="F56" s="13" t="str"/>
      <x:c r="G56" s="13" t="str"/>
      <x:c r="H56" s="13" t="str"/>
      <x:c r="I56" s="7" t="str">
        <x:v>Was this person reviewed? If rejected, give the actual rule and evidence. If acceptable, correct the omission. Confirm the Life-qualification gate and any record change since selection.</x:v>
      </x:c>
      <x:c r="J56" s="7" t="str">
        <x:v>L1</x:v>
      </x:c>
      <x:c r="K56" s="7" t="str">
        <x:v>Verified qualifications do not include active general Life. Current target-pool mismatch; actual historical omission reason unknown.</x:v>
      </x:c>
      <x:c r="L56" s="7" t="str">
        <x:v>Not supplied; membership is known, motive is not</x:v>
      </x:c>
      <x:c r="M56" s="7" t="n">
        <x:v>7</x:v>
      </x:c>
      <x:c r="N56" s="7" t="str">
        <x:v>Outside current general-Life recruiting pool</x:v>
      </x:c>
      <x:c r="O56" s="7" t="str">
        <x:v>Not displayed</x:v>
      </x:c>
      <x:c r="P56" s="7" t="str"/>
      <x:c r="Q56" s="7" t="str"/>
      <x:c r="R56" s="7" t="str"/>
      <x:c r="S56" s="15" t="str"/>
      <x:c r="T56" s="7" t="str">
        <x:v>No public business phone in collected record</x:v>
      </x:c>
      <x:c r="U56" s="7" t="str"/>
      <x:c r="V56" s="7" t="str">
        <x:v>Resident</x:v>
      </x:c>
      <x:c r="W56" s="7" t="str">
        <x:v>CA</x:v>
      </x:c>
      <x:c r="X56" s="7" t="str"/>
      <x:c r="Y56" s="7" t="str"/>
      <x:c r="Z56" s="7" t="str">
        <x:v>ORDER ID: &lt;LBB003524&gt; A ORDER OF ACCEPTANCE OF SURRENDER OF LICENSE AND LICENSING RIGHTS AND DISMISSAL OF ACCUSATION. / 04/06/2007</x:v>
      </x:c>
      <x:c r="AA56" s="7" t="str"/>
      <x:c r="AB56" s="7" t="str"/>
      <x:c r="AC56" s="7" t="str"/>
      <x:c r="AD56" s="7" t="str">
        <x:v>No agency or insurer displayed: onboarding opportunity possible; existing business unknown</x:v>
      </x:c>
      <x:c r="AE56" s="7" t="str">
        <x:v>Enforcement order requires direct review; latest displayed order is not a removal order | No public business phone: contact enrichment needed, not proof of poor recruiting fit</x:v>
      </x:c>
      <x:c r="AF56" s="16" t="str"/>
      <x:c r="AG56" s="17" t="str"/>
      <x:c r="AH56" s="7" t="str"/>
      <x:c r="AI56" s="7" t="str"/>
      <x:c r="AJ56" s="7" t="str"/>
      <x:c r="AK56" s="15" t="str"/>
      <x:c r="AL56" s="7" t="str"/>
      <x:c r="AM56" s="7" t="str">
        <x:v>AGUILAR  ALEJANDRO | AGUILAR  ALEXANDRO</x:v>
      </x:c>
      <x:c r="AN56" s="7" t="str">
        <x:v>https://cdicloud.insurance.ca.gov/cal/LicenseDetail?SearchType=IND&amp;SearchLicNbr=0E85497&amp;SearchIndvId=961006</x:v>
      </x:c>
      <x:c r="AO56" s="7" t="str">
        <x:v>2026-10-08</x:v>
      </x:c>
      <x:c r="AP56" s="7" t="str">
        <x:v>a57d81ae97e26fa2c71c186dfe0176b971ce8023e40a3338a603d700903e4588</x:v>
      </x:c>
      <x:c r="AQ56" s="7" t="str">
        <x:v>Accident and Health / Inactive / 07/20/2005 / 04/06/2007 / 04/06/2007
Life-Only / Inactive / 07/20/2005 / 04/06/2007 / 04/06/2007</x:v>
      </x:c>
      <x:c r="AR56" s="7" t="str">
        <x:v>Inactive</x:v>
      </x:c>
      <x:c r="AS56" s="7" t="str">
        <x:v>Current detail page</x:v>
      </x:c>
    </x:row>
    <x:row r="57" ht="52" customHeight="1">
      <x:c r="A57" s="7" t="str">
        <x:v>AGUILAR ALEXIS</x:v>
      </x:c>
      <x:c r="B57" s="14" t="str">
        <x:f>"0H46182"</x:f>
        <x:v>0H46182</x:v>
      </x:c>
      <x:c r="C57" s="7" t="str">
        <x:v>Omitted</x:v>
      </x:c>
      <x:c r="D57" s="7" t="str">
        <x:v>FAIL</x:v>
      </x:c>
      <x:c r="E57" s="13" t="str">
        <x:v>Pending</x:v>
      </x:c>
      <x:c r="F57" s="13" t="str"/>
      <x:c r="G57" s="13" t="str"/>
      <x:c r="H57" s="13" t="str"/>
      <x:c r="I57" s="7" t="str">
        <x:v>Was this person reviewed? If rejected, give the actual rule and evidence. If acceptable, correct the omission. Confirm the Life-qualification gate and any record change since selection.</x:v>
      </x:c>
      <x:c r="J57" s="7" t="str">
        <x:v>L1</x:v>
      </x:c>
      <x:c r="K57" s="7" t="str">
        <x:v>Verified qualifications do not include active general Life. Current target-pool mismatch; actual historical omission reason unknown.</x:v>
      </x:c>
      <x:c r="L57" s="7" t="str">
        <x:v>Not supplied; membership is known, motive is not</x:v>
      </x:c>
      <x:c r="M57" s="7" t="n">
        <x:v>7</x:v>
      </x:c>
      <x:c r="N57" s="7" t="str">
        <x:v>Outside current general-Life recruiting pool</x:v>
      </x:c>
      <x:c r="O57" s="7" t="str">
        <x:v>Not displayed</x:v>
      </x:c>
      <x:c r="P57" s="7" t="str"/>
      <x:c r="Q57" s="7" t="str"/>
      <x:c r="R57" s="7" t="str">
        <x:v>Personal Lines</x:v>
      </x:c>
      <x:c r="S57" s="15" t="str">
        <x:v>209-275-7781</x:v>
      </x:c>
      <x:c r="T57" s="7" t="str">
        <x:v>Current CDI</x:v>
      </x:c>
      <x:c r="U57" s="7" t="str">
        <x:v>1383 BUCHANAN RD PITTSBURG CA, 94565</x:v>
      </x:c>
      <x:c r="V57" s="7" t="str">
        <x:v>Resident</x:v>
      </x:c>
      <x:c r="W57" s="7" t="str">
        <x:v>CA</x:v>
      </x:c>
      <x:c r="X57" s="7" t="str"/>
      <x:c r="Y57" s="7" t="str">
        <x:v>FOREMOST INSURANCE COMPANY GRAND RAPIDS, MICHIGAN / Personal Lines / 12/13/2019</x:v>
      </x:c>
      <x:c r="Z57" s="7" t="str"/>
      <x:c r="AA57" s="7" t="str"/>
      <x:c r="AB57" s="7" t="str"/>
      <x:c r="AC57" s="7" t="str"/>
      <x:c r="AD57" s="7" t="str"/>
      <x:c r="AE57" s="7" t="str">
        <x:v>P&amp;C/Personal Lines authority without displayed core Life appointments; mixed profile requires review</x:v>
      </x:c>
      <x:c r="AF57" s="16" t="str"/>
      <x:c r="AG57" s="17" t="str"/>
      <x:c r="AH57" s="7" t="str"/>
      <x:c r="AI57" s="7" t="str">
        <x:v>English</x:v>
      </x:c>
      <x:c r="AJ57" s="7" t="str"/>
      <x:c r="AK57" s="15" t="str"/>
      <x:c r="AL57" s="7" t="str"/>
      <x:c r="AM57" s="7" t="str">
        <x:v>AGUILAR  ALEXIS</x:v>
      </x:c>
      <x:c r="AN57" s="7" t="str">
        <x:v>https://cdicloud.insurance.ca.gov/cal/LicenseDetail?SearchType=IND&amp;SearchLicNbr=0H46182&amp;SearchIndvId=1459300</x:v>
      </x:c>
      <x:c r="AO57" s="7" t="str">
        <x:v>2026-10-08</x:v>
      </x:c>
      <x:c r="AP57" s="7" t="str">
        <x:v>9b15611923365f194108eb78fcf0ea842c0caa0d82258e39a4253913513f9fa9</x:v>
      </x:c>
      <x:c r="AQ57" s="7" t="str">
        <x:v>Personal Lines / Active / 06/21/2011 / 08/19/2019 / 06/30/2027</x:v>
      </x:c>
      <x:c r="AR57" s="7" t="str">
        <x:v>Active</x:v>
      </x:c>
      <x:c r="AS57" s="7" t="str">
        <x:v>Current detail page</x:v>
      </x:c>
    </x:row>
    <x:row r="58" ht="52" customHeight="1">
      <x:c r="A58" s="7" t="str">
        <x:v>AGUILAR ALEXIS</x:v>
      </x:c>
      <x:c r="B58" s="14" t="str">
        <x:f>"4063244"</x:f>
        <x:v>4063244</x:v>
      </x:c>
      <x:c r="C58" s="7" t="str">
        <x:v>Omitted</x:v>
      </x:c>
      <x:c r="D58" s="7" t="str">
        <x:v>FAIL</x:v>
      </x:c>
      <x:c r="E58" s="13" t="str">
        <x:v>Pending</x:v>
      </x:c>
      <x:c r="F58" s="13" t="str"/>
      <x:c r="G58" s="13" t="str"/>
      <x:c r="H58" s="13" t="str"/>
      <x:c r="I58" s="7" t="str">
        <x:v>Was this person reviewed? If rejected, give the actual rule and evidence. If acceptable, correct the omission. Confirm the Life-qualification gate and any record change since selection.</x:v>
      </x:c>
      <x:c r="J58" s="7" t="str">
        <x:v>L1</x:v>
      </x:c>
      <x:c r="K58" s="7" t="str">
        <x:v>Verified qualifications do not include active general Life. Current target-pool mismatch; actual historical omission reason unknown.</x:v>
      </x:c>
      <x:c r="L58" s="7" t="str">
        <x:v>Not supplied; membership is known, motive is not</x:v>
      </x:c>
      <x:c r="M58" s="7" t="n">
        <x:v>7</x:v>
      </x:c>
      <x:c r="N58" s="7" t="str">
        <x:v>Outside current general-Life recruiting pool</x:v>
      </x:c>
      <x:c r="O58" s="7" t="str">
        <x:v>Inactive</x:v>
      </x:c>
      <x:c r="P58" s="7" t="str">
        <x:v>08/26/2020</x:v>
      </x:c>
      <x:c r="Q58" s="7" t="str">
        <x:v>08/31/2022</x:v>
      </x:c>
      <x:c r="R58" s="7" t="str"/>
      <x:c r="S58" s="15" t="str">
        <x:v>661-378-1582</x:v>
      </x:c>
      <x:c r="T58" s="7" t="str">
        <x:v>Current CDI</x:v>
      </x:c>
      <x:c r="U58" s="7" t="str">
        <x:v>5080 CALIFORNIA AVE. SUITE 350 BAKERSFIELD CA, 93309</x:v>
      </x:c>
      <x:c r="V58" s="7" t="str">
        <x:v>Resident</x:v>
      </x:c>
      <x:c r="W58" s="7" t="str">
        <x:v>CA</x:v>
      </x:c>
      <x:c r="X58" s="7" t="str"/>
      <x:c r="Y58" s="7" t="str"/>
      <x:c r="Z58" s="7" t="str"/>
      <x:c r="AA58" s="7" t="str"/>
      <x:c r="AB58" s="7" t="str"/>
      <x:c r="AC58" s="7" t="str"/>
      <x:c r="AD58" s="7" t="str">
        <x:v>No agency or insurer displayed: onboarding opportunity possible; existing business unknown</x:v>
      </x:c>
      <x:c r="AE58" s="7" t="str"/>
      <x:c r="AF58" s="16" t="str"/>
      <x:c r="AG58" s="17" t="str"/>
      <x:c r="AH58" s="7" t="str"/>
      <x:c r="AI58" s="7" t="str">
        <x:v>English</x:v>
      </x:c>
      <x:c r="AJ58" s="7" t="str"/>
      <x:c r="AK58" s="15" t="str"/>
      <x:c r="AL58" s="7" t="str"/>
      <x:c r="AM58" s="7" t="str">
        <x:v>AGUILAR  ALEXIS</x:v>
      </x:c>
      <x:c r="AN58" s="7" t="str">
        <x:v>https://cdicloud.insurance.ca.gov/cal/LicenseDetail?SearchType=IND&amp;SearchLicNbr=4063244&amp;SearchIndvId=4063244</x:v>
      </x:c>
      <x:c r="AO58" s="7" t="str">
        <x:v>2026-10-08</x:v>
      </x:c>
      <x:c r="AP58" s="7" t="str">
        <x:v>dc3787167bb0b5b92c06eae0e3c91b636e0a2ad1234ba1f571b1f8ef2d1daa53</x:v>
      </x:c>
      <x:c r="AQ58" s="7" t="str">
        <x:v>Accident &amp; Health or Sickness / Inactive / 08/26/2020 / 08/31/2022 / 08/31/2022
Life / Inactive / 08/26/2020 / 08/31/2022 / 08/31/2022</x:v>
      </x:c>
      <x:c r="AR58" s="7" t="str">
        <x:v>Inactive</x:v>
      </x:c>
      <x:c r="AS58" s="7" t="str">
        <x:v>Current detail page</x:v>
      </x:c>
    </x:row>
    <x:row r="59" ht="52" customHeight="1">
      <x:c r="A59" s="7" t="str">
        <x:v>AGUILAR ALEXIS</x:v>
      </x:c>
      <x:c r="B59" s="14" t="str">
        <x:f>"4147360"</x:f>
        <x:v>4147360</x:v>
      </x:c>
      <x:c r="C59" s="7" t="str">
        <x:v>Omitted</x:v>
      </x:c>
      <x:c r="D59" s="7" t="str">
        <x:v>FAIL</x:v>
      </x:c>
      <x:c r="E59" s="13" t="str">
        <x:v>Pending</x:v>
      </x:c>
      <x:c r="F59" s="13" t="str"/>
      <x:c r="G59" s="13" t="str"/>
      <x:c r="H59" s="13" t="str"/>
      <x:c r="I59" s="7" t="str">
        <x:v>Was this person reviewed? If rejected, give the actual rule and evidence. If acceptable, correct the omission. Confirm the Life-qualification gate and any record change since selection.</x:v>
      </x:c>
      <x:c r="J59" s="7" t="str">
        <x:v>L1</x:v>
      </x:c>
      <x:c r="K59" s="7" t="str">
        <x:v>Verified qualifications do not include active general Life. Current target-pool mismatch; actual historical omission reason unknown.</x:v>
      </x:c>
      <x:c r="L59" s="7" t="str">
        <x:v>Not supplied; membership is known, motive is not</x:v>
      </x:c>
      <x:c r="M59" s="7" t="n">
        <x:v>7</x:v>
      </x:c>
      <x:c r="N59" s="7" t="str">
        <x:v>Outside current general-Life recruiting pool</x:v>
      </x:c>
      <x:c r="O59" s="7" t="str">
        <x:v>Not displayed</x:v>
      </x:c>
      <x:c r="P59" s="7" t="str"/>
      <x:c r="Q59" s="7" t="str"/>
      <x:c r="R59" s="7" t="str"/>
      <x:c r="S59" s="15" t="str"/>
      <x:c r="T59" s="7" t="str">
        <x:v>No public business phone in collected record</x:v>
      </x:c>
      <x:c r="U59" s="7" t="str">
        <x:v>2451 MONARCH DR LAREDO TX, 78045-6329</x:v>
      </x:c>
      <x:c r="V59" s="7" t="str">
        <x:v>Non-resident</x:v>
      </x:c>
      <x:c r="W59" s="7" t="str">
        <x:v>TX</x:v>
      </x:c>
      <x:c r="X59" s="7" t="str"/>
      <x:c r="Y59" s="7" t="str"/>
      <x:c r="Z59" s="7" t="str"/>
      <x:c r="AA59" s="7" t="str"/>
      <x:c r="AB59" s="7" t="str"/>
      <x:c r="AC59" s="7" t="str"/>
      <x:c r="AD59" s="7" t="str">
        <x:v>No agency or insurer displayed: onboarding opportunity possible; existing business unknown</x:v>
      </x:c>
      <x:c r="AE59" s="7" t="str">
        <x:v>Nonresident or address state outside CA; confirm geographic recruiting scope | No public business phone: contact enrichment needed, not proof of poor recruiting fit</x:v>
      </x:c>
      <x:c r="AF59" s="16" t="str"/>
      <x:c r="AG59" s="17" t="str"/>
      <x:c r="AH59" s="7" t="str"/>
      <x:c r="AI59" s="7" t="str"/>
      <x:c r="AJ59" s="7" t="str"/>
      <x:c r="AK59" s="15" t="str"/>
      <x:c r="AL59" s="7" t="str"/>
      <x:c r="AM59" s="7" t="str">
        <x:v>AGUILAR  ALEXIS</x:v>
      </x:c>
      <x:c r="AN59" s="7" t="str">
        <x:v>https://cdicloud.insurance.ca.gov/cal/LicenseDetail?SearchType=IND&amp;SearchLicNbr=4147360&amp;SearchIndvId=4147360</x:v>
      </x:c>
      <x:c r="AO59" s="7" t="str">
        <x:v>2026-10-08</x:v>
      </x:c>
      <x:c r="AP59" s="7" t="str">
        <x:v>5487770446596d1e1a0d6016e6c0623149f6e799564e1ae58f62daa219d3fbf1</x:v>
      </x:c>
      <x:c r="AQ59" s="7" t="str">
        <x:v>Accident &amp; Health or Sickness / Inactive / 08/19/2021 / 08/31/2023 / 08/31/2023</x:v>
      </x:c>
      <x:c r="AR59" s="7" t="str">
        <x:v>Inactive</x:v>
      </x:c>
      <x:c r="AS59" s="7" t="str">
        <x:v>Current detail page</x:v>
      </x:c>
    </x:row>
    <x:row r="60" ht="52" customHeight="1">
      <x:c r="A60" s="7" t="str">
        <x:v>AGUILAR ALFRED ANDREW</x:v>
      </x:c>
      <x:c r="B60" s="14" t="str">
        <x:f>"0I28271"</x:f>
        <x:v>0I28271</x:v>
      </x:c>
      <x:c r="C60" s="7" t="str">
        <x:v>Omitted</x:v>
      </x:c>
      <x:c r="D60" s="7" t="str">
        <x:v>FAIL</x:v>
      </x:c>
      <x:c r="E60" s="13" t="str">
        <x:v>Pending</x:v>
      </x:c>
      <x:c r="F60" s="13" t="str"/>
      <x:c r="G60" s="13" t="str"/>
      <x:c r="H60" s="13" t="str"/>
      <x:c r="I60" s="7" t="str">
        <x:v>Was this person reviewed? If rejected, give the actual rule and evidence. If acceptable, correct the omission. Confirm the Life-qualification gate and any record change since selection.</x:v>
      </x:c>
      <x:c r="J60" s="7" t="str">
        <x:v>L1</x:v>
      </x:c>
      <x:c r="K60" s="7" t="str">
        <x:v>Verified qualifications do not include active general Life. Current target-pool mismatch; actual historical omission reason unknown.</x:v>
      </x:c>
      <x:c r="L60" s="7" t="str">
        <x:v>Not supplied; membership is known, motive is not</x:v>
      </x:c>
      <x:c r="M60" s="7" t="n">
        <x:v>7</x:v>
      </x:c>
      <x:c r="N60" s="7" t="str">
        <x:v>Outside current general-Life recruiting pool</x:v>
      </x:c>
      <x:c r="O60" s="7" t="str">
        <x:v>Not displayed</x:v>
      </x:c>
      <x:c r="P60" s="7" t="str"/>
      <x:c r="Q60" s="7" t="str"/>
      <x:c r="R60" s="7" t="str"/>
      <x:c r="S60" s="15" t="str"/>
      <x:c r="T60" s="7" t="str">
        <x:v>No public business phone in collected record</x:v>
      </x:c>
      <x:c r="U60" s="7" t="str"/>
      <x:c r="V60" s="7" t="str">
        <x:v>Resident</x:v>
      </x:c>
      <x:c r="W60" s="7" t="str">
        <x:v>CA</x:v>
      </x:c>
      <x:c r="X60" s="7" t="str"/>
      <x:c r="Y60" s="7" t="str"/>
      <x:c r="Z60" s="7" t="str"/>
      <x:c r="AA60" s="7" t="str"/>
      <x:c r="AB60" s="7" t="str"/>
      <x:c r="AC60" s="7" t="str"/>
      <x:c r="AD60" s="7" t="str">
        <x:v>No agency or insurer displayed: onboarding opportunity possible; existing business unknown</x:v>
      </x:c>
      <x:c r="AE60" s="7" t="str">
        <x:v>No public business phone: contact enrichment needed, not proof of poor recruiting fit</x:v>
      </x:c>
      <x:c r="AF60" s="16" t="str"/>
      <x:c r="AG60" s="17" t="str"/>
      <x:c r="AH60" s="7" t="str"/>
      <x:c r="AI60" s="7" t="str"/>
      <x:c r="AJ60" s="7" t="str"/>
      <x:c r="AK60" s="15" t="str"/>
      <x:c r="AL60" s="7" t="str"/>
      <x:c r="AM60" s="7" t="str">
        <x:v>AGUILAR ANDREW ALFRED</x:v>
      </x:c>
      <x:c r="AN60" s="7" t="str">
        <x:v>https://cdicloud.insurance.ca.gov/cal/LicenseDetail?SearchType=IND&amp;SearchLicNbr=0I28271&amp;SearchIndvId=1563058</x:v>
      </x:c>
      <x:c r="AO60" s="7" t="str">
        <x:v>2026-10-08</x:v>
      </x:c>
      <x:c r="AP60" s="7" t="str">
        <x:v>41922e83e4967a80246bdf7a4652f8d77ad0269b1fd1109bc4b5c6bf94f8b16b</x:v>
      </x:c>
      <x:c r="AQ60" s="7" t="str">
        <x:v>Life-Only / Inactive / 04/03/2013 / 04/30/2015 / 04/30/2015</x:v>
      </x:c>
      <x:c r="AR60" s="7" t="str">
        <x:v>Inactive</x:v>
      </x:c>
      <x:c r="AS60" s="7" t="str">
        <x:v>Current detail page</x:v>
      </x:c>
    </x:row>
    <x:row r="61" ht="52" customHeight="1">
      <x:c r="A61" s="7" t="str">
        <x:v>AGUILAR ALICIA</x:v>
      </x:c>
      <x:c r="B61" s="14" t="str">
        <x:f>"0C59378"</x:f>
        <x:v>0C59378</x:v>
      </x:c>
      <x:c r="C61" s="7" t="str">
        <x:v>Omitted</x:v>
      </x:c>
      <x:c r="D61" s="7" t="str">
        <x:v>FAIL</x:v>
      </x:c>
      <x:c r="E61" s="13" t="str">
        <x:v>Pending</x:v>
      </x:c>
      <x:c r="F61" s="13" t="str"/>
      <x:c r="G61" s="13" t="str"/>
      <x:c r="H61" s="13" t="str"/>
      <x:c r="I61" s="7" t="str">
        <x:v>Was this person reviewed? If rejected, give the actual rule and evidence. If acceptable, correct the omission. Confirm the Life-qualification gate and any record change since selection.</x:v>
      </x:c>
      <x:c r="J61" s="7" t="str">
        <x:v>L1</x:v>
      </x:c>
      <x:c r="K61" s="7" t="str">
        <x:v>Verified qualifications do not include active general Life. Current target-pool mismatch; actual historical omission reason unknown.</x:v>
      </x:c>
      <x:c r="L61" s="7" t="str">
        <x:v>Not supplied; membership is known, motive is not</x:v>
      </x:c>
      <x:c r="M61" s="7" t="n">
        <x:v>7</x:v>
      </x:c>
      <x:c r="N61" s="7" t="str">
        <x:v>Outside current general-Life recruiting pool</x:v>
      </x:c>
      <x:c r="O61" s="7" t="str">
        <x:v>Not displayed</x:v>
      </x:c>
      <x:c r="P61" s="7" t="str"/>
      <x:c r="Q61" s="7" t="str"/>
      <x:c r="R61" s="7" t="str"/>
      <x:c r="S61" s="15" t="str"/>
      <x:c r="T61" s="7" t="str">
        <x:v>No public business phone in collected record</x:v>
      </x:c>
      <x:c r="U61" s="7" t="str"/>
      <x:c r="V61" s="7" t="str">
        <x:v>Resident</x:v>
      </x:c>
      <x:c r="W61" s="7" t="str">
        <x:v>CA</x:v>
      </x:c>
      <x:c r="X61" s="7" t="str">
        <x:v>PRIMERICA FINANCIAL SERVICES INSURANCE MARKETING, INC. / Life-Only / 04/23/1999
PRIMERICA FINANCIAL SERVICES INSURANCE MARKETING, INC. / Accident and Health / 04/23/1999</x:v>
      </x:c>
      <x:c r="Y61" s="7" t="str"/>
      <x:c r="Z61" s="7" t="str"/>
      <x:c r="AA61" s="7" t="str"/>
      <x:c r="AB61" s="7" t="str"/>
      <x:c r="AC61" s="7" t="str"/>
      <x:c r="AD61" s="7" t="str">
        <x:v>Primerica relationship: matches an explicitly targeted recruiting segment</x:v>
      </x:c>
      <x:c r="AE61" s="7" t="str">
        <x:v>No public business phone: contact enrichment needed, not proof of poor recruiting fit</x:v>
      </x:c>
      <x:c r="AF61" s="16" t="str"/>
      <x:c r="AG61" s="17" t="str"/>
      <x:c r="AH61" s="7" t="str"/>
      <x:c r="AI61" s="7" t="str"/>
      <x:c r="AJ61" s="7" t="str"/>
      <x:c r="AK61" s="15" t="str"/>
      <x:c r="AL61" s="7" t="str"/>
      <x:c r="AM61" s="7" t="str">
        <x:v>AGUILAR  ALICIA</x:v>
      </x:c>
      <x:c r="AN61" s="7" t="str">
        <x:v>https://cdicloud.insurance.ca.gov/cal/LicenseDetail?SearchType=IND&amp;SearchLicNbr=0C59378&amp;SearchIndvId=433019</x:v>
      </x:c>
      <x:c r="AO61" s="7" t="str">
        <x:v>2026-10-08</x:v>
      </x:c>
      <x:c r="AP61" s="7" t="str">
        <x:v>b96d059131df4516a112cd79a225f331e62f579d8bd9409a07c384b844bdb8ca</x:v>
      </x:c>
      <x:c r="AQ61" s="7" t="str">
        <x:v>Accident and Health / Inactive / 04/23/1999 / 04/30/2001 / 04/30/2001
Life-Only / Inactive / 04/23/1999 / 04/30/2001 / 04/30/2001</x:v>
      </x:c>
      <x:c r="AR61" s="7" t="str">
        <x:v>Inactive</x:v>
      </x:c>
      <x:c r="AS61" s="7" t="str">
        <x:v>Current detail page</x:v>
      </x:c>
    </x:row>
    <x:row r="62" ht="52" customHeight="1">
      <x:c r="A62" s="7" t="str">
        <x:v>AGUILAR ALICIA</x:v>
      </x:c>
      <x:c r="B62" s="14" t="str">
        <x:f>"0E15710"</x:f>
        <x:v>0E15710</x:v>
      </x:c>
      <x:c r="C62" s="7" t="str">
        <x:v>Omitted</x:v>
      </x:c>
      <x:c r="D62" s="7" t="str">
        <x:v>FAIL</x:v>
      </x:c>
      <x:c r="E62" s="13" t="str">
        <x:v>Pending</x:v>
      </x:c>
      <x:c r="F62" s="13" t="str"/>
      <x:c r="G62" s="13" t="str"/>
      <x:c r="H62" s="13" t="str"/>
      <x:c r="I62" s="7" t="str">
        <x:v>Was this person reviewed? If rejected, give the actual rule and evidence. If acceptable, correct the omission. Confirm the Life-qualification gate and any record change since selection.</x:v>
      </x:c>
      <x:c r="J62" s="7" t="str">
        <x:v>L1</x:v>
      </x:c>
      <x:c r="K62" s="7" t="str">
        <x:v>Verified qualifications do not include active general Life. Current target-pool mismatch; actual historical omission reason unknown.</x:v>
      </x:c>
      <x:c r="L62" s="7" t="str">
        <x:v>Not supplied; membership is known, motive is not</x:v>
      </x:c>
      <x:c r="M62" s="7" t="n">
        <x:v>7</x:v>
      </x:c>
      <x:c r="N62" s="7" t="str">
        <x:v>Outside current general-Life recruiting pool</x:v>
      </x:c>
      <x:c r="O62" s="7" t="str">
        <x:v>Not displayed</x:v>
      </x:c>
      <x:c r="P62" s="7" t="str"/>
      <x:c r="Q62" s="7" t="str"/>
      <x:c r="R62" s="7" t="str"/>
      <x:c r="S62" s="15" t="str"/>
      <x:c r="T62" s="7" t="str">
        <x:v>No public business phone in collected record</x:v>
      </x:c>
      <x:c r="U62" s="7" t="str"/>
      <x:c r="V62" s="7" t="str">
        <x:v>Resident</x:v>
      </x:c>
      <x:c r="W62" s="7" t="str">
        <x:v>CA</x:v>
      </x:c>
      <x:c r="X62" s="7" t="str"/>
      <x:c r="Y62" s="7" t="str"/>
      <x:c r="Z62" s="7" t="str"/>
      <x:c r="AA62" s="7" t="str"/>
      <x:c r="AB62" s="7" t="str"/>
      <x:c r="AC62" s="7" t="str"/>
      <x:c r="AD62" s="7" t="str">
        <x:v>No agency or insurer displayed: onboarding opportunity possible; existing business unknown</x:v>
      </x:c>
      <x:c r="AE62" s="7" t="str">
        <x:v>No public business phone: contact enrichment needed, not proof of poor recruiting fit</x:v>
      </x:c>
      <x:c r="AF62" s="16" t="str"/>
      <x:c r="AG62" s="17" t="str"/>
      <x:c r="AH62" s="7" t="str"/>
      <x:c r="AI62" s="7" t="str">
        <x:v>English</x:v>
      </x:c>
      <x:c r="AJ62" s="7" t="str"/>
      <x:c r="AK62" s="15" t="str"/>
      <x:c r="AL62" s="7" t="str"/>
      <x:c r="AM62" s="7" t="str">
        <x:v>AGUILAR  ALICIA</x:v>
      </x:c>
      <x:c r="AN62" s="7" t="str">
        <x:v>https://cdicloud.insurance.ca.gov/cal/LicenseDetail?SearchType=IND&amp;SearchLicNbr=0E15710&amp;SearchIndvId=861716</x:v>
      </x:c>
      <x:c r="AO62" s="7" t="str">
        <x:v>2026-10-08</x:v>
      </x:c>
      <x:c r="AP62" s="7" t="str">
        <x:v>7ec8cd1415eeacc811d9ae7716e40d8e4cfa3b3465c144e8dabf64fe8e672dd5</x:v>
      </x:c>
      <x:c r="AQ62" s="7" t="str">
        <x:v>Accident and Health / Inactive / 09/10/2003 / 09/30/2007 / 09/30/2007
Life-Only / Inactive / 09/10/2003 / 10/31/2018 / 10/31/2018</x:v>
      </x:c>
      <x:c r="AR62" s="7" t="str">
        <x:v>Inactive</x:v>
      </x:c>
      <x:c r="AS62" s="7" t="str">
        <x:v>Current detail page</x:v>
      </x:c>
    </x:row>
    <x:row r="63" ht="52" customHeight="1">
      <x:c r="A63" s="7" t="str">
        <x:v>AGUILAR ALICIA</x:v>
      </x:c>
      <x:c r="B63" s="14" t="str">
        <x:f>"0F53081"</x:f>
        <x:v>0F53081</x:v>
      </x:c>
      <x:c r="C63" s="7" t="str">
        <x:v>Omitted</x:v>
      </x:c>
      <x:c r="D63" s="7" t="str">
        <x:v>FAIL</x:v>
      </x:c>
      <x:c r="E63" s="13" t="str">
        <x:v>Pending</x:v>
      </x:c>
      <x:c r="F63" s="13" t="str"/>
      <x:c r="G63" s="13" t="str"/>
      <x:c r="H63" s="13" t="str"/>
      <x:c r="I63" s="7" t="str">
        <x:v>Was this person reviewed? If rejected, give the actual rule and evidence. If acceptable, correct the omission. Confirm the Life-qualification gate and any record change since selection.</x:v>
      </x:c>
      <x:c r="J63" s="7" t="str">
        <x:v>L1</x:v>
      </x:c>
      <x:c r="K63" s="7" t="str">
        <x:v>Verified qualifications do not include active general Life. Current target-pool mismatch; actual historical omission reason unknown.</x:v>
      </x:c>
      <x:c r="L63" s="7" t="str">
        <x:v>Not supplied; membership is known, motive is not</x:v>
      </x:c>
      <x:c r="M63" s="7" t="n">
        <x:v>7</x:v>
      </x:c>
      <x:c r="N63" s="7" t="str">
        <x:v>Outside current general-Life recruiting pool</x:v>
      </x:c>
      <x:c r="O63" s="7" t="str">
        <x:v>Not displayed</x:v>
      </x:c>
      <x:c r="P63" s="7" t="str"/>
      <x:c r="Q63" s="7" t="str"/>
      <x:c r="R63" s="7" t="str"/>
      <x:c r="S63" s="15" t="str"/>
      <x:c r="T63" s="7" t="str">
        <x:v>No public business phone in collected record</x:v>
      </x:c>
      <x:c r="U63" s="7" t="str"/>
      <x:c r="V63" s="7" t="str">
        <x:v>Resident</x:v>
      </x:c>
      <x:c r="W63" s="7" t="str">
        <x:v>CA</x:v>
      </x:c>
      <x:c r="X63" s="7" t="str"/>
      <x:c r="Y63" s="7" t="str"/>
      <x:c r="Z63" s="7" t="str"/>
      <x:c r="AA63" s="7" t="str"/>
      <x:c r="AB63" s="7" t="str"/>
      <x:c r="AC63" s="7" t="str"/>
      <x:c r="AD63" s="7" t="str">
        <x:v>No agency or insurer displayed: onboarding opportunity possible; existing business unknown</x:v>
      </x:c>
      <x:c r="AE63" s="7" t="str">
        <x:v>No public business phone: contact enrichment needed, not proof of poor recruiting fit</x:v>
      </x:c>
      <x:c r="AF63" s="16" t="str"/>
      <x:c r="AG63" s="17" t="str"/>
      <x:c r="AH63" s="7" t="str"/>
      <x:c r="AI63" s="7" t="str"/>
      <x:c r="AJ63" s="7" t="str"/>
      <x:c r="AK63" s="15" t="str"/>
      <x:c r="AL63" s="7" t="str"/>
      <x:c r="AM63" s="7" t="str">
        <x:v>AGUILAR  ALICIA</x:v>
      </x:c>
      <x:c r="AN63" s="7" t="str">
        <x:v>https://cdicloud.insurance.ca.gov/cal/LicenseDetail?SearchType=IND&amp;SearchLicNbr=0F53081&amp;SearchIndvId=1067222</x:v>
      </x:c>
      <x:c r="AO63" s="7" t="str">
        <x:v>2026-10-08</x:v>
      </x:c>
      <x:c r="AP63" s="7" t="str">
        <x:v>85dabf6b630561feeffbeabd177018f191612d472de3eec0d7105a14ad48ffa2</x:v>
      </x:c>
      <x:c r="AQ63" s="7" t="str">
        <x:v>Casualty Broker-Agent / Inactive / 02/05/2007 / 02/28/2009 / 02/28/2009
Property Broker-Agent / Inactive / 02/05/2007 / 02/28/2009 / 02/28/2009</x:v>
      </x:c>
      <x:c r="AR63" s="7" t="str">
        <x:v>Inactive</x:v>
      </x:c>
      <x:c r="AS63" s="7" t="str">
        <x:v>Current detail page</x:v>
      </x:c>
    </x:row>
    <x:row r="64" ht="52" customHeight="1">
      <x:c r="A64" s="7" t="str">
        <x:v>AGUILAR ALICIA</x:v>
      </x:c>
      <x:c r="B64" s="14" t="str">
        <x:f>"0J00017"</x:f>
        <x:v>0J00017</x:v>
      </x:c>
      <x:c r="C64" s="7" t="str">
        <x:v>Omitted</x:v>
      </x:c>
      <x:c r="D64" s="7" t="str">
        <x:v>FAIL</x:v>
      </x:c>
      <x:c r="E64" s="13" t="str">
        <x:v>Pending</x:v>
      </x:c>
      <x:c r="F64" s="13" t="str"/>
      <x:c r="G64" s="13" t="str"/>
      <x:c r="H64" s="13" t="str"/>
      <x:c r="I64" s="7" t="str">
        <x:v>Was this person reviewed? If rejected, give the actual rule and evidence. If acceptable, correct the omission. Confirm the Life-qualification gate and any record change since selection.</x:v>
      </x:c>
      <x:c r="J64" s="7" t="str">
        <x:v>L1</x:v>
      </x:c>
      <x:c r="K64" s="7" t="str">
        <x:v>Verified qualifications do not include active general Life. Current target-pool mismatch; actual historical omission reason unknown.</x:v>
      </x:c>
      <x:c r="L64" s="7" t="str">
        <x:v>Not supplied; membership is known, motive is not</x:v>
      </x:c>
      <x:c r="M64" s="7" t="n">
        <x:v>7</x:v>
      </x:c>
      <x:c r="N64" s="7" t="str">
        <x:v>Outside current general-Life recruiting pool</x:v>
      </x:c>
      <x:c r="O64" s="7" t="str">
        <x:v>Not displayed</x:v>
      </x:c>
      <x:c r="P64" s="7" t="str"/>
      <x:c r="Q64" s="7" t="str"/>
      <x:c r="R64" s="7" t="str"/>
      <x:c r="S64" s="15" t="str"/>
      <x:c r="T64" s="7" t="str">
        <x:v>No public business phone in collected record</x:v>
      </x:c>
      <x:c r="U64" s="7" t="str"/>
      <x:c r="V64" s="7" t="str">
        <x:v>Non-resident</x:v>
      </x:c>
      <x:c r="W64" s="7" t="str">
        <x:v>MN</x:v>
      </x:c>
      <x:c r="X64" s="7" t="str"/>
      <x:c r="Y64" s="7" t="str"/>
      <x:c r="Z64" s="7" t="str"/>
      <x:c r="AA64" s="7" t="str"/>
      <x:c r="AB64" s="7" t="str"/>
      <x:c r="AC64" s="7" t="str"/>
      <x:c r="AD64" s="7" t="str">
        <x:v>No agency or insurer displayed: onboarding opportunity possible; existing business unknown</x:v>
      </x:c>
      <x:c r="AE64" s="7" t="str">
        <x:v>Nonresident or address state outside CA; confirm geographic recruiting scope | No public business phone: contact enrichment needed, not proof of poor recruiting fit</x:v>
      </x:c>
      <x:c r="AF64" s="16" t="str"/>
      <x:c r="AG64" s="17" t="str"/>
      <x:c r="AH64" s="7" t="str"/>
      <x:c r="AI64" s="7" t="str"/>
      <x:c r="AJ64" s="7" t="str"/>
      <x:c r="AK64" s="15" t="str"/>
      <x:c r="AL64" s="7" t="str"/>
      <x:c r="AM64" s="7" t="str">
        <x:v>AGUILAR  ALICIA</x:v>
      </x:c>
      <x:c r="AN64" s="7" t="str">
        <x:v>https://cdicloud.insurance.ca.gov/cal/LicenseDetail?SearchType=IND&amp;SearchLicNbr=0J00017&amp;SearchIndvId=1688547</x:v>
      </x:c>
      <x:c r="AO64" s="7" t="str">
        <x:v>2026-10-08</x:v>
      </x:c>
      <x:c r="AP64" s="7" t="str">
        <x:v>4984729ccc78aca4d775b7ead3793c7a8ac0050c190f9dfc726bef771ee19bcc</x:v>
      </x:c>
      <x:c r="AQ64" s="7" t="str">
        <x:v>Casualty Broker-Agent / Inactive / 07/29/2014 / 07/31/2016 / 07/31/2016
Property Broker-Agent / Inactive / 07/29/2014 / 07/31/2016 / 07/31/2016</x:v>
      </x:c>
      <x:c r="AR64" s="7" t="str">
        <x:v>Inactive</x:v>
      </x:c>
      <x:c r="AS64" s="7" t="str">
        <x:v>Current detail page</x:v>
      </x:c>
    </x:row>
    <x:row r="65" ht="52" customHeight="1">
      <x:c r="A65" s="7" t="str">
        <x:v>AGUILAR ALLAN GUILLERMO</x:v>
      </x:c>
      <x:c r="B65" s="14" t="str">
        <x:f>"0J11039"</x:f>
        <x:v>0J11039</x:v>
      </x:c>
      <x:c r="C65" s="7" t="str">
        <x:v>Omitted</x:v>
      </x:c>
      <x:c r="D65" s="7" t="str">
        <x:v>FAIL</x:v>
      </x:c>
      <x:c r="E65" s="13" t="str">
        <x:v>Pending</x:v>
      </x:c>
      <x:c r="F65" s="13" t="str"/>
      <x:c r="G65" s="13" t="str"/>
      <x:c r="H65" s="13" t="str"/>
      <x:c r="I65" s="7" t="str">
        <x:v>Was this person reviewed? If rejected, give the actual rule and evidence. If acceptable, correct the omission. Confirm the Life-qualification gate and any record change since selection.</x:v>
      </x:c>
      <x:c r="J65" s="7" t="str">
        <x:v>L1</x:v>
      </x:c>
      <x:c r="K65" s="7" t="str">
        <x:v>Verified qualifications do not include active general Life. Current target-pool mismatch; actual historical omission reason unknown.</x:v>
      </x:c>
      <x:c r="L65" s="7" t="str">
        <x:v>Not supplied; membership is known, motive is not</x:v>
      </x:c>
      <x:c r="M65" s="7" t="n">
        <x:v>7</x:v>
      </x:c>
      <x:c r="N65" s="7" t="str">
        <x:v>Outside current general-Life recruiting pool</x:v>
      </x:c>
      <x:c r="O65" s="7" t="str">
        <x:v>Not displayed</x:v>
      </x:c>
      <x:c r="P65" s="7" t="str"/>
      <x:c r="Q65" s="7" t="str"/>
      <x:c r="R65" s="7" t="str"/>
      <x:c r="S65" s="15" t="str"/>
      <x:c r="T65" s="7" t="str">
        <x:v>No public business phone in collected record</x:v>
      </x:c>
      <x:c r="U65" s="7" t="str"/>
      <x:c r="V65" s="7" t="str">
        <x:v>Resident</x:v>
      </x:c>
      <x:c r="W65" s="7" t="str">
        <x:v>CA</x:v>
      </x:c>
      <x:c r="X65" s="7" t="str"/>
      <x:c r="Y65" s="7" t="str"/>
      <x:c r="Z65" s="7" t="str"/>
      <x:c r="AA65" s="7" t="str"/>
      <x:c r="AB65" s="7" t="str"/>
      <x:c r="AC65" s="7" t="str"/>
      <x:c r="AD65" s="7" t="str">
        <x:v>No agency or insurer displayed: onboarding opportunity possible; existing business unknown</x:v>
      </x:c>
      <x:c r="AE65" s="7" t="str">
        <x:v>No public business phone: contact enrichment needed, not proof of poor recruiting fit</x:v>
      </x:c>
      <x:c r="AF65" s="16" t="str"/>
      <x:c r="AG65" s="17" t="str"/>
      <x:c r="AH65" s="7" t="str"/>
      <x:c r="AI65" s="7" t="str"/>
      <x:c r="AJ65" s="7" t="str"/>
      <x:c r="AK65" s="15" t="str"/>
      <x:c r="AL65" s="7" t="str"/>
      <x:c r="AM65" s="7" t="str">
        <x:v>Aguilar g Allan | AGUILAR GUILLERMO ALLAN</x:v>
      </x:c>
      <x:c r="AN65" s="7" t="str">
        <x:v>https://cdicloud.insurance.ca.gov/cal/LicenseDetail?SearchType=IND&amp;SearchLicNbr=0J11039&amp;SearchIndvId=1704039</x:v>
      </x:c>
      <x:c r="AO65" s="7" t="str">
        <x:v>2026-10-08</x:v>
      </x:c>
      <x:c r="AP65" s="7" t="str">
        <x:v>3ce7ff0656526148cdb34909511a46a8047c1e47be59681b79755eb822a8397e</x:v>
      </x:c>
      <x:c r="AQ65" s="7" t="str">
        <x:v>Accident and Health / Inactive / 10/06/2014 / 10/31/2016 / 10/31/2016
Life-Only / Inactive / 10/06/2014 / 10/31/2016 / 10/31/2016</x:v>
      </x:c>
      <x:c r="AR65" s="7" t="str">
        <x:v>Inactive</x:v>
      </x:c>
      <x:c r="AS65" s="7" t="str">
        <x:v>Current detail page</x:v>
      </x:c>
    </x:row>
    <x:row r="66" ht="52" customHeight="1">
      <x:c r="A66" s="7" t="str">
        <x:v>AGUILAR ALLISON</x:v>
      </x:c>
      <x:c r="B66" s="14" t="str">
        <x:f>"0H15361"</x:f>
        <x:v>0H15361</x:v>
      </x:c>
      <x:c r="C66" s="7" t="str">
        <x:v>Omitted</x:v>
      </x:c>
      <x:c r="D66" s="7" t="str">
        <x:v>FAIL</x:v>
      </x:c>
      <x:c r="E66" s="13" t="str">
        <x:v>Pending</x:v>
      </x:c>
      <x:c r="F66" s="13" t="str"/>
      <x:c r="G66" s="13" t="str"/>
      <x:c r="H66" s="13" t="str"/>
      <x:c r="I66" s="7" t="str">
        <x:v>Was this person reviewed? If rejected, give the actual rule and evidence. If acceptable, correct the omission. Confirm the Life-qualification gate and any record change since selection.</x:v>
      </x:c>
      <x:c r="J66" s="7" t="str">
        <x:v>L1</x:v>
      </x:c>
      <x:c r="K66" s="7" t="str">
        <x:v>Verified qualifications do not include active general Life. Current target-pool mismatch; actual historical omission reason unknown.</x:v>
      </x:c>
      <x:c r="L66" s="7" t="str">
        <x:v>Not supplied; membership is known, motive is not</x:v>
      </x:c>
      <x:c r="M66" s="7" t="n">
        <x:v>7</x:v>
      </x:c>
      <x:c r="N66" s="7" t="str">
        <x:v>Outside current general-Life recruiting pool</x:v>
      </x:c>
      <x:c r="O66" s="7" t="str">
        <x:v>Not displayed</x:v>
      </x:c>
      <x:c r="P66" s="7" t="str"/>
      <x:c r="Q66" s="7" t="str"/>
      <x:c r="R66" s="7" t="str"/>
      <x:c r="S66" s="15" t="str"/>
      <x:c r="T66" s="7" t="str">
        <x:v>No public business phone in collected record</x:v>
      </x:c>
      <x:c r="U66" s="7" t="str"/>
      <x:c r="V66" s="7" t="str">
        <x:v>Non-resident</x:v>
      </x:c>
      <x:c r="W66" s="7" t="str">
        <x:v>TX</x:v>
      </x:c>
      <x:c r="X66" s="7" t="str"/>
      <x:c r="Y66" s="7" t="str"/>
      <x:c r="Z66" s="7" t="str"/>
      <x:c r="AA66" s="7" t="str"/>
      <x:c r="AB66" s="7" t="str"/>
      <x:c r="AC66" s="7" t="str"/>
      <x:c r="AD66" s="7" t="str">
        <x:v>No agency or insurer displayed: onboarding opportunity possible; existing business unknown</x:v>
      </x:c>
      <x:c r="AE66" s="7" t="str">
        <x:v>Nonresident or address state outside CA; confirm geographic recruiting scope | No public business phone: contact enrichment needed, not proof of poor recruiting fit</x:v>
      </x:c>
      <x:c r="AF66" s="16" t="str"/>
      <x:c r="AG66" s="17" t="str"/>
      <x:c r="AH66" s="7" t="str"/>
      <x:c r="AI66" s="7" t="str"/>
      <x:c r="AJ66" s="7" t="str"/>
      <x:c r="AK66" s="15" t="str"/>
      <x:c r="AL66" s="7" t="str"/>
      <x:c r="AM66" s="7" t="str">
        <x:v>AGUILAR  ALLISON</x:v>
      </x:c>
      <x:c r="AN66" s="7" t="str">
        <x:v>https://cdicloud.insurance.ca.gov/cal/LicenseDetail?SearchType=IND&amp;SearchLicNbr=0H15361&amp;SearchIndvId=1353458</x:v>
      </x:c>
      <x:c r="AO66" s="7" t="str">
        <x:v>2026-10-08</x:v>
      </x:c>
      <x:c r="AP66" s="7" t="str">
        <x:v>54c24046dd938bb81ddf46f9bec33d207eab21ee95ac597fa50e4b4927ac11ff</x:v>
      </x:c>
      <x:c r="AQ66" s="7" t="str">
        <x:v>Personal Lines Broker-Agent / Inactive / 09/17/2010 / 09/30/2012 / 09/30/2012</x:v>
      </x:c>
      <x:c r="AR66" s="7" t="str">
        <x:v>Inactive</x:v>
      </x:c>
      <x:c r="AS66" s="7" t="str">
        <x:v>Current detail page</x:v>
      </x:c>
    </x:row>
    <x:row r="67" ht="52" customHeight="1">
      <x:c r="A67" s="7" t="str">
        <x:v>AGUILAR ALLYSON MARIE</x:v>
      </x:c>
      <x:c r="B67" s="14" t="str">
        <x:f>"0H30362"</x:f>
        <x:v>0H30362</x:v>
      </x:c>
      <x:c r="C67" s="7" t="str">
        <x:v>Omitted</x:v>
      </x:c>
      <x:c r="D67" s="7" t="str">
        <x:v>FAIL</x:v>
      </x:c>
      <x:c r="E67" s="13" t="str">
        <x:v>Pending</x:v>
      </x:c>
      <x:c r="F67" s="13" t="str"/>
      <x:c r="G67" s="13" t="str"/>
      <x:c r="H67" s="13" t="str"/>
      <x:c r="I67" s="7" t="str">
        <x:v>Was this person reviewed? If rejected, give the actual rule and evidence. If acceptable, correct the omission. Confirm the Life-qualification gate and any record change since selection.</x:v>
      </x:c>
      <x:c r="J67" s="7" t="str">
        <x:v>L1</x:v>
      </x:c>
      <x:c r="K67" s="7" t="str">
        <x:v>Verified qualifications do not include active general Life. Current target-pool mismatch; actual historical omission reason unknown.</x:v>
      </x:c>
      <x:c r="L67" s="7" t="str">
        <x:v>Not supplied; membership is known, motive is not</x:v>
      </x:c>
      <x:c r="M67" s="7" t="n">
        <x:v>7</x:v>
      </x:c>
      <x:c r="N67" s="7" t="str">
        <x:v>Outside current general-Life recruiting pool</x:v>
      </x:c>
      <x:c r="O67" s="7" t="str">
        <x:v>Not displayed</x:v>
      </x:c>
      <x:c r="P67" s="7" t="str"/>
      <x:c r="Q67" s="7" t="str"/>
      <x:c r="R67" s="7" t="str"/>
      <x:c r="S67" s="15" t="str"/>
      <x:c r="T67" s="7" t="str">
        <x:v>No public business phone in collected record</x:v>
      </x:c>
      <x:c r="U67" s="7" t="str"/>
      <x:c r="V67" s="7" t="str">
        <x:v>Resident</x:v>
      </x:c>
      <x:c r="W67" s="7" t="str">
        <x:v>CA</x:v>
      </x:c>
      <x:c r="X67" s="7" t="str"/>
      <x:c r="Y67" s="7" t="str"/>
      <x:c r="Z67" s="7" t="str"/>
      <x:c r="AA67" s="7" t="str"/>
      <x:c r="AB67" s="7" t="str"/>
      <x:c r="AC67" s="7" t="str"/>
      <x:c r="AD67" s="7" t="str">
        <x:v>No agency or insurer displayed: onboarding opportunity possible; existing business unknown</x:v>
      </x:c>
      <x:c r="AE67" s="7" t="str">
        <x:v>No public business phone: contact enrichment needed, not proof of poor recruiting fit</x:v>
      </x:c>
      <x:c r="AF67" s="16" t="str"/>
      <x:c r="AG67" s="17" t="str"/>
      <x:c r="AH67" s="7" t="str"/>
      <x:c r="AI67" s="7" t="str"/>
      <x:c r="AJ67" s="7" t="str"/>
      <x:c r="AK67" s="15" t="str"/>
      <x:c r="AL67" s="7" t="str"/>
      <x:c r="AM67" s="7" t="str">
        <x:v>AGUILAR MARIE ALLYSON</x:v>
      </x:c>
      <x:c r="AN67" s="7" t="str">
        <x:v>https://cdicloud.insurance.ca.gov/cal/LicenseDetail?SearchType=IND&amp;SearchLicNbr=0H30362&amp;SearchIndvId=1404870</x:v>
      </x:c>
      <x:c r="AO67" s="7" t="str">
        <x:v>2026-10-08</x:v>
      </x:c>
      <x:c r="AP67" s="7" t="str">
        <x:v>8427a91a5d46cc257e4149492a0622cade6b6e1846fc6b637a437beef7bda98f</x:v>
      </x:c>
      <x:c r="AQ67" s="7" t="str">
        <x:v>Accident and Health / Inactive / 02/24/2011 / 02/28/2013 / 02/28/2013
Life-Only / Inactive / 02/24/2011 / 02/28/2013 / 02/28/2013</x:v>
      </x:c>
      <x:c r="AR67" s="7" t="str">
        <x:v>Inactive</x:v>
      </x:c>
      <x:c r="AS67" s="7" t="str">
        <x:v>Current detail page</x:v>
      </x:c>
    </x:row>
    <x:row r="68" ht="52" customHeight="1">
      <x:c r="A68" s="7" t="str">
        <x:v>AGUILAR ALLYSON ROSSANA</x:v>
      </x:c>
      <x:c r="B68" s="14" t="str">
        <x:f>"4217556"</x:f>
        <x:v>4217556</x:v>
      </x:c>
      <x:c r="C68" s="7" t="str">
        <x:v>Omitted</x:v>
      </x:c>
      <x:c r="D68" s="7" t="str">
        <x:v>FAIL</x:v>
      </x:c>
      <x:c r="E68" s="13" t="str">
        <x:v>Pending</x:v>
      </x:c>
      <x:c r="F68" s="13" t="str"/>
      <x:c r="G68" s="13" t="str"/>
      <x:c r="H68" s="13" t="str"/>
      <x:c r="I68" s="7" t="str">
        <x:v>Was this person reviewed? If rejected, give the actual rule and evidence. If acceptable, correct the omission. Confirm the Life-qualification gate and any record change since selection.</x:v>
      </x:c>
      <x:c r="J68" s="7" t="str">
        <x:v>L1</x:v>
      </x:c>
      <x:c r="K68" s="7" t="str">
        <x:v>Verified qualifications do not include active general Life. Current target-pool mismatch; actual historical omission reason unknown.</x:v>
      </x:c>
      <x:c r="L68" s="7" t="str">
        <x:v>Not supplied; membership is known, motive is not</x:v>
      </x:c>
      <x:c r="M68" s="7" t="n">
        <x:v>7</x:v>
      </x:c>
      <x:c r="N68" s="7" t="str">
        <x:v>Outside current general-Life recruiting pool</x:v>
      </x:c>
      <x:c r="O68" s="7" t="str">
        <x:v>Not displayed</x:v>
      </x:c>
      <x:c r="P68" s="7" t="str"/>
      <x:c r="Q68" s="7" t="str"/>
      <x:c r="R68" s="7" t="str"/>
      <x:c r="S68" s="15" t="str"/>
      <x:c r="T68" s="7" t="str">
        <x:v>No public business phone in collected record</x:v>
      </x:c>
      <x:c r="U68" s="7" t="str">
        <x:v>3914 BLOSSOM DEW DR KISSIMMEE FL, 34746-1928</x:v>
      </x:c>
      <x:c r="V68" s="7" t="str">
        <x:v>Non-resident</x:v>
      </x:c>
      <x:c r="W68" s="7" t="str">
        <x:v>FL</x:v>
      </x:c>
      <x:c r="X68" s="7" t="str"/>
      <x:c r="Y68" s="7" t="str"/>
      <x:c r="Z68" s="7" t="str"/>
      <x:c r="AA68" s="7" t="str"/>
      <x:c r="AB68" s="7" t="str"/>
      <x:c r="AC68" s="7" t="str"/>
      <x:c r="AD68" s="7" t="str">
        <x:v>No agency or insurer displayed: onboarding opportunity possible; existing business unknown</x:v>
      </x:c>
      <x:c r="AE68" s="7" t="str">
        <x:v>Nonresident or address state outside CA; confirm geographic recruiting scope | No public business phone: contact enrichment needed, not proof of poor recruiting fit</x:v>
      </x:c>
      <x:c r="AF68" s="16" t="str"/>
      <x:c r="AG68" s="17" t="str"/>
      <x:c r="AH68" s="7" t="str"/>
      <x:c r="AI68" s="7" t="str"/>
      <x:c r="AJ68" s="7" t="str"/>
      <x:c r="AK68" s="15" t="str"/>
      <x:c r="AL68" s="7" t="str"/>
      <x:c r="AM68" s="7" t="str">
        <x:v>AGUILAR ROSSANA ALLYSON</x:v>
      </x:c>
      <x:c r="AN68" s="7" t="str">
        <x:v>https://cdicloud.insurance.ca.gov/cal/LicenseDetail?SearchType=IND&amp;SearchLicNbr=4217556&amp;SearchIndvId=4217556</x:v>
      </x:c>
      <x:c r="AO68" s="7" t="str">
        <x:v>2026-10-08</x:v>
      </x:c>
      <x:c r="AP68" s="7" t="str">
        <x:v>8bb1fbfa091960724e9bae984c7af0af0c700ca60b5fd1b8a8960f1b7e7fb039</x:v>
      </x:c>
      <x:c r="AQ68" s="7" t="str">
        <x:v>Casualty / Inactive / 06/16/2022 / 06/30/2026 / 06/30/2026
Property / Inactive / 06/16/2022 / 06/30/2026 / 06/30/2026</x:v>
      </x:c>
      <x:c r="AR68" s="7" t="str">
        <x:v>Inactive</x:v>
      </x:c>
      <x:c r="AS68" s="7" t="str">
        <x:v>Current detail page</x:v>
      </x:c>
    </x:row>
    <x:row r="69" ht="52" customHeight="1">
      <x:c r="A69" s="7" t="str">
        <x:v>AGUILAR ALMA ARACELI</x:v>
      </x:c>
      <x:c r="B69" s="14" t="str">
        <x:f>"0E99362"</x:f>
        <x:v>0E99362</x:v>
      </x:c>
      <x:c r="C69" s="7" t="str">
        <x:v>Omitted</x:v>
      </x:c>
      <x:c r="D69" s="7" t="str">
        <x:v>FAIL</x:v>
      </x:c>
      <x:c r="E69" s="13" t="str">
        <x:v>Pending</x:v>
      </x:c>
      <x:c r="F69" s="13" t="str"/>
      <x:c r="G69" s="13" t="str"/>
      <x:c r="H69" s="13" t="str"/>
      <x:c r="I69" s="7" t="str">
        <x:v>Was this person reviewed? If rejected, give the actual rule and evidence. If acceptable, correct the omission. Confirm the Life-qualification gate and any record change since selection.</x:v>
      </x:c>
      <x:c r="J69" s="7" t="str">
        <x:v>L1</x:v>
      </x:c>
      <x:c r="K69" s="7" t="str">
        <x:v>Verified qualifications do not include active general Life. Current target-pool mismatch; actual historical omission reason unknown.</x:v>
      </x:c>
      <x:c r="L69" s="7" t="str">
        <x:v>Not supplied; membership is known, motive is not</x:v>
      </x:c>
      <x:c r="M69" s="7" t="n">
        <x:v>7</x:v>
      </x:c>
      <x:c r="N69" s="7" t="str">
        <x:v>Outside current general-Life recruiting pool</x:v>
      </x:c>
      <x:c r="O69" s="7" t="str">
        <x:v>Not displayed</x:v>
      </x:c>
      <x:c r="P69" s="7" t="str"/>
      <x:c r="Q69" s="7" t="str"/>
      <x:c r="R69" s="7" t="str"/>
      <x:c r="S69" s="15" t="str"/>
      <x:c r="T69" s="7" t="str">
        <x:v>No public business phone in collected record</x:v>
      </x:c>
      <x:c r="U69" s="7" t="str"/>
      <x:c r="V69" s="7" t="str">
        <x:v>Resident</x:v>
      </x:c>
      <x:c r="W69" s="7" t="str">
        <x:v>CA</x:v>
      </x:c>
      <x:c r="X69" s="7" t="str"/>
      <x:c r="Y69" s="7" t="str"/>
      <x:c r="Z69" s="7" t="str"/>
      <x:c r="AA69" s="7" t="str"/>
      <x:c r="AB69" s="7" t="str"/>
      <x:c r="AC69" s="7" t="str"/>
      <x:c r="AD69" s="7" t="str">
        <x:v>No agency or insurer displayed: onboarding opportunity possible; existing business unknown</x:v>
      </x:c>
      <x:c r="AE69" s="7" t="str">
        <x:v>No public business phone: contact enrichment needed, not proof of poor recruiting fit</x:v>
      </x:c>
      <x:c r="AF69" s="16" t="str"/>
      <x:c r="AG69" s="17" t="str"/>
      <x:c r="AH69" s="7" t="str"/>
      <x:c r="AI69" s="7" t="str"/>
      <x:c r="AJ69" s="7" t="str"/>
      <x:c r="AK69" s="15" t="str"/>
      <x:c r="AL69" s="7" t="str"/>
      <x:c r="AM69" s="7" t="str">
        <x:v>AGUILAR ARACELI ALMA</x:v>
      </x:c>
      <x:c r="AN69" s="7" t="str">
        <x:v>https://cdicloud.insurance.ca.gov/cal/LicenseDetail?SearchType=IND&amp;SearchLicNbr=0E99362&amp;SearchIndvId=981926</x:v>
      </x:c>
      <x:c r="AO69" s="7" t="str">
        <x:v>2026-10-08</x:v>
      </x:c>
      <x:c r="AP69" s="7" t="str">
        <x:v>1ae550e57a7a60f87f1ec2c529904f2a8e5d8681a4c3717ce43b806f926d2881</x:v>
      </x:c>
      <x:c r="AQ69" s="7" t="str">
        <x:v>Accident and Health / Inactive / 11/30/2005 / 11/30/2007 / 11/30/2007
Life-Only / Inactive / 11/30/2005 / 11/30/2007 / 11/30/2007</x:v>
      </x:c>
      <x:c r="AR69" s="7" t="str">
        <x:v>Inactive</x:v>
      </x:c>
      <x:c r="AS69" s="7" t="str">
        <x:v>Current detail page</x:v>
      </x:c>
    </x:row>
    <x:row r="70" ht="52" customHeight="1">
      <x:c r="A70" s="7" t="str">
        <x:v>AGUILAR ALMA D</x:v>
      </x:c>
      <x:c r="B70" s="14" t="str">
        <x:f>"4052424"</x:f>
        <x:v>4052424</x:v>
      </x:c>
      <x:c r="C70" s="7" t="str">
        <x:v>Omitted</x:v>
      </x:c>
      <x:c r="D70" s="7" t="str">
        <x:v>FAIL</x:v>
      </x:c>
      <x:c r="E70" s="13" t="str">
        <x:v>Pending</x:v>
      </x:c>
      <x:c r="F70" s="13" t="str"/>
      <x:c r="G70" s="13" t="str"/>
      <x:c r="H70" s="13" t="str"/>
      <x:c r="I70" s="7" t="str">
        <x:v>Was this person reviewed? If rejected, give the actual rule and evidence. If acceptable, correct the omission. Confirm the Life-qualification gate and any record change since selection.</x:v>
      </x:c>
      <x:c r="J70" s="7" t="str">
        <x:v>L1</x:v>
      </x:c>
      <x:c r="K70" s="7" t="str">
        <x:v>Verified qualifications do not include active general Life. Current target-pool mismatch; actual historical omission reason unknown.</x:v>
      </x:c>
      <x:c r="L70" s="7" t="str">
        <x:v>Not supplied; membership is known, motive is not</x:v>
      </x:c>
      <x:c r="M70" s="7" t="n">
        <x:v>7</x:v>
      </x:c>
      <x:c r="N70" s="7" t="str">
        <x:v>Outside current general-Life recruiting pool</x:v>
      </x:c>
      <x:c r="O70" s="7" t="str">
        <x:v>Inactive</x:v>
      </x:c>
      <x:c r="P70" s="7" t="str">
        <x:v>07/10/2020</x:v>
      </x:c>
      <x:c r="Q70" s="7" t="str">
        <x:v>07/31/2022</x:v>
      </x:c>
      <x:c r="R70" s="7" t="str"/>
      <x:c r="S70" s="15" t="str">
        <x:v>650-338-9184</x:v>
      </x:c>
      <x:c r="T70" s="7" t="str">
        <x:v>Current CDI</x:v>
      </x:c>
      <x:c r="U70" s="7" t="str">
        <x:v>695 N FIRST ST SAN JOSE CA, 95112</x:v>
      </x:c>
      <x:c r="V70" s="7" t="str">
        <x:v>Resident</x:v>
      </x:c>
      <x:c r="W70" s="7" t="str">
        <x:v>CA</x:v>
      </x:c>
      <x:c r="X70" s="7" t="str"/>
      <x:c r="Y70" s="7" t="str"/>
      <x:c r="Z70" s="7" t="str"/>
      <x:c r="AA70" s="7" t="str"/>
      <x:c r="AB70" s="7" t="str"/>
      <x:c r="AC70" s="7" t="str"/>
      <x:c r="AD70" s="7" t="str">
        <x:v>No agency or insurer displayed: onboarding opportunity possible; existing business unknown</x:v>
      </x:c>
      <x:c r="AE70" s="7" t="str"/>
      <x:c r="AF70" s="16" t="str"/>
      <x:c r="AG70" s="17" t="str"/>
      <x:c r="AH70" s="7" t="str"/>
      <x:c r="AI70" s="7" t="str">
        <x:v>English</x:v>
      </x:c>
      <x:c r="AJ70" s="7" t="str"/>
      <x:c r="AK70" s="15" t="str"/>
      <x:c r="AL70" s="7" t="str"/>
      <x:c r="AM70" s="7" t="str">
        <x:v>AGUILAR D ALMA</x:v>
      </x:c>
      <x:c r="AN70" s="7" t="str">
        <x:v>https://cdicloud.insurance.ca.gov/cal/LicenseDetail?SearchType=IND&amp;SearchLicNbr=4052424&amp;SearchIndvId=4052424</x:v>
      </x:c>
      <x:c r="AO70" s="7" t="str">
        <x:v>2026-10-08</x:v>
      </x:c>
      <x:c r="AP70" s="7" t="str">
        <x:v>0b125f34b677e05d4fa13a140f466bd209af3c8f42adaf9b4980fdb84f1ed860</x:v>
      </x:c>
      <x:c r="AQ70" s="7" t="str">
        <x:v>Accident &amp; Health or Sickness / Inactive / 07/10/2020 / 07/31/2022 / 07/31/2022
Life / Inactive / 07/10/2020 / 07/31/2022 / 07/31/2022</x:v>
      </x:c>
      <x:c r="AR70" s="7" t="str">
        <x:v>Inactive</x:v>
      </x:c>
      <x:c r="AS70" s="7" t="str">
        <x:v>Current detail page</x:v>
      </x:c>
    </x:row>
    <x:row r="71" ht="52" customHeight="1">
      <x:c r="A71" s="7" t="str">
        <x:v>AGUILAR ALONDRA</x:v>
      </x:c>
      <x:c r="B71" s="14" t="str">
        <x:f>"0K56764"</x:f>
        <x:v>0K56764</x:v>
      </x:c>
      <x:c r="C71" s="7" t="str">
        <x:v>Omitted</x:v>
      </x:c>
      <x:c r="D71" s="7" t="str">
        <x:v>FAIL</x:v>
      </x:c>
      <x:c r="E71" s="13" t="str">
        <x:v>Pending</x:v>
      </x:c>
      <x:c r="F71" s="13" t="str"/>
      <x:c r="G71" s="13" t="str"/>
      <x:c r="H71" s="13" t="str"/>
      <x:c r="I71" s="7" t="str">
        <x:v>Was this person reviewed? If rejected, give the actual rule and evidence. If acceptable, correct the omission. Confirm the Life-qualification gate and any record change since selection.</x:v>
      </x:c>
      <x:c r="J71" s="7" t="str">
        <x:v>L1</x:v>
      </x:c>
      <x:c r="K71" s="7" t="str">
        <x:v>Verified qualifications do not include active general Life. Current target-pool mismatch; actual historical omission reason unknown.</x:v>
      </x:c>
      <x:c r="L71" s="7" t="str">
        <x:v>Not supplied; membership is known, motive is not</x:v>
      </x:c>
      <x:c r="M71" s="7" t="n">
        <x:v>7</x:v>
      </x:c>
      <x:c r="N71" s="7" t="str">
        <x:v>Outside current general-Life recruiting pool</x:v>
      </x:c>
      <x:c r="O71" s="7" t="str">
        <x:v>Not displayed</x:v>
      </x:c>
      <x:c r="P71" s="7" t="str"/>
      <x:c r="Q71" s="7" t="str"/>
      <x:c r="R71" s="7" t="str"/>
      <x:c r="S71" s="15" t="str"/>
      <x:c r="T71" s="7" t="str">
        <x:v>No public business phone in collected record</x:v>
      </x:c>
      <x:c r="U71" s="7" t="str"/>
      <x:c r="V71" s="7" t="str">
        <x:v>Resident</x:v>
      </x:c>
      <x:c r="W71" s="7" t="str">
        <x:v>CA</x:v>
      </x:c>
      <x:c r="X71" s="7" t="str"/>
      <x:c r="Y71" s="7" t="str"/>
      <x:c r="Z71" s="7" t="str"/>
      <x:c r="AA71" s="7" t="str"/>
      <x:c r="AB71" s="7" t="str"/>
      <x:c r="AC71" s="7" t="str"/>
      <x:c r="AD71" s="7" t="str">
        <x:v>No agency or insurer displayed: onboarding opportunity possible; existing business unknown</x:v>
      </x:c>
      <x:c r="AE71" s="7" t="str">
        <x:v>No public business phone: contact enrichment needed, not proof of poor recruiting fit</x:v>
      </x:c>
      <x:c r="AF71" s="16" t="str"/>
      <x:c r="AG71" s="17" t="str"/>
      <x:c r="AH71" s="7" t="str"/>
      <x:c r="AI71" s="7" t="str"/>
      <x:c r="AJ71" s="7" t="str"/>
      <x:c r="AK71" s="15" t="str"/>
      <x:c r="AL71" s="7" t="str"/>
      <x:c r="AM71" s="7" t="str">
        <x:v>AGUILAR  ALONDRA</x:v>
      </x:c>
      <x:c r="AN71" s="7" t="str">
        <x:v>https://cdicloud.insurance.ca.gov/cal/LicenseDetail?SearchType=IND&amp;SearchLicNbr=0K56764&amp;SearchIndvId=1795243</x:v>
      </x:c>
      <x:c r="AO71" s="7" t="str">
        <x:v>2026-10-08</x:v>
      </x:c>
      <x:c r="AP71" s="7" t="str">
        <x:v>eee2e5846022f6c9240b054eaad892cc6d087075f559b4c622db95d53ff7521b</x:v>
      </x:c>
      <x:c r="AQ71" s="7" t="str">
        <x:v>Life-Only / Inactive / 10/28/2015 / 10/31/2017 / 10/31/2017</x:v>
      </x:c>
      <x:c r="AR71" s="7" t="str">
        <x:v>Inactive</x:v>
      </x:c>
      <x:c r="AS71" s="7" t="str">
        <x:v>Current detail page</x:v>
      </x:c>
    </x:row>
    <x:row r="72" ht="52" customHeight="1">
      <x:c r="A72" s="7" t="str">
        <x:v>AGUILAR ALONDRA NAYELY</x:v>
      </x:c>
      <x:c r="B72" s="14" t="str">
        <x:f>"0M21817"</x:f>
        <x:v>0M21817</x:v>
      </x:c>
      <x:c r="C72" s="7" t="str">
        <x:v>Omitted</x:v>
      </x:c>
      <x:c r="D72" s="7" t="str">
        <x:v>FAIL</x:v>
      </x:c>
      <x:c r="E72" s="13" t="str">
        <x:v>Pending</x:v>
      </x:c>
      <x:c r="F72" s="13" t="str"/>
      <x:c r="G72" s="13" t="str"/>
      <x:c r="H72" s="13" t="str"/>
      <x:c r="I72" s="7" t="str">
        <x:v>Was this person reviewed? If rejected, give the actual rule and evidence. If acceptable, correct the omission. Confirm the Life-qualification gate and any record change since selection.</x:v>
      </x:c>
      <x:c r="J72" s="7" t="str">
        <x:v>L1</x:v>
      </x:c>
      <x:c r="K72" s="7" t="str">
        <x:v>Verified qualifications do not include active general Life. Current target-pool mismatch; actual historical omission reason unknown.</x:v>
      </x:c>
      <x:c r="L72" s="7" t="str">
        <x:v>Not supplied; membership is known, motive is not</x:v>
      </x:c>
      <x:c r="M72" s="7" t="n">
        <x:v>7</x:v>
      </x:c>
      <x:c r="N72" s="7" t="str">
        <x:v>Outside current general-Life recruiting pool</x:v>
      </x:c>
      <x:c r="O72" s="7" t="str">
        <x:v>Not displayed</x:v>
      </x:c>
      <x:c r="P72" s="7" t="str"/>
      <x:c r="Q72" s="7" t="str"/>
      <x:c r="R72" s="7" t="str"/>
      <x:c r="S72" s="15" t="str"/>
      <x:c r="T72" s="7" t="str">
        <x:v>No public business phone in collected record</x:v>
      </x:c>
      <x:c r="U72" s="7" t="str"/>
      <x:c r="V72" s="7" t="str">
        <x:v>Resident</x:v>
      </x:c>
      <x:c r="W72" s="7" t="str">
        <x:v>CA</x:v>
      </x:c>
      <x:c r="X72" s="7" t="str"/>
      <x:c r="Y72" s="7" t="str"/>
      <x:c r="Z72" s="7" t="str"/>
      <x:c r="AA72" s="7" t="str"/>
      <x:c r="AB72" s="7" t="str"/>
      <x:c r="AC72" s="7" t="str"/>
      <x:c r="AD72" s="7" t="str">
        <x:v>No agency or insurer displayed: onboarding opportunity possible; existing business unknown</x:v>
      </x:c>
      <x:c r="AE72" s="7" t="str">
        <x:v>No public business phone: contact enrichment needed, not proof of poor recruiting fit</x:v>
      </x:c>
      <x:c r="AF72" s="16" t="str"/>
      <x:c r="AG72" s="17" t="str"/>
      <x:c r="AH72" s="7" t="str"/>
      <x:c r="AI72" s="7" t="str"/>
      <x:c r="AJ72" s="7" t="str"/>
      <x:c r="AK72" s="15" t="str"/>
      <x:c r="AL72" s="7" t="str"/>
      <x:c r="AM72" s="7" t="str">
        <x:v>AGUILAR NAYELY ALONDRA</x:v>
      </x:c>
      <x:c r="AN72" s="7" t="str">
        <x:v>https://cdicloud.insurance.ca.gov/cal/LicenseDetail?SearchType=IND&amp;SearchLicNbr=0M21817&amp;SearchIndvId=1994651</x:v>
      </x:c>
      <x:c r="AO72" s="7" t="str">
        <x:v>2026-10-08</x:v>
      </x:c>
      <x:c r="AP72" s="7" t="str">
        <x:v>4b29ef94f95fbcb7f97c1fb0de6353e725c4c3008cd8b82660ec66e50fd544d9</x:v>
      </x:c>
      <x:c r="AQ72" s="7" t="str">
        <x:v>Life-Only / Inactive / 02/26/2018 / 02/29/2020 / 02/29/2020</x:v>
      </x:c>
      <x:c r="AR72" s="7" t="str">
        <x:v>Inactive</x:v>
      </x:c>
      <x:c r="AS72" s="7" t="str">
        <x:v>Current detail page</x:v>
      </x:c>
    </x:row>
    <x:row r="73" ht="52" customHeight="1">
      <x:c r="A73" s="7" t="str">
        <x:v>AGUILAR ALVAREZ MIGUEL</x:v>
      </x:c>
      <x:c r="B73" s="14" t="str">
        <x:f>"0I52864"</x:f>
        <x:v>0I52864</x:v>
      </x:c>
      <x:c r="C73" s="7" t="str">
        <x:v>Omitted</x:v>
      </x:c>
      <x:c r="D73" s="7" t="str">
        <x:v>FAIL</x:v>
      </x:c>
      <x:c r="E73" s="13" t="str">
        <x:v>Pending</x:v>
      </x:c>
      <x:c r="F73" s="13" t="str"/>
      <x:c r="G73" s="13" t="str"/>
      <x:c r="H73" s="13" t="str"/>
      <x:c r="I73" s="7" t="str">
        <x:v>Was this person reviewed? If rejected, give the actual rule and evidence. If acceptable, correct the omission. Confirm the Life-qualification gate and any record change since selection.</x:v>
      </x:c>
      <x:c r="J73" s="7" t="str">
        <x:v>L1</x:v>
      </x:c>
      <x:c r="K73" s="7" t="str">
        <x:v>Verified qualifications do not include active general Life. Current target-pool mismatch; actual historical omission reason unknown.</x:v>
      </x:c>
      <x:c r="L73" s="7" t="str">
        <x:v>Not supplied; membership is known, motive is not</x:v>
      </x:c>
      <x:c r="M73" s="7" t="n">
        <x:v>7</x:v>
      </x:c>
      <x:c r="N73" s="7" t="str">
        <x:v>Outside current general-Life recruiting pool</x:v>
      </x:c>
      <x:c r="O73" s="7" t="str">
        <x:v>Not displayed</x:v>
      </x:c>
      <x:c r="P73" s="7" t="str"/>
      <x:c r="Q73" s="7" t="str"/>
      <x:c r="R73" s="7" t="str"/>
      <x:c r="S73" s="15" t="str"/>
      <x:c r="T73" s="7" t="str">
        <x:v>No public business phone in collected record</x:v>
      </x:c>
      <x:c r="U73" s="7" t="str"/>
      <x:c r="V73" s="7" t="str">
        <x:v>Resident</x:v>
      </x:c>
      <x:c r="W73" s="7" t="str">
        <x:v>CA</x:v>
      </x:c>
      <x:c r="X73" s="7" t="str"/>
      <x:c r="Y73" s="7" t="str"/>
      <x:c r="Z73" s="7" t="str"/>
      <x:c r="AA73" s="7" t="str"/>
      <x:c r="AB73" s="7" t="str"/>
      <x:c r="AC73" s="7" t="str"/>
      <x:c r="AD73" s="7" t="str">
        <x:v>No agency or insurer displayed: onboarding opportunity possible; existing business unknown</x:v>
      </x:c>
      <x:c r="AE73" s="7" t="str">
        <x:v>No public business phone: contact enrichment needed, not proof of poor recruiting fit</x:v>
      </x:c>
      <x:c r="AF73" s="16" t="str"/>
      <x:c r="AG73" s="17" t="str"/>
      <x:c r="AH73" s="7" t="str"/>
      <x:c r="AI73" s="7" t="str"/>
      <x:c r="AJ73" s="7" t="str"/>
      <x:c r="AK73" s="15" t="str"/>
      <x:c r="AL73" s="7" t="str"/>
      <x:c r="AM73" s="7" t="str">
        <x:v>aguilar  miguel | AGUILAR ALVAREZ  MIGUEL</x:v>
      </x:c>
      <x:c r="AN73" s="7" t="str">
        <x:v>https://cdicloud.insurance.ca.gov/cal/LicenseDetail?SearchType=IND&amp;SearchLicNbr=0I52864&amp;SearchIndvId=1609686</x:v>
      </x:c>
      <x:c r="AO73" s="7" t="str">
        <x:v>2026-10-08</x:v>
      </x:c>
      <x:c r="AP73" s="7" t="str">
        <x:v>54ec1eaa1ab4f514736d8cccfc8b00a08c3278a37d4dcd080e2cc558db8761f3</x:v>
      </x:c>
      <x:c r="AQ73" s="7" t="str">
        <x:v>Casualty Broker-Agent / Inactive / 10/04/2013 / 10/31/2015 / 10/31/2015
Property Broker-Agent / Inactive / 10/04/2013 / 10/31/2015 / 10/31/2015</x:v>
      </x:c>
      <x:c r="AR73" s="7" t="str">
        <x:v>Inactive</x:v>
      </x:c>
      <x:c r="AS73" s="7" t="str">
        <x:v>Current detail page</x:v>
      </x:c>
    </x:row>
    <x:row r="74" ht="52" customHeight="1">
      <x:c r="A74" s="7" t="str">
        <x:v>AGUILAR ALVAREZ VERONICA SRA</x:v>
      </x:c>
      <x:c r="B74" s="14" t="str">
        <x:f>"4109334"</x:f>
        <x:v>4109334</x:v>
      </x:c>
      <x:c r="C74" s="7" t="str">
        <x:v>Omitted</x:v>
      </x:c>
      <x:c r="D74" s="7" t="str">
        <x:v>FAIL</x:v>
      </x:c>
      <x:c r="E74" s="13" t="str">
        <x:v>Pending</x:v>
      </x:c>
      <x:c r="F74" s="13" t="str"/>
      <x:c r="G74" s="13" t="str"/>
      <x:c r="H74" s="13" t="str"/>
      <x:c r="I74" s="7" t="str">
        <x:v>Was this person reviewed? If rejected, give the actual rule and evidence. If acceptable, correct the omission. Confirm the Life-qualification gate and any record change since selection.</x:v>
      </x:c>
      <x:c r="J74" s="7" t="str">
        <x:v>L1</x:v>
      </x:c>
      <x:c r="K74" s="7" t="str">
        <x:v>Verified qualifications do not include active general Life. Current target-pool mismatch; actual historical omission reason unknown.</x:v>
      </x:c>
      <x:c r="L74" s="7" t="str">
        <x:v>Not supplied; membership is known, motive is not</x:v>
      </x:c>
      <x:c r="M74" s="7" t="n">
        <x:v>7</x:v>
      </x:c>
      <x:c r="N74" s="7" t="str">
        <x:v>Outside current general-Life recruiting pool</x:v>
      </x:c>
      <x:c r="O74" s="7" t="str">
        <x:v>Inactive</x:v>
      </x:c>
      <x:c r="P74" s="7" t="str">
        <x:v>03/17/2021</x:v>
      </x:c>
      <x:c r="Q74" s="7" t="str">
        <x:v>03/31/2023</x:v>
      </x:c>
      <x:c r="R74" s="7" t="str"/>
      <x:c r="S74" s="15" t="str">
        <x:v>323-812-2422</x:v>
      </x:c>
      <x:c r="T74" s="7" t="str">
        <x:v>Current CDI</x:v>
      </x:c>
      <x:c r="U74" s="7" t="str">
        <x:v>1343 E. GLADSTONE ST SUITE 300 GLENDORA CA, 91740</x:v>
      </x:c>
      <x:c r="V74" s="7" t="str">
        <x:v>Resident</x:v>
      </x:c>
      <x:c r="W74" s="7" t="str">
        <x:v>CA</x:v>
      </x:c>
      <x:c r="X74" s="7" t="str"/>
      <x:c r="Y74" s="7" t="str"/>
      <x:c r="Z74" s="7" t="str"/>
      <x:c r="AA74" s="7" t="str"/>
      <x:c r="AB74" s="7" t="str"/>
      <x:c r="AC74" s="7" t="str"/>
      <x:c r="AD74" s="7" t="str">
        <x:v>No agency or insurer displayed: onboarding opportunity possible; existing business unknown</x:v>
      </x:c>
      <x:c r="AE74" s="7" t="str"/>
      <x:c r="AF74" s="16" t="str"/>
      <x:c r="AG74" s="17" t="str"/>
      <x:c r="AH74" s="7" t="str"/>
      <x:c r="AI74" s="7" t="str">
        <x:v>English</x:v>
      </x:c>
      <x:c r="AJ74" s="7" t="str"/>
      <x:c r="AK74" s="15" t="str"/>
      <x:c r="AL74" s="7" t="str"/>
      <x:c r="AM74" s="7" t="str">
        <x:v>Aguilar  Veronica | AGUILAR ALVAREZ  VERONICA</x:v>
      </x:c>
      <x:c r="AN74" s="7" t="str">
        <x:v>https://cdicloud.insurance.ca.gov/cal/LicenseDetail?SearchType=IND&amp;SearchLicNbr=4109334&amp;SearchIndvId=4109334</x:v>
      </x:c>
      <x:c r="AO74" s="7" t="str">
        <x:v>2026-10-08</x:v>
      </x:c>
      <x:c r="AP74" s="7" t="str">
        <x:v>02d451b355cb0a4dc5a5350d1d6ad5025c8e36a329cd0fe16b7e13b41594f59e</x:v>
      </x:c>
      <x:c r="AQ74" s="7" t="str">
        <x:v>Accident &amp; Health or Sickness / Inactive / 03/17/2021 / 03/31/2023 / 03/31/2023
Life / Inactive / 03/17/2021 / 03/31/2023 / 03/31/2023</x:v>
      </x:c>
      <x:c r="AR74" s="7" t="str">
        <x:v>Inactive</x:v>
      </x:c>
      <x:c r="AS74" s="7" t="str">
        <x:v>Current detail page</x:v>
      </x:c>
    </x:row>
    <x:row r="75" ht="52" customHeight="1">
      <x:c r="A75" s="7" t="str">
        <x:v>AGUILAR ALYSSA MATHILDE</x:v>
      </x:c>
      <x:c r="B75" s="14" t="str">
        <x:f>"4210125"</x:f>
        <x:v>4210125</x:v>
      </x:c>
      <x:c r="C75" s="7" t="str">
        <x:v>Omitted</x:v>
      </x:c>
      <x:c r="D75" s="7" t="str">
        <x:v>FAIL</x:v>
      </x:c>
      <x:c r="E75" s="13" t="str">
        <x:v>Pending</x:v>
      </x:c>
      <x:c r="F75" s="13" t="str"/>
      <x:c r="G75" s="13" t="str"/>
      <x:c r="H75" s="13" t="str"/>
      <x:c r="I75" s="7" t="str">
        <x:v>Was this person reviewed? If rejected, give the actual rule and evidence. If acceptable, correct the omission. Confirm the Life-qualification gate and any record change since selection.</x:v>
      </x:c>
      <x:c r="J75" s="7" t="str">
        <x:v>L1</x:v>
      </x:c>
      <x:c r="K75" s="7" t="str">
        <x:v>Verified qualifications do not include active general Life. Current target-pool mismatch; actual historical omission reason unknown.</x:v>
      </x:c>
      <x:c r="L75" s="7" t="str">
        <x:v>Not supplied; membership is known, motive is not</x:v>
      </x:c>
      <x:c r="M75" s="7" t="n">
        <x:v>7</x:v>
      </x:c>
      <x:c r="N75" s="7" t="str">
        <x:v>Outside current general-Life recruiting pool</x:v>
      </x:c>
      <x:c r="O75" s="7" t="str">
        <x:v>Not displayed</x:v>
      </x:c>
      <x:c r="P75" s="7" t="str"/>
      <x:c r="Q75" s="7" t="str"/>
      <x:c r="R75" s="7" t="str"/>
      <x:c r="S75" s="15" t="str"/>
      <x:c r="T75" s="7" t="str">
        <x:v>No public business phone in collected record</x:v>
      </x:c>
      <x:c r="U75" s="7" t="str">
        <x:v>546 BALLOUGH RD DAYTONA BEACH FL, 32114</x:v>
      </x:c>
      <x:c r="V75" s="7" t="str">
        <x:v>Non-resident</x:v>
      </x:c>
      <x:c r="W75" s="7" t="str">
        <x:v>FL</x:v>
      </x:c>
      <x:c r="X75" s="7" t="str"/>
      <x:c r="Y75" s="7" t="str"/>
      <x:c r="Z75" s="7" t="str"/>
      <x:c r="AA75" s="7" t="str"/>
      <x:c r="AB75" s="7" t="str"/>
      <x:c r="AC75" s="7" t="str"/>
      <x:c r="AD75" s="7" t="str">
        <x:v>No agency or insurer displayed: onboarding opportunity possible; existing business unknown</x:v>
      </x:c>
      <x:c r="AE75" s="7" t="str">
        <x:v>Nonresident or address state outside CA; confirm geographic recruiting scope | No public business phone: contact enrichment needed, not proof of poor recruiting fit</x:v>
      </x:c>
      <x:c r="AF75" s="16" t="str"/>
      <x:c r="AG75" s="17" t="str"/>
      <x:c r="AH75" s="7" t="str"/>
      <x:c r="AI75" s="7" t="str"/>
      <x:c r="AJ75" s="7" t="str"/>
      <x:c r="AK75" s="15" t="str"/>
      <x:c r="AL75" s="7" t="str"/>
      <x:c r="AM75" s="7" t="str">
        <x:v>AGUILAR MATHILDE ALYSSA</x:v>
      </x:c>
      <x:c r="AN75" s="7" t="str">
        <x:v>https://cdicloud.insurance.ca.gov/cal/LicenseDetail?SearchType=IND&amp;SearchLicNbr=4210125&amp;SearchIndvId=4210125</x:v>
      </x:c>
      <x:c r="AO75" s="7" t="str">
        <x:v>2026-10-08</x:v>
      </x:c>
      <x:c r="AP75" s="7" t="str">
        <x:v>166a936a53735aaa35ac96cd491385529c73e4b65e9a32e2da3a715debd12133</x:v>
      </x:c>
      <x:c r="AQ75" s="7" t="str">
        <x:v>Accident &amp; Health or Sickness / Inactive / 05/09/2022 / 05/31/2024 / 05/31/2024</x:v>
      </x:c>
      <x:c r="AR75" s="7" t="str">
        <x:v>Inactive</x:v>
      </x:c>
      <x:c r="AS75" s="7" t="str">
        <x:v>Current detail page</x:v>
      </x:c>
    </x:row>
    <x:row r="76" ht="52" customHeight="1">
      <x:c r="A76" s="7" t="str">
        <x:v>AGUILAR ALYSSA MONIK</x:v>
      </x:c>
      <x:c r="B76" s="14" t="str">
        <x:f>"4393584"</x:f>
        <x:v>4393584</x:v>
      </x:c>
      <x:c r="C76" s="7" t="str">
        <x:v>Omitted</x:v>
      </x:c>
      <x:c r="D76" s="7" t="str">
        <x:v>FAIL</x:v>
      </x:c>
      <x:c r="E76" s="13" t="str">
        <x:v>Pending</x:v>
      </x:c>
      <x:c r="F76" s="13" t="str"/>
      <x:c r="G76" s="13" t="str"/>
      <x:c r="H76" s="13" t="str"/>
      <x:c r="I76" s="7" t="str">
        <x:v>Was this person reviewed? If rejected, give the actual rule and evidence. If acceptable, correct the omission. Confirm the Life-qualification gate and any record change since selection.</x:v>
      </x:c>
      <x:c r="J76" s="7" t="str">
        <x:v>L1</x:v>
      </x:c>
      <x:c r="K76" s="7" t="str">
        <x:v>Verified qualifications do not include active general Life. Current target-pool mismatch; actual historical omission reason unknown.</x:v>
      </x:c>
      <x:c r="L76" s="7" t="str">
        <x:v>Not supplied; membership is known, motive is not</x:v>
      </x:c>
      <x:c r="M76" s="7" t="n">
        <x:v>7</x:v>
      </x:c>
      <x:c r="N76" s="7" t="str">
        <x:v>Outside current general-Life recruiting pool</x:v>
      </x:c>
      <x:c r="O76" s="7" t="str">
        <x:v>Not displayed</x:v>
      </x:c>
      <x:c r="P76" s="7" t="str"/>
      <x:c r="Q76" s="7" t="str"/>
      <x:c r="R76" s="7" t="str">
        <x:v>Casualty; Property</x:v>
      </x:c>
      <x:c r="S76" s="15" t="str">
        <x:v>209-262-3480</x:v>
      </x:c>
      <x:c r="T76" s="7" t="str">
        <x:v>Current CDI</x:v>
      </x:c>
      <x:c r="U76" s="7" t="str">
        <x:v>700 E OLIVE AVE TURLOCK CA, 95380-4016</x:v>
      </x:c>
      <x:c r="V76" s="7" t="str">
        <x:v>Resident</x:v>
      </x:c>
      <x:c r="W76" s="7" t="str">
        <x:v>CA</x:v>
      </x:c>
      <x:c r="X76" s="7" t="str"/>
      <x:c r="Y76" s="7" t="str">
        <x:v>COAST NATIONAL INSURANCE COMPANY / Casualty / 01/07/2026
COAST NATIONAL INSURANCE COMPANY / Property / 01/07/2026
FARMERS INSURANCE EXCHANGE / Casualty / 01/07/2026
FARMERS INSURANCE EXCHANGE / Property / 01/07/2026
FIRE INSURANCE EXCHANGE / Casualty / 01/07/2026
FIRE INSURANCE EXCHANGE / Property / 01/07/2026
FOREMOST INSURANCE COMPANY GRAND RAPIDS, MICHIGAN / Casualty / 07/15/2025
FOREMOST INSURANCE COMPANY GRAND RAPIDS, MICHIGAN / Property / 07/15/2025
MID-CENTURY INSURANCE COMPANY / Casualty / 01/07/2026
MID-CENTURY INSURANCE COMPANY / Property / 01/07/2026
TRUCK INSURANCE EXCHANGE / Casualty / 01/07/2026
TRUCK INSURANCE EXCHANGE / Property / 01/07/2026</x:v>
      </x:c>
      <x:c r="Z76" s="7" t="str"/>
      <x:c r="AA76" s="7" t="str"/>
      <x:c r="AB76" s="7" t="str">
        <x:v>BIDDISON MARGARET ANN / Casualty / 09/05/2024
BIDDISON MARGARET ANN / Property / 09/05/2024</x:v>
      </x:c>
      <x:c r="AC76" s="7" t="str"/>
      <x:c r="AD76" s="7" t="str"/>
      <x:c r="AE76" s="7" t="str">
        <x:v>P&amp;C/Personal Lines authority without displayed core Life appointments; mixed profile requires review | Sponsor relationships displayed: BIDDISON MARGARET ANN; inspect line-specific relationship, not a blanket employment inference</x:v>
      </x:c>
      <x:c r="AF76" s="16" t="str"/>
      <x:c r="AG76" s="17" t="str"/>
      <x:c r="AH76" s="7" t="str"/>
      <x:c r="AI76" s="7" t="str">
        <x:v>English</x:v>
      </x:c>
      <x:c r="AJ76" s="7" t="str"/>
      <x:c r="AK76" s="15" t="str"/>
      <x:c r="AL76" s="7" t="str"/>
      <x:c r="AM76" s="7" t="str">
        <x:v>AGUILAR MONIK ALYSSA</x:v>
      </x:c>
      <x:c r="AN76" s="7" t="str">
        <x:v>https://cdicloud.insurance.ca.gov/cal/LicenseDetail?SearchType=IND&amp;SearchLicNbr=4393584&amp;SearchIndvId=4393584</x:v>
      </x:c>
      <x:c r="AO76" s="7" t="str">
        <x:v>2026-10-08</x:v>
      </x:c>
      <x:c r="AP76" s="7" t="str">
        <x:v>c48581dbcac96372a6c60daa6f9eabc5d1a270f2b77d922b36478163279c8bd1</x:v>
      </x:c>
      <x:c r="AQ76" s="7" t="str">
        <x:v>Casualty / Active / 08/23/2024 / 08/23/2024 / 08/31/2028
Property / Active / 08/23/2024 / 08/23/2024 / 08/31/2028</x:v>
      </x:c>
      <x:c r="AR76" s="7" t="str">
        <x:v>Active</x:v>
      </x:c>
      <x:c r="AS76" s="7" t="str">
        <x:v>Current detail page</x:v>
      </x:c>
    </x:row>
    <x:row r="77" ht="52" customHeight="1">
      <x:c r="A77" s="7" t="str">
        <x:v>AGUILAR AMALIA</x:v>
      </x:c>
      <x:c r="B77" s="14" t="str">
        <x:f>"0I31461"</x:f>
        <x:v>0I31461</x:v>
      </x:c>
      <x:c r="C77" s="7" t="str">
        <x:v>Omitted</x:v>
      </x:c>
      <x:c r="D77" s="7" t="str">
        <x:v>FAIL</x:v>
      </x:c>
      <x:c r="E77" s="13" t="str">
        <x:v>Pending</x:v>
      </x:c>
      <x:c r="F77" s="13" t="str"/>
      <x:c r="G77" s="13" t="str"/>
      <x:c r="H77" s="13" t="str"/>
      <x:c r="I77" s="7" t="str">
        <x:v>Was this person reviewed? If rejected, give the actual rule and evidence. If acceptable, correct the omission. Confirm the Life-qualification gate and any record change since selection.</x:v>
      </x:c>
      <x:c r="J77" s="7" t="str">
        <x:v>L1</x:v>
      </x:c>
      <x:c r="K77" s="7" t="str">
        <x:v>Verified qualifications do not include active general Life. Current target-pool mismatch; actual historical omission reason unknown.</x:v>
      </x:c>
      <x:c r="L77" s="7" t="str">
        <x:v>Not supplied; membership is known, motive is not</x:v>
      </x:c>
      <x:c r="M77" s="7" t="n">
        <x:v>7</x:v>
      </x:c>
      <x:c r="N77" s="7" t="str">
        <x:v>Outside current general-Life recruiting pool</x:v>
      </x:c>
      <x:c r="O77" s="7" t="str">
        <x:v>Not displayed</x:v>
      </x:c>
      <x:c r="P77" s="7" t="str"/>
      <x:c r="Q77" s="7" t="str"/>
      <x:c r="R77" s="7" t="str"/>
      <x:c r="S77" s="15" t="str"/>
      <x:c r="T77" s="7" t="str">
        <x:v>No public business phone in collected record</x:v>
      </x:c>
      <x:c r="U77" s="7" t="str"/>
      <x:c r="V77" s="7" t="str">
        <x:v>Resident</x:v>
      </x:c>
      <x:c r="W77" s="7" t="str">
        <x:v>CA</x:v>
      </x:c>
      <x:c r="X77" s="7" t="str"/>
      <x:c r="Y77" s="7" t="str"/>
      <x:c r="Z77" s="7" t="str"/>
      <x:c r="AA77" s="7" t="str"/>
      <x:c r="AB77" s="7" t="str"/>
      <x:c r="AC77" s="7" t="str"/>
      <x:c r="AD77" s="7" t="str">
        <x:v>No agency or insurer displayed: onboarding opportunity possible; existing business unknown</x:v>
      </x:c>
      <x:c r="AE77" s="7" t="str">
        <x:v>No public business phone: contact enrichment needed, not proof of poor recruiting fit</x:v>
      </x:c>
      <x:c r="AF77" s="16" t="str"/>
      <x:c r="AG77" s="17" t="str"/>
      <x:c r="AH77" s="7" t="str"/>
      <x:c r="AI77" s="7" t="str"/>
      <x:c r="AJ77" s="7" t="str"/>
      <x:c r="AK77" s="15" t="str"/>
      <x:c r="AL77" s="7" t="str"/>
      <x:c r="AM77" s="7" t="str">
        <x:v>AGUILAR  AMALIA</x:v>
      </x:c>
      <x:c r="AN77" s="7" t="str">
        <x:v>https://cdicloud.insurance.ca.gov/cal/LicenseDetail?SearchType=IND&amp;SearchLicNbr=0I31461&amp;SearchIndvId=1663026</x:v>
      </x:c>
      <x:c r="AO77" s="7" t="str">
        <x:v>2026-10-08</x:v>
      </x:c>
      <x:c r="AP77" s="7" t="str">
        <x:v>7ef9c13593b02403188d784c56fef4f58fe240a1eac58e42dc7ea053dd3671b7</x:v>
      </x:c>
      <x:c r="AQ77" s="7" t="str">
        <x:v>Life-Only / Inactive / 06/03/2014 / 06/30/2016 / 06/30/2016</x:v>
      </x:c>
      <x:c r="AR77" s="7" t="str">
        <x:v>Inactive</x:v>
      </x:c>
      <x:c r="AS77" s="7" t="str">
        <x:v>Current detail page</x:v>
      </x:c>
    </x:row>
    <x:row r="78" ht="52" customHeight="1">
      <x:c r="A78" s="7" t="str">
        <x:v>AGUILAR AMANDA</x:v>
      </x:c>
      <x:c r="B78" s="14" t="str">
        <x:f>"0I64205"</x:f>
        <x:v>0I64205</x:v>
      </x:c>
      <x:c r="C78" s="7" t="str">
        <x:v>Omitted</x:v>
      </x:c>
      <x:c r="D78" s="7" t="str">
        <x:v>FAIL</x:v>
      </x:c>
      <x:c r="E78" s="13" t="str">
        <x:v>Pending</x:v>
      </x:c>
      <x:c r="F78" s="13" t="str"/>
      <x:c r="G78" s="13" t="str"/>
      <x:c r="H78" s="13" t="str"/>
      <x:c r="I78" s="7" t="str">
        <x:v>Was this person reviewed? If rejected, give the actual rule and evidence. If acceptable, correct the omission. Confirm the Life-qualification gate and any record change since selection.</x:v>
      </x:c>
      <x:c r="J78" s="7" t="str">
        <x:v>L1</x:v>
      </x:c>
      <x:c r="K78" s="7" t="str">
        <x:v>Verified qualifications do not include active general Life. Current target-pool mismatch; actual historical omission reason unknown.</x:v>
      </x:c>
      <x:c r="L78" s="7" t="str">
        <x:v>Not supplied; membership is known, motive is not</x:v>
      </x:c>
      <x:c r="M78" s="7" t="n">
        <x:v>7</x:v>
      </x:c>
      <x:c r="N78" s="7" t="str">
        <x:v>Outside current general-Life recruiting pool</x:v>
      </x:c>
      <x:c r="O78" s="7" t="str">
        <x:v>Not displayed</x:v>
      </x:c>
      <x:c r="P78" s="7" t="str"/>
      <x:c r="Q78" s="7" t="str"/>
      <x:c r="R78" s="7" t="str"/>
      <x:c r="S78" s="15" t="str"/>
      <x:c r="T78" s="7" t="str">
        <x:v>No public business phone in collected record</x:v>
      </x:c>
      <x:c r="U78" s="7" t="str"/>
      <x:c r="V78" s="7" t="str">
        <x:v>Resident</x:v>
      </x:c>
      <x:c r="W78" s="7" t="str">
        <x:v>CA</x:v>
      </x:c>
      <x:c r="X78" s="7" t="str"/>
      <x:c r="Y78" s="7" t="str"/>
      <x:c r="Z78" s="7" t="str"/>
      <x:c r="AA78" s="7" t="str"/>
      <x:c r="AB78" s="7" t="str"/>
      <x:c r="AC78" s="7" t="str"/>
      <x:c r="AD78" s="7" t="str">
        <x:v>No agency or insurer displayed: onboarding opportunity possible; existing business unknown</x:v>
      </x:c>
      <x:c r="AE78" s="7" t="str">
        <x:v>No public business phone: contact enrichment needed, not proof of poor recruiting fit</x:v>
      </x:c>
      <x:c r="AF78" s="16" t="str"/>
      <x:c r="AG78" s="17" t="str"/>
      <x:c r="AH78" s="7" t="str"/>
      <x:c r="AI78" s="7" t="str"/>
      <x:c r="AJ78" s="7" t="str"/>
      <x:c r="AK78" s="15" t="str"/>
      <x:c r="AL78" s="7" t="str"/>
      <x:c r="AM78" s="7" t="str">
        <x:v>AGUILAR  AMANDA | aguilar  amanda</x:v>
      </x:c>
      <x:c r="AN78" s="7" t="str">
        <x:v>https://cdicloud.insurance.ca.gov/cal/LicenseDetail?SearchType=IND&amp;SearchLicNbr=0I64205&amp;SearchIndvId=1619739</x:v>
      </x:c>
      <x:c r="AO78" s="7" t="str">
        <x:v>2026-10-08</x:v>
      </x:c>
      <x:c r="AP78" s="7" t="str">
        <x:v>88496b972456a9ea0f2f64472bdd5c41f40863c7aeeea536c786224e5d69f8a6</x:v>
      </x:c>
      <x:c r="AQ78" s="7" t="str">
        <x:v>Accident and Health / Inactive / 11/20/2013 / 11/30/2017 / 11/30/2017
Life-Only / Inactive / 11/20/2013 / 11/30/2017 / 11/30/2017</x:v>
      </x:c>
      <x:c r="AR78" s="7" t="str">
        <x:v>Inactive</x:v>
      </x:c>
      <x:c r="AS78" s="7" t="str">
        <x:v>Current detail page</x:v>
      </x:c>
    </x:row>
    <x:row r="79" ht="52" customHeight="1">
      <x:c r="A79" s="7" t="str">
        <x:v>AGUILAR AMANDA NICOLE</x:v>
      </x:c>
      <x:c r="B79" s="14" t="str">
        <x:f>"0L73283"</x:f>
        <x:v>0L73283</x:v>
      </x:c>
      <x:c r="C79" s="7" t="str">
        <x:v>Omitted</x:v>
      </x:c>
      <x:c r="D79" s="7" t="str">
        <x:v>FAIL</x:v>
      </x:c>
      <x:c r="E79" s="13" t="str">
        <x:v>Pending</x:v>
      </x:c>
      <x:c r="F79" s="13" t="str"/>
      <x:c r="G79" s="13" t="str"/>
      <x:c r="H79" s="13" t="str"/>
      <x:c r="I79" s="7" t="str">
        <x:v>Was this person reviewed? If rejected, give the actual rule and evidence. If acceptable, correct the omission. Confirm the Life-qualification gate and any record change since selection.</x:v>
      </x:c>
      <x:c r="J79" s="7" t="str">
        <x:v>L1</x:v>
      </x:c>
      <x:c r="K79" s="7" t="str">
        <x:v>Verified qualifications do not include active general Life. Current target-pool mismatch; actual historical omission reason unknown.</x:v>
      </x:c>
      <x:c r="L79" s="7" t="str">
        <x:v>Not supplied; membership is known, motive is not</x:v>
      </x:c>
      <x:c r="M79" s="7" t="n">
        <x:v>7</x:v>
      </x:c>
      <x:c r="N79" s="7" t="str">
        <x:v>Outside current general-Life recruiting pool</x:v>
      </x:c>
      <x:c r="O79" s="7" t="str">
        <x:v>Inactive</x:v>
      </x:c>
      <x:c r="P79" s="7" t="str">
        <x:v>05/04/2017</x:v>
      </x:c>
      <x:c r="Q79" s="7" t="str">
        <x:v>05/31/2025</x:v>
      </x:c>
      <x:c r="R79" s="7" t="str"/>
      <x:c r="S79" s="15" t="str">
        <x:v>818-572-0990</x:v>
      </x:c>
      <x:c r="T79" s="7" t="str">
        <x:v>Current CDI</x:v>
      </x:c>
      <x:c r="U79" s="7" t="str">
        <x:v>330 N. BRAND., SUITE 180 GLENDALE CA, 91203</x:v>
      </x:c>
      <x:c r="V79" s="7" t="str">
        <x:v>Resident</x:v>
      </x:c>
      <x:c r="W79" s="7" t="str">
        <x:v>CA</x:v>
      </x:c>
      <x:c r="X79" s="7" t="str"/>
      <x:c r="Y79" s="7" t="str"/>
      <x:c r="Z79" s="7" t="str"/>
      <x:c r="AA79" s="7" t="str"/>
      <x:c r="AB79" s="7" t="str"/>
      <x:c r="AC79" s="7" t="str"/>
      <x:c r="AD79" s="7" t="str">
        <x:v>No agency or insurer displayed: onboarding opportunity possible; existing business unknown</x:v>
      </x:c>
      <x:c r="AE79" s="7" t="str"/>
      <x:c r="AF79" s="16" t="str"/>
      <x:c r="AG79" s="17" t="str"/>
      <x:c r="AH79" s="7" t="str"/>
      <x:c r="AI79" s="7" t="str">
        <x:v>English</x:v>
      </x:c>
      <x:c r="AJ79" s="7" t="str"/>
      <x:c r="AK79" s="15" t="str"/>
      <x:c r="AL79" s="7" t="str"/>
      <x:c r="AM79" s="7" t="str">
        <x:v>AGUILAR NICOLE AMANDA</x:v>
      </x:c>
      <x:c r="AN79" s="7" t="str">
        <x:v>https://cdicloud.insurance.ca.gov/cal/LicenseDetail?SearchType=IND&amp;SearchLicNbr=0L73283&amp;SearchIndvId=1935302</x:v>
      </x:c>
      <x:c r="AO79" s="7" t="str">
        <x:v>2026-10-08</x:v>
      </x:c>
      <x:c r="AP79" s="7" t="str">
        <x:v>a1e5b8bb6ec724b4bdd5ede24084773de4f73bd9ed765a64991e4a79b506ce84</x:v>
      </x:c>
      <x:c r="AQ79" s="7" t="str">
        <x:v>Accident &amp; Health or Sickness / Inactive / 05/04/2017 / 05/31/2025 / 05/31/2025
Life / Inactive / 05/04/2017 / 05/31/2025 / 05/31/2025
Var Life and Var Annuity / Inactive / 08/03/2017 / 05/31/2025 / 05/31/2025</x:v>
      </x:c>
      <x:c r="AR79" s="7" t="str">
        <x:v>Inactive</x:v>
      </x:c>
      <x:c r="AS79" s="7" t="str">
        <x:v>Current detail page</x:v>
      </x:c>
    </x:row>
    <x:row r="80" ht="52" customHeight="1">
      <x:c r="A80" s="7" t="str">
        <x:v>AGUILAR AMBER NINA</x:v>
      </x:c>
      <x:c r="B80" s="14" t="str">
        <x:f>"0D46697"</x:f>
        <x:v>0D46697</x:v>
      </x:c>
      <x:c r="C80" s="7" t="str">
        <x:v>Omitted</x:v>
      </x:c>
      <x:c r="D80" s="7" t="str">
        <x:v>FAIL</x:v>
      </x:c>
      <x:c r="E80" s="13" t="str">
        <x:v>Pending</x:v>
      </x:c>
      <x:c r="F80" s="13" t="str"/>
      <x:c r="G80" s="13" t="str"/>
      <x:c r="H80" s="13" t="str"/>
      <x:c r="I80" s="7" t="str">
        <x:v>Was this person reviewed? If rejected, give the actual rule and evidence. If acceptable, correct the omission. Confirm the Life-qualification gate and any record change since selection.</x:v>
      </x:c>
      <x:c r="J80" s="7" t="str">
        <x:v>L1</x:v>
      </x:c>
      <x:c r="K80" s="7" t="str">
        <x:v>Verified qualifications do not include active general Life. Current target-pool mismatch; actual historical omission reason unknown.</x:v>
      </x:c>
      <x:c r="L80" s="7" t="str">
        <x:v>Not supplied; membership is known, motive is not</x:v>
      </x:c>
      <x:c r="M80" s="7" t="n">
        <x:v>7</x:v>
      </x:c>
      <x:c r="N80" s="7" t="str">
        <x:v>Outside current general-Life recruiting pool</x:v>
      </x:c>
      <x:c r="O80" s="7" t="str">
        <x:v>Not displayed</x:v>
      </x:c>
      <x:c r="P80" s="7" t="str"/>
      <x:c r="Q80" s="7" t="str"/>
      <x:c r="R80" s="7" t="str"/>
      <x:c r="S80" s="15" t="str"/>
      <x:c r="T80" s="7" t="str">
        <x:v>No public business phone in collected record</x:v>
      </x:c>
      <x:c r="U80" s="7" t="str"/>
      <x:c r="V80" s="7" t="str">
        <x:v>Resident</x:v>
      </x:c>
      <x:c r="W80" s="7" t="str">
        <x:v>CA</x:v>
      </x:c>
      <x:c r="X80" s="7" t="str"/>
      <x:c r="Y80" s="7" t="str"/>
      <x:c r="Z80" s="7" t="str"/>
      <x:c r="AA80" s="7" t="str"/>
      <x:c r="AB80" s="7" t="str"/>
      <x:c r="AC80" s="7" t="str"/>
      <x:c r="AD80" s="7" t="str">
        <x:v>No agency or insurer displayed: onboarding opportunity possible; existing business unknown</x:v>
      </x:c>
      <x:c r="AE80" s="7" t="str">
        <x:v>No public business phone: contact enrichment needed, not proof of poor recruiting fit</x:v>
      </x:c>
      <x:c r="AF80" s="16" t="str"/>
      <x:c r="AG80" s="17" t="str"/>
      <x:c r="AH80" s="7" t="str"/>
      <x:c r="AI80" s="7" t="str"/>
      <x:c r="AJ80" s="7" t="str"/>
      <x:c r="AK80" s="15" t="str"/>
      <x:c r="AL80" s="7" t="str"/>
      <x:c r="AM80" s="7" t="str">
        <x:v>AGUILAR NINA AMBER</x:v>
      </x:c>
      <x:c r="AN80" s="7" t="str">
        <x:v>https://cdicloud.insurance.ca.gov/cal/LicenseDetail?SearchType=IND&amp;SearchLicNbr=0D46697&amp;SearchIndvId=599747</x:v>
      </x:c>
      <x:c r="AO80" s="7" t="str">
        <x:v>2026-10-08</x:v>
      </x:c>
      <x:c r="AP80" s="7" t="str">
        <x:v>600ddb9f6e0883317372b42fe8e54fd872babdd6ab77a96286032805cf834f92</x:v>
      </x:c>
      <x:c r="AQ80" s="7" t="str">
        <x:v>Accident and Health / Inactive / 11/07/2001 / 11/30/2003 / 11/30/2003
Life-Only / Inactive / 11/07/2001 / 11/30/2003 / 11/30/2003</x:v>
      </x:c>
      <x:c r="AR80" s="7" t="str">
        <x:v>Inactive</x:v>
      </x:c>
      <x:c r="AS80" s="7" t="str">
        <x:v>Current detail page</x:v>
      </x:c>
    </x:row>
    <x:row r="81" ht="52" customHeight="1">
      <x:c r="A81" s="7" t="str">
        <x:v>AGUILAR AMPARO CONSUELO</x:v>
      </x:c>
      <x:c r="B81" s="14" t="str">
        <x:f>"0G32104"</x:f>
        <x:v>0G32104</x:v>
      </x:c>
      <x:c r="C81" s="7" t="str">
        <x:v>Omitted</x:v>
      </x:c>
      <x:c r="D81" s="7" t="str">
        <x:v>FAIL</x:v>
      </x:c>
      <x:c r="E81" s="13" t="str">
        <x:v>Pending</x:v>
      </x:c>
      <x:c r="F81" s="13" t="str"/>
      <x:c r="G81" s="13" t="str"/>
      <x:c r="H81" s="13" t="str"/>
      <x:c r="I81" s="7" t="str">
        <x:v>Was this person reviewed? If rejected, give the actual rule and evidence. If acceptable, correct the omission. Confirm the Life-qualification gate and any record change since selection.</x:v>
      </x:c>
      <x:c r="J81" s="7" t="str">
        <x:v>L1</x:v>
      </x:c>
      <x:c r="K81" s="7" t="str">
        <x:v>Verified qualifications do not include active general Life. Current target-pool mismatch; actual historical omission reason unknown.</x:v>
      </x:c>
      <x:c r="L81" s="7" t="str">
        <x:v>Not supplied; membership is known, motive is not</x:v>
      </x:c>
      <x:c r="M81" s="7" t="n">
        <x:v>7</x:v>
      </x:c>
      <x:c r="N81" s="7" t="str">
        <x:v>Outside current general-Life recruiting pool</x:v>
      </x:c>
      <x:c r="O81" s="7" t="str">
        <x:v>Not displayed</x:v>
      </x:c>
      <x:c r="P81" s="7" t="str"/>
      <x:c r="Q81" s="7" t="str"/>
      <x:c r="R81" s="7" t="str"/>
      <x:c r="S81" s="15" t="str"/>
      <x:c r="T81" s="7" t="str">
        <x:v>No public business phone in collected record</x:v>
      </x:c>
      <x:c r="U81" s="7" t="str"/>
      <x:c r="V81" s="7" t="str">
        <x:v>Resident</x:v>
      </x:c>
      <x:c r="W81" s="7" t="str">
        <x:v>CA</x:v>
      </x:c>
      <x:c r="X81" s="7" t="str"/>
      <x:c r="Y81" s="7" t="str"/>
      <x:c r="Z81" s="7" t="str"/>
      <x:c r="AA81" s="7" t="str"/>
      <x:c r="AB81" s="7" t="str"/>
      <x:c r="AC81" s="7" t="str"/>
      <x:c r="AD81" s="7" t="str">
        <x:v>No agency or insurer displayed: onboarding opportunity possible; existing business unknown</x:v>
      </x:c>
      <x:c r="AE81" s="7" t="str">
        <x:v>No public business phone: contact enrichment needed, not proof of poor recruiting fit</x:v>
      </x:c>
      <x:c r="AF81" s="16" t="str"/>
      <x:c r="AG81" s="17" t="str"/>
      <x:c r="AH81" s="7" t="str"/>
      <x:c r="AI81" s="7" t="str"/>
      <x:c r="AJ81" s="7" t="str"/>
      <x:c r="AK81" s="15" t="str"/>
      <x:c r="AL81" s="7" t="str"/>
      <x:c r="AM81" s="7" t="str">
        <x:v>AGUILAR CONSUELO AMPARO</x:v>
      </x:c>
      <x:c r="AN81" s="7" t="str">
        <x:v>https://cdicloud.insurance.ca.gov/cal/LicenseDetail?SearchType=IND&amp;SearchLicNbr=0G32104&amp;SearchIndvId=1182890</x:v>
      </x:c>
      <x:c r="AO81" s="7" t="str">
        <x:v>2026-10-08</x:v>
      </x:c>
      <x:c r="AP81" s="7" t="str">
        <x:v>dcd26b59204b590e143ab7466da7c643d80a662ab5a73b46af76af19b22b6b8d</x:v>
      </x:c>
      <x:c r="AQ81" s="7" t="str">
        <x:v>Personal Lines Broker-Agent / Inactive / 09/29/2008 / 12/31/2015 / 12/31/2015</x:v>
      </x:c>
      <x:c r="AR81" s="7" t="str">
        <x:v>Inactive</x:v>
      </x:c>
      <x:c r="AS81" s="7" t="str">
        <x:v>Current detail page</x:v>
      </x:c>
    </x:row>
    <x:row r="82" ht="52" customHeight="1">
      <x:c r="A82" s="7" t="str">
        <x:v>AGUILAR AMY ESMERALDA</x:v>
      </x:c>
      <x:c r="B82" s="14" t="str">
        <x:f>"0C33472"</x:f>
        <x:v>0C33472</x:v>
      </x:c>
      <x:c r="C82" s="7" t="str">
        <x:v>Omitted</x:v>
      </x:c>
      <x:c r="D82" s="7" t="str">
        <x:v>FAIL</x:v>
      </x:c>
      <x:c r="E82" s="13" t="str">
        <x:v>Pending</x:v>
      </x:c>
      <x:c r="F82" s="13" t="str"/>
      <x:c r="G82" s="13" t="str"/>
      <x:c r="H82" s="13" t="str"/>
      <x:c r="I82" s="7" t="str">
        <x:v>Was this person reviewed? If rejected, give the actual rule and evidence. If acceptable, correct the omission. Confirm the Life-qualification gate and any record change since selection.</x:v>
      </x:c>
      <x:c r="J82" s="7" t="str">
        <x:v>L1</x:v>
      </x:c>
      <x:c r="K82" s="7" t="str">
        <x:v>Verified qualifications do not include active general Life. Current target-pool mismatch; actual historical omission reason unknown.</x:v>
      </x:c>
      <x:c r="L82" s="7" t="str">
        <x:v>Not supplied; membership is known, motive is not</x:v>
      </x:c>
      <x:c r="M82" s="7" t="n">
        <x:v>7</x:v>
      </x:c>
      <x:c r="N82" s="7" t="str">
        <x:v>Outside current general-Life recruiting pool</x:v>
      </x:c>
      <x:c r="O82" s="7" t="str">
        <x:v>Not displayed</x:v>
      </x:c>
      <x:c r="P82" s="7" t="str"/>
      <x:c r="Q82" s="7" t="str"/>
      <x:c r="R82" s="7" t="str"/>
      <x:c r="S82" s="15" t="str"/>
      <x:c r="T82" s="7" t="str">
        <x:v>No public business phone in collected record</x:v>
      </x:c>
      <x:c r="U82" s="7" t="str"/>
      <x:c r="V82" s="7" t="str">
        <x:v>Resident</x:v>
      </x:c>
      <x:c r="W82" s="7" t="str">
        <x:v>CA</x:v>
      </x:c>
      <x:c r="X82" s="7" t="str">
        <x:v>PRIMERICA FINANCIAL SERVICES INSURANCE MARKETING, INC. / Property Broker-Agent / 08/04/1998
PRIMERICA FINANCIAL SERVICES INSURANCE MARKETING, INC. / Accident and Health / 05/21/1998
PRIMERICA FINANCIAL SERVICES INSURANCE MARKETING, INC. / Life-Only / 05/21/1998
PRIMERICA FINANCIAL SERVICES INSURANCE MARKETING, INC. / Casualty Broker-Agent / 08/04/1998</x:v>
      </x:c>
      <x:c r="Y82" s="7" t="str"/>
      <x:c r="Z82" s="7" t="str"/>
      <x:c r="AA82" s="7" t="str"/>
      <x:c r="AB82" s="7" t="str"/>
      <x:c r="AC82" s="7" t="str"/>
      <x:c r="AD82" s="7" t="str">
        <x:v>Primerica relationship: matches an explicitly targeted recruiting segment</x:v>
      </x:c>
      <x:c r="AE82" s="7" t="str">
        <x:v>No public business phone: contact enrichment needed, not proof of poor recruiting fit</x:v>
      </x:c>
      <x:c r="AF82" s="16" t="str"/>
      <x:c r="AG82" s="17" t="str"/>
      <x:c r="AH82" s="7" t="str"/>
      <x:c r="AI82" s="7" t="str"/>
      <x:c r="AJ82" s="7" t="str"/>
      <x:c r="AK82" s="15" t="str"/>
      <x:c r="AL82" s="7" t="str"/>
      <x:c r="AM82" s="7" t="str">
        <x:v>AGUILAR ESMERALDA AMY</x:v>
      </x:c>
      <x:c r="AN82" s="7" t="str">
        <x:v>https://cdicloud.insurance.ca.gov/cal/LicenseDetail?SearchType=IND&amp;SearchLicNbr=0C33472&amp;SearchIndvId=308370</x:v>
      </x:c>
      <x:c r="AO82" s="7" t="str">
        <x:v>2026-10-08</x:v>
      </x:c>
      <x:c r="AP82" s="7" t="str">
        <x:v>223f5ffe457a1fd97af0fdfc03877fa031cf93f3067641432b4f8ebecee2c194</x:v>
      </x:c>
      <x:c r="AQ82" s="7" t="str">
        <x:v>Accident and Health / Inactive / 05/21/1998 / 05/31/2000 / 05/31/2000
Casualty Broker-Agent / Inactive / 08/04/1998 / 05/31/2000 / 05/31/2000
Life-Only / Inactive / 05/21/1998 / 05/31/2000 / 05/31/2000
Property Broker-Agent / Inactive / 08/04/1998 / 05/31/2000 / 05/31/2000</x:v>
      </x:c>
      <x:c r="AR82" s="7" t="str">
        <x:v>Inactive</x:v>
      </x:c>
      <x:c r="AS82" s="7" t="str">
        <x:v>Current detail page</x:v>
      </x:c>
    </x:row>
    <x:row r="83" ht="52" customHeight="1">
      <x:c r="A83" s="7" t="str">
        <x:v>AGUILAR AMY LANETTE</x:v>
      </x:c>
      <x:c r="B83" s="14" t="str">
        <x:f>"4088636"</x:f>
        <x:v>4088636</x:v>
      </x:c>
      <x:c r="C83" s="7" t="str">
        <x:v>Omitted</x:v>
      </x:c>
      <x:c r="D83" s="7" t="str">
        <x:v>FAIL</x:v>
      </x:c>
      <x:c r="E83" s="13" t="str">
        <x:v>Pending</x:v>
      </x:c>
      <x:c r="F83" s="13" t="str"/>
      <x:c r="G83" s="13" t="str"/>
      <x:c r="H83" s="13" t="str"/>
      <x:c r="I83" s="7" t="str">
        <x:v>Was this person reviewed? If rejected, give the actual rule and evidence. If acceptable, correct the omission. Confirm the Life-qualification gate and any record change since selection.</x:v>
      </x:c>
      <x:c r="J83" s="7" t="str">
        <x:v>L1</x:v>
      </x:c>
      <x:c r="K83" s="7" t="str">
        <x:v>Verified qualifications do not include active general Life. Current target-pool mismatch; actual historical omission reason unknown.</x:v>
      </x:c>
      <x:c r="L83" s="7" t="str">
        <x:v>Not supplied; membership is known, motive is not</x:v>
      </x:c>
      <x:c r="M83" s="7" t="n">
        <x:v>7</x:v>
      </x:c>
      <x:c r="N83" s="7" t="str">
        <x:v>Outside current general-Life recruiting pool</x:v>
      </x:c>
      <x:c r="O83" s="7" t="str">
        <x:v>Inactive</x:v>
      </x:c>
      <x:c r="P83" s="7" t="str">
        <x:v>11/17/2020</x:v>
      </x:c>
      <x:c r="Q83" s="7" t="str">
        <x:v>11/30/2024</x:v>
      </x:c>
      <x:c r="R83" s="7" t="str"/>
      <x:c r="S83" s="15" t="str"/>
      <x:c r="T83" s="7" t="str">
        <x:v>No public business phone in collected record</x:v>
      </x:c>
      <x:c r="U83" s="7" t="str">
        <x:v>7600 BURNET RD AUSTIN TX, 78757-1241</x:v>
      </x:c>
      <x:c r="V83" s="7" t="str">
        <x:v>Non-resident</x:v>
      </x:c>
      <x:c r="W83" s="7" t="str">
        <x:v>TX</x:v>
      </x:c>
      <x:c r="X83" s="7" t="str"/>
      <x:c r="Y83" s="7" t="str"/>
      <x:c r="Z83" s="7" t="str"/>
      <x:c r="AA83" s="7" t="str"/>
      <x:c r="AB83" s="7" t="str"/>
      <x:c r="AC83" s="7" t="str"/>
      <x:c r="AD83" s="7" t="str">
        <x:v>No agency or insurer displayed: onboarding opportunity possible; existing business unknown</x:v>
      </x:c>
      <x:c r="AE83" s="7" t="str">
        <x:v>Nonresident or address state outside CA; confirm geographic recruiting scope | No public business phone: contact enrichment needed, not proof of poor recruiting fit</x:v>
      </x:c>
      <x:c r="AF83" s="16" t="str"/>
      <x:c r="AG83" s="17" t="str"/>
      <x:c r="AH83" s="7" t="str"/>
      <x:c r="AI83" s="7" t="str"/>
      <x:c r="AJ83" s="7" t="str"/>
      <x:c r="AK83" s="15" t="str"/>
      <x:c r="AL83" s="7" t="str"/>
      <x:c r="AM83" s="7" t="str">
        <x:v>Aguilar  Amy | Aguilar L Amy | AGUILAR LANETTE AMY</x:v>
      </x:c>
      <x:c r="AN83" s="7" t="str">
        <x:v>https://cdicloud.insurance.ca.gov/cal/LicenseDetail?SearchType=IND&amp;SearchLicNbr=4088636&amp;SearchIndvId=4088636</x:v>
      </x:c>
      <x:c r="AO83" s="7" t="str">
        <x:v>2026-10-08</x:v>
      </x:c>
      <x:c r="AP83" s="7" t="str">
        <x:v>973da6337d4e3d045bba4286caa434f36df66bd2d13b52803af4b468fe508e9f</x:v>
      </x:c>
      <x:c r="AQ83" s="7" t="str">
        <x:v>Accident &amp; Health or Sickness / Inactive / 11/17/2020 / 11/30/2024 / 11/30/2024
Life / Inactive / 11/17/2020 / 11/30/2024 / 11/30/2024
Var Life and Var Annuity / Inactive / 11/17/2020 / 11/30/2024 / 11/30/2024</x:v>
      </x:c>
      <x:c r="AR83" s="7" t="str">
        <x:v>Inactive</x:v>
      </x:c>
      <x:c r="AS83" s="7" t="str">
        <x:v>Current detail page</x:v>
      </x:c>
    </x:row>
    <x:row r="84" ht="52" customHeight="1">
      <x:c r="A84" s="7" t="str">
        <x:v>AGUILAR AMY R</x:v>
      </x:c>
      <x:c r="B84" s="14" t="str">
        <x:f>"E4538567"</x:f>
        <x:v>E4538567</x:v>
      </x:c>
      <x:c r="C84" s="7" t="str">
        <x:v>Omitted</x:v>
      </x:c>
      <x:c r="D84" s="7" t="str">
        <x:v>REVIEW</x:v>
      </x:c>
      <x:c r="E84" s="13" t="str">
        <x:v>Pending</x:v>
      </x:c>
      <x:c r="F84" s="13" t="str"/>
      <x:c r="G84" s="13" t="str"/>
      <x:c r="H84" s="13" t="str"/>
      <x:c r="I84" s="7" t="str">
        <x:v>Was this record reviewed? The detail page provides no qualifications. Verify the actual license type and Life authority before deciding; do not reject for missing data.</x:v>
      </x:c>
      <x:c r="J84" s="7" t="str">
        <x:v>L1</x:v>
      </x:c>
      <x:c r="K84" s="7" t="str">
        <x:v>Detail page displays no qualification information. Life authority cannot be verified; missing data is not a qualification failure. Historical omission reason unknown.</x:v>
      </x:c>
      <x:c r="L84" s="7" t="str">
        <x:v>Not supplied; membership is known, motive is not</x:v>
      </x:c>
      <x:c r="M84" s="7" t="n">
        <x:v>7</x:v>
      </x:c>
      <x:c r="N84" s="7" t="str">
        <x:v>Outside current general-Life recruiting pool</x:v>
      </x:c>
      <x:c r="O84" s="7" t="str">
        <x:v>Not displayed</x:v>
      </x:c>
      <x:c r="P84" s="7" t="str"/>
      <x:c r="Q84" s="7" t="str"/>
      <x:c r="R84" s="7" t="str"/>
      <x:c r="S84" s="15" t="str"/>
      <x:c r="T84" s="7" t="str">
        <x:v>No public business phone in collected record</x:v>
      </x:c>
      <x:c r="U84" s="7" t="str"/>
      <x:c r="V84" s="7" t="str">
        <x:v>Resident</x:v>
      </x:c>
      <x:c r="W84" s="7" t="str">
        <x:v>CA</x:v>
      </x:c>
      <x:c r="X84" s="7" t="str"/>
      <x:c r="Y84" s="7" t="str"/>
      <x:c r="Z84" s="7" t="str"/>
      <x:c r="AA84" s="7" t="str"/>
      <x:c r="AB84" s="7" t="str"/>
      <x:c r="AC84" s="7" t="str"/>
      <x:c r="AD84" s="7" t="str">
        <x:v>No agency or insurer displayed: onboarding opportunity possible; existing business unknown</x:v>
      </x:c>
      <x:c r="AE84" s="7" t="str">
        <x:v>No public business phone: contact enrichment needed, not proof of poor recruiting fit</x:v>
      </x:c>
      <x:c r="AF84" s="16" t="str"/>
      <x:c r="AG84" s="17" t="str"/>
      <x:c r="AH84" s="7" t="str"/>
      <x:c r="AI84" s="7" t="str">
        <x:v>English</x:v>
      </x:c>
      <x:c r="AJ84" s="7" t="str"/>
      <x:c r="AK84" s="15" t="str"/>
      <x:c r="AL84" s="7" t="str"/>
      <x:c r="AM84" s="7" t="str">
        <x:v>AGUILAR R AMY</x:v>
      </x:c>
      <x:c r="AN84" s="7" t="str">
        <x:v>https://cdicloud.insurance.ca.gov/cal/LicenseDetail?SearchType=IND&amp;SearchLicNbr=E4538567&amp;SearchIndvId=4538567</x:v>
      </x:c>
      <x:c r="AO84" s="7" t="str">
        <x:v>2026-10-08</x:v>
      </x:c>
      <x:c r="AP84" s="7" t="str">
        <x:v>4b2209aa5bd2cf3b95058f631095e65ef7b4dfd169537bfeaf619e94a36f1297</x:v>
      </x:c>
      <x:c r="AQ84" s="7" t="str"/>
      <x:c r="AR84" s="7" t="str">
        <x:v>Active</x:v>
      </x:c>
      <x:c r="AS84" s="7" t="str">
        <x:v>Current detail page</x:v>
      </x:c>
    </x:row>
    <x:row r="85" ht="52" customHeight="1">
      <x:c r="A85" s="7" t="str">
        <x:v>AGUILAR ANA</x:v>
      </x:c>
      <x:c r="B85" s="14" t="str">
        <x:f>"4392987"</x:f>
        <x:v>4392987</x:v>
      </x:c>
      <x:c r="C85" s="7" t="str">
        <x:v>Omitted</x:v>
      </x:c>
      <x:c r="D85" s="7" t="str">
        <x:v>FAIL</x:v>
      </x:c>
      <x:c r="E85" s="13" t="str">
        <x:v>Pending</x:v>
      </x:c>
      <x:c r="F85" s="13" t="str"/>
      <x:c r="G85" s="13" t="str"/>
      <x:c r="H85" s="13" t="str"/>
      <x:c r="I85" s="7" t="str">
        <x:v>Was this person reviewed? If rejected, give the actual rule and evidence. If acceptable, correct the omission. Confirm the Life-qualification gate and any record change since selection.</x:v>
      </x:c>
      <x:c r="J85" s="7" t="str">
        <x:v>L1</x:v>
      </x:c>
      <x:c r="K85" s="7" t="str">
        <x:v>Verified qualifications do not include active general Life. Current target-pool mismatch; actual historical omission reason unknown.</x:v>
      </x:c>
      <x:c r="L85" s="7" t="str">
        <x:v>Not supplied; membership is known, motive is not</x:v>
      </x:c>
      <x:c r="M85" s="7" t="n">
        <x:v>7</x:v>
      </x:c>
      <x:c r="N85" s="7" t="str">
        <x:v>Outside current general-Life recruiting pool</x:v>
      </x:c>
      <x:c r="O85" s="7" t="str">
        <x:v>Not displayed</x:v>
      </x:c>
      <x:c r="P85" s="7" t="str"/>
      <x:c r="Q85" s="7" t="str"/>
      <x:c r="R85" s="7" t="str">
        <x:v>Motor Club Agent</x:v>
      </x:c>
      <x:c r="S85" s="15" t="str">
        <x:v>661-788-0001</x:v>
      </x:c>
      <x:c r="T85" s="7" t="str">
        <x:v>Current CDI</x:v>
      </x:c>
      <x:c r="U85" s="7" t="str">
        <x:v>5500 MING AVE SUITE 250 BAKERSFIELD CA, 93309</x:v>
      </x:c>
      <x:c r="V85" s="7" t="str">
        <x:v>Resident</x:v>
      </x:c>
      <x:c r="W85" s="7" t="str">
        <x:v>CA</x:v>
      </x:c>
      <x:c r="X85" s="7" t="str"/>
      <x:c r="Y85" s="7" t="str"/>
      <x:c r="Z85" s="7" t="str"/>
      <x:c r="AA85" s="7" t="str"/>
      <x:c r="AB85" s="7" t="str"/>
      <x:c r="AC85" s="7" t="str"/>
      <x:c r="AD85" s="7" t="str">
        <x:v>No agency or insurer displayed: onboarding opportunity possible; existing business unknown</x:v>
      </x:c>
      <x:c r="AE85" s="7" t="str"/>
      <x:c r="AF85" s="16" t="str"/>
      <x:c r="AG85" s="17" t="str"/>
      <x:c r="AH85" s="7" t="str"/>
      <x:c r="AI85" s="7" t="str">
        <x:v>English</x:v>
      </x:c>
      <x:c r="AJ85" s="7" t="str"/>
      <x:c r="AK85" s="15" t="str"/>
      <x:c r="AL85" s="7" t="str"/>
      <x:c r="AM85" s="7" t="str">
        <x:v>AGUILAR  ANA</x:v>
      </x:c>
      <x:c r="AN85" s="7" t="str">
        <x:v>https://cdicloud.insurance.ca.gov/cal/LicenseDetail?SearchType=IND&amp;SearchLicNbr=4392987&amp;SearchIndvId=4392987</x:v>
      </x:c>
      <x:c r="AO85" s="7" t="str">
        <x:v>2026-10-08</x:v>
      </x:c>
      <x:c r="AP85" s="7" t="str">
        <x:v>42685beb870f0894e57b2e79362030d4b4254bd6b2c08045b70b8e4fb2fa8ecd</x:v>
      </x:c>
      <x:c r="AQ85" s="7" t="str">
        <x:v>Motor Club Agent / Active / 11/25/2025 / 11/25/2025 / 11/30/2027</x:v>
      </x:c>
      <x:c r="AR85" s="7" t="str">
        <x:v>Active</x:v>
      </x:c>
      <x:c r="AS85" s="7" t="str">
        <x:v>Current detail page</x:v>
      </x:c>
    </x:row>
    <x:row r="86" ht="52" customHeight="1">
      <x:c r="A86" s="7" t="str">
        <x:v>AGUILAR ANA</x:v>
      </x:c>
      <x:c r="B86" s="14" t="str">
        <x:f>"E1404051"</x:f>
        <x:v>E1404051</x:v>
      </x:c>
      <x:c r="C86" s="7" t="str">
        <x:v>Omitted</x:v>
      </x:c>
      <x:c r="D86" s="7" t="str">
        <x:v>REVIEW</x:v>
      </x:c>
      <x:c r="E86" s="13" t="str">
        <x:v>Pending</x:v>
      </x:c>
      <x:c r="F86" s="13" t="str"/>
      <x:c r="G86" s="13" t="str"/>
      <x:c r="H86" s="13" t="str"/>
      <x:c r="I86" s="7" t="str">
        <x:v>Was this record reviewed? The detail page provides no qualifications. Verify the actual license type and Life authority before deciding; do not reject for missing data.</x:v>
      </x:c>
      <x:c r="J86" s="7" t="str">
        <x:v>L1</x:v>
      </x:c>
      <x:c r="K86" s="7" t="str">
        <x:v>Detail page displays no qualification information. Life authority cannot be verified; missing data is not a qualification failure. Historical omission reason unknown.</x:v>
      </x:c>
      <x:c r="L86" s="7" t="str">
        <x:v>Not supplied; membership is known, motive is not</x:v>
      </x:c>
      <x:c r="M86" s="7" t="n">
        <x:v>7</x:v>
      </x:c>
      <x:c r="N86" s="7" t="str">
        <x:v>Outside current general-Life recruiting pool</x:v>
      </x:c>
      <x:c r="O86" s="7" t="str">
        <x:v>Not displayed</x:v>
      </x:c>
      <x:c r="P86" s="7" t="str"/>
      <x:c r="Q86" s="7" t="str"/>
      <x:c r="R86" s="7" t="str"/>
      <x:c r="S86" s="15" t="str"/>
      <x:c r="T86" s="7" t="str">
        <x:v>No public business phone in collected record</x:v>
      </x:c>
      <x:c r="U86" s="7" t="str"/>
      <x:c r="V86" s="7" t="str">
        <x:v>Resident</x:v>
      </x:c>
      <x:c r="W86" s="7" t="str">
        <x:v>CA</x:v>
      </x:c>
      <x:c r="X86" s="7" t="str"/>
      <x:c r="Y86" s="7" t="str"/>
      <x:c r="Z86" s="7" t="str"/>
      <x:c r="AA86" s="7" t="str"/>
      <x:c r="AB86" s="7" t="str"/>
      <x:c r="AC86" s="7" t="str"/>
      <x:c r="AD86" s="7" t="str">
        <x:v>No agency or insurer displayed: onboarding opportunity possible; existing business unknown</x:v>
      </x:c>
      <x:c r="AE86" s="7" t="str">
        <x:v>No public business phone: contact enrichment needed, not proof of poor recruiting fit</x:v>
      </x:c>
      <x:c r="AF86" s="16" t="str"/>
      <x:c r="AG86" s="17" t="str"/>
      <x:c r="AH86" s="7" t="str"/>
      <x:c r="AI86" s="7" t="str">
        <x:v>English</x:v>
      </x:c>
      <x:c r="AJ86" s="7" t="str"/>
      <x:c r="AK86" s="15" t="str"/>
      <x:c r="AL86" s="7" t="str"/>
      <x:c r="AM86" s="7" t="str">
        <x:v>AGUILAR  ANA</x:v>
      </x:c>
      <x:c r="AN86" s="7" t="str">
        <x:v>https://cdicloud.insurance.ca.gov/cal/LicenseDetail?SearchType=IND&amp;SearchLicNbr=E1404051&amp;SearchIndvId=1404051</x:v>
      </x:c>
      <x:c r="AO86" s="7" t="str">
        <x:v>2026-10-08</x:v>
      </x:c>
      <x:c r="AP86" s="7" t="str">
        <x:v>ee43a78d95a2b06e030fd6bb72397d08386673d0464d6fa5e20a089fa9e23e91</x:v>
      </x:c>
      <x:c r="AQ86" s="7" t="str"/>
      <x:c r="AR86" s="7" t="str">
        <x:v>Active</x:v>
      </x:c>
      <x:c r="AS86" s="7" t="str">
        <x:v>Current detail page</x:v>
      </x:c>
    </x:row>
    <x:row r="87" ht="52" customHeight="1">
      <x:c r="A87" s="7" t="str">
        <x:v>AGUILAR ANA</x:v>
      </x:c>
      <x:c r="B87" s="14" t="str">
        <x:f>"E4392987"</x:f>
        <x:v>E4392987</x:v>
      </x:c>
      <x:c r="C87" s="7" t="str">
        <x:v>Omitted</x:v>
      </x:c>
      <x:c r="D87" s="7" t="str">
        <x:v>REVIEW</x:v>
      </x:c>
      <x:c r="E87" s="13" t="str">
        <x:v>Pending</x:v>
      </x:c>
      <x:c r="F87" s="13" t="str"/>
      <x:c r="G87" s="13" t="str"/>
      <x:c r="H87" s="13" t="str"/>
      <x:c r="I87" s="7" t="str">
        <x:v>Was this record reviewed? The detail page provides no qualifications. Verify the actual license type and Life authority before deciding; do not reject for missing data.</x:v>
      </x:c>
      <x:c r="J87" s="7" t="str">
        <x:v>L1</x:v>
      </x:c>
      <x:c r="K87" s="7" t="str">
        <x:v>Detail page displays no qualification information. Life authority cannot be verified; missing data is not a qualification failure. Historical omission reason unknown.</x:v>
      </x:c>
      <x:c r="L87" s="7" t="str">
        <x:v>Not supplied; membership is known, motive is not</x:v>
      </x:c>
      <x:c r="M87" s="7" t="n">
        <x:v>7</x:v>
      </x:c>
      <x:c r="N87" s="7" t="str">
        <x:v>Outside current general-Life recruiting pool</x:v>
      </x:c>
      <x:c r="O87" s="7" t="str">
        <x:v>Not displayed</x:v>
      </x:c>
      <x:c r="P87" s="7" t="str"/>
      <x:c r="Q87" s="7" t="str"/>
      <x:c r="R87" s="7" t="str"/>
      <x:c r="S87" s="15" t="str"/>
      <x:c r="T87" s="7" t="str">
        <x:v>No public business phone in collected record</x:v>
      </x:c>
      <x:c r="U87" s="7" t="str"/>
      <x:c r="V87" s="7" t="str">
        <x:v>Resident</x:v>
      </x:c>
      <x:c r="W87" s="7" t="str">
        <x:v>CA</x:v>
      </x:c>
      <x:c r="X87" s="7" t="str"/>
      <x:c r="Y87" s="7" t="str"/>
      <x:c r="Z87" s="7" t="str"/>
      <x:c r="AA87" s="7" t="str"/>
      <x:c r="AB87" s="7" t="str"/>
      <x:c r="AC87" s="7" t="str"/>
      <x:c r="AD87" s="7" t="str">
        <x:v>No agency or insurer displayed: onboarding opportunity possible; existing business unknown</x:v>
      </x:c>
      <x:c r="AE87" s="7" t="str">
        <x:v>No public business phone: contact enrichment needed, not proof of poor recruiting fit</x:v>
      </x:c>
      <x:c r="AF87" s="16" t="str"/>
      <x:c r="AG87" s="17" t="str"/>
      <x:c r="AH87" s="7" t="str"/>
      <x:c r="AI87" s="7" t="str">
        <x:v>English</x:v>
      </x:c>
      <x:c r="AJ87" s="7" t="str"/>
      <x:c r="AK87" s="15" t="str"/>
      <x:c r="AL87" s="7" t="str"/>
      <x:c r="AM87" s="7" t="str">
        <x:v>AGUILAR  ANA</x:v>
      </x:c>
      <x:c r="AN87" s="7" t="str">
        <x:v>https://cdicloud.insurance.ca.gov/cal/LicenseDetail?SearchType=IND&amp;SearchLicNbr=E4392987&amp;SearchIndvId=4392987</x:v>
      </x:c>
      <x:c r="AO87" s="7" t="str">
        <x:v>2026-10-08</x:v>
      </x:c>
      <x:c r="AP87" s="7" t="str">
        <x:v>9c874dfc0d7651a641398f15dae2d148cf654abbc5c0216dd8c18066ed06f690</x:v>
      </x:c>
      <x:c r="AQ87" s="7" t="str"/>
      <x:c r="AR87" s="7" t="str">
        <x:v>Active</x:v>
      </x:c>
      <x:c r="AS87" s="7" t="str">
        <x:v>Current detail page</x:v>
      </x:c>
    </x:row>
    <x:row r="88" ht="52" customHeight="1">
      <x:c r="A88" s="7" t="str">
        <x:v>AGUILAR ANAMIL</x:v>
      </x:c>
      <x:c r="B88" s="14" t="str">
        <x:f>"0M03720"</x:f>
        <x:v>0M03720</x:v>
      </x:c>
      <x:c r="C88" s="7" t="str">
        <x:v>Omitted</x:v>
      </x:c>
      <x:c r="D88" s="7" t="str">
        <x:v>FAIL</x:v>
      </x:c>
      <x:c r="E88" s="13" t="str">
        <x:v>Pending</x:v>
      </x:c>
      <x:c r="F88" s="13" t="str"/>
      <x:c r="G88" s="13" t="str"/>
      <x:c r="H88" s="13" t="str"/>
      <x:c r="I88" s="7" t="str">
        <x:v>Was this person reviewed? If rejected, give the actual rule and evidence. If acceptable, correct the omission. Confirm the Life-qualification gate and any record change since selection.</x:v>
      </x:c>
      <x:c r="J88" s="7" t="str">
        <x:v>L1</x:v>
      </x:c>
      <x:c r="K88" s="7" t="str">
        <x:v>Verified qualifications do not include active general Life. Current target-pool mismatch; actual historical omission reason unknown.</x:v>
      </x:c>
      <x:c r="L88" s="7" t="str">
        <x:v>Not supplied; membership is known, motive is not</x:v>
      </x:c>
      <x:c r="M88" s="7" t="n">
        <x:v>7</x:v>
      </x:c>
      <x:c r="N88" s="7" t="str">
        <x:v>Outside current general-Life recruiting pool</x:v>
      </x:c>
      <x:c r="O88" s="7" t="str">
        <x:v>Inactive</x:v>
      </x:c>
      <x:c r="P88" s="7" t="str">
        <x:v>11/06/2017</x:v>
      </x:c>
      <x:c r="Q88" s="7" t="str">
        <x:v>11/30/2023</x:v>
      </x:c>
      <x:c r="R88" s="7" t="str"/>
      <x:c r="S88" s="15" t="str"/>
      <x:c r="T88" s="7" t="str">
        <x:v>No public business phone in collected record</x:v>
      </x:c>
      <x:c r="U88" s="7" t="str">
        <x:v>30 TECHNOLOGY DRIVE WARREN NJ, 07059</x:v>
      </x:c>
      <x:c r="V88" s="7" t="str">
        <x:v>Non-resident</x:v>
      </x:c>
      <x:c r="W88" s="7" t="str">
        <x:v>NJ</x:v>
      </x:c>
      <x:c r="X88" s="7" t="str"/>
      <x:c r="Y88" s="7" t="str"/>
      <x:c r="Z88" s="7" t="str"/>
      <x:c r="AA88" s="7" t="str"/>
      <x:c r="AB88" s="7" t="str"/>
      <x:c r="AC88" s="7" t="str"/>
      <x:c r="AD88" s="7" t="str">
        <x:v>No agency or insurer displayed: onboarding opportunity possible; existing business unknown</x:v>
      </x:c>
      <x:c r="AE88" s="7" t="str">
        <x:v>Nonresident or address state outside CA; confirm geographic recruiting scope | No public business phone: contact enrichment needed, not proof of poor recruiting fit</x:v>
      </x:c>
      <x:c r="AF88" s="16" t="str"/>
      <x:c r="AG88" s="17" t="str"/>
      <x:c r="AH88" s="7" t="str"/>
      <x:c r="AI88" s="7" t="str"/>
      <x:c r="AJ88" s="7" t="str"/>
      <x:c r="AK88" s="15" t="str"/>
      <x:c r="AL88" s="7" t="str"/>
      <x:c r="AM88" s="7" t="str">
        <x:v>AGUILAR  ANAMIL</x:v>
      </x:c>
      <x:c r="AN88" s="7" t="str">
        <x:v>https://cdicloud.insurance.ca.gov/cal/LicenseDetail?SearchType=IND&amp;SearchLicNbr=0M03720&amp;SearchIndvId=1969241</x:v>
      </x:c>
      <x:c r="AO88" s="7" t="str">
        <x:v>2026-10-08</x:v>
      </x:c>
      <x:c r="AP88" s="7" t="str">
        <x:v>95b637c88066024036f860742cd03f2bede2732e4b63a32d76b9e429660a5018</x:v>
      </x:c>
      <x:c r="AQ88" s="7" t="str">
        <x:v>Accident &amp; Health or Sickness / Inactive / 11/06/2017 / 11/30/2023 / 11/30/2023
Life / Inactive / 11/06/2017 / 11/30/2023 / 11/30/2023
Var Life and Var Annuity / Inactive / 11/22/2017 / 11/30/2023 / 11/30/2023</x:v>
      </x:c>
      <x:c r="AR88" s="7" t="str">
        <x:v>Inactive</x:v>
      </x:c>
      <x:c r="AS88" s="7" t="str">
        <x:v>Current detail page</x:v>
      </x:c>
    </x:row>
    <x:row r="89" ht="52" customHeight="1">
      <x:c r="A89" s="7" t="str">
        <x:v>AGUILAR ANAYELY</x:v>
      </x:c>
      <x:c r="B89" s="14" t="str">
        <x:f>"0M88081"</x:f>
        <x:v>0M88081</x:v>
      </x:c>
      <x:c r="C89" s="7" t="str">
        <x:v>Omitted</x:v>
      </x:c>
      <x:c r="D89" s="7" t="str">
        <x:v>FAIL</x:v>
      </x:c>
      <x:c r="E89" s="13" t="str">
        <x:v>Pending</x:v>
      </x:c>
      <x:c r="F89" s="13" t="str"/>
      <x:c r="G89" s="13" t="str"/>
      <x:c r="H89" s="13" t="str"/>
      <x:c r="I89" s="7" t="str">
        <x:v>Was this person reviewed? If rejected, give the actual rule and evidence. If acceptable, correct the omission. Confirm the Life-qualification gate and any record change since selection.</x:v>
      </x:c>
      <x:c r="J89" s="7" t="str">
        <x:v>L1</x:v>
      </x:c>
      <x:c r="K89" s="7" t="str">
        <x:v>Verified qualifications do not include active general Life. Current target-pool mismatch; actual historical omission reason unknown.</x:v>
      </x:c>
      <x:c r="L89" s="7" t="str">
        <x:v>Not supplied; membership is known, motive is not</x:v>
      </x:c>
      <x:c r="M89" s="7" t="n">
        <x:v>7</x:v>
      </x:c>
      <x:c r="N89" s="7" t="str">
        <x:v>Outside current general-Life recruiting pool</x:v>
      </x:c>
      <x:c r="O89" s="7" t="str">
        <x:v>Not displayed</x:v>
      </x:c>
      <x:c r="P89" s="7" t="str"/>
      <x:c r="Q89" s="7" t="str"/>
      <x:c r="R89" s="7" t="str"/>
      <x:c r="S89" s="15" t="str"/>
      <x:c r="T89" s="7" t="str">
        <x:v>No public business phone in collected record</x:v>
      </x:c>
      <x:c r="U89" s="7" t="str"/>
      <x:c r="V89" s="7" t="str">
        <x:v>Resident</x:v>
      </x:c>
      <x:c r="W89" s="7" t="str">
        <x:v>CA</x:v>
      </x:c>
      <x:c r="X89" s="7" t="str"/>
      <x:c r="Y89" s="7" t="str"/>
      <x:c r="Z89" s="7" t="str"/>
      <x:c r="AA89" s="7" t="str"/>
      <x:c r="AB89" s="7" t="str"/>
      <x:c r="AC89" s="7" t="str"/>
      <x:c r="AD89" s="7" t="str">
        <x:v>No agency or insurer displayed: onboarding opportunity possible; existing business unknown</x:v>
      </x:c>
      <x:c r="AE89" s="7" t="str">
        <x:v>No public business phone: contact enrichment needed, not proof of poor recruiting fit</x:v>
      </x:c>
      <x:c r="AF89" s="16" t="str"/>
      <x:c r="AG89" s="17" t="str"/>
      <x:c r="AH89" s="7" t="str"/>
      <x:c r="AI89" s="7" t="str">
        <x:v>English, Spanish, Spanish</x:v>
      </x:c>
      <x:c r="AJ89" s="7" t="str"/>
      <x:c r="AK89" s="15" t="str"/>
      <x:c r="AL89" s="7" t="str"/>
      <x:c r="AM89" s="7" t="str">
        <x:v>AGUILAR  ANAYELY</x:v>
      </x:c>
      <x:c r="AN89" s="7" t="str">
        <x:v>https://cdicloud.insurance.ca.gov/cal/LicenseDetail?SearchType=IND&amp;SearchLicNbr=0M88081&amp;SearchIndvId=2095100</x:v>
      </x:c>
      <x:c r="AO89" s="7" t="str">
        <x:v>2026-10-08</x:v>
      </x:c>
      <x:c r="AP89" s="7" t="str">
        <x:v>9f0e045c4eb7f8def3192ff01725f514566ed5fc7f442976fa52927c13dc1c65</x:v>
      </x:c>
      <x:c r="AQ89" s="7" t="str">
        <x:v>Accident and Health / Inactive / 08/05/2019 / 03/31/2021 / 03/31/2021
Casualty Broker-Agent / Inactive / 03/19/2019 / 03/31/2021 / 03/31/2021
Life-Only / Inactive / 08/05/2019 / 03/31/2021 / 03/31/2021
Property Broker-Agent / Inactive / 03/19/2019 / 03/31/2021 / 03/31/2021</x:v>
      </x:c>
      <x:c r="AR89" s="7" t="str">
        <x:v>Inactive</x:v>
      </x:c>
      <x:c r="AS89" s="7" t="str">
        <x:v>Current detail page</x:v>
      </x:c>
    </x:row>
    <x:row r="90" ht="52" customHeight="1">
      <x:c r="A90" s="7" t="str">
        <x:v>AGUILAR ANDREA</x:v>
      </x:c>
      <x:c r="B90" s="14" t="str">
        <x:f>"0L00765"</x:f>
        <x:v>0L00765</x:v>
      </x:c>
      <x:c r="C90" s="7" t="str">
        <x:v>Omitted</x:v>
      </x:c>
      <x:c r="D90" s="7" t="str">
        <x:v>FAIL</x:v>
      </x:c>
      <x:c r="E90" s="13" t="str">
        <x:v>Pending</x:v>
      </x:c>
      <x:c r="F90" s="13" t="str"/>
      <x:c r="G90" s="13" t="str"/>
      <x:c r="H90" s="13" t="str"/>
      <x:c r="I90" s="7" t="str">
        <x:v>Was this person reviewed? If rejected, give the actual rule and evidence. If acceptable, correct the omission. Confirm the Life-qualification gate and any record change since selection.</x:v>
      </x:c>
      <x:c r="J90" s="7" t="str">
        <x:v>L1</x:v>
      </x:c>
      <x:c r="K90" s="7" t="str">
        <x:v>Verified qualifications do not include active general Life. Current target-pool mismatch; actual historical omission reason unknown.</x:v>
      </x:c>
      <x:c r="L90" s="7" t="str">
        <x:v>Not supplied; membership is known, motive is not</x:v>
      </x:c>
      <x:c r="M90" s="7" t="n">
        <x:v>7</x:v>
      </x:c>
      <x:c r="N90" s="7" t="str">
        <x:v>Outside current general-Life recruiting pool</x:v>
      </x:c>
      <x:c r="O90" s="7" t="str">
        <x:v>Not displayed</x:v>
      </x:c>
      <x:c r="P90" s="7" t="str"/>
      <x:c r="Q90" s="7" t="str"/>
      <x:c r="R90" s="7" t="str"/>
      <x:c r="S90" s="15" t="str"/>
      <x:c r="T90" s="7" t="str">
        <x:v>No public business phone in collected record</x:v>
      </x:c>
      <x:c r="U90" s="7" t="str"/>
      <x:c r="V90" s="7" t="str">
        <x:v>Non-resident</x:v>
      </x:c>
      <x:c r="W90" s="7" t="str">
        <x:v>NV</x:v>
      </x:c>
      <x:c r="X90" s="7" t="str"/>
      <x:c r="Y90" s="7" t="str"/>
      <x:c r="Z90" s="7" t="str"/>
      <x:c r="AA90" s="7" t="str"/>
      <x:c r="AB90" s="7" t="str"/>
      <x:c r="AC90" s="7" t="str"/>
      <x:c r="AD90" s="7" t="str">
        <x:v>No agency or insurer displayed: onboarding opportunity possible; existing business unknown</x:v>
      </x:c>
      <x:c r="AE90" s="7" t="str">
        <x:v>Nonresident or address state outside CA; confirm geographic recruiting scope | No public business phone: contact enrichment needed, not proof of poor recruiting fit</x:v>
      </x:c>
      <x:c r="AF90" s="16" t="str"/>
      <x:c r="AG90" s="17" t="str"/>
      <x:c r="AH90" s="7" t="str"/>
      <x:c r="AI90" s="7" t="str"/>
      <x:c r="AJ90" s="7" t="str"/>
      <x:c r="AK90" s="15" t="str"/>
      <x:c r="AL90" s="7" t="str"/>
      <x:c r="AM90" s="7" t="str">
        <x:v>AGUILAR  ANDREA</x:v>
      </x:c>
      <x:c r="AN90" s="7" t="str">
        <x:v>https://cdicloud.insurance.ca.gov/cal/LicenseDetail?SearchType=IND&amp;SearchLicNbr=0L00765&amp;SearchIndvId=1852500</x:v>
      </x:c>
      <x:c r="AO90" s="7" t="str">
        <x:v>2026-10-08</x:v>
      </x:c>
      <x:c r="AP90" s="7" t="str">
        <x:v>0af79197e9068d3b8539b4e4669162960b899f7275b3bd5105f3db5d41692ebf</x:v>
      </x:c>
      <x:c r="AQ90" s="7" t="str">
        <x:v>Casualty Broker-Agent / Inactive / 07/20/2016 / 07/31/2018 / 07/31/2018
Property Broker-Agent / Inactive / 07/20/2016 / 07/31/2018 / 07/31/2018</x:v>
      </x:c>
      <x:c r="AR90" s="7" t="str">
        <x:v>Inactive</x:v>
      </x:c>
      <x:c r="AS90" s="7" t="str">
        <x:v>Current detail page</x:v>
      </x:c>
    </x:row>
    <x:row r="91" ht="52" customHeight="1">
      <x:c r="A91" s="7" t="str">
        <x:v>AGUILAR ANDREA</x:v>
      </x:c>
      <x:c r="B91" s="14" t="str">
        <x:f>"4537223"</x:f>
        <x:v>4537223</x:v>
      </x:c>
      <x:c r="C91" s="7" t="str">
        <x:v>Omitted</x:v>
      </x:c>
      <x:c r="D91" s="7" t="str">
        <x:v>FAIL</x:v>
      </x:c>
      <x:c r="E91" s="13" t="str">
        <x:v>Pending</x:v>
      </x:c>
      <x:c r="F91" s="13" t="str"/>
      <x:c r="G91" s="13" t="str"/>
      <x:c r="H91" s="13" t="str"/>
      <x:c r="I91" s="7" t="str">
        <x:v>Was this person reviewed? If rejected, give the actual rule and evidence. If acceptable, correct the omission. Confirm the Life-qualification gate and any record change since selection.</x:v>
      </x:c>
      <x:c r="J91" s="7" t="str">
        <x:v>L1</x:v>
      </x:c>
      <x:c r="K91" s="7" t="str">
        <x:v>Verified qualifications do not include active general Life. Current target-pool mismatch; actual historical omission reason unknown.</x:v>
      </x:c>
      <x:c r="L91" s="7" t="str">
        <x:v>Not supplied; membership is known, motive is not</x:v>
      </x:c>
      <x:c r="M91" s="7" t="n">
        <x:v>7</x:v>
      </x:c>
      <x:c r="N91" s="7" t="str">
        <x:v>Outside current general-Life recruiting pool</x:v>
      </x:c>
      <x:c r="O91" s="7" t="str">
        <x:v>Not displayed</x:v>
      </x:c>
      <x:c r="P91" s="7" t="str"/>
      <x:c r="Q91" s="7" t="str"/>
      <x:c r="R91" s="7" t="str">
        <x:v>Casualty; Property</x:v>
      </x:c>
      <x:c r="S91" s="15" t="str"/>
      <x:c r="T91" s="7" t="str">
        <x:v>No public business phone in collected record</x:v>
      </x:c>
      <x:c r="U91" s="7" t="str">
        <x:v>6303 OWENSMOUTH AVE WOODLAND HILLS CA, 91367</x:v>
      </x:c>
      <x:c r="V91" s="7" t="str">
        <x:v>Non-resident</x:v>
      </x:c>
      <x:c r="W91" s="7" t="str">
        <x:v>CA</x:v>
      </x:c>
      <x:c r="X91" s="7" t="str">
        <x:v>FX INSURANCE AGENCY, LLC / Casualty / 03/24/2026
FX INSURANCE AGENCY, LLC / Property / 03/24/2026</x:v>
      </x:c>
      <x:c r="Y91" s="7" t="str"/>
      <x:c r="Z91" s="7" t="str"/>
      <x:c r="AA91" s="7" t="str"/>
      <x:c r="AB91" s="7" t="str"/>
      <x:c r="AC91" s="7" t="str"/>
      <x:c r="AD91" s="7" t="str"/>
      <x:c r="AE91"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91" s="16" t="str"/>
      <x:c r="AG91" s="17" t="str"/>
      <x:c r="AH91" s="7" t="str"/>
      <x:c r="AI91" s="7" t="str"/>
      <x:c r="AJ91" s="7" t="str"/>
      <x:c r="AK91" s="15" t="str"/>
      <x:c r="AL91" s="7" t="str"/>
      <x:c r="AM91" s="7" t="str">
        <x:v>AGUILAR  ANDREA</x:v>
      </x:c>
      <x:c r="AN91" s="7" t="str">
        <x:v>https://cdicloud.insurance.ca.gov/cal/LicenseDetail?SearchType=IND&amp;SearchLicNbr=4537223&amp;SearchIndvId=4537223</x:v>
      </x:c>
      <x:c r="AO91" s="7" t="str">
        <x:v>2026-10-08</x:v>
      </x:c>
      <x:c r="AP91" s="7" t="str">
        <x:v>471bb1d1e9fcb274494ab787c86a13a2978a4d8a510c052eb690ce96bc57d601</x:v>
      </x:c>
      <x:c r="AQ91" s="7" t="str">
        <x:v>Casualty / Active / 03/20/2026 / 03/20/2026 / 03/31/2028
Property / Active / 03/20/2026 / 03/20/2026 / 03/31/2028</x:v>
      </x:c>
      <x:c r="AR91" s="7" t="str">
        <x:v>Active</x:v>
      </x:c>
      <x:c r="AS91" s="7" t="str">
        <x:v>Current detail page</x:v>
      </x:c>
    </x:row>
    <x:row r="92" ht="52" customHeight="1">
      <x:c r="A92" s="7" t="str">
        <x:v>AGUILAR ANDREA</x:v>
      </x:c>
      <x:c r="B92" s="14" t="str">
        <x:f>"4566324"</x:f>
        <x:v>4566324</x:v>
      </x:c>
      <x:c r="C92" s="7" t="str">
        <x:v>Omitted</x:v>
      </x:c>
      <x:c r="D92" s="7" t="str">
        <x:v>FAIL</x:v>
      </x:c>
      <x:c r="E92" s="13" t="str">
        <x:v>Pending</x:v>
      </x:c>
      <x:c r="F92" s="13" t="str"/>
      <x:c r="G92" s="13" t="str"/>
      <x:c r="H92" s="13" t="str"/>
      <x:c r="I92" s="7" t="str">
        <x:v>Was this person reviewed? If rejected, give the actual rule and evidence. If acceptable, correct the omission. Confirm the Life-qualification gate and any record change since selection.</x:v>
      </x:c>
      <x:c r="J92" s="7" t="str">
        <x:v>L1</x:v>
      </x:c>
      <x:c r="K92" s="7" t="str">
        <x:v>Verified qualifications do not include active general Life. Current target-pool mismatch; actual historical omission reason unknown.</x:v>
      </x:c>
      <x:c r="L92" s="7" t="str">
        <x:v>Not supplied; membership is known, motive is not</x:v>
      </x:c>
      <x:c r="M92" s="7" t="n">
        <x:v>7</x:v>
      </x:c>
      <x:c r="N92" s="7" t="str">
        <x:v>Outside current general-Life recruiting pool</x:v>
      </x:c>
      <x:c r="O92" s="7" t="str">
        <x:v>Not displayed</x:v>
      </x:c>
      <x:c r="P92" s="7" t="str"/>
      <x:c r="Q92" s="7" t="str"/>
      <x:c r="R92" s="7" t="str">
        <x:v>Accident &amp; Health or Sickness</x:v>
      </x:c>
      <x:c r="S92" s="15" t="str"/>
      <x:c r="T92" s="7" t="str">
        <x:v>No public business phone in collected record</x:v>
      </x:c>
      <x:c r="U92" s="7" t="str">
        <x:v>6437 MAYO ST HOLLYWOOD FL, 33023-2133</x:v>
      </x:c>
      <x:c r="V92" s="7" t="str">
        <x:v>Non-resident</x:v>
      </x:c>
      <x:c r="W92" s="7" t="str">
        <x:v>FL</x:v>
      </x:c>
      <x:c r="X92" s="7" t="str"/>
      <x:c r="Y92" s="7" t="str"/>
      <x:c r="Z92" s="7" t="str"/>
      <x:c r="AA92" s="7" t="str"/>
      <x:c r="AB92" s="7" t="str"/>
      <x:c r="AC92" s="7" t="str"/>
      <x:c r="AD92" s="7" t="str">
        <x:v>No agency or insurer displayed: onboarding opportunity possible; existing business unknown | Active A&amp;H supports optional cross-selling; not necessary for target products</x:v>
      </x:c>
      <x:c r="AE92" s="7" t="str">
        <x:v>Nonresident or address state outside CA; confirm geographic recruiting scope | No public business phone: contact enrichment needed, not proof of poor recruiting fit</x:v>
      </x:c>
      <x:c r="AF92" s="16" t="str"/>
      <x:c r="AG92" s="17" t="str"/>
      <x:c r="AH92" s="7" t="str"/>
      <x:c r="AI92" s="7" t="str"/>
      <x:c r="AJ92" s="7" t="str"/>
      <x:c r="AK92" s="15" t="str"/>
      <x:c r="AL92" s="7" t="str"/>
      <x:c r="AM92" s="7" t="str">
        <x:v>AGUILAR  ANDREA</x:v>
      </x:c>
      <x:c r="AN92" s="7" t="str">
        <x:v>https://cdicloud.insurance.ca.gov/cal/LicenseDetail?SearchType=IND&amp;SearchLicNbr=4566324&amp;SearchIndvId=4566324</x:v>
      </x:c>
      <x:c r="AO92" s="7" t="str">
        <x:v>2026-10-08</x:v>
      </x:c>
      <x:c r="AP92" s="7" t="str">
        <x:v>88c420c1495dfb1ae429116de02a6270623104ec8e5cd24c3653caf2094eaed9</x:v>
      </x:c>
      <x:c r="AQ92" s="7" t="str">
        <x:v>Accident &amp; Health or Sickness / Active / 07/24/2026 / 07/24/2026 / 07/31/2028</x:v>
      </x:c>
      <x:c r="AR92" s="7" t="str">
        <x:v>Active</x:v>
      </x:c>
      <x:c r="AS92" s="7" t="str">
        <x:v>Current detail page</x:v>
      </x:c>
    </x:row>
    <x:row r="93" ht="52" customHeight="1">
      <x:c r="A93" s="7" t="str">
        <x:v>AGUILAR ANDREA DORIA</x:v>
      </x:c>
      <x:c r="B93" s="14" t="str">
        <x:f>"0K76524"</x:f>
        <x:v>0K76524</x:v>
      </x:c>
      <x:c r="C93" s="7" t="str">
        <x:v>Omitted</x:v>
      </x:c>
      <x:c r="D93" s="7" t="str">
        <x:v>FAIL</x:v>
      </x:c>
      <x:c r="E93" s="13" t="str">
        <x:v>Pending</x:v>
      </x:c>
      <x:c r="F93" s="13" t="str"/>
      <x:c r="G93" s="13" t="str"/>
      <x:c r="H93" s="13" t="str"/>
      <x:c r="I93" s="7" t="str">
        <x:v>Was this person reviewed? If rejected, give the actual rule and evidence. If acceptable, correct the omission. Confirm the Life-qualification gate and any record change since selection.</x:v>
      </x:c>
      <x:c r="J93" s="7" t="str">
        <x:v>L1</x:v>
      </x:c>
      <x:c r="K93" s="7" t="str">
        <x:v>Verified qualifications do not include active general Life. Current target-pool mismatch; actual historical omission reason unknown.</x:v>
      </x:c>
      <x:c r="L93" s="7" t="str">
        <x:v>Not supplied; membership is known, motive is not</x:v>
      </x:c>
      <x:c r="M93" s="7" t="n">
        <x:v>7</x:v>
      </x:c>
      <x:c r="N93" s="7" t="str">
        <x:v>Outside current general-Life recruiting pool</x:v>
      </x:c>
      <x:c r="O93" s="7" t="str">
        <x:v>Not displayed</x:v>
      </x:c>
      <x:c r="P93" s="7" t="str"/>
      <x:c r="Q93" s="7" t="str"/>
      <x:c r="R93" s="7" t="str"/>
      <x:c r="S93" s="15" t="str"/>
      <x:c r="T93" s="7" t="str">
        <x:v>No public business phone in collected record</x:v>
      </x:c>
      <x:c r="U93" s="7" t="str"/>
      <x:c r="V93" s="7" t="str">
        <x:v>Resident</x:v>
      </x:c>
      <x:c r="W93" s="7" t="str">
        <x:v>CA</x:v>
      </x:c>
      <x:c r="X93" s="7" t="str"/>
      <x:c r="Y93" s="7" t="str"/>
      <x:c r="Z93" s="7" t="str"/>
      <x:c r="AA93" s="7" t="str"/>
      <x:c r="AB93" s="7" t="str"/>
      <x:c r="AC93" s="7" t="str"/>
      <x:c r="AD93" s="7" t="str">
        <x:v>No agency or insurer displayed: onboarding opportunity possible; existing business unknown</x:v>
      </x:c>
      <x:c r="AE93" s="7" t="str">
        <x:v>No public business phone: contact enrichment needed, not proof of poor recruiting fit</x:v>
      </x:c>
      <x:c r="AF93" s="16" t="str"/>
      <x:c r="AG93" s="17" t="str"/>
      <x:c r="AH93" s="7" t="str"/>
      <x:c r="AI93" s="7" t="str"/>
      <x:c r="AJ93" s="7" t="str"/>
      <x:c r="AK93" s="15" t="str"/>
      <x:c r="AL93" s="7" t="str"/>
      <x:c r="AM93" s="7" t="str">
        <x:v>AGUILAR DORIA ANDREA</x:v>
      </x:c>
      <x:c r="AN93" s="7" t="str">
        <x:v>https://cdicloud.insurance.ca.gov/cal/LicenseDetail?SearchType=IND&amp;SearchLicNbr=0K76524&amp;SearchIndvId=1822683</x:v>
      </x:c>
      <x:c r="AO93" s="7" t="str">
        <x:v>2026-10-08</x:v>
      </x:c>
      <x:c r="AP93" s="7" t="str">
        <x:v>0999acd37211a083f6f33b13fd704ce7dd2eca7577a84706cb962769f263ce46</x:v>
      </x:c>
      <x:c r="AQ93" s="7" t="str">
        <x:v>Accident and Health / Inactive / 02/26/2016 / 02/28/2018 / 02/28/2018
Life-Only / Inactive / 02/26/2016 / 02/28/2018 / 02/28/2018</x:v>
      </x:c>
      <x:c r="AR93" s="7" t="str">
        <x:v>Inactive</x:v>
      </x:c>
      <x:c r="AS93" s="7" t="str">
        <x:v>Current detail page</x:v>
      </x:c>
    </x:row>
    <x:row r="94" ht="52" customHeight="1">
      <x:c r="A94" s="7" t="str">
        <x:v>AGUILAR ANDREA ELENA</x:v>
      </x:c>
      <x:c r="B94" s="14" t="str">
        <x:f>"4020999"</x:f>
        <x:v>4020999</x:v>
      </x:c>
      <x:c r="C94" s="7" t="str">
        <x:v>Omitted</x:v>
      </x:c>
      <x:c r="D94" s="7" t="str">
        <x:v>FAIL</x:v>
      </x:c>
      <x:c r="E94" s="13" t="str">
        <x:v>Pending</x:v>
      </x:c>
      <x:c r="F94" s="13" t="str"/>
      <x:c r="G94" s="13" t="str"/>
      <x:c r="H94" s="13" t="str"/>
      <x:c r="I94" s="7" t="str">
        <x:v>Was this person reviewed? If rejected, give the actual rule and evidence. If acceptable, correct the omission. Confirm the Life-qualification gate and any record change since selection.</x:v>
      </x:c>
      <x:c r="J94" s="7" t="str">
        <x:v>L1</x:v>
      </x:c>
      <x:c r="K94" s="7" t="str">
        <x:v>Verified qualifications do not include active general Life. Current target-pool mismatch; actual historical omission reason unknown.</x:v>
      </x:c>
      <x:c r="L94" s="7" t="str">
        <x:v>Not supplied; membership is known, motive is not</x:v>
      </x:c>
      <x:c r="M94" s="7" t="n">
        <x:v>7</x:v>
      </x:c>
      <x:c r="N94" s="7" t="str">
        <x:v>Outside current general-Life recruiting pool</x:v>
      </x:c>
      <x:c r="O94" s="7" t="str">
        <x:v>Inactive</x:v>
      </x:c>
      <x:c r="P94" s="7" t="str">
        <x:v>11/20/2019</x:v>
      </x:c>
      <x:c r="Q94" s="7" t="str">
        <x:v>11/30/2021</x:v>
      </x:c>
      <x:c r="R94" s="7" t="str"/>
      <x:c r="S94" s="15" t="str"/>
      <x:c r="T94" s="7" t="str">
        <x:v>No public business phone in collected record</x:v>
      </x:c>
      <x:c r="U94" s="7" t="str">
        <x:v>525 TECHNOLOGY CT. SUITE 103 RIVERSIDE CA, 92507</x:v>
      </x:c>
      <x:c r="V94" s="7" t="str">
        <x:v>Resident</x:v>
      </x:c>
      <x:c r="W94" s="7" t="str">
        <x:v>CA</x:v>
      </x:c>
      <x:c r="X94" s="7" t="str"/>
      <x:c r="Y94" s="7" t="str"/>
      <x:c r="Z94" s="7" t="str"/>
      <x:c r="AA94" s="7" t="str"/>
      <x:c r="AB94" s="7" t="str"/>
      <x:c r="AC94" s="7" t="str"/>
      <x:c r="AD94" s="7" t="str">
        <x:v>No agency or insurer displayed: onboarding opportunity possible; existing business unknown</x:v>
      </x:c>
      <x:c r="AE94" s="7" t="str">
        <x:v>No public business phone: contact enrichment needed, not proof of poor recruiting fit</x:v>
      </x:c>
      <x:c r="AF94" s="16" t="str"/>
      <x:c r="AG94" s="17" t="str"/>
      <x:c r="AH94" s="7" t="str"/>
      <x:c r="AI94" s="7" t="str"/>
      <x:c r="AJ94" s="7" t="str"/>
      <x:c r="AK94" s="15" t="str"/>
      <x:c r="AL94" s="7" t="str"/>
      <x:c r="AM94" s="7" t="str">
        <x:v>Aguilar E Andrea | AGUILAR ELENA ANDREA</x:v>
      </x:c>
      <x:c r="AN94" s="7" t="str">
        <x:v>https://cdicloud.insurance.ca.gov/cal/LicenseDetail?SearchType=IND&amp;SearchLicNbr=4020999&amp;SearchIndvId=4020999</x:v>
      </x:c>
      <x:c r="AO94" s="7" t="str">
        <x:v>2026-10-08</x:v>
      </x:c>
      <x:c r="AP94" s="7" t="str">
        <x:v>bcfdea78802ac276e384b13c56a45f4fc717e1a4e4265fb15209831020a331bb</x:v>
      </x:c>
      <x:c r="AQ94" s="7" t="str">
        <x:v>Life / Inactive / 11/20/2019 / 11/30/2021 / 11/30/2021</x:v>
      </x:c>
      <x:c r="AR94" s="7" t="str">
        <x:v>Inactive</x:v>
      </x:c>
      <x:c r="AS94" s="7" t="str">
        <x:v>Current detail page</x:v>
      </x:c>
    </x:row>
    <x:row r="95" ht="52" customHeight="1">
      <x:c r="A95" s="7" t="str">
        <x:v>AGUILAR ANDREA ISABEL</x:v>
      </x:c>
      <x:c r="B95" s="14" t="str">
        <x:f>"0M40769"</x:f>
        <x:v>0M40769</x:v>
      </x:c>
      <x:c r="C95" s="7" t="str">
        <x:v>Omitted</x:v>
      </x:c>
      <x:c r="D95" s="7" t="str">
        <x:v>FAIL</x:v>
      </x:c>
      <x:c r="E95" s="13" t="str">
        <x:v>Pending</x:v>
      </x:c>
      <x:c r="F95" s="13" t="str"/>
      <x:c r="G95" s="13" t="str"/>
      <x:c r="H95" s="13" t="str"/>
      <x:c r="I95" s="7" t="str">
        <x:v>Was this person reviewed? If rejected, give the actual rule and evidence. If acceptable, correct the omission. Confirm the Life-qualification gate and any record change since selection.</x:v>
      </x:c>
      <x:c r="J95" s="7" t="str">
        <x:v>L1</x:v>
      </x:c>
      <x:c r="K95" s="7" t="str">
        <x:v>Verified qualifications do not include active general Life. Current target-pool mismatch; actual historical omission reason unknown.</x:v>
      </x:c>
      <x:c r="L95" s="7" t="str">
        <x:v>Not supplied; membership is known, motive is not</x:v>
      </x:c>
      <x:c r="M95" s="7" t="n">
        <x:v>7</x:v>
      </x:c>
      <x:c r="N95" s="7" t="str">
        <x:v>Outside current general-Life recruiting pool</x:v>
      </x:c>
      <x:c r="O95" s="7" t="str">
        <x:v>Not displayed</x:v>
      </x:c>
      <x:c r="P95" s="7" t="str"/>
      <x:c r="Q95" s="7" t="str"/>
      <x:c r="R95" s="7" t="str">
        <x:v>Casualty; Property</x:v>
      </x:c>
      <x:c r="S95" s="15" t="str">
        <x:v>951-471-2029</x:v>
      </x:c>
      <x:c r="T95" s="7" t="str">
        <x:v>Current CDI</x:v>
      </x:c>
      <x:c r="U95" s="7" t="str">
        <x:v>506 W GRAHAM AVE #104 LAKE ELSINORE CA, 92530</x:v>
      </x:c>
      <x:c r="V95" s="7" t="str">
        <x:v>Resident</x:v>
      </x:c>
      <x:c r="W95" s="7" t="str">
        <x:v>CA</x:v>
      </x:c>
      <x:c r="X95" s="7" t="str"/>
      <x:c r="Y95" s="7" t="str"/>
      <x:c r="Z95" s="7" t="str"/>
      <x:c r="AA95" s="7" t="str"/>
      <x:c r="AB95" s="7" t="str"/>
      <x:c r="AC95" s="7" t="str"/>
      <x:c r="AD95" s="7" t="str">
        <x:v>No agency or insurer displayed: onboarding opportunity possible; existing business unknown</x:v>
      </x:c>
      <x:c r="AE95" s="7" t="str">
        <x:v>P&amp;C/Personal Lines authority without displayed core Life appointments; mixed profile requires review</x:v>
      </x:c>
      <x:c r="AF95" s="16" t="str"/>
      <x:c r="AG95" s="17" t="str"/>
      <x:c r="AH95" s="7" t="str"/>
      <x:c r="AI95" s="7" t="str">
        <x:v>English</x:v>
      </x:c>
      <x:c r="AJ95" s="7" t="str"/>
      <x:c r="AK95" s="15" t="str"/>
      <x:c r="AL95" s="7" t="str"/>
      <x:c r="AM95" s="7" t="str">
        <x:v>AGUILAR ISABEL ANDREA</x:v>
      </x:c>
      <x:c r="AN95" s="7" t="str">
        <x:v>https://cdicloud.insurance.ca.gov/cal/LicenseDetail?SearchType=IND&amp;SearchLicNbr=0M40769&amp;SearchIndvId=2027294</x:v>
      </x:c>
      <x:c r="AO95" s="7" t="str">
        <x:v>2026-10-08</x:v>
      </x:c>
      <x:c r="AP95" s="7" t="str">
        <x:v>377e302e11a7283af20c7e4b1440001fdc019eb838889e3510f1ed10b297e82f</x:v>
      </x:c>
      <x:c r="AQ95" s="7" t="str">
        <x:v>Casualty / Active / 09/09/2022 / 09/09/2022 / 09/30/2028
Property / Active / 09/09/2022 / 09/09/2022 / 09/30/2028</x:v>
      </x:c>
      <x:c r="AR95" s="7" t="str">
        <x:v>Active</x:v>
      </x:c>
      <x:c r="AS95" s="7" t="str">
        <x:v>Current detail page</x:v>
      </x:c>
    </x:row>
    <x:row r="96" ht="52" customHeight="1">
      <x:c r="A96" s="7" t="str">
        <x:v>AGUILAR ANDREA ISABEL</x:v>
      </x:c>
      <x:c r="B96" s="14" t="str">
        <x:f>"4145405"</x:f>
        <x:v>4145405</x:v>
      </x:c>
      <x:c r="C96" s="7" t="str">
        <x:v>Omitted</x:v>
      </x:c>
      <x:c r="D96" s="7" t="str">
        <x:v>FAIL</x:v>
      </x:c>
      <x:c r="E96" s="13" t="str">
        <x:v>Pending</x:v>
      </x:c>
      <x:c r="F96" s="13" t="str"/>
      <x:c r="G96" s="13" t="str"/>
      <x:c r="H96" s="13" t="str"/>
      <x:c r="I96" s="7" t="str">
        <x:v>Was this person reviewed? If rejected, give the actual rule and evidence. If acceptable, correct the omission. Confirm the Life-qualification gate and any record change since selection.</x:v>
      </x:c>
      <x:c r="J96" s="7" t="str">
        <x:v>L1</x:v>
      </x:c>
      <x:c r="K96" s="7" t="str">
        <x:v>Verified qualifications do not include active general Life. Current target-pool mismatch; actual historical omission reason unknown.</x:v>
      </x:c>
      <x:c r="L96" s="7" t="str">
        <x:v>Not supplied; membership is known, motive is not</x:v>
      </x:c>
      <x:c r="M96" s="7" t="n">
        <x:v>7</x:v>
      </x:c>
      <x:c r="N96" s="7" t="str">
        <x:v>Outside current general-Life recruiting pool</x:v>
      </x:c>
      <x:c r="O96" s="7" t="str">
        <x:v>Not displayed</x:v>
      </x:c>
      <x:c r="P96" s="7" t="str"/>
      <x:c r="Q96" s="7" t="str"/>
      <x:c r="R96" s="7" t="str"/>
      <x:c r="S96" s="15" t="str"/>
      <x:c r="T96" s="7" t="str">
        <x:v>No public business phone in collected record</x:v>
      </x:c>
      <x:c r="U96" s="7" t="str">
        <x:v>17875 VON KARMAN AVE #300 IRVINE CA, 92614</x:v>
      </x:c>
      <x:c r="V96" s="7" t="str">
        <x:v>Resident</x:v>
      </x:c>
      <x:c r="W96" s="7" t="str">
        <x:v>CA</x:v>
      </x:c>
      <x:c r="X96" s="7" t="str"/>
      <x:c r="Y96" s="7" t="str"/>
      <x:c r="Z96" s="7" t="str"/>
      <x:c r="AA96" s="7" t="str"/>
      <x:c r="AB96" s="7" t="str"/>
      <x:c r="AC96" s="7" t="str"/>
      <x:c r="AD96" s="7" t="str">
        <x:v>No agency or insurer displayed: onboarding opportunity possible; existing business unknown</x:v>
      </x:c>
      <x:c r="AE96" s="7" t="str">
        <x:v>No public business phone: contact enrichment needed, not proof of poor recruiting fit</x:v>
      </x:c>
      <x:c r="AF96" s="16" t="str"/>
      <x:c r="AG96" s="17" t="str"/>
      <x:c r="AH96" s="7" t="str"/>
      <x:c r="AI96" s="7" t="str">
        <x:v>English</x:v>
      </x:c>
      <x:c r="AJ96" s="7" t="str"/>
      <x:c r="AK96" s="15" t="str"/>
      <x:c r="AL96" s="7" t="str"/>
      <x:c r="AM96" s="7" t="str">
        <x:v>AGUILAR  ANDREA ISABEL</x:v>
      </x:c>
      <x:c r="AN96" s="7" t="str">
        <x:v>https://cdicloud.insurance.ca.gov/cal/LicenseDetail?SearchType=IND&amp;SearchLicNbr=4145405&amp;SearchIndvId=4145405</x:v>
      </x:c>
      <x:c r="AO96" s="7" t="str">
        <x:v>2026-10-08</x:v>
      </x:c>
      <x:c r="AP96" s="7" t="str">
        <x:v>f87f12730b88e06f1790f289db5470641bbf0fe0c02de62acb531107666a84e8</x:v>
      </x:c>
      <x:c r="AQ96" s="7" t="str">
        <x:v>Casualty / Inactive / 08/11/2021 / 08/31/2023 / 08/31/2023
Property / Inactive / 08/11/2021 / 08/31/2023 / 08/31/2023
Surplus Lines Broker / Inactive / 12/02/2021 / 08/31/2023 / 08/31/2023</x:v>
      </x:c>
      <x:c r="AR96" s="7" t="str">
        <x:v>Inactive</x:v>
      </x:c>
      <x:c r="AS96" s="7" t="str">
        <x:v>Current detail page</x:v>
      </x:c>
    </x:row>
    <x:row r="97" ht="52" customHeight="1">
      <x:c r="A97" s="7" t="str">
        <x:v>AGUILAR ANDREA MERCEDES</x:v>
      </x:c>
      <x:c r="B97" s="14" t="str">
        <x:f>"0L67764"</x:f>
        <x:v>0L67764</x:v>
      </x:c>
      <x:c r="C97" s="7" t="str">
        <x:v>Omitted</x:v>
      </x:c>
      <x:c r="D97" s="7" t="str">
        <x:v>FAIL</x:v>
      </x:c>
      <x:c r="E97" s="13" t="str">
        <x:v>Pending</x:v>
      </x:c>
      <x:c r="F97" s="13" t="str"/>
      <x:c r="G97" s="13" t="str"/>
      <x:c r="H97" s="13" t="str"/>
      <x:c r="I97" s="7" t="str">
        <x:v>Was this person reviewed? If rejected, give the actual rule and evidence. If acceptable, correct the omission. Confirm the Life-qualification gate and any record change since selection.</x:v>
      </x:c>
      <x:c r="J97" s="7" t="str">
        <x:v>L1</x:v>
      </x:c>
      <x:c r="K97" s="7" t="str">
        <x:v>Verified qualifications do not include active general Life. Current target-pool mismatch; actual historical omission reason unknown.</x:v>
      </x:c>
      <x:c r="L97" s="7" t="str">
        <x:v>Not supplied; membership is known, motive is not</x:v>
      </x:c>
      <x:c r="M97" s="7" t="n">
        <x:v>7</x:v>
      </x:c>
      <x:c r="N97" s="7" t="str">
        <x:v>Outside current general-Life recruiting pool</x:v>
      </x:c>
      <x:c r="O97" s="7" t="str">
        <x:v>Not displayed</x:v>
      </x:c>
      <x:c r="P97" s="7" t="str"/>
      <x:c r="Q97" s="7" t="str"/>
      <x:c r="R97" s="7" t="str"/>
      <x:c r="S97" s="15" t="str"/>
      <x:c r="T97" s="7" t="str">
        <x:v>No public business phone in collected record</x:v>
      </x:c>
      <x:c r="U97" s="7" t="str"/>
      <x:c r="V97" s="7" t="str">
        <x:v>Resident</x:v>
      </x:c>
      <x:c r="W97" s="7" t="str">
        <x:v>CA</x:v>
      </x:c>
      <x:c r="X97" s="7" t="str"/>
      <x:c r="Y97" s="7" t="str"/>
      <x:c r="Z97" s="7" t="str"/>
      <x:c r="AA97" s="7" t="str"/>
      <x:c r="AB97" s="7" t="str"/>
      <x:c r="AC97" s="7" t="str"/>
      <x:c r="AD97" s="7" t="str">
        <x:v>No agency or insurer displayed: onboarding opportunity possible; existing business unknown</x:v>
      </x:c>
      <x:c r="AE97" s="7" t="str">
        <x:v>No public business phone: contact enrichment needed, not proof of poor recruiting fit</x:v>
      </x:c>
      <x:c r="AF97" s="16" t="str"/>
      <x:c r="AG97" s="17" t="str"/>
      <x:c r="AH97" s="7" t="str"/>
      <x:c r="AI97" s="7" t="str">
        <x:v>Spanish, Spanish</x:v>
      </x:c>
      <x:c r="AJ97" s="7" t="str"/>
      <x:c r="AK97" s="15" t="str"/>
      <x:c r="AL97" s="7" t="str"/>
      <x:c r="AM97" s="7" t="str">
        <x:v>AGUILAR MERCEDES ANDREA</x:v>
      </x:c>
      <x:c r="AN97" s="7" t="str">
        <x:v>https://cdicloud.insurance.ca.gov/cal/LicenseDetail?SearchType=IND&amp;SearchLicNbr=0L67764&amp;SearchIndvId=1925681</x:v>
      </x:c>
      <x:c r="AO97" s="7" t="str">
        <x:v>2026-10-08</x:v>
      </x:c>
      <x:c r="AP97" s="7" t="str">
        <x:v>c24e25a27ffbfb8a8c5216071ee9e483f0d1e9adb41185e2153069caf3ad1abf</x:v>
      </x:c>
      <x:c r="AQ97" s="7" t="str">
        <x:v>Casualty Broker-Agent / Inactive / 04/04/2017 / 04/30/2021 / 04/30/2021
Property Broker-Agent / Inactive / 04/04/2017 / 04/30/2021 / 04/30/2021</x:v>
      </x:c>
      <x:c r="AR97" s="7" t="str">
        <x:v>Inactive</x:v>
      </x:c>
      <x:c r="AS97" s="7" t="str">
        <x:v>Current detail page</x:v>
      </x:c>
    </x:row>
    <x:row r="98" ht="52" customHeight="1">
      <x:c r="A98" s="7" t="str">
        <x:v>AGUILAR ANDREA PETRA</x:v>
      </x:c>
      <x:c r="B98" s="14" t="str">
        <x:f>"0I51709"</x:f>
        <x:v>0I51709</x:v>
      </x:c>
      <x:c r="C98" s="7" t="str">
        <x:v>Omitted</x:v>
      </x:c>
      <x:c r="D98" s="7" t="str">
        <x:v>FAIL</x:v>
      </x:c>
      <x:c r="E98" s="13" t="str">
        <x:v>Pending</x:v>
      </x:c>
      <x:c r="F98" s="13" t="str"/>
      <x:c r="G98" s="13" t="str"/>
      <x:c r="H98" s="13" t="str"/>
      <x:c r="I98" s="7" t="str">
        <x:v>Was this person reviewed? If rejected, give the actual rule and evidence. If acceptable, correct the omission. Confirm the Life-qualification gate and any record change since selection.</x:v>
      </x:c>
      <x:c r="J98" s="7" t="str">
        <x:v>L1</x:v>
      </x:c>
      <x:c r="K98" s="7" t="str">
        <x:v>Verified qualifications do not include active general Life. Current target-pool mismatch; actual historical omission reason unknown.</x:v>
      </x:c>
      <x:c r="L98" s="7" t="str">
        <x:v>Not supplied; membership is known, motive is not</x:v>
      </x:c>
      <x:c r="M98" s="7" t="n">
        <x:v>7</x:v>
      </x:c>
      <x:c r="N98" s="7" t="str">
        <x:v>Outside current general-Life recruiting pool</x:v>
      </x:c>
      <x:c r="O98" s="7" t="str">
        <x:v>Not displayed</x:v>
      </x:c>
      <x:c r="P98" s="7" t="str"/>
      <x:c r="Q98" s="7" t="str"/>
      <x:c r="R98" s="7" t="str"/>
      <x:c r="S98" s="15" t="str"/>
      <x:c r="T98" s="7" t="str">
        <x:v>No public business phone in collected record</x:v>
      </x:c>
      <x:c r="U98" s="7" t="str"/>
      <x:c r="V98" s="7" t="str">
        <x:v>Resident</x:v>
      </x:c>
      <x:c r="W98" s="7" t="str">
        <x:v>CA</x:v>
      </x:c>
      <x:c r="X98" s="7" t="str"/>
      <x:c r="Y98" s="7" t="str"/>
      <x:c r="Z98" s="7" t="str"/>
      <x:c r="AA98" s="7" t="str"/>
      <x:c r="AB98" s="7" t="str"/>
      <x:c r="AC98" s="7" t="str"/>
      <x:c r="AD98" s="7" t="str">
        <x:v>No agency or insurer displayed: onboarding opportunity possible; existing business unknown</x:v>
      </x:c>
      <x:c r="AE98" s="7" t="str">
        <x:v>No public business phone: contact enrichment needed, not proof of poor recruiting fit</x:v>
      </x:c>
      <x:c r="AF98" s="16" t="str"/>
      <x:c r="AG98" s="17" t="str"/>
      <x:c r="AH98" s="7" t="str"/>
      <x:c r="AI98" s="7" t="str">
        <x:v>English</x:v>
      </x:c>
      <x:c r="AJ98" s="7" t="str"/>
      <x:c r="AK98" s="15" t="str"/>
      <x:c r="AL98" s="7" t="str"/>
      <x:c r="AM98" s="7" t="str">
        <x:v>AGUILAR PETRA ANDREA</x:v>
      </x:c>
      <x:c r="AN98" s="7" t="str">
        <x:v>https://cdicloud.insurance.ca.gov/cal/LicenseDetail?SearchType=IND&amp;SearchLicNbr=0I51709&amp;SearchIndvId=1611288</x:v>
      </x:c>
      <x:c r="AO98" s="7" t="str">
        <x:v>2026-10-08</x:v>
      </x:c>
      <x:c r="AP98" s="7" t="str">
        <x:v>1b2f16e88cad55daf0861aca50187530ff6176645ed0114173e4b090887eeebe</x:v>
      </x:c>
      <x:c r="AQ98" s="7" t="str">
        <x:v>Personal Lines Broker-Agent / Inactive / 09/17/2013 / 01/12/2015 / 01/12/2015
Personal Lines Broker-Agent / Inactive / 01/12/2015 / 01/31/2019 / 01/31/2019</x:v>
      </x:c>
      <x:c r="AR98" s="7" t="str">
        <x:v>Inactive</x:v>
      </x:c>
      <x:c r="AS98" s="7" t="str">
        <x:v>Current detail page</x:v>
      </x:c>
    </x:row>
    <x:row r="99" ht="52" customHeight="1">
      <x:c r="A99" s="7" t="str">
        <x:v>AGUILAR ANDRES</x:v>
      </x:c>
      <x:c r="B99" s="14" t="str">
        <x:f>"0I85084"</x:f>
        <x:v>0I85084</x:v>
      </x:c>
      <x:c r="C99" s="7" t="str">
        <x:v>Omitted</x:v>
      </x:c>
      <x:c r="D99" s="7" t="str">
        <x:v>FAIL</x:v>
      </x:c>
      <x:c r="E99" s="13" t="str">
        <x:v>Pending</x:v>
      </x:c>
      <x:c r="F99" s="13" t="str"/>
      <x:c r="G99" s="13" t="str"/>
      <x:c r="H99" s="13" t="str"/>
      <x:c r="I99" s="7" t="str">
        <x:v>Was this person reviewed? If rejected, give the actual rule and evidence. If acceptable, correct the omission. Confirm the Life-qualification gate and any record change since selection.</x:v>
      </x:c>
      <x:c r="J99" s="7" t="str">
        <x:v>L1</x:v>
      </x:c>
      <x:c r="K99" s="7" t="str">
        <x:v>Verified qualifications do not include active general Life. Current target-pool mismatch; actual historical omission reason unknown.</x:v>
      </x:c>
      <x:c r="L99" s="7" t="str">
        <x:v>Not supplied; membership is known, motive is not</x:v>
      </x:c>
      <x:c r="M99" s="7" t="n">
        <x:v>7</x:v>
      </x:c>
      <x:c r="N99" s="7" t="str">
        <x:v>Outside current general-Life recruiting pool</x:v>
      </x:c>
      <x:c r="O99" s="7" t="str">
        <x:v>Not displayed</x:v>
      </x:c>
      <x:c r="P99" s="7" t="str"/>
      <x:c r="Q99" s="7" t="str"/>
      <x:c r="R99" s="7" t="str"/>
      <x:c r="S99" s="15" t="str"/>
      <x:c r="T99" s="7" t="str">
        <x:v>No public business phone in collected record</x:v>
      </x:c>
      <x:c r="U99" s="7" t="str"/>
      <x:c r="V99" s="7" t="str">
        <x:v>Resident</x:v>
      </x:c>
      <x:c r="W99" s="7" t="str">
        <x:v>CA</x:v>
      </x:c>
      <x:c r="X99" s="7" t="str"/>
      <x:c r="Y99" s="7" t="str"/>
      <x:c r="Z99" s="7" t="str"/>
      <x:c r="AA99" s="7" t="str"/>
      <x:c r="AB99" s="7" t="str"/>
      <x:c r="AC99" s="7" t="str"/>
      <x:c r="AD99" s="7" t="str">
        <x:v>No agency or insurer displayed: onboarding opportunity possible; existing business unknown</x:v>
      </x:c>
      <x:c r="AE99" s="7" t="str">
        <x:v>No public business phone: contact enrichment needed, not proof of poor recruiting fit</x:v>
      </x:c>
      <x:c r="AF99" s="16" t="str"/>
      <x:c r="AG99" s="17" t="str"/>
      <x:c r="AH99" s="7" t="str"/>
      <x:c r="AI99" s="7" t="str"/>
      <x:c r="AJ99" s="7" t="str"/>
      <x:c r="AK99" s="15" t="str"/>
      <x:c r="AL99" s="7" t="str"/>
      <x:c r="AM99" s="7" t="str">
        <x:v>AGUILAR  ANDRES</x:v>
      </x:c>
      <x:c r="AN99" s="7" t="str">
        <x:v>https://cdicloud.insurance.ca.gov/cal/LicenseDetail?SearchType=IND&amp;SearchLicNbr=0I85084&amp;SearchIndvId=1651959</x:v>
      </x:c>
      <x:c r="AO99" s="7" t="str">
        <x:v>2026-10-08</x:v>
      </x:c>
      <x:c r="AP99" s="7" t="str">
        <x:v>69c6e460fa52f99c76fc6ccb1a80c8309df49c74a5e0acd7972f5bf968464f62</x:v>
      </x:c>
      <x:c r="AQ99" s="7" t="str">
        <x:v>Life-Only / Inactive / 04/22/2014 / 04/30/2016 / 04/30/2016</x:v>
      </x:c>
      <x:c r="AR99" s="7" t="str">
        <x:v>Inactive</x:v>
      </x:c>
      <x:c r="AS99" s="7" t="str">
        <x:v>Current detail page</x:v>
      </x:c>
    </x:row>
    <x:row r="100" ht="52" customHeight="1">
      <x:c r="A100" s="7" t="str">
        <x:v>AGUILAR ANDRES ANTONIO</x:v>
      </x:c>
      <x:c r="B100" s="14" t="str">
        <x:f>"0N10808"</x:f>
        <x:v>0N10808</x:v>
      </x:c>
      <x:c r="C100" s="7" t="str">
        <x:v>Omitted</x:v>
      </x:c>
      <x:c r="D100" s="7" t="str">
        <x:v>FAIL</x:v>
      </x:c>
      <x:c r="E100" s="13" t="str">
        <x:v>Pending</x:v>
      </x:c>
      <x:c r="F100" s="13" t="str"/>
      <x:c r="G100" s="13" t="str"/>
      <x:c r="H100" s="13" t="str"/>
      <x:c r="I100" s="7" t="str">
        <x:v>Was this person reviewed? If rejected, give the actual rule and evidence. If acceptable, correct the omission. Confirm the Life-qualification gate and any record change since selection.</x:v>
      </x:c>
      <x:c r="J100" s="7" t="str">
        <x:v>L1</x:v>
      </x:c>
      <x:c r="K100" s="7" t="str">
        <x:v>Verified qualifications do not include active general Life. Current target-pool mismatch; actual historical omission reason unknown.</x:v>
      </x:c>
      <x:c r="L100" s="7" t="str">
        <x:v>Not supplied; membership is known, motive is not</x:v>
      </x:c>
      <x:c r="M100" s="7" t="n">
        <x:v>7</x:v>
      </x:c>
      <x:c r="N100" s="7" t="str">
        <x:v>Outside current general-Life recruiting pool</x:v>
      </x:c>
      <x:c r="O100" s="7" t="str">
        <x:v>Inactive</x:v>
      </x:c>
      <x:c r="P100" s="7" t="str">
        <x:v>07/30/2019</x:v>
      </x:c>
      <x:c r="Q100" s="7" t="str">
        <x:v>07/31/2021</x:v>
      </x:c>
      <x:c r="R100" s="7" t="str"/>
      <x:c r="S100" s="15" t="str"/>
      <x:c r="T100" s="7" t="str">
        <x:v>No public business phone in collected record</x:v>
      </x:c>
      <x:c r="U100" s="7" t="str"/>
      <x:c r="V100" s="7" t="str">
        <x:v>Resident</x:v>
      </x:c>
      <x:c r="W100" s="7" t="str">
        <x:v>CA</x:v>
      </x:c>
      <x:c r="X100" s="7" t="str"/>
      <x:c r="Y100" s="7" t="str"/>
      <x:c r="Z100" s="7" t="str"/>
      <x:c r="AA100" s="7" t="str"/>
      <x:c r="AB100" s="7" t="str"/>
      <x:c r="AC100" s="7" t="str"/>
      <x:c r="AD100" s="7" t="str">
        <x:v>No agency or insurer displayed: onboarding opportunity possible; existing business unknown</x:v>
      </x:c>
      <x:c r="AE100" s="7" t="str">
        <x:v>No public business phone: contact enrichment needed, not proof of poor recruiting fit</x:v>
      </x:c>
      <x:c r="AF100" s="16" t="str"/>
      <x:c r="AG100" s="17" t="str"/>
      <x:c r="AH100" s="7" t="str"/>
      <x:c r="AI100" s="7" t="str">
        <x:v>English, Spanish, Spanish</x:v>
      </x:c>
      <x:c r="AJ100" s="7" t="str"/>
      <x:c r="AK100" s="15" t="str"/>
      <x:c r="AL100" s="7" t="str"/>
      <x:c r="AM100" s="7" t="str">
        <x:v>AGUILAR ANTONIO ANDRES | Aguilar Perez  Andres</x:v>
      </x:c>
      <x:c r="AN100" s="7" t="str">
        <x:v>https://cdicloud.insurance.ca.gov/cal/LicenseDetail?SearchType=IND&amp;SearchLicNbr=0N10808&amp;SearchIndvId=2119653</x:v>
      </x:c>
      <x:c r="AO100" s="7" t="str">
        <x:v>2026-10-08</x:v>
      </x:c>
      <x:c r="AP100" s="7" t="str">
        <x:v>8e550890a0f258c947dac580abeba9a1deffb93ee5ae727b64f823328ab935a7</x:v>
      </x:c>
      <x:c r="AQ100" s="7" t="str">
        <x:v>Life / Inactive / 07/30/2019 / 07/31/2021 / 07/31/2021</x:v>
      </x:c>
      <x:c r="AR100" s="7" t="str">
        <x:v>Inactive</x:v>
      </x:c>
      <x:c r="AS100" s="7" t="str">
        <x:v>Current detail page</x:v>
      </x:c>
    </x:row>
    <x:row r="101" ht="52" customHeight="1">
      <x:c r="A101" s="7" t="str">
        <x:v>AGUILAR ANDREW</x:v>
      </x:c>
      <x:c r="B101" s="14" t="str">
        <x:f>"4122827"</x:f>
        <x:v>4122827</x:v>
      </x:c>
      <x:c r="C101" s="7" t="str">
        <x:v>Omitted</x:v>
      </x:c>
      <x:c r="D101" s="7" t="str">
        <x:v>FAIL</x:v>
      </x:c>
      <x:c r="E101" s="13" t="str">
        <x:v>Pending</x:v>
      </x:c>
      <x:c r="F101" s="13" t="str"/>
      <x:c r="G101" s="13" t="str"/>
      <x:c r="H101" s="13" t="str"/>
      <x:c r="I101" s="7" t="str">
        <x:v>Was this person reviewed? If rejected, give the actual rule and evidence. If acceptable, correct the omission. Confirm the Life-qualification gate and any record change since selection.</x:v>
      </x:c>
      <x:c r="J101" s="7" t="str">
        <x:v>L1</x:v>
      </x:c>
      <x:c r="K101" s="7" t="str">
        <x:v>Verified qualifications do not include active general Life. Current target-pool mismatch; actual historical omission reason unknown.</x:v>
      </x:c>
      <x:c r="L101" s="7" t="str">
        <x:v>Not supplied; membership is known, motive is not</x:v>
      </x:c>
      <x:c r="M101" s="7" t="n">
        <x:v>7</x:v>
      </x:c>
      <x:c r="N101" s="7" t="str">
        <x:v>Outside current general-Life recruiting pool</x:v>
      </x:c>
      <x:c r="O101" s="7" t="str">
        <x:v>Not displayed</x:v>
      </x:c>
      <x:c r="P101" s="7" t="str"/>
      <x:c r="Q101" s="7" t="str"/>
      <x:c r="R101" s="7" t="str"/>
      <x:c r="S101" s="15" t="str"/>
      <x:c r="T101" s="7" t="str">
        <x:v>No public business phone in collected record</x:v>
      </x:c>
      <x:c r="U101" s="7" t="str">
        <x:v>9908 CHORLTON CIR ORLANDO FL, 32832-6164</x:v>
      </x:c>
      <x:c r="V101" s="7" t="str">
        <x:v>Non-resident</x:v>
      </x:c>
      <x:c r="W101" s="7" t="str">
        <x:v>FL</x:v>
      </x:c>
      <x:c r="X101" s="7" t="str"/>
      <x:c r="Y101" s="7" t="str"/>
      <x:c r="Z101" s="7" t="str"/>
      <x:c r="AA101" s="7" t="str"/>
      <x:c r="AB101" s="7" t="str"/>
      <x:c r="AC101" s="7" t="str"/>
      <x:c r="AD101" s="7" t="str">
        <x:v>No agency or insurer displayed: onboarding opportunity possible; existing business unknown</x:v>
      </x:c>
      <x:c r="AE101" s="7" t="str">
        <x:v>Nonresident or address state outside CA; confirm geographic recruiting scope | No public business phone: contact enrichment needed, not proof of poor recruiting fit</x:v>
      </x:c>
      <x:c r="AF101" s="16" t="str"/>
      <x:c r="AG101" s="17" t="str"/>
      <x:c r="AH101" s="7" t="str"/>
      <x:c r="AI101" s="7" t="str"/>
      <x:c r="AJ101" s="7" t="str"/>
      <x:c r="AK101" s="15" t="str"/>
      <x:c r="AL101" s="7" t="str"/>
      <x:c r="AM101" s="7" t="str">
        <x:v>AGUILAR  ANDREW</x:v>
      </x:c>
      <x:c r="AN101" s="7" t="str">
        <x:v>https://cdicloud.insurance.ca.gov/cal/LicenseDetail?SearchType=IND&amp;SearchLicNbr=4122827&amp;SearchIndvId=4122827</x:v>
      </x:c>
      <x:c r="AO101" s="7" t="str">
        <x:v>2026-10-08</x:v>
      </x:c>
      <x:c r="AP101" s="7" t="str">
        <x:v>f09b5b04ce2a5d6c691bcf137480361ec7e4b5611e8a91881572f88024071ac2</x:v>
      </x:c>
      <x:c r="AQ101" s="7" t="str">
        <x:v>Personal Lines / Inactive / 05/06/2021 / 05/31/2025 / 05/31/2025</x:v>
      </x:c>
      <x:c r="AR101" s="7" t="str">
        <x:v>Inactive</x:v>
      </x:c>
      <x:c r="AS101" s="7" t="str">
        <x:v>Current detail page</x:v>
      </x:c>
    </x:row>
    <x:row r="102" ht="52" customHeight="1">
      <x:c r="A102" s="7" t="str">
        <x:v>AGUILAR ANDREW</x:v>
      </x:c>
      <x:c r="B102" s="14" t="str">
        <x:f>"4380340"</x:f>
        <x:v>4380340</x:v>
      </x:c>
      <x:c r="C102" s="7" t="str">
        <x:v>Omitted</x:v>
      </x:c>
      <x:c r="D102" s="7" t="str">
        <x:v>FAIL</x:v>
      </x:c>
      <x:c r="E102" s="13" t="str">
        <x:v>Pending</x:v>
      </x:c>
      <x:c r="F102" s="13" t="str"/>
      <x:c r="G102" s="13" t="str"/>
      <x:c r="H102" s="13" t="str"/>
      <x:c r="I102" s="7" t="str">
        <x:v>Was this person reviewed? If rejected, give the actual rule and evidence. If acceptable, correct the omission. Confirm the Life-qualification gate and any record change since selection.</x:v>
      </x:c>
      <x:c r="J102" s="7" t="str">
        <x:v>L1</x:v>
      </x:c>
      <x:c r="K102" s="7" t="str">
        <x:v>Verified qualifications do not include active general Life. Current target-pool mismatch; actual historical omission reason unknown.</x:v>
      </x:c>
      <x:c r="L102" s="7" t="str">
        <x:v>Not supplied; membership is known, motive is not</x:v>
      </x:c>
      <x:c r="M102" s="7" t="n">
        <x:v>7</x:v>
      </x:c>
      <x:c r="N102" s="7" t="str">
        <x:v>Outside current general-Life recruiting pool</x:v>
      </x:c>
      <x:c r="O102" s="7" t="str">
        <x:v>Inactive</x:v>
      </x:c>
      <x:c r="P102" s="7" t="str">
        <x:v>05/17/2024</x:v>
      </x:c>
      <x:c r="Q102" s="7" t="str">
        <x:v>05/31/2026</x:v>
      </x:c>
      <x:c r="R102" s="7" t="str"/>
      <x:c r="S102" s="15" t="str"/>
      <x:c r="T102" s="7" t="str">
        <x:v>No public business phone in collected record</x:v>
      </x:c>
      <x:c r="U102" s="7" t="str">
        <x:v>1830 F ST BAKERSFIELD CA, 93301</x:v>
      </x:c>
      <x:c r="V102" s="7" t="str">
        <x:v>Resident</x:v>
      </x:c>
      <x:c r="W102" s="7" t="str">
        <x:v>CA</x:v>
      </x:c>
      <x:c r="X102" s="7" t="str"/>
      <x:c r="Y102" s="7" t="str"/>
      <x:c r="Z102" s="7" t="str"/>
      <x:c r="AA102" s="7" t="str"/>
      <x:c r="AB102" s="7" t="str"/>
      <x:c r="AC102" s="7" t="str"/>
      <x:c r="AD102" s="7" t="str">
        <x:v>No agency or insurer displayed: onboarding opportunity possible; existing business unknown</x:v>
      </x:c>
      <x:c r="AE102" s="7" t="str">
        <x:v>No public business phone: contact enrichment needed, not proof of poor recruiting fit</x:v>
      </x:c>
      <x:c r="AF102" s="16" t="str"/>
      <x:c r="AG102" s="17" t="str"/>
      <x:c r="AH102" s="7" t="str"/>
      <x:c r="AI102" s="7" t="str">
        <x:v>English</x:v>
      </x:c>
      <x:c r="AJ102" s="7" t="str"/>
      <x:c r="AK102" s="15" t="str"/>
      <x:c r="AL102" s="7" t="str"/>
      <x:c r="AM102" s="7" t="str">
        <x:v>AGUILAR  ANDREW</x:v>
      </x:c>
      <x:c r="AN102" s="7" t="str">
        <x:v>https://cdicloud.insurance.ca.gov/cal/LicenseDetail?SearchType=IND&amp;SearchLicNbr=4380340&amp;SearchIndvId=4380340</x:v>
      </x:c>
      <x:c r="AO102" s="7" t="str">
        <x:v>2026-10-08</x:v>
      </x:c>
      <x:c r="AP102" s="7" t="str">
        <x:v>f814164155bac70a3611ff4494d93f3ab2db483917045a8359907b9bd3ab7b1d</x:v>
      </x:c>
      <x:c r="AQ102" s="7" t="str">
        <x:v>Life / Inactive / 05/17/2024 / 05/31/2026 / 05/31/2026</x:v>
      </x:c>
      <x:c r="AR102" s="7" t="str">
        <x:v>Inactive</x:v>
      </x:c>
      <x:c r="AS102" s="7" t="str">
        <x:v>Current detail page</x:v>
      </x:c>
    </x:row>
    <x:row r="103" ht="52" customHeight="1">
      <x:c r="A103" s="7" t="str">
        <x:v>AGUILAR ANDREW ANIBAL</x:v>
      </x:c>
      <x:c r="B103" s="14" t="str">
        <x:f>"0E27990"</x:f>
        <x:v>0E27990</x:v>
      </x:c>
      <x:c r="C103" s="7" t="str">
        <x:v>Omitted</x:v>
      </x:c>
      <x:c r="D103" s="7" t="str">
        <x:v>FAIL</x:v>
      </x:c>
      <x:c r="E103" s="13" t="str">
        <x:v>Pending</x:v>
      </x:c>
      <x:c r="F103" s="13" t="str"/>
      <x:c r="G103" s="13" t="str"/>
      <x:c r="H103" s="13" t="str"/>
      <x:c r="I103" s="7" t="str">
        <x:v>Was this person reviewed? If rejected, give the actual rule and evidence. If acceptable, correct the omission. Confirm the Life-qualification gate and any record change since selection.</x:v>
      </x:c>
      <x:c r="J103" s="7" t="str">
        <x:v>L1</x:v>
      </x:c>
      <x:c r="K103" s="7" t="str">
        <x:v>Verified qualifications do not include active general Life. Current target-pool mismatch; actual historical omission reason unknown.</x:v>
      </x:c>
      <x:c r="L103" s="7" t="str">
        <x:v>Not supplied; membership is known, motive is not</x:v>
      </x:c>
      <x:c r="M103" s="7" t="n">
        <x:v>7</x:v>
      </x:c>
      <x:c r="N103" s="7" t="str">
        <x:v>Outside current general-Life recruiting pool</x:v>
      </x:c>
      <x:c r="O103" s="7" t="str">
        <x:v>Not displayed</x:v>
      </x:c>
      <x:c r="P103" s="7" t="str"/>
      <x:c r="Q103" s="7" t="str"/>
      <x:c r="R103" s="7" t="str"/>
      <x:c r="S103" s="15" t="str"/>
      <x:c r="T103" s="7" t="str">
        <x:v>No public business phone in collected record</x:v>
      </x:c>
      <x:c r="U103" s="7" t="str"/>
      <x:c r="V103" s="7" t="str">
        <x:v>Resident</x:v>
      </x:c>
      <x:c r="W103" s="7" t="str">
        <x:v>CA</x:v>
      </x:c>
      <x:c r="X103" s="7" t="str"/>
      <x:c r="Y103" s="7" t="str"/>
      <x:c r="Z103" s="7" t="str"/>
      <x:c r="AA103" s="7" t="str"/>
      <x:c r="AB103" s="7" t="str"/>
      <x:c r="AC103" s="7" t="str"/>
      <x:c r="AD103" s="7" t="str">
        <x:v>No agency or insurer displayed: onboarding opportunity possible; existing business unknown</x:v>
      </x:c>
      <x:c r="AE103" s="7" t="str">
        <x:v>No public business phone: contact enrichment needed, not proof of poor recruiting fit</x:v>
      </x:c>
      <x:c r="AF103" s="16" t="str"/>
      <x:c r="AG103" s="17" t="str"/>
      <x:c r="AH103" s="7" t="str"/>
      <x:c r="AI103" s="7" t="str"/>
      <x:c r="AJ103" s="7" t="str"/>
      <x:c r="AK103" s="15" t="str"/>
      <x:c r="AL103" s="7" t="str"/>
      <x:c r="AM103" s="7" t="str">
        <x:v>AGUILAR ANIBAL ANDREW</x:v>
      </x:c>
      <x:c r="AN103" s="7" t="str">
        <x:v>https://cdicloud.insurance.ca.gov/cal/LicenseDetail?SearchType=IND&amp;SearchLicNbr=0E27990&amp;SearchIndvId=878135</x:v>
      </x:c>
      <x:c r="AO103" s="7" t="str">
        <x:v>2026-10-08</x:v>
      </x:c>
      <x:c r="AP103" s="7" t="str">
        <x:v>8f388b7f0be81adb5d70f07aa5664d16ac0de7f39fe5350fada02638484fdf4e</x:v>
      </x:c>
      <x:c r="AQ103" s="7" t="str">
        <x:v>Accident and Health / Inactive / 01/02/2004 / 01/31/2014 / 01/31/2014
Life-Only / Inactive / 01/02/2004 / 01/31/2014 / 01/31/2014</x:v>
      </x:c>
      <x:c r="AR103" s="7" t="str">
        <x:v>Inactive</x:v>
      </x:c>
      <x:c r="AS103" s="7" t="str">
        <x:v>Current detail page</x:v>
      </x:c>
    </x:row>
    <x:row r="104" ht="52" customHeight="1">
      <x:c r="A104" s="7" t="str">
        <x:v>AGUILAR ANDREW JACOB</x:v>
      </x:c>
      <x:c r="B104" s="14" t="str">
        <x:f>"4059124"</x:f>
        <x:v>4059124</x:v>
      </x:c>
      <x:c r="C104" s="7" t="str">
        <x:v>Omitted</x:v>
      </x:c>
      <x:c r="D104" s="7" t="str">
        <x:v>FAIL</x:v>
      </x:c>
      <x:c r="E104" s="13" t="str">
        <x:v>Pending</x:v>
      </x:c>
      <x:c r="F104" s="13" t="str"/>
      <x:c r="G104" s="13" t="str"/>
      <x:c r="H104" s="13" t="str"/>
      <x:c r="I104" s="7" t="str">
        <x:v>Was this person reviewed? If rejected, give the actual rule and evidence. If acceptable, correct the omission. Confirm the Life-qualification gate and any record change since selection.</x:v>
      </x:c>
      <x:c r="J104" s="7" t="str">
        <x:v>L1</x:v>
      </x:c>
      <x:c r="K104" s="7" t="str">
        <x:v>Verified qualifications do not include active general Life. Current target-pool mismatch; actual historical omission reason unknown.</x:v>
      </x:c>
      <x:c r="L104" s="7" t="str">
        <x:v>Not supplied; membership is known, motive is not</x:v>
      </x:c>
      <x:c r="M104" s="7" t="n">
        <x:v>7</x:v>
      </x:c>
      <x:c r="N104" s="7" t="str">
        <x:v>Outside current general-Life recruiting pool</x:v>
      </x:c>
      <x:c r="O104" s="7" t="str">
        <x:v>Inactive</x:v>
      </x:c>
      <x:c r="P104" s="7" t="str">
        <x:v>08/14/2020</x:v>
      </x:c>
      <x:c r="Q104" s="7" t="str">
        <x:v>08/31/2022</x:v>
      </x:c>
      <x:c r="R104" s="7" t="str"/>
      <x:c r="S104" s="15" t="str">
        <x:v>559-369-2665</x:v>
      </x:c>
      <x:c r="T104" s="7" t="str">
        <x:v>Current CDI</x:v>
      </x:c>
      <x:c r="U104" s="7" t="str">
        <x:v>2350 W SHAW AVE STE 114 FRESNO CA, 93711</x:v>
      </x:c>
      <x:c r="V104" s="7" t="str">
        <x:v>Resident</x:v>
      </x:c>
      <x:c r="W104" s="7" t="str">
        <x:v>CA</x:v>
      </x:c>
      <x:c r="X104" s="7" t="str"/>
      <x:c r="Y104" s="7" t="str"/>
      <x:c r="Z104" s="7" t="str"/>
      <x:c r="AA104" s="7" t="str"/>
      <x:c r="AB104" s="7" t="str"/>
      <x:c r="AC104" s="7" t="str"/>
      <x:c r="AD104" s="7" t="str">
        <x:v>No agency or insurer displayed: onboarding opportunity possible; existing business unknown</x:v>
      </x:c>
      <x:c r="AE104" s="7" t="str"/>
      <x:c r="AF104" s="16" t="str"/>
      <x:c r="AG104" s="17" t="str"/>
      <x:c r="AH104" s="7" t="str"/>
      <x:c r="AI104" s="7" t="str">
        <x:v>English</x:v>
      </x:c>
      <x:c r="AJ104" s="7" t="str"/>
      <x:c r="AK104" s="15" t="str"/>
      <x:c r="AL104" s="7" t="str"/>
      <x:c r="AM104" s="7" t="str">
        <x:v>Aguilar J Andrew | AGUILAR JACOB ANDREW</x:v>
      </x:c>
      <x:c r="AN104" s="7" t="str">
        <x:v>https://cdicloud.insurance.ca.gov/cal/LicenseDetail?SearchType=IND&amp;SearchLicNbr=4059124&amp;SearchIndvId=4059124</x:v>
      </x:c>
      <x:c r="AO104" s="7" t="str">
        <x:v>2026-10-08</x:v>
      </x:c>
      <x:c r="AP104" s="7" t="str">
        <x:v>0e12f4a18c01a97d37ba7506bae32af35626b73efbc3610df360e45a4e357d87</x:v>
      </x:c>
      <x:c r="AQ104" s="7" t="str">
        <x:v>Life / Inactive / 08/14/2020 / 08/31/2022 / 08/31/2022</x:v>
      </x:c>
      <x:c r="AR104" s="7" t="str">
        <x:v>Inactive</x:v>
      </x:c>
      <x:c r="AS104" s="7" t="str">
        <x:v>Current detail page</x:v>
      </x:c>
    </x:row>
    <x:row r="105" ht="52" customHeight="1">
      <x:c r="A105" s="7" t="str">
        <x:v>AGUILAR ANDREW RICHARD</x:v>
      </x:c>
      <x:c r="B105" s="14" t="str">
        <x:f>"0E58583"</x:f>
        <x:v>0E58583</x:v>
      </x:c>
      <x:c r="C105" s="7" t="str">
        <x:v>Omitted</x:v>
      </x:c>
      <x:c r="D105" s="7" t="str">
        <x:v>FAIL</x:v>
      </x:c>
      <x:c r="E105" s="13" t="str">
        <x:v>Pending</x:v>
      </x:c>
      <x:c r="F105" s="13" t="str"/>
      <x:c r="G105" s="13" t="str"/>
      <x:c r="H105" s="13" t="str"/>
      <x:c r="I105" s="7" t="str">
        <x:v>Was this person reviewed? If rejected, give the actual rule and evidence. If acceptable, correct the omission. Confirm the Life-qualification gate and any record change since selection.</x:v>
      </x:c>
      <x:c r="J105" s="7" t="str">
        <x:v>L1</x:v>
      </x:c>
      <x:c r="K105" s="7" t="str">
        <x:v>Verified qualifications do not include active general Life. Current target-pool mismatch; actual historical omission reason unknown.</x:v>
      </x:c>
      <x:c r="L105" s="7" t="str">
        <x:v>Not supplied; membership is known, motive is not</x:v>
      </x:c>
      <x:c r="M105" s="7" t="n">
        <x:v>7</x:v>
      </x:c>
      <x:c r="N105" s="7" t="str">
        <x:v>Outside current general-Life recruiting pool</x:v>
      </x:c>
      <x:c r="O105" s="7" t="str">
        <x:v>Not displayed</x:v>
      </x:c>
      <x:c r="P105" s="7" t="str"/>
      <x:c r="Q105" s="7" t="str"/>
      <x:c r="R105" s="7" t="str"/>
      <x:c r="S105" s="15" t="str"/>
      <x:c r="T105" s="7" t="str">
        <x:v>No public business phone in collected record</x:v>
      </x:c>
      <x:c r="U105" s="7" t="str"/>
      <x:c r="V105" s="7" t="str">
        <x:v>Resident</x:v>
      </x:c>
      <x:c r="W105" s="7" t="str">
        <x:v>CA</x:v>
      </x:c>
      <x:c r="X105" s="7" t="str"/>
      <x:c r="Y105" s="7" t="str"/>
      <x:c r="Z105" s="7" t="str"/>
      <x:c r="AA105" s="7" t="str"/>
      <x:c r="AB105" s="7" t="str"/>
      <x:c r="AC105" s="7" t="str"/>
      <x:c r="AD105" s="7" t="str">
        <x:v>No agency or insurer displayed: onboarding opportunity possible; existing business unknown</x:v>
      </x:c>
      <x:c r="AE105" s="7" t="str">
        <x:v>No public business phone: contact enrichment needed, not proof of poor recruiting fit</x:v>
      </x:c>
      <x:c r="AF105" s="16" t="str"/>
      <x:c r="AG105" s="17" t="str"/>
      <x:c r="AH105" s="7" t="str"/>
      <x:c r="AI105" s="7" t="str"/>
      <x:c r="AJ105" s="7" t="str"/>
      <x:c r="AK105" s="15" t="str"/>
      <x:c r="AL105" s="7" t="str"/>
      <x:c r="AM105" s="7" t="str">
        <x:v>AGUILAR RICHARD ANDREW</x:v>
      </x:c>
      <x:c r="AN105" s="7" t="str">
        <x:v>https://cdicloud.insurance.ca.gov/cal/LicenseDetail?SearchType=IND&amp;SearchLicNbr=0E58583&amp;SearchIndvId=918779</x:v>
      </x:c>
      <x:c r="AO105" s="7" t="str">
        <x:v>2026-10-08</x:v>
      </x:c>
      <x:c r="AP105" s="7" t="str">
        <x:v>32db3bf28c86ab2f8030f0b0726726c26e59f17580f9720638816b49cf7c0858</x:v>
      </x:c>
      <x:c r="AQ105" s="7" t="str">
        <x:v>Accident and Health / Inactive / 10/05/2004 / 10/31/2006 / 10/31/2006
Casualty Broker-Agent / Inactive / 10/05/2004 / 10/31/2006 / 10/31/2006
Life-Only / Inactive / 10/05/2004 / 10/31/2006 / 10/31/2006
Property Broker-Agent / Inactive / 10/05/2004 / 10/31/2006 / 10/31/2006</x:v>
      </x:c>
      <x:c r="AR105" s="7" t="str">
        <x:v>Inactive</x:v>
      </x:c>
      <x:c r="AS105" s="7" t="str">
        <x:v>Current detail page</x:v>
      </x:c>
    </x:row>
    <x:row r="106" ht="52" customHeight="1">
      <x:c r="A106" s="7" t="str">
        <x:v>AGUILAR ANGEL</x:v>
      </x:c>
      <x:c r="B106" s="14" t="str">
        <x:f>"0F45070"</x:f>
        <x:v>0F45070</x:v>
      </x:c>
      <x:c r="C106" s="7" t="str">
        <x:v>Omitted</x:v>
      </x:c>
      <x:c r="D106" s="7" t="str">
        <x:v>FAIL</x:v>
      </x:c>
      <x:c r="E106" s="13" t="str">
        <x:v>Pending</x:v>
      </x:c>
      <x:c r="F106" s="13" t="str"/>
      <x:c r="G106" s="13" t="str"/>
      <x:c r="H106" s="13" t="str"/>
      <x:c r="I106" s="7" t="str">
        <x:v>Was this person reviewed? If rejected, give the actual rule and evidence. If acceptable, correct the omission. Confirm the Life-qualification gate and any record change since selection.</x:v>
      </x:c>
      <x:c r="J106" s="7" t="str">
        <x:v>L1</x:v>
      </x:c>
      <x:c r="K106" s="7" t="str">
        <x:v>Verified qualifications do not include active general Life. Current target-pool mismatch; actual historical omission reason unknown.</x:v>
      </x:c>
      <x:c r="L106" s="7" t="str">
        <x:v>Not supplied; membership is known, motive is not</x:v>
      </x:c>
      <x:c r="M106" s="7" t="n">
        <x:v>7</x:v>
      </x:c>
      <x:c r="N106" s="7" t="str">
        <x:v>Outside current general-Life recruiting pool</x:v>
      </x:c>
      <x:c r="O106" s="7" t="str">
        <x:v>Not displayed</x:v>
      </x:c>
      <x:c r="P106" s="7" t="str"/>
      <x:c r="Q106" s="7" t="str"/>
      <x:c r="R106" s="7" t="str"/>
      <x:c r="S106" s="15" t="str"/>
      <x:c r="T106" s="7" t="str">
        <x:v>No public business phone in collected record</x:v>
      </x:c>
      <x:c r="U106" s="7" t="str"/>
      <x:c r="V106" s="7" t="str">
        <x:v>Resident</x:v>
      </x:c>
      <x:c r="W106" s="7" t="str">
        <x:v>CA</x:v>
      </x:c>
      <x:c r="X106" s="7" t="str"/>
      <x:c r="Y106" s="7" t="str"/>
      <x:c r="Z106" s="7" t="str"/>
      <x:c r="AA106" s="7" t="str"/>
      <x:c r="AB106" s="7" t="str"/>
      <x:c r="AC106" s="7" t="str"/>
      <x:c r="AD106" s="7" t="str">
        <x:v>No agency or insurer displayed: onboarding opportunity possible; existing business unknown</x:v>
      </x:c>
      <x:c r="AE106" s="7" t="str">
        <x:v>No public business phone: contact enrichment needed, not proof of poor recruiting fit</x:v>
      </x:c>
      <x:c r="AF106" s="16" t="str"/>
      <x:c r="AG106" s="17" t="str"/>
      <x:c r="AH106" s="7" t="str"/>
      <x:c r="AI106" s="7" t="str"/>
      <x:c r="AJ106" s="7" t="str"/>
      <x:c r="AK106" s="15" t="str"/>
      <x:c r="AL106" s="7" t="str"/>
      <x:c r="AM106" s="7" t="str">
        <x:v>AGUILAR  ANGEL</x:v>
      </x:c>
      <x:c r="AN106" s="7" t="str">
        <x:v>https://cdicloud.insurance.ca.gov/cal/LicenseDetail?SearchType=IND&amp;SearchLicNbr=0F45070&amp;SearchIndvId=1057775</x:v>
      </x:c>
      <x:c r="AO106" s="7" t="str">
        <x:v>2026-10-08</x:v>
      </x:c>
      <x:c r="AP106" s="7" t="str">
        <x:v>4e3ff00de6c032eb425432d3da9e77fa42b40dfb8c32f2387ae43490dc1300f4</x:v>
      </x:c>
      <x:c r="AQ106" s="7" t="str">
        <x:v>Accident and Health / Inactive / 11/30/2006 / 11/30/2008 / 11/30/2008
Life-Only / Inactive / 11/30/2006 / 11/30/2008 / 11/30/2008</x:v>
      </x:c>
      <x:c r="AR106" s="7" t="str">
        <x:v>Inactive</x:v>
      </x:c>
      <x:c r="AS106" s="7" t="str">
        <x:v>Current detail page</x:v>
      </x:c>
    </x:row>
    <x:row r="107" ht="52" customHeight="1">
      <x:c r="A107" s="7" t="str">
        <x:v>AGUILAR ANGEL</x:v>
      </x:c>
      <x:c r="B107" s="14" t="str">
        <x:f>"0M41508"</x:f>
        <x:v>0M41508</x:v>
      </x:c>
      <x:c r="C107" s="7" t="str">
        <x:v>Omitted</x:v>
      </x:c>
      <x:c r="D107" s="7" t="str">
        <x:v>FAIL</x:v>
      </x:c>
      <x:c r="E107" s="13" t="str">
        <x:v>Pending</x:v>
      </x:c>
      <x:c r="F107" s="13" t="str"/>
      <x:c r="G107" s="13" t="str"/>
      <x:c r="H107" s="13" t="str"/>
      <x:c r="I107" s="7" t="str">
        <x:v>Was this person reviewed? If rejected, give the actual rule and evidence. If acceptable, correct the omission. Confirm the Life-qualification gate and any record change since selection.</x:v>
      </x:c>
      <x:c r="J107" s="7" t="str">
        <x:v>L1</x:v>
      </x:c>
      <x:c r="K107" s="7" t="str">
        <x:v>Verified qualifications do not include active general Life. Current target-pool mismatch; actual historical omission reason unknown.</x:v>
      </x:c>
      <x:c r="L107" s="7" t="str">
        <x:v>Not supplied; membership is known, motive is not</x:v>
      </x:c>
      <x:c r="M107" s="7" t="n">
        <x:v>7</x:v>
      </x:c>
      <x:c r="N107" s="7" t="str">
        <x:v>Outside current general-Life recruiting pool</x:v>
      </x:c>
      <x:c r="O107" s="7" t="str">
        <x:v>Not displayed</x:v>
      </x:c>
      <x:c r="P107" s="7" t="str"/>
      <x:c r="Q107" s="7" t="str"/>
      <x:c r="R107" s="7" t="str">
        <x:v>Personal Lines</x:v>
      </x:c>
      <x:c r="S107" s="15" t="str">
        <x:v>877-776-2436</x:v>
      </x:c>
      <x:c r="T107" s="7" t="str">
        <x:v>Current CDI</x:v>
      </x:c>
      <x:c r="U107" s="7" t="str">
        <x:v>PROGRESSIVE INSURANCE - EMPLOYEE LICENSING - 32001 10940 WHITE ROCK RD STE 130 RANCHO CORDOVA CA, 95670-6182</x:v>
      </x:c>
      <x:c r="V107" s="7" t="str">
        <x:v>Resident</x:v>
      </x:c>
      <x:c r="W107" s="7" t="str">
        <x:v>CA</x:v>
      </x:c>
      <x:c r="X107" s="7" t="str">
        <x:v>PROGRESSIVE ADVANTAGE AGENCY INC / Personal Lines / 06/28/2018</x:v>
      </x:c>
      <x:c r="Y107" s="7" t="str"/>
      <x:c r="Z107" s="7" t="str"/>
      <x:c r="AA107" s="7" t="str"/>
      <x:c r="AB107" s="7" t="str"/>
      <x:c r="AC107" s="7" t="str"/>
      <x:c r="AD107" s="7" t="str"/>
      <x:c r="AE107" s="7" t="str">
        <x:v>P&amp;C/Personal Lines authority without displayed core Life appointments; mixed profile requires review | Toll-free business number: verify that it reaches the individual rather than a central office</x:v>
      </x:c>
      <x:c r="AF107" s="16" t="str"/>
      <x:c r="AG107" s="17" t="str"/>
      <x:c r="AH107" s="7" t="str"/>
      <x:c r="AI107" s="7" t="str">
        <x:v>English</x:v>
      </x:c>
      <x:c r="AJ107" s="7" t="str"/>
      <x:c r="AK107" s="15" t="str"/>
      <x:c r="AL107" s="7" t="str"/>
      <x:c r="AM107" s="7" t="str">
        <x:v>AGUILAR  ANGEL</x:v>
      </x:c>
      <x:c r="AN107" s="7" t="str">
        <x:v>https://cdicloud.insurance.ca.gov/cal/LicenseDetail?SearchType=IND&amp;SearchLicNbr=0M41508&amp;SearchIndvId=2016709</x:v>
      </x:c>
      <x:c r="AO107" s="7" t="str">
        <x:v>2026-10-08</x:v>
      </x:c>
      <x:c r="AP107" s="7" t="str">
        <x:v>124568d257b15052304eb0378f0424d71bc1fb97f5ec3da4afbfac354cfeb333</x:v>
      </x:c>
      <x:c r="AQ107" s="7" t="str">
        <x:v>Personal Lines / Active / 06/22/2018 / 06/22/2018 / 06/30/2028</x:v>
      </x:c>
      <x:c r="AR107" s="7" t="str">
        <x:v>Active</x:v>
      </x:c>
      <x:c r="AS107" s="7" t="str">
        <x:v>Current detail page</x:v>
      </x:c>
    </x:row>
    <x:row r="108" ht="52" customHeight="1">
      <x:c r="A108" s="7" t="str">
        <x:v>AGUILAR ANGEL</x:v>
      </x:c>
      <x:c r="B108" s="14" t="str">
        <x:f>"1844832"</x:f>
        <x:v>1844832</x:v>
      </x:c>
      <x:c r="C108" s="7" t="str">
        <x:v>Omitted</x:v>
      </x:c>
      <x:c r="D108" s="7" t="str">
        <x:v>FAIL</x:v>
      </x:c>
      <x:c r="E108" s="13" t="str">
        <x:v>Pending</x:v>
      </x:c>
      <x:c r="F108" s="13" t="str"/>
      <x:c r="G108" s="13" t="str"/>
      <x:c r="H108" s="13" t="str"/>
      <x:c r="I108" s="7" t="str">
        <x:v>Was this person reviewed? If rejected, give the actual rule and evidence. If acceptable, correct the omission. Confirm the Life-qualification gate and any record change since selection.</x:v>
      </x:c>
      <x:c r="J108" s="7" t="str">
        <x:v>L1</x:v>
      </x:c>
      <x:c r="K108" s="7" t="str">
        <x:v>Verified qualifications do not include active general Life. Current target-pool mismatch; actual historical omission reason unknown.</x:v>
      </x:c>
      <x:c r="L108" s="7" t="str">
        <x:v>Not supplied; membership is known, motive is not</x:v>
      </x:c>
      <x:c r="M108" s="7" t="n">
        <x:v>7</x:v>
      </x:c>
      <x:c r="N108" s="7" t="str">
        <x:v>Outside current general-Life recruiting pool</x:v>
      </x:c>
      <x:c r="O108" s="7" t="str">
        <x:v>Not displayed</x:v>
      </x:c>
      <x:c r="P108" s="7" t="str"/>
      <x:c r="Q108" s="7" t="str"/>
      <x:c r="R108" s="7" t="str"/>
      <x:c r="S108" s="15" t="str"/>
      <x:c r="T108" s="7" t="str">
        <x:v>No public business phone in collected record</x:v>
      </x:c>
      <x:c r="U108" s="7" t="str"/>
      <x:c r="V108" s="7" t="str">
        <x:v>Resident</x:v>
      </x:c>
      <x:c r="W108" s="7" t="str">
        <x:v>CA</x:v>
      </x:c>
      <x:c r="X108" s="7" t="str"/>
      <x:c r="Y108" s="7" t="str"/>
      <x:c r="Z108" s="7" t="str"/>
      <x:c r="AA108" s="7" t="str"/>
      <x:c r="AB108" s="7" t="str"/>
      <x:c r="AC108" s="7" t="str"/>
      <x:c r="AD108" s="7" t="str">
        <x:v>No agency or insurer displayed: onboarding opportunity possible; existing business unknown</x:v>
      </x:c>
      <x:c r="AE108" s="7" t="str">
        <x:v>No public business phone: contact enrichment needed, not proof of poor recruiting fit</x:v>
      </x:c>
      <x:c r="AF108" s="16" t="str"/>
      <x:c r="AG108" s="17" t="str"/>
      <x:c r="AH108" s="7" t="str"/>
      <x:c r="AI108" s="7" t="str">
        <x:v>English, Spanish, Spanish</x:v>
      </x:c>
      <x:c r="AJ108" s="7" t="str"/>
      <x:c r="AK108" s="15" t="str"/>
      <x:c r="AL108" s="7" t="str"/>
      <x:c r="AM108" s="7" t="str">
        <x:v>AGUILAR  ANGEL</x:v>
      </x:c>
      <x:c r="AN108" s="7" t="str">
        <x:v>https://cdicloud.insurance.ca.gov/cal/LicenseDetail?SearchType=IND&amp;SearchLicNbr=1844832&amp;SearchIndvId=1243993</x:v>
      </x:c>
      <x:c r="AO108" s="7" t="str">
        <x:v>2026-10-08</x:v>
      </x:c>
      <x:c r="AP108" s="7" t="str">
        <x:v>92e11381cd3741461462fcbd4773a54ff7cc4994f2afb87771457b16004f40a1</x:v>
      </x:c>
      <x:c r="AQ108" s="7" t="str">
        <x:v>Bail Agent / Inactive / 04/02/2009 / 03/13/2020 / 03/13/2020</x:v>
      </x:c>
      <x:c r="AR108" s="7" t="str">
        <x:v>Inactive</x:v>
      </x:c>
      <x:c r="AS108" s="7" t="str">
        <x:v>Current detail page</x:v>
      </x:c>
    </x:row>
    <x:row r="109" ht="52" customHeight="1">
      <x:c r="A109" s="7" t="str">
        <x:v>AGUILAR ANGEL</x:v>
      </x:c>
      <x:c r="B109" s="14" t="str">
        <x:f>"4149340"</x:f>
        <x:v>4149340</x:v>
      </x:c>
      <x:c r="C109" s="7" t="str">
        <x:v>Omitted</x:v>
      </x:c>
      <x:c r="D109" s="7" t="str">
        <x:v>FAIL</x:v>
      </x:c>
      <x:c r="E109" s="13" t="str">
        <x:v>Pending</x:v>
      </x:c>
      <x:c r="F109" s="13" t="str"/>
      <x:c r="G109" s="13" t="str"/>
      <x:c r="H109" s="13" t="str"/>
      <x:c r="I109" s="7" t="str">
        <x:v>Was this person reviewed? If rejected, give the actual rule and evidence. If acceptable, correct the omission. Confirm the Life-qualification gate and any record change since selection.</x:v>
      </x:c>
      <x:c r="J109" s="7" t="str">
        <x:v>L1</x:v>
      </x:c>
      <x:c r="K109" s="7" t="str">
        <x:v>Verified qualifications do not include active general Life. Current target-pool mismatch; actual historical omission reason unknown.</x:v>
      </x:c>
      <x:c r="L109" s="7" t="str">
        <x:v>Not supplied; membership is known, motive is not</x:v>
      </x:c>
      <x:c r="M109" s="7" t="n">
        <x:v>7</x:v>
      </x:c>
      <x:c r="N109" s="7" t="str">
        <x:v>Outside current general-Life recruiting pool</x:v>
      </x:c>
      <x:c r="O109" s="7" t="str">
        <x:v>Not displayed</x:v>
      </x:c>
      <x:c r="P109" s="7" t="str"/>
      <x:c r="Q109" s="7" t="str"/>
      <x:c r="R109" s="7" t="str">
        <x:v>Accident &amp; Health or Sickness</x:v>
      </x:c>
      <x:c r="S109" s="15" t="str"/>
      <x:c r="T109" s="7" t="str">
        <x:v>No public business phone in collected record</x:v>
      </x:c>
      <x:c r="U109" s="7" t="str">
        <x:v>603 N 31ST ST WACO TX, 76707-3215</x:v>
      </x:c>
      <x:c r="V109" s="7" t="str">
        <x:v>Non-resident</x:v>
      </x:c>
      <x:c r="W109" s="7" t="str">
        <x:v>TX</x:v>
      </x:c>
      <x:c r="X109" s="7" t="str"/>
      <x:c r="Y109" s="7" t="str">
        <x:v>HEALTH NET LIFE INSURANCE COMPANY / Accident &amp; Health or Sickness / 09/25/2025
HUMANA BENEFIT PLAN OF ILLINOIS, INC. / Accident &amp; Health or Sickness / 09/11/2025
UNITEDHEALTHCARE INSURANCE COMPANY / Accident &amp; Health or Sickness / 05/31/2025</x:v>
      </x:c>
      <x:c r="Z109" s="7" t="str"/>
      <x:c r="AA109" s="7" t="str"/>
      <x:c r="AB109" s="7" t="str"/>
      <x:c r="AC109" s="7" t="str"/>
      <x:c r="AD109" s="7" t="str">
        <x:v>Active A&amp;H supports optional cross-selling; not necessary for target products</x:v>
      </x:c>
      <x:c r="AE109" s="7" t="str">
        <x:v>Displayed insurer appointments are A&amp;H/disability only despite active Life authority | Nonresident or address state outside CA; confirm geographic recruiting scope | No public business phone: contact enrichment needed, not proof of poor recruiting fit</x:v>
      </x:c>
      <x:c r="AF109" s="16" t="str"/>
      <x:c r="AG109" s="17" t="str"/>
      <x:c r="AH109" s="7" t="str"/>
      <x:c r="AI109" s="7" t="str"/>
      <x:c r="AJ109" s="7" t="str"/>
      <x:c r="AK109" s="15" t="str"/>
      <x:c r="AL109" s="7" t="str"/>
      <x:c r="AM109" s="7" t="str">
        <x:v>AGUILAR  ANGEL</x:v>
      </x:c>
      <x:c r="AN109" s="7" t="str">
        <x:v>https://cdicloud.insurance.ca.gov/cal/LicenseDetail?SearchType=IND&amp;SearchLicNbr=4149340&amp;SearchIndvId=4149340</x:v>
      </x:c>
      <x:c r="AO109" s="7" t="str">
        <x:v>2026-10-08</x:v>
      </x:c>
      <x:c r="AP109" s="7" t="str">
        <x:v>aa82a4358f3cea40a8fc2fe1a90925fa2fd000a92fd2f01cf2b9e4b590ebb738</x:v>
      </x:c>
      <x:c r="AQ109" s="7" t="str">
        <x:v>Accident &amp; Health or Sickness / Active / 08/25/2021 / 05/28/2025 / 05/31/2027</x:v>
      </x:c>
      <x:c r="AR109" s="7" t="str">
        <x:v>Active</x:v>
      </x:c>
      <x:c r="AS109" s="7" t="str">
        <x:v>Current detail page</x:v>
      </x:c>
    </x:row>
    <x:row r="110" ht="52" customHeight="1">
      <x:c r="A110" s="7" t="str">
        <x:v>AGUILAR ANGEL</x:v>
      </x:c>
      <x:c r="B110" s="14" t="str">
        <x:f>"4412638"</x:f>
        <x:v>4412638</x:v>
      </x:c>
      <x:c r="C110" s="7" t="str">
        <x:v>Omitted</x:v>
      </x:c>
      <x:c r="D110" s="7" t="str">
        <x:v>FAIL</x:v>
      </x:c>
      <x:c r="E110" s="13" t="str">
        <x:v>Pending</x:v>
      </x:c>
      <x:c r="F110" s="13" t="str"/>
      <x:c r="G110" s="13" t="str"/>
      <x:c r="H110" s="13" t="str"/>
      <x:c r="I110" s="7" t="str">
        <x:v>Was this person reviewed? If rejected, give the actual rule and evidence. If acceptable, correct the omission. Confirm the Life-qualification gate and any record change since selection.</x:v>
      </x:c>
      <x:c r="J110" s="7" t="str">
        <x:v>L1</x:v>
      </x:c>
      <x:c r="K110" s="7" t="str">
        <x:v>Verified qualifications do not include active general Life. Current target-pool mismatch; actual historical omission reason unknown.</x:v>
      </x:c>
      <x:c r="L110" s="7" t="str">
        <x:v>Not supplied; membership is known, motive is not</x:v>
      </x:c>
      <x:c r="M110" s="7" t="n">
        <x:v>7</x:v>
      </x:c>
      <x:c r="N110" s="7" t="str">
        <x:v>Outside current general-Life recruiting pool</x:v>
      </x:c>
      <x:c r="O110" s="7" t="str">
        <x:v>Not displayed</x:v>
      </x:c>
      <x:c r="P110" s="7" t="str"/>
      <x:c r="Q110" s="7" t="str"/>
      <x:c r="R110" s="7" t="str"/>
      <x:c r="S110" s="15" t="str"/>
      <x:c r="T110" s="7" t="str">
        <x:v>No public business phone in collected record</x:v>
      </x:c>
      <x:c r="U110" s="7" t="str"/>
      <x:c r="V110" s="7" t="str">
        <x:v>Non-resident</x:v>
      </x:c>
      <x:c r="W110" s="7" t="str">
        <x:v>TX</x:v>
      </x:c>
      <x:c r="X110" s="7" t="str"/>
      <x:c r="Y110" s="7" t="str"/>
      <x:c r="Z110" s="7" t="str"/>
      <x:c r="AA110" s="7" t="str"/>
      <x:c r="AB110" s="7" t="str"/>
      <x:c r="AC110" s="7" t="str"/>
      <x:c r="AD110" s="7" t="str">
        <x:v>No agency or insurer displayed: onboarding opportunity possible; existing business unknown</x:v>
      </x:c>
      <x:c r="AE110" s="7" t="str">
        <x:v>Nonresident or address state outside CA; confirm geographic recruiting scope | No public business phone: contact enrichment needed, not proof of poor recruiting fit</x:v>
      </x:c>
      <x:c r="AF110" s="16" t="str"/>
      <x:c r="AG110" s="17" t="str"/>
      <x:c r="AH110" s="7" t="str"/>
      <x:c r="AI110" s="7" t="str"/>
      <x:c r="AJ110" s="7" t="str"/>
      <x:c r="AK110" s="15" t="str"/>
      <x:c r="AL110" s="7" t="str"/>
      <x:c r="AM110" s="7" t="str">
        <x:v>AGUILAR  ANGEL</x:v>
      </x:c>
      <x:c r="AN110" s="7" t="str">
        <x:v>https://cdicloud.insurance.ca.gov/cal/LicenseDetail?SearchType=IND&amp;SearchLicNbr=4412638&amp;SearchIndvId=4412638</x:v>
      </x:c>
      <x:c r="AO110" s="7" t="str">
        <x:v>2026-10-08</x:v>
      </x:c>
      <x:c r="AP110" s="7" t="str">
        <x:v>1e03fdb4d3a073a568ec269ab317392882f36ff27718d4fac29273e59938b109</x:v>
      </x:c>
      <x:c r="AQ110" s="7" t="str">
        <x:v>Personal Lines /  / 09/26/2024 / 09/30/2026 / 09/30/2026</x:v>
      </x:c>
      <x:c r="AR110" s="7" t="str"/>
      <x:c r="AS110" s="7" t="str">
        <x:v>Current detail page</x:v>
      </x:c>
    </x:row>
    <x:row r="111" ht="52" customHeight="1">
      <x:c r="A111" s="7" t="str">
        <x:v>AGUILAR ANGEL ANTHONY</x:v>
      </x:c>
      <x:c r="B111" s="14" t="str">
        <x:f>"4236432"</x:f>
        <x:v>4236432</x:v>
      </x:c>
      <x:c r="C111" s="7" t="str">
        <x:v>Omitted</x:v>
      </x:c>
      <x:c r="D111" s="7" t="str">
        <x:v>FAIL</x:v>
      </x:c>
      <x:c r="E111" s="13" t="str">
        <x:v>Pending</x:v>
      </x:c>
      <x:c r="F111" s="13" t="str"/>
      <x:c r="G111" s="13" t="str"/>
      <x:c r="H111" s="13" t="str"/>
      <x:c r="I111" s="7" t="str">
        <x:v>Was this person reviewed? If rejected, give the actual rule and evidence. If acceptable, correct the omission. Confirm the Life-qualification gate and any record change since selection.</x:v>
      </x:c>
      <x:c r="J111" s="7" t="str">
        <x:v>L1</x:v>
      </x:c>
      <x:c r="K111" s="7" t="str">
        <x:v>Verified qualifications do not include active general Life. Current target-pool mismatch; actual historical omission reason unknown.</x:v>
      </x:c>
      <x:c r="L111" s="7" t="str">
        <x:v>Not supplied; membership is known, motive is not</x:v>
      </x:c>
      <x:c r="M111" s="7" t="n">
        <x:v>7</x:v>
      </x:c>
      <x:c r="N111" s="7" t="str">
        <x:v>Outside current general-Life recruiting pool</x:v>
      </x:c>
      <x:c r="O111" s="7" t="str"/>
      <x:c r="P111" s="7" t="str">
        <x:v>09/12/2022</x:v>
      </x:c>
      <x:c r="Q111" s="7" t="str">
        <x:v>09/30/2026</x:v>
      </x:c>
      <x:c r="R111" s="7" t="str"/>
      <x:c r="S111" s="15" t="str"/>
      <x:c r="T111" s="7" t="str">
        <x:v>No public business phone in collected record</x:v>
      </x:c>
      <x:c r="U111" s="7" t="str"/>
      <x:c r="V111" s="7" t="str">
        <x:v>Resident</x:v>
      </x:c>
      <x:c r="W111" s="7" t="str">
        <x:v>CA</x:v>
      </x:c>
      <x:c r="X111" s="7" t="str"/>
      <x:c r="Y111" s="7" t="str"/>
      <x:c r="Z111" s="7" t="str"/>
      <x:c r="AA111" s="7" t="str"/>
      <x:c r="AB111" s="7" t="str"/>
      <x:c r="AC111" s="7" t="str"/>
      <x:c r="AD111" s="7" t="str">
        <x:v>No agency or insurer displayed: onboarding opportunity possible; existing business unknown</x:v>
      </x:c>
      <x:c r="AE111" s="7" t="str">
        <x:v>No public business phone: contact enrichment needed, not proof of poor recruiting fit</x:v>
      </x:c>
      <x:c r="AF111" s="16" t="str"/>
      <x:c r="AG111" s="17" t="str"/>
      <x:c r="AH111" s="7" t="str"/>
      <x:c r="AI111" s="7" t="str">
        <x:v>English</x:v>
      </x:c>
      <x:c r="AJ111" s="7" t="str"/>
      <x:c r="AK111" s="15" t="str"/>
      <x:c r="AL111" s="7" t="str"/>
      <x:c r="AM111" s="7" t="str">
        <x:v>AGUILAR ANTHONY ANGEL</x:v>
      </x:c>
      <x:c r="AN111" s="7" t="str">
        <x:v>https://cdicloud.insurance.ca.gov/cal/LicenseDetail?SearchType=IND&amp;SearchLicNbr=4236432&amp;SearchIndvId=4236432</x:v>
      </x:c>
      <x:c r="AO111" s="7" t="str">
        <x:v>2026-10-08</x:v>
      </x:c>
      <x:c r="AP111" s="7" t="str">
        <x:v>4d9f3224d0fcde36d6da40b0daeaa86e33ba18c664a782fbdb679d278d9fb9d7</x:v>
      </x:c>
      <x:c r="AQ111" s="7" t="str">
        <x:v>Life /  / 09/12/2022 / 09/30/2026 / 09/30/2026</x:v>
      </x:c>
      <x:c r="AR111" s="7" t="str"/>
      <x:c r="AS111" s="7" t="str">
        <x:v>Current detail page</x:v>
      </x:c>
    </x:row>
    <x:row r="112" ht="52" customHeight="1">
      <x:c r="A112" s="7" t="str">
        <x:v>AGUILAR ANGEL DANIEL</x:v>
      </x:c>
      <x:c r="B112" s="14" t="str">
        <x:f>"0F98020"</x:f>
        <x:v>0F98020</x:v>
      </x:c>
      <x:c r="C112" s="7" t="str">
        <x:v>Omitted</x:v>
      </x:c>
      <x:c r="D112" s="7" t="str">
        <x:v>FAIL</x:v>
      </x:c>
      <x:c r="E112" s="13" t="str">
        <x:v>Pending</x:v>
      </x:c>
      <x:c r="F112" s="13" t="str"/>
      <x:c r="G112" s="13" t="str"/>
      <x:c r="H112" s="13" t="str"/>
      <x:c r="I112" s="7" t="str">
        <x:v>Was this person reviewed? If rejected, give the actual rule and evidence. If acceptable, correct the omission. Confirm the Life-qualification gate and any record change since selection.</x:v>
      </x:c>
      <x:c r="J112" s="7" t="str">
        <x:v>L1</x:v>
      </x:c>
      <x:c r="K112" s="7" t="str">
        <x:v>Verified qualifications do not include active general Life. Current target-pool mismatch; actual historical omission reason unknown.</x:v>
      </x:c>
      <x:c r="L112" s="7" t="str">
        <x:v>Not supplied; membership is known, motive is not</x:v>
      </x:c>
      <x:c r="M112" s="7" t="n">
        <x:v>7</x:v>
      </x:c>
      <x:c r="N112" s="7" t="str">
        <x:v>Outside current general-Life recruiting pool</x:v>
      </x:c>
      <x:c r="O112" s="7" t="str">
        <x:v>Not displayed</x:v>
      </x:c>
      <x:c r="P112" s="7" t="str"/>
      <x:c r="Q112" s="7" t="str"/>
      <x:c r="R112" s="7" t="str"/>
      <x:c r="S112" s="15" t="str"/>
      <x:c r="T112" s="7" t="str">
        <x:v>No public business phone in collected record</x:v>
      </x:c>
      <x:c r="U112" s="7" t="str"/>
      <x:c r="V112" s="7" t="str">
        <x:v>Resident</x:v>
      </x:c>
      <x:c r="W112" s="7" t="str">
        <x:v>CA</x:v>
      </x:c>
      <x:c r="X112" s="7" t="str"/>
      <x:c r="Y112" s="7" t="str"/>
      <x:c r="Z112" s="7" t="str"/>
      <x:c r="AA112" s="7" t="str"/>
      <x:c r="AB112" s="7" t="str"/>
      <x:c r="AC112" s="7" t="str"/>
      <x:c r="AD112" s="7" t="str">
        <x:v>No agency or insurer displayed: onboarding opportunity possible; existing business unknown</x:v>
      </x:c>
      <x:c r="AE112" s="7" t="str">
        <x:v>No public business phone: contact enrichment needed, not proof of poor recruiting fit</x:v>
      </x:c>
      <x:c r="AF112" s="16" t="str"/>
      <x:c r="AG112" s="17" t="str"/>
      <x:c r="AH112" s="7" t="str"/>
      <x:c r="AI112" s="7" t="str"/>
      <x:c r="AJ112" s="7" t="str"/>
      <x:c r="AK112" s="15" t="str"/>
      <x:c r="AL112" s="7" t="str"/>
      <x:c r="AM112" s="7" t="str">
        <x:v>AGUILAR DANIEL ANGEL</x:v>
      </x:c>
      <x:c r="AN112" s="7" t="str">
        <x:v>https://cdicloud.insurance.ca.gov/cal/LicenseDetail?SearchType=IND&amp;SearchLicNbr=0F98020&amp;SearchIndvId=1120731</x:v>
      </x:c>
      <x:c r="AO112" s="7" t="str">
        <x:v>2026-10-08</x:v>
      </x:c>
      <x:c r="AP112" s="7" t="str">
        <x:v>f20556ca04d6307d012890faaa35126f30d54123c3047bf9b3a5496030479bfd</x:v>
      </x:c>
      <x:c r="AQ112" s="7" t="str">
        <x:v>Casualty Broker-Agent / Inactive / 10/24/2008 / 01/31/2010 / 01/31/2010
Life-Only / Inactive / 01/26/2008 / 01/31/2010 / 01/31/2010
Property Broker-Agent / Inactive / 10/24/2008 / 01/31/2010 / 01/31/2010</x:v>
      </x:c>
      <x:c r="AR112" s="7" t="str">
        <x:v>Inactive</x:v>
      </x:c>
      <x:c r="AS112" s="7" t="str">
        <x:v>Current detail page</x:v>
      </x:c>
    </x:row>
    <x:row r="113" ht="52" customHeight="1">
      <x:c r="A113" s="7" t="str">
        <x:v>AGUILAR ANGEL L</x:v>
      </x:c>
      <x:c r="B113" s="14" t="str">
        <x:f>"4244077"</x:f>
        <x:v>4244077</x:v>
      </x:c>
      <x:c r="C113" s="7" t="str">
        <x:v>Omitted</x:v>
      </x:c>
      <x:c r="D113" s="7" t="str">
        <x:v>FAIL</x:v>
      </x:c>
      <x:c r="E113" s="13" t="str">
        <x:v>Pending</x:v>
      </x:c>
      <x:c r="F113" s="13" t="str"/>
      <x:c r="G113" s="13" t="str"/>
      <x:c r="H113" s="13" t="str"/>
      <x:c r="I113" s="7" t="str">
        <x:v>Was this person reviewed? If rejected, give the actual rule and evidence. If acceptable, correct the omission. Confirm the Life-qualification gate and any record change since selection.</x:v>
      </x:c>
      <x:c r="J113" s="7" t="str">
        <x:v>L1</x:v>
      </x:c>
      <x:c r="K113" s="7" t="str">
        <x:v>Verified qualifications do not include active general Life. Current target-pool mismatch; actual historical omission reason unknown.</x:v>
      </x:c>
      <x:c r="L113" s="7" t="str">
        <x:v>Not supplied; membership is known, motive is not</x:v>
      </x:c>
      <x:c r="M113" s="7" t="n">
        <x:v>7</x:v>
      </x:c>
      <x:c r="N113" s="7" t="str">
        <x:v>Outside current general-Life recruiting pool</x:v>
      </x:c>
      <x:c r="O113" s="7" t="str">
        <x:v>Not displayed</x:v>
      </x:c>
      <x:c r="P113" s="7" t="str"/>
      <x:c r="Q113" s="7" t="str"/>
      <x:c r="R113" s="7" t="str"/>
      <x:c r="S113" s="15" t="str"/>
      <x:c r="T113" s="7" t="str">
        <x:v>No public business phone in collected record</x:v>
      </x:c>
      <x:c r="U113" s="7" t="str">
        <x:v>1214 MCCLUNG AVE APT 6 BARBOURSVILLE WV, 25504-1945</x:v>
      </x:c>
      <x:c r="V113" s="7" t="str">
        <x:v>Non-resident</x:v>
      </x:c>
      <x:c r="W113" s="7" t="str">
        <x:v>WV</x:v>
      </x:c>
      <x:c r="X113" s="7" t="str"/>
      <x:c r="Y113" s="7" t="str"/>
      <x:c r="Z113" s="7" t="str"/>
      <x:c r="AA113" s="7" t="str"/>
      <x:c r="AB113" s="7" t="str"/>
      <x:c r="AC113" s="7" t="str"/>
      <x:c r="AD113" s="7" t="str">
        <x:v>No agency or insurer displayed: onboarding opportunity possible; existing business unknown</x:v>
      </x:c>
      <x:c r="AE113" s="7" t="str">
        <x:v>Nonresident or address state outside CA; confirm geographic recruiting scope | No public business phone: contact enrichment needed, not proof of poor recruiting fit</x:v>
      </x:c>
      <x:c r="AF113" s="16" t="str"/>
      <x:c r="AG113" s="17" t="str"/>
      <x:c r="AH113" s="7" t="str"/>
      <x:c r="AI113" s="7" t="str"/>
      <x:c r="AJ113" s="7" t="str"/>
      <x:c r="AK113" s="15" t="str"/>
      <x:c r="AL113" s="7" t="str"/>
      <x:c r="AM113" s="7" t="str">
        <x:v>AGUILAR  ANGEL L</x:v>
      </x:c>
      <x:c r="AN113" s="7" t="str">
        <x:v>https://cdicloud.insurance.ca.gov/cal/LicenseDetail?SearchType=IND&amp;SearchLicNbr=4244077&amp;SearchIndvId=4244077</x:v>
      </x:c>
      <x:c r="AO113" s="7" t="str">
        <x:v>2026-10-08</x:v>
      </x:c>
      <x:c r="AP113" s="7" t="str">
        <x:v>a8166a365761e95952225ac3377ccb19478ceaf0902cdc974a6c19c1682502c6</x:v>
      </x:c>
      <x:c r="AQ113" s="7" t="str">
        <x:v>Accident &amp; Health or Sickness / Inactive / 10/06/2022 / 10/31/2024 / 10/31/2024</x:v>
      </x:c>
      <x:c r="AR113" s="7" t="str">
        <x:v>Inactive</x:v>
      </x:c>
      <x:c r="AS113" s="7" t="str">
        <x:v>Current detail page</x:v>
      </x:c>
    </x:row>
    <x:row r="114" ht="52" customHeight="1">
      <x:c r="A114" s="7" t="str">
        <x:v>AGUILAR ANGEL RENE</x:v>
      </x:c>
      <x:c r="B114" s="14" t="str">
        <x:f>"0M06563"</x:f>
        <x:v>0M06563</x:v>
      </x:c>
      <x:c r="C114" s="7" t="str">
        <x:v>Omitted</x:v>
      </x:c>
      <x:c r="D114" s="7" t="str">
        <x:v>FAIL</x:v>
      </x:c>
      <x:c r="E114" s="13" t="str">
        <x:v>Pending</x:v>
      </x:c>
      <x:c r="F114" s="13" t="str"/>
      <x:c r="G114" s="13" t="str"/>
      <x:c r="H114" s="13" t="str"/>
      <x:c r="I114" s="7" t="str">
        <x:v>Was this person reviewed? If rejected, give the actual rule and evidence. If acceptable, correct the omission. Confirm the Life-qualification gate and any record change since selection.</x:v>
      </x:c>
      <x:c r="J114" s="7" t="str">
        <x:v>L1</x:v>
      </x:c>
      <x:c r="K114" s="7" t="str">
        <x:v>Verified qualifications do not include active general Life. Current target-pool mismatch; actual historical omission reason unknown.</x:v>
      </x:c>
      <x:c r="L114" s="7" t="str">
        <x:v>Not supplied; membership is known, motive is not</x:v>
      </x:c>
      <x:c r="M114" s="7" t="n">
        <x:v>7</x:v>
      </x:c>
      <x:c r="N114" s="7" t="str">
        <x:v>Outside current general-Life recruiting pool</x:v>
      </x:c>
      <x:c r="O114" s="7" t="str">
        <x:v>Not displayed</x:v>
      </x:c>
      <x:c r="P114" s="7" t="str"/>
      <x:c r="Q114" s="7" t="str"/>
      <x:c r="R114" s="7" t="str">
        <x:v>Personal Lines</x:v>
      </x:c>
      <x:c r="S114" s="15" t="str"/>
      <x:c r="T114" s="7" t="str">
        <x:v>No public business phone in collected record</x:v>
      </x:c>
      <x:c r="U114" s="7" t="str">
        <x:v>1418 S MOONEY BLVD VISALIA CA, 93277</x:v>
      </x:c>
      <x:c r="V114" s="7" t="str">
        <x:v>Resident</x:v>
      </x:c>
      <x:c r="W114" s="7" t="str">
        <x:v>CA</x:v>
      </x:c>
      <x:c r="X114" s="7" t="str">
        <x:v>FIESTA INSURANCE FRANCHISE CORPORATION / Personal Lines / 10/05/2023</x:v>
      </x:c>
      <x:c r="Y114" s="7" t="str"/>
      <x:c r="Z114" s="7" t="str"/>
      <x:c r="AA114" s="7" t="str"/>
      <x:c r="AB114" s="7" t="str"/>
      <x:c r="AC114" s="7" t="str"/>
      <x:c r="AD114" s="7" t="str"/>
      <x:c r="AE114" s="7" t="str">
        <x:v>P&amp;C/Personal Lines authority without displayed core Life appointments; mixed profile requires review | No public business phone: contact enrichment needed, not proof of poor recruiting fit</x:v>
      </x:c>
      <x:c r="AF114" s="16" t="str"/>
      <x:c r="AG114" s="17" t="str"/>
      <x:c r="AH114" s="7" t="str"/>
      <x:c r="AI114" s="7" t="str">
        <x:v>English</x:v>
      </x:c>
      <x:c r="AJ114" s="7" t="str"/>
      <x:c r="AK114" s="15" t="str"/>
      <x:c r="AL114" s="7" t="str"/>
      <x:c r="AM114" s="7" t="str">
        <x:v>Aguilar R Angel | AGUILAR RENE ANGEL</x:v>
      </x:c>
      <x:c r="AN114" s="7" t="str">
        <x:v>https://cdicloud.insurance.ca.gov/cal/LicenseDetail?SearchType=IND&amp;SearchLicNbr=0M06563&amp;SearchIndvId=1963728</x:v>
      </x:c>
      <x:c r="AO114" s="7" t="str">
        <x:v>2026-10-08</x:v>
      </x:c>
      <x:c r="AP114" s="7" t="str">
        <x:v>766386d99ad75ba01d03a4daee85c5f5002ec77b8be9ef94c45762c20116421a</x:v>
      </x:c>
      <x:c r="AQ114" s="7" t="str">
        <x:v>Personal Lines / Active / 09/27/2023 / 09/27/2023 / 09/30/2027</x:v>
      </x:c>
      <x:c r="AR114" s="7" t="str">
        <x:v>Active</x:v>
      </x:c>
      <x:c r="AS114" s="7" t="str">
        <x:v>Current detail page</x:v>
      </x:c>
    </x:row>
    <x:row r="115" ht="52" customHeight="1">
      <x:c r="A115" s="7" t="str">
        <x:v>AGUILAR ANGELA</x:v>
      </x:c>
      <x:c r="B115" s="14" t="str">
        <x:f>"0J01771"</x:f>
        <x:v>0J01771</x:v>
      </x:c>
      <x:c r="C115" s="7" t="str">
        <x:v>Omitted</x:v>
      </x:c>
      <x:c r="D115" s="7" t="str">
        <x:v>FAIL</x:v>
      </x:c>
      <x:c r="E115" s="13" t="str">
        <x:v>Pending</x:v>
      </x:c>
      <x:c r="F115" s="13" t="str"/>
      <x:c r="G115" s="13" t="str"/>
      <x:c r="H115" s="13" t="str"/>
      <x:c r="I115" s="7" t="str">
        <x:v>Was this person reviewed? If rejected, give the actual rule and evidence. If acceptable, correct the omission. Confirm the Life-qualification gate and any record change since selection.</x:v>
      </x:c>
      <x:c r="J115" s="7" t="str">
        <x:v>L1</x:v>
      </x:c>
      <x:c r="K115" s="7" t="str">
        <x:v>Verified qualifications do not include active general Life. Current target-pool mismatch; actual historical omission reason unknown.</x:v>
      </x:c>
      <x:c r="L115" s="7" t="str">
        <x:v>Not supplied; membership is known, motive is not</x:v>
      </x:c>
      <x:c r="M115" s="7" t="n">
        <x:v>7</x:v>
      </x:c>
      <x:c r="N115" s="7" t="str">
        <x:v>Outside current general-Life recruiting pool</x:v>
      </x:c>
      <x:c r="O115" s="7" t="str">
        <x:v>Not displayed</x:v>
      </x:c>
      <x:c r="P115" s="7" t="str"/>
      <x:c r="Q115" s="7" t="str"/>
      <x:c r="R115" s="7" t="str"/>
      <x:c r="S115" s="15" t="str"/>
      <x:c r="T115" s="7" t="str">
        <x:v>No public business phone in collected record</x:v>
      </x:c>
      <x:c r="U115" s="7" t="str"/>
      <x:c r="V115" s="7" t="str">
        <x:v>Resident</x:v>
      </x:c>
      <x:c r="W115" s="7" t="str">
        <x:v>CA</x:v>
      </x:c>
      <x:c r="X115" s="7" t="str"/>
      <x:c r="Y115" s="7" t="str"/>
      <x:c r="Z115" s="7" t="str"/>
      <x:c r="AA115" s="7" t="str"/>
      <x:c r="AB115" s="7" t="str"/>
      <x:c r="AC115" s="7" t="str"/>
      <x:c r="AD115" s="7" t="str">
        <x:v>No agency or insurer displayed: onboarding opportunity possible; existing business unknown</x:v>
      </x:c>
      <x:c r="AE115" s="7" t="str">
        <x:v>No public business phone: contact enrichment needed, not proof of poor recruiting fit</x:v>
      </x:c>
      <x:c r="AF115" s="16" t="str"/>
      <x:c r="AG115" s="17" t="str"/>
      <x:c r="AH115" s="7" t="str"/>
      <x:c r="AI115" s="7" t="str"/>
      <x:c r="AJ115" s="7" t="str"/>
      <x:c r="AK115" s="15" t="str"/>
      <x:c r="AL115" s="7" t="str"/>
      <x:c r="AM115" s="7" t="str">
        <x:v>AGUILAR  ANGELA</x:v>
      </x:c>
      <x:c r="AN115" s="7" t="str">
        <x:v>https://cdicloud.insurance.ca.gov/cal/LicenseDetail?SearchType=IND&amp;SearchLicNbr=0J01771&amp;SearchIndvId=1691720</x:v>
      </x:c>
      <x:c r="AO115" s="7" t="str">
        <x:v>2026-10-08</x:v>
      </x:c>
      <x:c r="AP115" s="7" t="str">
        <x:v>65b87013bbe093b1de315d0bb3dc2ca617ea9dd07f996c5dc71965c0c96b3fd3</x:v>
      </x:c>
      <x:c r="AQ115" s="7" t="str">
        <x:v>Casualty Broker-Agent / Inactive / 08/14/2014 / 08/31/2018 / 08/31/2018
Property Broker-Agent / Inactive / 08/14/2014 / 08/31/2018 / 08/31/2018</x:v>
      </x:c>
      <x:c r="AR115" s="7" t="str">
        <x:v>Inactive</x:v>
      </x:c>
      <x:c r="AS115" s="7" t="str">
        <x:v>Current detail page</x:v>
      </x:c>
    </x:row>
    <x:row r="116" ht="52" customHeight="1">
      <x:c r="A116" s="7" t="str">
        <x:v>AGUILAR ANGELA</x:v>
      </x:c>
      <x:c r="B116" s="14" t="str">
        <x:f>"0K21421"</x:f>
        <x:v>0K21421</x:v>
      </x:c>
      <x:c r="C116" s="7" t="str">
        <x:v>Omitted</x:v>
      </x:c>
      <x:c r="D116" s="7" t="str">
        <x:v>FAIL</x:v>
      </x:c>
      <x:c r="E116" s="13" t="str">
        <x:v>Pending</x:v>
      </x:c>
      <x:c r="F116" s="13" t="str"/>
      <x:c r="G116" s="13" t="str"/>
      <x:c r="H116" s="13" t="str"/>
      <x:c r="I116" s="7" t="str">
        <x:v>Was this person reviewed? If rejected, give the actual rule and evidence. If acceptable, correct the omission. Confirm the Life-qualification gate and any record change since selection.</x:v>
      </x:c>
      <x:c r="J116" s="7" t="str">
        <x:v>L1</x:v>
      </x:c>
      <x:c r="K116" s="7" t="str">
        <x:v>Verified qualifications do not include active general Life. Current target-pool mismatch; actual historical omission reason unknown.</x:v>
      </x:c>
      <x:c r="L116" s="7" t="str">
        <x:v>Not supplied; membership is known, motive is not</x:v>
      </x:c>
      <x:c r="M116" s="7" t="n">
        <x:v>7</x:v>
      </x:c>
      <x:c r="N116" s="7" t="str">
        <x:v>Outside current general-Life recruiting pool</x:v>
      </x:c>
      <x:c r="O116" s="7" t="str">
        <x:v>Not displayed</x:v>
      </x:c>
      <x:c r="P116" s="7" t="str"/>
      <x:c r="Q116" s="7" t="str"/>
      <x:c r="R116" s="7" t="str">
        <x:v>Personal Lines</x:v>
      </x:c>
      <x:c r="S116" s="15" t="str">
        <x:v>661-255-8843</x:v>
      </x:c>
      <x:c r="T116" s="7" t="str">
        <x:v>Current CDI</x:v>
      </x:c>
      <x:c r="U116" s="7" t="str">
        <x:v>23550 LYONS AVE. 108 NEWHALL CA, 91321</x:v>
      </x:c>
      <x:c r="V116" s="7" t="str">
        <x:v>Resident</x:v>
      </x:c>
      <x:c r="W116" s="7" t="str">
        <x:v>CA</x:v>
      </x:c>
      <x:c r="X116" s="7" t="str"/>
      <x:c r="Y116" s="7" t="str"/>
      <x:c r="Z116" s="7" t="str"/>
      <x:c r="AA116" s="7" t="str"/>
      <x:c r="AB116" s="7" t="str"/>
      <x:c r="AC116" s="7" t="str"/>
      <x:c r="AD116" s="7" t="str">
        <x:v>No agency or insurer displayed: onboarding opportunity possible; existing business unknown</x:v>
      </x:c>
      <x:c r="AE116" s="7" t="str">
        <x:v>P&amp;C/Personal Lines authority without displayed core Life appointments; mixed profile requires review</x:v>
      </x:c>
      <x:c r="AF116" s="16" t="str"/>
      <x:c r="AG116" s="17" t="str"/>
      <x:c r="AH116" s="7" t="str"/>
      <x:c r="AI116" s="7" t="str">
        <x:v>English</x:v>
      </x:c>
      <x:c r="AJ116" s="7" t="str"/>
      <x:c r="AK116" s="15" t="str"/>
      <x:c r="AL116" s="7" t="str"/>
      <x:c r="AM116" s="7" t="str">
        <x:v>AGUILAR  ANGELA</x:v>
      </x:c>
      <x:c r="AN116" s="7" t="str">
        <x:v>https://cdicloud.insurance.ca.gov/cal/LicenseDetail?SearchType=IND&amp;SearchLicNbr=0K21421&amp;SearchIndvId=1753182</x:v>
      </x:c>
      <x:c r="AO116" s="7" t="str">
        <x:v>2026-10-08</x:v>
      </x:c>
      <x:c r="AP116" s="7" t="str">
        <x:v>9970528b56a72d7f3f0bab1ee32baeb6d903c773cecfc8cf6568e8c002f4546d</x:v>
      </x:c>
      <x:c r="AQ116" s="7" t="str">
        <x:v>Personal Lines / Active / 04/29/2015 / 05/05/2021 / 04/30/2027</x:v>
      </x:c>
      <x:c r="AR116" s="7" t="str">
        <x:v>Active</x:v>
      </x:c>
      <x:c r="AS116" s="7" t="str">
        <x:v>Current detail page</x:v>
      </x:c>
    </x:row>
    <x:row r="117" ht="52" customHeight="1">
      <x:c r="A117" s="7" t="str">
        <x:v>AGUILAR ANGELA MARILY</x:v>
      </x:c>
      <x:c r="B117" s="14" t="str">
        <x:f>"4212674"</x:f>
        <x:v>4212674</x:v>
      </x:c>
      <x:c r="C117" s="7" t="str">
        <x:v>Omitted</x:v>
      </x:c>
      <x:c r="D117" s="7" t="str">
        <x:v>FAIL</x:v>
      </x:c>
      <x:c r="E117" s="13" t="str">
        <x:v>Pending</x:v>
      </x:c>
      <x:c r="F117" s="13" t="str"/>
      <x:c r="G117" s="13" t="str"/>
      <x:c r="H117" s="13" t="str"/>
      <x:c r="I117" s="7" t="str">
        <x:v>Was this person reviewed? If rejected, give the actual rule and evidence. If acceptable, correct the omission. Confirm the Life-qualification gate and any record change since selection.</x:v>
      </x:c>
      <x:c r="J117" s="7" t="str">
        <x:v>L1</x:v>
      </x:c>
      <x:c r="K117" s="7" t="str">
        <x:v>Verified qualifications do not include active general Life. Current target-pool mismatch; actual historical omission reason unknown.</x:v>
      </x:c>
      <x:c r="L117" s="7" t="str">
        <x:v>Not supplied; membership is known, motive is not</x:v>
      </x:c>
      <x:c r="M117" s="7" t="n">
        <x:v>7</x:v>
      </x:c>
      <x:c r="N117" s="7" t="str">
        <x:v>Outside current general-Life recruiting pool</x:v>
      </x:c>
      <x:c r="O117" s="7" t="str">
        <x:v>Inactive</x:v>
      </x:c>
      <x:c r="P117" s="7" t="str">
        <x:v>05/19/2022</x:v>
      </x:c>
      <x:c r="Q117" s="7" t="str">
        <x:v>05/31/2024</x:v>
      </x:c>
      <x:c r="R117" s="7" t="str"/>
      <x:c r="S117" s="15" t="str"/>
      <x:c r="T117" s="7" t="str">
        <x:v>No public business phone in collected record</x:v>
      </x:c>
      <x:c r="U117" s="7" t="str">
        <x:v>119 BELLE AVE BAKERSFIELD CA, 93308</x:v>
      </x:c>
      <x:c r="V117" s="7" t="str">
        <x:v>Resident</x:v>
      </x:c>
      <x:c r="W117" s="7" t="str">
        <x:v>CA</x:v>
      </x:c>
      <x:c r="X117" s="7" t="str"/>
      <x:c r="Y117" s="7" t="str"/>
      <x:c r="Z117" s="7" t="str"/>
      <x:c r="AA117" s="7" t="str"/>
      <x:c r="AB117" s="7" t="str"/>
      <x:c r="AC117" s="7" t="str"/>
      <x:c r="AD117" s="7" t="str">
        <x:v>No agency or insurer displayed: onboarding opportunity possible; existing business unknown</x:v>
      </x:c>
      <x:c r="AE117" s="7" t="str">
        <x:v>No public business phone: contact enrichment needed, not proof of poor recruiting fit</x:v>
      </x:c>
      <x:c r="AF117" s="16" t="str"/>
      <x:c r="AG117" s="17" t="str"/>
      <x:c r="AH117" s="7" t="str"/>
      <x:c r="AI117" s="7" t="str"/>
      <x:c r="AJ117" s="7" t="str"/>
      <x:c r="AK117" s="15" t="str"/>
      <x:c r="AL117" s="7" t="str"/>
      <x:c r="AM117" s="7" t="str">
        <x:v>AGUILAR MARILY ANGELA</x:v>
      </x:c>
      <x:c r="AN117" s="7" t="str">
        <x:v>https://cdicloud.insurance.ca.gov/cal/LicenseDetail?SearchType=IND&amp;SearchLicNbr=4212674&amp;SearchIndvId=4212674</x:v>
      </x:c>
      <x:c r="AO117" s="7" t="str">
        <x:v>2026-10-08</x:v>
      </x:c>
      <x:c r="AP117" s="7" t="str">
        <x:v>821ef9c8a9b6a9a8234ce4602c55f0e05a0a76294761e9328774f580d5248111</x:v>
      </x:c>
      <x:c r="AQ117" s="7" t="str">
        <x:v>Accident &amp; Health or Sickness / Inactive / 05/19/2022 / 05/31/2024 / 05/31/2024
Life / Inactive / 05/19/2022 / 05/31/2024 / 05/31/2024</x:v>
      </x:c>
      <x:c r="AR117" s="7" t="str">
        <x:v>Inactive</x:v>
      </x:c>
      <x:c r="AS117" s="7" t="str">
        <x:v>Current detail page</x:v>
      </x:c>
    </x:row>
    <x:row r="118" ht="52" customHeight="1">
      <x:c r="A118" s="7" t="str">
        <x:v>AGUILAR ANGELICA</x:v>
      </x:c>
      <x:c r="B118" s="14" t="str">
        <x:f>"4307310"</x:f>
        <x:v>4307310</x:v>
      </x:c>
      <x:c r="C118" s="7" t="str">
        <x:v>Omitted</x:v>
      </x:c>
      <x:c r="D118" s="7" t="str">
        <x:v>FAIL</x:v>
      </x:c>
      <x:c r="E118" s="13" t="str">
        <x:v>Pending</x:v>
      </x:c>
      <x:c r="F118" s="13" t="str"/>
      <x:c r="G118" s="13" t="str"/>
      <x:c r="H118" s="13" t="str"/>
      <x:c r="I118" s="7" t="str">
        <x:v>Was this person reviewed? If rejected, give the actual rule and evidence. If acceptable, correct the omission. Confirm the Life-qualification gate and any record change since selection.</x:v>
      </x:c>
      <x:c r="J118" s="7" t="str">
        <x:v>L1</x:v>
      </x:c>
      <x:c r="K118" s="7" t="str">
        <x:v>Verified qualifications do not include active general Life. Current target-pool mismatch; actual historical omission reason unknown.</x:v>
      </x:c>
      <x:c r="L118" s="7" t="str">
        <x:v>Not supplied; membership is known, motive is not</x:v>
      </x:c>
      <x:c r="M118" s="7" t="n">
        <x:v>7</x:v>
      </x:c>
      <x:c r="N118" s="7" t="str">
        <x:v>Outside current general-Life recruiting pool</x:v>
      </x:c>
      <x:c r="O118" s="7" t="str">
        <x:v>Not displayed</x:v>
      </x:c>
      <x:c r="P118" s="7" t="str"/>
      <x:c r="Q118" s="7" t="str"/>
      <x:c r="R118" s="7" t="str">
        <x:v>Personal Lines</x:v>
      </x:c>
      <x:c r="S118" s="15" t="str"/>
      <x:c r="T118" s="7" t="str">
        <x:v>No public business phone in collected record</x:v>
      </x:c>
      <x:c r="U118" s="7" t="str">
        <x:v>FX INSURANCE AGENCY, LLC 24000 N FARMERS WAY PHOENIX AZ, 85085</x:v>
      </x:c>
      <x:c r="V118" s="7" t="str">
        <x:v>Non-resident</x:v>
      </x:c>
      <x:c r="W118" s="7" t="str">
        <x:v>AZ</x:v>
      </x:c>
      <x:c r="X118" s="7" t="str">
        <x:v>FX INSURANCE AGENCY, LLC / Personal Lines / 07/10/2023</x:v>
      </x:c>
      <x:c r="Y118" s="7" t="str"/>
      <x:c r="Z118" s="7" t="str"/>
      <x:c r="AA118" s="7" t="str"/>
      <x:c r="AB118" s="7" t="str"/>
      <x:c r="AC118" s="7" t="str"/>
      <x:c r="AD118" s="7" t="str"/>
      <x:c r="AE118"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118" s="16" t="str"/>
      <x:c r="AG118" s="17" t="str"/>
      <x:c r="AH118" s="7" t="str"/>
      <x:c r="AI118" s="7" t="str"/>
      <x:c r="AJ118" s="7" t="str"/>
      <x:c r="AK118" s="15" t="str"/>
      <x:c r="AL118" s="7" t="str"/>
      <x:c r="AM118" s="7" t="str">
        <x:v>AGUILAR  ANGELICA</x:v>
      </x:c>
      <x:c r="AN118" s="7" t="str">
        <x:v>https://cdicloud.insurance.ca.gov/cal/LicenseDetail?SearchType=IND&amp;SearchLicNbr=4307310&amp;SearchIndvId=4307310</x:v>
      </x:c>
      <x:c r="AO118" s="7" t="str">
        <x:v>2026-10-08</x:v>
      </x:c>
      <x:c r="AP118" s="7" t="str">
        <x:v>b3bdd6982e62c6f1a0afd775431dc785a34580eba9c297338a2069b2ecbe332b</x:v>
      </x:c>
      <x:c r="AQ118" s="7" t="str">
        <x:v>Personal Lines / Active / 07/06/2023 / 07/06/2023 / 07/31/2027</x:v>
      </x:c>
      <x:c r="AR118" s="7" t="str">
        <x:v>Active</x:v>
      </x:c>
      <x:c r="AS118" s="7" t="str">
        <x:v>Current detail page</x:v>
      </x:c>
    </x:row>
    <x:row r="119" ht="52" customHeight="1">
      <x:c r="A119" s="7" t="str">
        <x:v>AGUILAR ANGELINA</x:v>
      </x:c>
      <x:c r="B119" s="14" t="str">
        <x:f>"2085471"</x:f>
        <x:v>2085471</x:v>
      </x:c>
      <x:c r="C119" s="7" t="str">
        <x:v>Omitted</x:v>
      </x:c>
      <x:c r="D119" s="7" t="str">
        <x:v>FAIL</x:v>
      </x:c>
      <x:c r="E119" s="13" t="str">
        <x:v>Pending</x:v>
      </x:c>
      <x:c r="F119" s="13" t="str"/>
      <x:c r="G119" s="13" t="str"/>
      <x:c r="H119" s="13" t="str"/>
      <x:c r="I119" s="7" t="str">
        <x:v>Was this person reviewed? If rejected, give the actual rule and evidence. If acceptable, correct the omission. Confirm the Life-qualification gate and any record change since selection.</x:v>
      </x:c>
      <x:c r="J119" s="7" t="str">
        <x:v>L1</x:v>
      </x:c>
      <x:c r="K119" s="7" t="str">
        <x:v>Verified qualifications do not include active general Life. Current target-pool mismatch; actual historical omission reason unknown.</x:v>
      </x:c>
      <x:c r="L119" s="7" t="str">
        <x:v>Not supplied; membership is known, motive is not</x:v>
      </x:c>
      <x:c r="M119" s="7" t="n">
        <x:v>7</x:v>
      </x:c>
      <x:c r="N119" s="7" t="str">
        <x:v>Outside current general-Life recruiting pool</x:v>
      </x:c>
      <x:c r="O119" s="7" t="str">
        <x:v>Inactive</x:v>
      </x:c>
      <x:c r="P119" s="7" t="str">
        <x:v>05/21/2021</x:v>
      </x:c>
      <x:c r="Q119" s="7" t="str">
        <x:v>05/31/2023</x:v>
      </x:c>
      <x:c r="R119" s="7" t="str"/>
      <x:c r="S119" s="15" t="str"/>
      <x:c r="T119" s="7" t="str">
        <x:v>No public business phone in collected record</x:v>
      </x:c>
      <x:c r="U119" s="7" t="str">
        <x:v>1621 ALHAMBRA AVE APARTMENT A MARTINEZ CA, 94553</x:v>
      </x:c>
      <x:c r="V119" s="7" t="str">
        <x:v>Resident</x:v>
      </x:c>
      <x:c r="W119" s="7" t="str">
        <x:v>CA</x:v>
      </x:c>
      <x:c r="X119" s="7" t="str"/>
      <x:c r="Y119" s="7" t="str"/>
      <x:c r="Z119" s="7" t="str"/>
      <x:c r="AA119" s="7" t="str"/>
      <x:c r="AB119" s="7" t="str"/>
      <x:c r="AC119" s="7" t="str"/>
      <x:c r="AD119" s="7" t="str">
        <x:v>No agency or insurer displayed: onboarding opportunity possible; existing business unknown</x:v>
      </x:c>
      <x:c r="AE119" s="7" t="str">
        <x:v>No public business phone: contact enrichment needed, not proof of poor recruiting fit</x:v>
      </x:c>
      <x:c r="AF119" s="16" t="str"/>
      <x:c r="AG119" s="17" t="str"/>
      <x:c r="AH119" s="7" t="str"/>
      <x:c r="AI119" s="7" t="str">
        <x:v>English</x:v>
      </x:c>
      <x:c r="AJ119" s="7" t="str"/>
      <x:c r="AK119" s="15" t="str"/>
      <x:c r="AL119" s="7" t="str"/>
      <x:c r="AM119" s="7" t="str">
        <x:v>AGUILAR  ANGELINA</x:v>
      </x:c>
      <x:c r="AN119" s="7" t="str">
        <x:v>https://cdicloud.insurance.ca.gov/cal/LicenseDetail?SearchType=IND&amp;SearchLicNbr=2085471&amp;SearchIndvId=2085471</x:v>
      </x:c>
      <x:c r="AO119" s="7" t="str">
        <x:v>2026-10-08</x:v>
      </x:c>
      <x:c r="AP119" s="7" t="str">
        <x:v>4ee7c230eb6f6fbf22612a5d69b0fd13affc88554c803a0d36000c5c482f0e3c</x:v>
      </x:c>
      <x:c r="AQ119" s="7" t="str">
        <x:v>Life / Inactive / 05/21/2021 / 05/31/2023 / 05/31/2023</x:v>
      </x:c>
      <x:c r="AR119" s="7" t="str">
        <x:v>Inactive</x:v>
      </x:c>
      <x:c r="AS119" s="7" t="str">
        <x:v>Current detail page</x:v>
      </x:c>
    </x:row>
    <x:row r="120" ht="52" customHeight="1">
      <x:c r="A120" s="7" t="str">
        <x:v>AGUILAR ANGELO FRANK</x:v>
      </x:c>
      <x:c r="B120" s="14" t="str">
        <x:f>"1843520"</x:f>
        <x:v>1843520</x:v>
      </x:c>
      <x:c r="C120" s="7" t="str">
        <x:v>Omitted</x:v>
      </x:c>
      <x:c r="D120" s="7" t="str">
        <x:v>FAIL</x:v>
      </x:c>
      <x:c r="E120" s="13" t="str">
        <x:v>Pending</x:v>
      </x:c>
      <x:c r="F120" s="13" t="str"/>
      <x:c r="G120" s="13" t="str"/>
      <x:c r="H120" s="13" t="str"/>
      <x:c r="I120" s="7" t="str">
        <x:v>Was this person reviewed? If rejected, give the actual rule and evidence. If acceptable, correct the omission. Confirm the Life-qualification gate and any record change since selection.</x:v>
      </x:c>
      <x:c r="J120" s="7" t="str">
        <x:v>L1</x:v>
      </x:c>
      <x:c r="K120" s="7" t="str">
        <x:v>Verified qualifications do not include active general Life. Current target-pool mismatch; actual historical omission reason unknown.</x:v>
      </x:c>
      <x:c r="L120" s="7" t="str">
        <x:v>Not supplied; membership is known, motive is not</x:v>
      </x:c>
      <x:c r="M120" s="7" t="n">
        <x:v>7</x:v>
      </x:c>
      <x:c r="N120" s="7" t="str">
        <x:v>Outside current general-Life recruiting pool</x:v>
      </x:c>
      <x:c r="O120" s="7" t="str">
        <x:v>Not displayed</x:v>
      </x:c>
      <x:c r="P120" s="7" t="str"/>
      <x:c r="Q120" s="7" t="str"/>
      <x:c r="R120" s="7" t="str">
        <x:v>Bail Agent</x:v>
      </x:c>
      <x:c r="S120" s="15" t="str"/>
      <x:c r="T120" s="7" t="str">
        <x:v>No public business phone in collected record</x:v>
      </x:c>
      <x:c r="U120" s="7" t="str">
        <x:v>5517 DEL AMO BLVD. LAKEWOOD CA, 90712</x:v>
      </x:c>
      <x:c r="V120" s="7" t="str">
        <x:v>Resident</x:v>
      </x:c>
      <x:c r="W120" s="7" t="str">
        <x:v>CA</x:v>
      </x:c>
      <x:c r="X120" s="7" t="str">
        <x:v>ALL AMERICAN BAIL BONDS INC. / Bail Agent / 12/21/2010</x:v>
      </x:c>
      <x:c r="Y120" s="7" t="str">
        <x:v>ALLEGHENY CASUALTY COMPANY / Bail Agent / 04/29/2020</x:v>
      </x:c>
      <x:c r="Z120" s="7" t="str">
        <x:v>ORDER ID: &lt;OBS004859&gt; A: LICENSE AND LICENSING RIGHTS OF RESPONDENT ARE HEREBY REVOKED; ISSUE IN LIEU THEREOF A RESTRICTED LICENSE. / 04/05/2024</x:v>
      </x:c>
      <x:c r="AA120" s="7" t="str"/>
      <x:c r="AB120" s="7" t="str"/>
      <x:c r="AC120" s="7" t="str"/>
      <x:c r="AD120" s="7" t="str"/>
      <x:c r="AE120" s="7" t="str">
        <x:v>Enforcement order requires direct review; latest displayed order is not a removal order | No public business phone: contact enrichment needed, not proof of poor recruiting fit</x:v>
      </x:c>
      <x:c r="AF120" s="16" t="str"/>
      <x:c r="AG120" s="17" t="str"/>
      <x:c r="AH120" s="7" t="str"/>
      <x:c r="AI120" s="7" t="str">
        <x:v>English</x:v>
      </x:c>
      <x:c r="AJ120" s="7" t="str"/>
      <x:c r="AK120" s="15" t="str"/>
      <x:c r="AL120" s="7" t="str"/>
      <x:c r="AM120" s="7" t="str">
        <x:v>AGUILAR FRANK ANGELO</x:v>
      </x:c>
      <x:c r="AN120" s="7" t="str">
        <x:v>https://cdicloud.insurance.ca.gov/cal/LicenseDetail?SearchType=IND&amp;SearchLicNbr=1843520&amp;SearchIndvId=909167</x:v>
      </x:c>
      <x:c r="AO120" s="7" t="str">
        <x:v>2026-10-08</x:v>
      </x:c>
      <x:c r="AP120" s="7" t="str">
        <x:v>ffe21c24c23366ee7bd96f09082b3eb8d8289942c8918e980524488aba448c83</x:v>
      </x:c>
      <x:c r="AQ120" s="7" t="str">
        <x:v>Bail Agent / Active / 08/05/2004 / 08/05/2004 / 06/30/2027</x:v>
      </x:c>
      <x:c r="AR120" s="7" t="str">
        <x:v>Active</x:v>
      </x:c>
      <x:c r="AS120" s="7" t="str">
        <x:v>Current detail page</x:v>
      </x:c>
    </x:row>
    <x:row r="121" ht="52" customHeight="1">
      <x:c r="A121" s="7" t="str">
        <x:v>AGUILAR ANITA URIBE</x:v>
      </x:c>
      <x:c r="B121" s="14" t="str">
        <x:f>"0I17139"</x:f>
        <x:v>0I17139</x:v>
      </x:c>
      <x:c r="C121" s="7" t="str">
        <x:v>Omitted</x:v>
      </x:c>
      <x:c r="D121" s="7" t="str">
        <x:v>FAIL</x:v>
      </x:c>
      <x:c r="E121" s="13" t="str">
        <x:v>Pending</x:v>
      </x:c>
      <x:c r="F121" s="13" t="str"/>
      <x:c r="G121" s="13" t="str"/>
      <x:c r="H121" s="13" t="str"/>
      <x:c r="I121" s="7" t="str">
        <x:v>Was this person reviewed? If rejected, give the actual rule and evidence. If acceptable, correct the omission. Confirm the Life-qualification gate and any record change since selection.</x:v>
      </x:c>
      <x:c r="J121" s="7" t="str">
        <x:v>L1</x:v>
      </x:c>
      <x:c r="K121" s="7" t="str">
        <x:v>Verified qualifications do not include active general Life. Current target-pool mismatch; actual historical omission reason unknown.</x:v>
      </x:c>
      <x:c r="L121" s="7" t="str">
        <x:v>Not supplied; membership is known, motive is not</x:v>
      </x:c>
      <x:c r="M121" s="7" t="n">
        <x:v>7</x:v>
      </x:c>
      <x:c r="N121" s="7" t="str">
        <x:v>Outside current general-Life recruiting pool</x:v>
      </x:c>
      <x:c r="O121" s="7" t="str">
        <x:v>Not displayed</x:v>
      </x:c>
      <x:c r="P121" s="7" t="str"/>
      <x:c r="Q121" s="7" t="str"/>
      <x:c r="R121" s="7" t="str"/>
      <x:c r="S121" s="15" t="str">
        <x:v>619-742-2281</x:v>
      </x:c>
      <x:c r="T121" s="7" t="str">
        <x:v>Current CDI</x:v>
      </x:c>
      <x:c r="U121" s="7" t="str">
        <x:v>683 CAZORLA AVENUE CHULA VISTA CA, 91910</x:v>
      </x:c>
      <x:c r="V121" s="7" t="str">
        <x:v>Resident</x:v>
      </x:c>
      <x:c r="W121" s="7" t="str">
        <x:v>CA</x:v>
      </x:c>
      <x:c r="X121" s="7" t="str"/>
      <x:c r="Y121" s="7" t="str"/>
      <x:c r="Z121" s="7" t="str"/>
      <x:c r="AA121" s="7" t="str"/>
      <x:c r="AB121" s="7" t="str"/>
      <x:c r="AC121" s="7" t="str"/>
      <x:c r="AD121" s="7" t="str">
        <x:v>No agency or insurer displayed: onboarding opportunity possible; existing business unknown</x:v>
      </x:c>
      <x:c r="AE121" s="7" t="str"/>
      <x:c r="AF121" s="16" t="str"/>
      <x:c r="AG121" s="17" t="str"/>
      <x:c r="AH121" s="7" t="str"/>
      <x:c r="AI121" s="7" t="str">
        <x:v>English</x:v>
      </x:c>
      <x:c r="AJ121" s="7" t="str"/>
      <x:c r="AK121" s="15" t="str"/>
      <x:c r="AL121" s="7" t="str"/>
      <x:c r="AM121" s="7" t="str">
        <x:v>Aguilar U Anita | AGUILAR URIBE ANITA</x:v>
      </x:c>
      <x:c r="AN121" s="7" t="str">
        <x:v>https://cdicloud.insurance.ca.gov/cal/LicenseDetail?SearchType=IND&amp;SearchLicNbr=0I17139&amp;SearchIndvId=1558256</x:v>
      </x:c>
      <x:c r="AO121" s="7" t="str">
        <x:v>2026-10-08</x:v>
      </x:c>
      <x:c r="AP121" s="7" t="str">
        <x:v>65c8fc516b10466e372245d263207e443d27e095e8bfcd75e7c5148b31e35bdf</x:v>
      </x:c>
      <x:c r="AQ121" s="7" t="str">
        <x:v>Life Limited-Funeral &amp; Burial / Inactive / 03/02/2020 / 03/31/2022 / 03/31/2022</x:v>
      </x:c>
      <x:c r="AR121" s="7" t="str">
        <x:v>Inactive</x:v>
      </x:c>
      <x:c r="AS121" s="7" t="str">
        <x:v>Current detail page</x:v>
      </x:c>
    </x:row>
    <x:row r="122" ht="52" customHeight="1">
      <x:c r="A122" s="7" t="str">
        <x:v>AGUILAR ANNA SOPHIA</x:v>
      </x:c>
      <x:c r="B122" s="14" t="str">
        <x:f>"4123695"</x:f>
        <x:v>4123695</x:v>
      </x:c>
      <x:c r="C122" s="7" t="str">
        <x:v>Omitted</x:v>
      </x:c>
      <x:c r="D122" s="7" t="str">
        <x:v>FAIL</x:v>
      </x:c>
      <x:c r="E122" s="13" t="str">
        <x:v>Pending</x:v>
      </x:c>
      <x:c r="F122" s="13" t="str"/>
      <x:c r="G122" s="13" t="str"/>
      <x:c r="H122" s="13" t="str"/>
      <x:c r="I122" s="7" t="str">
        <x:v>Was this person reviewed? If rejected, give the actual rule and evidence. If acceptable, correct the omission. Confirm the Life-qualification gate and any record change since selection.</x:v>
      </x:c>
      <x:c r="J122" s="7" t="str">
        <x:v>L1</x:v>
      </x:c>
      <x:c r="K122" s="7" t="str">
        <x:v>Verified qualifications do not include active general Life. Current target-pool mismatch; actual historical omission reason unknown.</x:v>
      </x:c>
      <x:c r="L122" s="7" t="str">
        <x:v>Not supplied; membership is known, motive is not</x:v>
      </x:c>
      <x:c r="M122" s="7" t="n">
        <x:v>7</x:v>
      </x:c>
      <x:c r="N122" s="7" t="str">
        <x:v>Outside current general-Life recruiting pool</x:v>
      </x:c>
      <x:c r="O122" s="7" t="str">
        <x:v>Inactive</x:v>
      </x:c>
      <x:c r="P122" s="7" t="str">
        <x:v>05/10/2021</x:v>
      </x:c>
      <x:c r="Q122" s="7" t="str">
        <x:v>05/31/2023</x:v>
      </x:c>
      <x:c r="R122" s="7" t="str"/>
      <x:c r="S122" s="15" t="str"/>
      <x:c r="T122" s="7" t="str">
        <x:v>No public business phone in collected record</x:v>
      </x:c>
      <x:c r="U122" s="7" t="str">
        <x:v>6100 BANDERA RD STE 310 SAN ANTONIO TX, 78238</x:v>
      </x:c>
      <x:c r="V122" s="7" t="str">
        <x:v>Non-resident</x:v>
      </x:c>
      <x:c r="W122" s="7" t="str">
        <x:v>TX</x:v>
      </x:c>
      <x:c r="X122" s="7" t="str"/>
      <x:c r="Y122" s="7" t="str"/>
      <x:c r="Z122" s="7" t="str"/>
      <x:c r="AA122" s="7" t="str"/>
      <x:c r="AB122" s="7" t="str"/>
      <x:c r="AC122" s="7" t="str"/>
      <x:c r="AD122" s="7" t="str">
        <x:v>No agency or insurer displayed: onboarding opportunity possible; existing business unknown</x:v>
      </x:c>
      <x:c r="AE122" s="7" t="str">
        <x:v>Nonresident or address state outside CA; confirm geographic recruiting scope | No public business phone: contact enrichment needed, not proof of poor recruiting fit</x:v>
      </x:c>
      <x:c r="AF122" s="16" t="str"/>
      <x:c r="AG122" s="17" t="str"/>
      <x:c r="AH122" s="7" t="str"/>
      <x:c r="AI122" s="7" t="str"/>
      <x:c r="AJ122" s="7" t="str"/>
      <x:c r="AK122" s="15" t="str"/>
      <x:c r="AL122" s="7" t="str"/>
      <x:c r="AM122" s="7" t="str">
        <x:v>AGUILAR SOPHIA ANNA</x:v>
      </x:c>
      <x:c r="AN122" s="7" t="str">
        <x:v>https://cdicloud.insurance.ca.gov/cal/LicenseDetail?SearchType=IND&amp;SearchLicNbr=4123695&amp;SearchIndvId=4123695</x:v>
      </x:c>
      <x:c r="AO122" s="7" t="str">
        <x:v>2026-10-08</x:v>
      </x:c>
      <x:c r="AP122" s="7" t="str">
        <x:v>fd6d10ddc614aff85b012ed72a5b9ebf5d1dc265aaa009a77f93cf3d9517b7cc</x:v>
      </x:c>
      <x:c r="AQ122" s="7" t="str">
        <x:v>Accident &amp; Health or Sickness / Inactive / 05/10/2021 / 05/31/2023 / 05/31/2023
Life / Inactive / 05/10/2021 / 05/31/2023 / 05/31/2023</x:v>
      </x:c>
      <x:c r="AR122" s="7" t="str">
        <x:v>Inactive</x:v>
      </x:c>
      <x:c r="AS122" s="7" t="str">
        <x:v>Current detail page</x:v>
      </x:c>
    </x:row>
    <x:row r="123" ht="52" customHeight="1">
      <x:c r="A123" s="7" t="str">
        <x:v>AGUILAR ANNABELL</x:v>
      </x:c>
      <x:c r="B123" s="14" t="str">
        <x:f>"0I65381"</x:f>
        <x:v>0I65381</x:v>
      </x:c>
      <x:c r="C123" s="7" t="str">
        <x:v>Omitted</x:v>
      </x:c>
      <x:c r="D123" s="7" t="str">
        <x:v>FAIL</x:v>
      </x:c>
      <x:c r="E123" s="13" t="str">
        <x:v>Pending</x:v>
      </x:c>
      <x:c r="F123" s="13" t="str"/>
      <x:c r="G123" s="13" t="str"/>
      <x:c r="H123" s="13" t="str"/>
      <x:c r="I123" s="7" t="str">
        <x:v>Was this person reviewed? If rejected, give the actual rule and evidence. If acceptable, correct the omission. Confirm the Life-qualification gate and any record change since selection.</x:v>
      </x:c>
      <x:c r="J123" s="7" t="str">
        <x:v>L1</x:v>
      </x:c>
      <x:c r="K123" s="7" t="str">
        <x:v>Verified qualifications do not include active general Life. Current target-pool mismatch; actual historical omission reason unknown.</x:v>
      </x:c>
      <x:c r="L123" s="7" t="str">
        <x:v>Not supplied; membership is known, motive is not</x:v>
      </x:c>
      <x:c r="M123" s="7" t="n">
        <x:v>7</x:v>
      </x:c>
      <x:c r="N123" s="7" t="str">
        <x:v>Outside current general-Life recruiting pool</x:v>
      </x:c>
      <x:c r="O123" s="7" t="str">
        <x:v>Not displayed</x:v>
      </x:c>
      <x:c r="P123" s="7" t="str"/>
      <x:c r="Q123" s="7" t="str"/>
      <x:c r="R123" s="7" t="str">
        <x:v>Casualty; Property</x:v>
      </x:c>
      <x:c r="S123" s="15" t="str">
        <x:v>408-642-1399</x:v>
      </x:c>
      <x:c r="T123" s="7" t="str">
        <x:v>Current CDI</x:v>
      </x:c>
      <x:c r="U123" s="7" t="str">
        <x:v>696 E SANTA CLARA ST SUITE 110 SAN JOSE CA, 95112</x:v>
      </x:c>
      <x:c r="V123" s="7" t="str">
        <x:v>Resident</x:v>
      </x:c>
      <x:c r="W123" s="7" t="str">
        <x:v>CA</x:v>
      </x:c>
      <x:c r="X123" s="7" t="str"/>
      <x:c r="Y123" s="7" t="str"/>
      <x:c r="Z123" s="7" t="str"/>
      <x:c r="AA123" s="7" t="str"/>
      <x:c r="AB123" s="7" t="str">
        <x:v>BOEHNER BURCH WILLIAM / Casualty / 12/12/2017
BOEHNER BURCH WILLIAM / Property / 12/12/2017
SUAREZ ROLANDO MISAEL / Casualty / 03/28/2025
SUAREZ ROLANDO MISAEL / Property / 03/28/2025</x:v>
      </x:c>
      <x:c r="AC123" s="7" t="str"/>
      <x:c r="AD123" s="7" t="str">
        <x:v>No agency or insurer displayed: onboarding opportunity possible; existing business unknown</x:v>
      </x:c>
      <x:c r="AE123" s="7" t="str">
        <x:v>P&amp;C/Personal Lines authority without displayed core Life appointments; mixed profile requires review | Sponsor relationships displayed: BOEHNER BURCH WILLIAM, SUAREZ ROLANDO MISAEL; inspect line-specific relationship, not a blanket employment inference</x:v>
      </x:c>
      <x:c r="AF123" s="16" t="str"/>
      <x:c r="AG123" s="17" t="str"/>
      <x:c r="AH123" s="7" t="str"/>
      <x:c r="AI123" s="7" t="str">
        <x:v>English, Spanish, Spanish</x:v>
      </x:c>
      <x:c r="AJ123" s="7" t="str"/>
      <x:c r="AK123" s="15" t="str"/>
      <x:c r="AL123" s="7" t="str"/>
      <x:c r="AM123" s="7" t="str">
        <x:v>AGUILAR  ANNABELL</x:v>
      </x:c>
      <x:c r="AN123" s="7" t="str">
        <x:v>https://cdicloud.insurance.ca.gov/cal/LicenseDetail?SearchType=IND&amp;SearchLicNbr=0I65381&amp;SearchIndvId=440006</x:v>
      </x:c>
      <x:c r="AO123" s="7" t="str">
        <x:v>2026-10-08</x:v>
      </x:c>
      <x:c r="AP123" s="7" t="str">
        <x:v>618e886efceee08aadb8e2ba2e23ce1462f81f4646a2d9f1650bd2dfb91c43dc</x:v>
      </x:c>
      <x:c r="AQ123" s="7" t="str">
        <x:v>Casualty / Active / 12/02/2013 / 12/02/2013 / 12/31/2027
Property / Active / 12/02/2013 / 12/02/2013 / 12/31/2027</x:v>
      </x:c>
      <x:c r="AR123" s="7" t="str">
        <x:v>Active</x:v>
      </x:c>
      <x:c r="AS123" s="7" t="str">
        <x:v>Current detail page</x:v>
      </x:c>
    </x:row>
    <x:row r="124" ht="52" customHeight="1">
      <x:c r="A124" s="7" t="str">
        <x:v>AGUILAR ANNABELLA BARRIOS</x:v>
      </x:c>
      <x:c r="B124" s="14" t="str">
        <x:f>"0K26874"</x:f>
        <x:v>0K26874</x:v>
      </x:c>
      <x:c r="C124" s="7" t="str">
        <x:v>Omitted</x:v>
      </x:c>
      <x:c r="D124" s="7" t="str">
        <x:v>FAIL</x:v>
      </x:c>
      <x:c r="E124" s="13" t="str">
        <x:v>Pending</x:v>
      </x:c>
      <x:c r="F124" s="13" t="str"/>
      <x:c r="G124" s="13" t="str"/>
      <x:c r="H124" s="13" t="str"/>
      <x:c r="I124" s="7" t="str">
        <x:v>Was this person reviewed? If rejected, give the actual rule and evidence. If acceptable, correct the omission. Confirm the Life-qualification gate and any record change since selection.</x:v>
      </x:c>
      <x:c r="J124" s="7" t="str">
        <x:v>L1</x:v>
      </x:c>
      <x:c r="K124" s="7" t="str">
        <x:v>Verified qualifications do not include active general Life. Current target-pool mismatch; actual historical omission reason unknown.</x:v>
      </x:c>
      <x:c r="L124" s="7" t="str">
        <x:v>Not supplied; membership is known, motive is not</x:v>
      </x:c>
      <x:c r="M124" s="7" t="n">
        <x:v>7</x:v>
      </x:c>
      <x:c r="N124" s="7" t="str">
        <x:v>Outside current general-Life recruiting pool</x:v>
      </x:c>
      <x:c r="O124" s="7" t="str">
        <x:v>Not displayed</x:v>
      </x:c>
      <x:c r="P124" s="7" t="str"/>
      <x:c r="Q124" s="7" t="str"/>
      <x:c r="R124" s="7" t="str"/>
      <x:c r="S124" s="15" t="str"/>
      <x:c r="T124" s="7" t="str">
        <x:v>No public business phone in collected record</x:v>
      </x:c>
      <x:c r="U124" s="7" t="str"/>
      <x:c r="V124" s="7" t="str">
        <x:v>Resident</x:v>
      </x:c>
      <x:c r="W124" s="7" t="str">
        <x:v>CA</x:v>
      </x:c>
      <x:c r="X124" s="7" t="str"/>
      <x:c r="Y124" s="7" t="str"/>
      <x:c r="Z124" s="7" t="str"/>
      <x:c r="AA124" s="7" t="str"/>
      <x:c r="AB124" s="7" t="str"/>
      <x:c r="AC124" s="7" t="str"/>
      <x:c r="AD124" s="7" t="str">
        <x:v>No agency or insurer displayed: onboarding opportunity possible; existing business unknown</x:v>
      </x:c>
      <x:c r="AE124" s="7" t="str">
        <x:v>No public business phone: contact enrichment needed, not proof of poor recruiting fit</x:v>
      </x:c>
      <x:c r="AF124" s="16" t="str"/>
      <x:c r="AG124" s="17" t="str"/>
      <x:c r="AH124" s="7" t="str"/>
      <x:c r="AI124" s="7" t="str"/>
      <x:c r="AJ124" s="7" t="str"/>
      <x:c r="AK124" s="15" t="str"/>
      <x:c r="AL124" s="7" t="str"/>
      <x:c r="AM124" s="7" t="str">
        <x:v>Aguilar B Annabella | AGUILAR BARRIOS ANNABELLA</x:v>
      </x:c>
      <x:c r="AN124" s="7" t="str">
        <x:v>https://cdicloud.insurance.ca.gov/cal/LicenseDetail?SearchType=IND&amp;SearchLicNbr=0K26874&amp;SearchIndvId=1758200</x:v>
      </x:c>
      <x:c r="AO124" s="7" t="str">
        <x:v>2026-10-08</x:v>
      </x:c>
      <x:c r="AP124" s="7" t="str">
        <x:v>2ba06e64e44b52937104b1d5758bb19dd81e29c69b2dc814dd68161843bacb95</x:v>
      </x:c>
      <x:c r="AQ124" s="7" t="str">
        <x:v>Life-Only / Inactive / 05/28/2015 / 05/31/2017 / 05/31/2017</x:v>
      </x:c>
      <x:c r="AR124" s="7" t="str">
        <x:v>Inactive</x:v>
      </x:c>
      <x:c r="AS124" s="7" t="str">
        <x:v>Current detail page</x:v>
      </x:c>
    </x:row>
    <x:row r="125" ht="52" customHeight="1">
      <x:c r="A125" s="7" t="str">
        <x:v>AGUILAR ANTHONY</x:v>
      </x:c>
      <x:c r="B125" s="14" t="str">
        <x:f>"0H32154"</x:f>
        <x:v>0H32154</x:v>
      </x:c>
      <x:c r="C125" s="7" t="str">
        <x:v>Omitted</x:v>
      </x:c>
      <x:c r="D125" s="7" t="str">
        <x:v>FAIL</x:v>
      </x:c>
      <x:c r="E125" s="13" t="str">
        <x:v>Pending</x:v>
      </x:c>
      <x:c r="F125" s="13" t="str"/>
      <x:c r="G125" s="13" t="str"/>
      <x:c r="H125" s="13" t="str"/>
      <x:c r="I125" s="7" t="str">
        <x:v>Was this person reviewed? If rejected, give the actual rule and evidence. If acceptable, correct the omission. Confirm the Life-qualification gate and any record change since selection.</x:v>
      </x:c>
      <x:c r="J125" s="7" t="str">
        <x:v>L1</x:v>
      </x:c>
      <x:c r="K125" s="7" t="str">
        <x:v>Verified qualifications do not include active general Life. Current target-pool mismatch; actual historical omission reason unknown.</x:v>
      </x:c>
      <x:c r="L125" s="7" t="str">
        <x:v>Not supplied; membership is known, motive is not</x:v>
      </x:c>
      <x:c r="M125" s="7" t="n">
        <x:v>7</x:v>
      </x:c>
      <x:c r="N125" s="7" t="str">
        <x:v>Outside current general-Life recruiting pool</x:v>
      </x:c>
      <x:c r="O125" s="7" t="str">
        <x:v>Not displayed</x:v>
      </x:c>
      <x:c r="P125" s="7" t="str"/>
      <x:c r="Q125" s="7" t="str"/>
      <x:c r="R125" s="7" t="str"/>
      <x:c r="S125" s="15" t="str"/>
      <x:c r="T125" s="7" t="str">
        <x:v>No public business phone in collected record</x:v>
      </x:c>
      <x:c r="U125" s="7" t="str"/>
      <x:c r="V125" s="7" t="str">
        <x:v>Non-resident</x:v>
      </x:c>
      <x:c r="W125" s="7" t="str">
        <x:v>TX</x:v>
      </x:c>
      <x:c r="X125" s="7" t="str"/>
      <x:c r="Y125" s="7" t="str"/>
      <x:c r="Z125" s="7" t="str"/>
      <x:c r="AA125" s="7" t="str"/>
      <x:c r="AB125" s="7" t="str"/>
      <x:c r="AC125" s="7" t="str"/>
      <x:c r="AD125" s="7" t="str">
        <x:v>No agency or insurer displayed: onboarding opportunity possible; existing business unknown</x:v>
      </x:c>
      <x:c r="AE125" s="7" t="str">
        <x:v>Nonresident or address state outside CA; confirm geographic recruiting scope | No public business phone: contact enrichment needed, not proof of poor recruiting fit</x:v>
      </x:c>
      <x:c r="AF125" s="16" t="str"/>
      <x:c r="AG125" s="17" t="str"/>
      <x:c r="AH125" s="7" t="str"/>
      <x:c r="AI125" s="7" t="str"/>
      <x:c r="AJ125" s="7" t="str"/>
      <x:c r="AK125" s="15" t="str"/>
      <x:c r="AL125" s="7" t="str"/>
      <x:c r="AM125" s="7" t="str">
        <x:v>AGUILAR  ANTHONY</x:v>
      </x:c>
      <x:c r="AN125" s="7" t="str">
        <x:v>https://cdicloud.insurance.ca.gov/cal/LicenseDetail?SearchType=IND&amp;SearchLicNbr=0H32154&amp;SearchIndvId=1396290</x:v>
      </x:c>
      <x:c r="AO125" s="7" t="str">
        <x:v>2026-10-08</x:v>
      </x:c>
      <x:c r="AP125" s="7" t="str">
        <x:v>b3430d044c9b567ba6ac8c9d6af8f3b4b4e814346490bca6748a9f812e675b5e</x:v>
      </x:c>
      <x:c r="AQ125" s="7" t="str">
        <x:v>Personal Lines Broker-Agent / Inactive / 02/10/2011 / 02/28/2017 / 02/28/2017</x:v>
      </x:c>
      <x:c r="AR125" s="7" t="str">
        <x:v>Inactive</x:v>
      </x:c>
      <x:c r="AS125" s="7" t="str">
        <x:v>Current detail page</x:v>
      </x:c>
    </x:row>
    <x:row r="126" ht="52" customHeight="1">
      <x:c r="A126" s="7" t="str">
        <x:v>AGUILAR ANTHONY</x:v>
      </x:c>
      <x:c r="B126" s="14" t="str">
        <x:f>"2L32902"</x:f>
        <x:v>2L32902</x:v>
      </x:c>
      <x:c r="C126" s="7" t="str">
        <x:v>Omitted</x:v>
      </x:c>
      <x:c r="D126" s="7" t="str">
        <x:v>FAIL</x:v>
      </x:c>
      <x:c r="E126" s="13" t="str">
        <x:v>Pending</x:v>
      </x:c>
      <x:c r="F126" s="13" t="str"/>
      <x:c r="G126" s="13" t="str"/>
      <x:c r="H126" s="13" t="str"/>
      <x:c r="I126" s="7" t="str">
        <x:v>Was this person reviewed? If rejected, give the actual rule and evidence. If acceptable, correct the omission. Confirm the Life-qualification gate and any record change since selection.</x:v>
      </x:c>
      <x:c r="J126" s="7" t="str">
        <x:v>L1</x:v>
      </x:c>
      <x:c r="K126" s="7" t="str">
        <x:v>Verified qualifications do not include active general Life. Current target-pool mismatch; actual historical omission reason unknown.</x:v>
      </x:c>
      <x:c r="L126" s="7" t="str">
        <x:v>Not supplied; membership is known, motive is not</x:v>
      </x:c>
      <x:c r="M126" s="7" t="n">
        <x:v>7</x:v>
      </x:c>
      <x:c r="N126" s="7" t="str">
        <x:v>Outside current general-Life recruiting pool</x:v>
      </x:c>
      <x:c r="O126" s="7" t="str">
        <x:v>Not displayed</x:v>
      </x:c>
      <x:c r="P126" s="7" t="str"/>
      <x:c r="Q126" s="7" t="str"/>
      <x:c r="R126" s="7" t="str">
        <x:v>Independent Adjuster</x:v>
      </x:c>
      <x:c r="S126" s="15" t="str">
        <x:v>321-420-4143</x:v>
      </x:c>
      <x:c r="T126" s="7" t="str">
        <x:v>Current CDI</x:v>
      </x:c>
      <x:c r="U126" s="7" t="str">
        <x:v>27720 CARLTON OAKS ST MURRIETA CA, 92562-4378</x:v>
      </x:c>
      <x:c r="V126" s="7" t="str">
        <x:v>Resident</x:v>
      </x:c>
      <x:c r="W126" s="7" t="str">
        <x:v>CA</x:v>
      </x:c>
      <x:c r="X126" s="7" t="str"/>
      <x:c r="Y126" s="7" t="str"/>
      <x:c r="Z126" s="7" t="str"/>
      <x:c r="AA126" s="7" t="str"/>
      <x:c r="AB126" s="7" t="str"/>
      <x:c r="AC126" s="7" t="str"/>
      <x:c r="AD126" s="7" t="str">
        <x:v>No agency or insurer displayed: onboarding opportunity possible; existing business unknown</x:v>
      </x:c>
      <x:c r="AE126" s="7" t="str"/>
      <x:c r="AF126" s="16" t="str"/>
      <x:c r="AG126" s="17" t="str"/>
      <x:c r="AH126" s="7" t="str"/>
      <x:c r="AI126" s="7" t="str">
        <x:v>English</x:v>
      </x:c>
      <x:c r="AJ126" s="7" t="str"/>
      <x:c r="AK126" s="15" t="str"/>
      <x:c r="AL126" s="7" t="str"/>
      <x:c r="AM126" s="7" t="str">
        <x:v>AGUILAR  ANTHONY</x:v>
      </x:c>
      <x:c r="AN126" s="7" t="str">
        <x:v>https://cdicloud.insurance.ca.gov/cal/LicenseDetail?SearchType=IND&amp;SearchLicNbr=2L32902&amp;SearchIndvId=1865441</x:v>
      </x:c>
      <x:c r="AO126" s="7" t="str">
        <x:v>2026-10-08</x:v>
      </x:c>
      <x:c r="AP126" s="7" t="str">
        <x:v>4b3881477101fb4b4e156f79b7edc9ebed2c7f8f148586a9659092261270ab5b</x:v>
      </x:c>
      <x:c r="AQ126" s="7" t="str">
        <x:v>Independent Adjuster / Active / 11/07/2016 / 11/07/2016 / 11/30/2026</x:v>
      </x:c>
      <x:c r="AR126" s="7" t="str">
        <x:v>Active</x:v>
      </x:c>
      <x:c r="AS126" s="7" t="str">
        <x:v>Current detail page</x:v>
      </x:c>
    </x:row>
    <x:row r="127" ht="52" customHeight="1">
      <x:c r="A127" s="7" t="str">
        <x:v>AGUILAR ANTHONY</x:v>
      </x:c>
      <x:c r="B127" s="14" t="str">
        <x:f>"4119166"</x:f>
        <x:v>4119166</x:v>
      </x:c>
      <x:c r="C127" s="7" t="str">
        <x:v>Omitted</x:v>
      </x:c>
      <x:c r="D127" s="7" t="str">
        <x:v>FAIL</x:v>
      </x:c>
      <x:c r="E127" s="13" t="str">
        <x:v>Pending</x:v>
      </x:c>
      <x:c r="F127" s="13" t="str"/>
      <x:c r="G127" s="13" t="str"/>
      <x:c r="H127" s="13" t="str"/>
      <x:c r="I127" s="7" t="str">
        <x:v>Was this person reviewed? If rejected, give the actual rule and evidence. If acceptable, correct the omission. Confirm the Life-qualification gate and any record change since selection.</x:v>
      </x:c>
      <x:c r="J127" s="7" t="str">
        <x:v>L1</x:v>
      </x:c>
      <x:c r="K127" s="7" t="str">
        <x:v>Verified qualifications do not include active general Life. Current target-pool mismatch; actual historical omission reason unknown.</x:v>
      </x:c>
      <x:c r="L127" s="7" t="str">
        <x:v>Not supplied; membership is known, motive is not</x:v>
      </x:c>
      <x:c r="M127" s="7" t="n">
        <x:v>7</x:v>
      </x:c>
      <x:c r="N127" s="7" t="str">
        <x:v>Outside current general-Life recruiting pool</x:v>
      </x:c>
      <x:c r="O127" s="7" t="str">
        <x:v>Inactive</x:v>
      </x:c>
      <x:c r="P127" s="7" t="str">
        <x:v>04/19/2021</x:v>
      </x:c>
      <x:c r="Q127" s="7" t="str">
        <x:v>04/30/2023</x:v>
      </x:c>
      <x:c r="R127" s="7" t="str"/>
      <x:c r="S127" s="15" t="str"/>
      <x:c r="T127" s="7" t="str">
        <x:v>No public business phone in collected record</x:v>
      </x:c>
      <x:c r="U127" s="7" t="str">
        <x:v>1290 AVENUE OF THE AMERICAS, 4THFL, NEW YORK, NY 1 NY NY, 10104</x:v>
      </x:c>
      <x:c r="V127" s="7" t="str">
        <x:v>Non-resident</x:v>
      </x:c>
      <x:c r="W127" s="7" t="str">
        <x:v>NY</x:v>
      </x:c>
      <x:c r="X127" s="7" t="str"/>
      <x:c r="Y127" s="7" t="str"/>
      <x:c r="Z127" s="7" t="str"/>
      <x:c r="AA127" s="7" t="str"/>
      <x:c r="AB127" s="7" t="str"/>
      <x:c r="AC127" s="7" t="str"/>
      <x:c r="AD127" s="7" t="str">
        <x:v>No agency or insurer displayed: onboarding opportunity possible; existing business unknown</x:v>
      </x:c>
      <x:c r="AE127" s="7" t="str">
        <x:v>Nonresident or address state outside CA; confirm geographic recruiting scope | No public business phone: contact enrichment needed, not proof of poor recruiting fit</x:v>
      </x:c>
      <x:c r="AF127" s="16" t="str"/>
      <x:c r="AG127" s="17" t="str"/>
      <x:c r="AH127" s="7" t="str"/>
      <x:c r="AI127" s="7" t="str"/>
      <x:c r="AJ127" s="7" t="str"/>
      <x:c r="AK127" s="15" t="str"/>
      <x:c r="AL127" s="7" t="str"/>
      <x:c r="AM127" s="7" t="str">
        <x:v>AGUILAR  ANTHONY</x:v>
      </x:c>
      <x:c r="AN127" s="7" t="str">
        <x:v>https://cdicloud.insurance.ca.gov/cal/LicenseDetail?SearchType=IND&amp;SearchLicNbr=4119166&amp;SearchIndvId=4119166</x:v>
      </x:c>
      <x:c r="AO127" s="7" t="str">
        <x:v>2026-10-08</x:v>
      </x:c>
      <x:c r="AP127" s="7" t="str">
        <x:v>fa3e27f703d000599376418a38671a61842984647b74193459484272283eaa4c</x:v>
      </x:c>
      <x:c r="AQ127" s="7" t="str">
        <x:v>Accident &amp; Health or Sickness / Inactive / 04/19/2021 / 04/30/2023 / 04/30/2023
Life / Inactive / 04/19/2021 / 04/30/2023 / 04/30/2023
Var Life and Var Annuity / Inactive / 05/04/2021 / 04/30/2023 / 04/30/2023</x:v>
      </x:c>
      <x:c r="AR127" s="7" t="str">
        <x:v>Inactive</x:v>
      </x:c>
      <x:c r="AS127" s="7" t="str">
        <x:v>Current detail page</x:v>
      </x:c>
    </x:row>
    <x:row r="128" ht="52" customHeight="1">
      <x:c r="A128" s="7" t="str">
        <x:v>AGUILAR ANTHONY</x:v>
      </x:c>
      <x:c r="B128" s="14" t="str">
        <x:f>"4329031"</x:f>
        <x:v>4329031</x:v>
      </x:c>
      <x:c r="C128" s="7" t="str">
        <x:v>Omitted</x:v>
      </x:c>
      <x:c r="D128" s="7" t="str">
        <x:v>FAIL</x:v>
      </x:c>
      <x:c r="E128" s="13" t="str">
        <x:v>Pending</x:v>
      </x:c>
      <x:c r="F128" s="13" t="str"/>
      <x:c r="G128" s="13" t="str"/>
      <x:c r="H128" s="13" t="str"/>
      <x:c r="I128" s="7" t="str">
        <x:v>Was this person reviewed? If rejected, give the actual rule and evidence. If acceptable, correct the omission. Confirm the Life-qualification gate and any record change since selection.</x:v>
      </x:c>
      <x:c r="J128" s="7" t="str">
        <x:v>L1</x:v>
      </x:c>
      <x:c r="K128" s="7" t="str">
        <x:v>Verified qualifications do not include active general Life. Current target-pool mismatch; actual historical omission reason unknown.</x:v>
      </x:c>
      <x:c r="L128" s="7" t="str">
        <x:v>Not supplied; membership is known, motive is not</x:v>
      </x:c>
      <x:c r="M128" s="7" t="n">
        <x:v>7</x:v>
      </x:c>
      <x:c r="N128" s="7" t="str">
        <x:v>Outside current general-Life recruiting pool</x:v>
      </x:c>
      <x:c r="O128" s="7" t="str">
        <x:v>Inactive</x:v>
      </x:c>
      <x:c r="P128" s="7" t="str">
        <x:v>10/02/2023</x:v>
      </x:c>
      <x:c r="Q128" s="7" t="str">
        <x:v>10/31/2025</x:v>
      </x:c>
      <x:c r="R128" s="7" t="str"/>
      <x:c r="S128" s="15" t="str"/>
      <x:c r="T128" s="7" t="str">
        <x:v>No public business phone in collected record</x:v>
      </x:c>
      <x:c r="U128" s="7" t="str">
        <x:v>1105 14TH ST MODESTO CA, 95354</x:v>
      </x:c>
      <x:c r="V128" s="7" t="str">
        <x:v>Resident</x:v>
      </x:c>
      <x:c r="W128" s="7" t="str">
        <x:v>CA</x:v>
      </x:c>
      <x:c r="X128" s="7" t="str"/>
      <x:c r="Y128" s="7" t="str"/>
      <x:c r="Z128" s="7" t="str"/>
      <x:c r="AA128" s="7" t="str"/>
      <x:c r="AB128" s="7" t="str"/>
      <x:c r="AC128" s="7" t="str"/>
      <x:c r="AD128" s="7" t="str">
        <x:v>No agency or insurer displayed: onboarding opportunity possible; existing business unknown</x:v>
      </x:c>
      <x:c r="AE128" s="7" t="str">
        <x:v>No public business phone: contact enrichment needed, not proof of poor recruiting fit</x:v>
      </x:c>
      <x:c r="AF128" s="16" t="str"/>
      <x:c r="AG128" s="17" t="str"/>
      <x:c r="AH128" s="7" t="str"/>
      <x:c r="AI128" s="7" t="str">
        <x:v>English</x:v>
      </x:c>
      <x:c r="AJ128" s="7" t="str"/>
      <x:c r="AK128" s="15" t="str"/>
      <x:c r="AL128" s="7" t="str"/>
      <x:c r="AM128" s="7" t="str">
        <x:v>AGUILAR  ANTHONY</x:v>
      </x:c>
      <x:c r="AN128" s="7" t="str">
        <x:v>https://cdicloud.insurance.ca.gov/cal/LicenseDetail?SearchType=IND&amp;SearchLicNbr=4329031&amp;SearchIndvId=4329031</x:v>
      </x:c>
      <x:c r="AO128" s="7" t="str">
        <x:v>2026-10-08</x:v>
      </x:c>
      <x:c r="AP128" s="7" t="str">
        <x:v>e63542dfcc16729fac90bfef209c580f9bc41c9f6c60c755cc87caf4279d0eac</x:v>
      </x:c>
      <x:c r="AQ128" s="7" t="str">
        <x:v>Life / Inactive / 10/02/2023 / 10/31/2025 / 10/31/2025</x:v>
      </x:c>
      <x:c r="AR128" s="7" t="str">
        <x:v>Inactive</x:v>
      </x:c>
      <x:c r="AS128" s="7" t="str">
        <x:v>Current detail page</x:v>
      </x:c>
    </x:row>
    <x:row r="129" ht="52" customHeight="1">
      <x:c r="A129" s="7" t="str">
        <x:v>AGUILAR ANTHONY</x:v>
      </x:c>
      <x:c r="B129" s="14" t="str">
        <x:f>"4353948"</x:f>
        <x:v>4353948</x:v>
      </x:c>
      <x:c r="C129" s="7" t="str">
        <x:v>Omitted</x:v>
      </x:c>
      <x:c r="D129" s="7" t="str">
        <x:v>FAIL</x:v>
      </x:c>
      <x:c r="E129" s="13" t="str">
        <x:v>Pending</x:v>
      </x:c>
      <x:c r="F129" s="13" t="str"/>
      <x:c r="G129" s="13" t="str"/>
      <x:c r="H129" s="13" t="str"/>
      <x:c r="I129" s="7" t="str">
        <x:v>Was this person reviewed? If rejected, give the actual rule and evidence. If acceptable, correct the omission. Confirm the Life-qualification gate and any record change since selection.</x:v>
      </x:c>
      <x:c r="J129" s="7" t="str">
        <x:v>L1</x:v>
      </x:c>
      <x:c r="K129" s="7" t="str">
        <x:v>Verified qualifications do not include active general Life. Current target-pool mismatch; actual historical omission reason unknown.</x:v>
      </x:c>
      <x:c r="L129" s="7" t="str">
        <x:v>Not supplied; membership is known, motive is not</x:v>
      </x:c>
      <x:c r="M129" s="7" t="n">
        <x:v>7</x:v>
      </x:c>
      <x:c r="N129" s="7" t="str">
        <x:v>Outside current general-Life recruiting pool</x:v>
      </x:c>
      <x:c r="O129" s="7" t="str">
        <x:v>Not displayed</x:v>
      </x:c>
      <x:c r="P129" s="7" t="str"/>
      <x:c r="Q129" s="7" t="str"/>
      <x:c r="R129" s="7" t="str">
        <x:v>Casualty; Property</x:v>
      </x:c>
      <x:c r="S129" s="15" t="str"/>
      <x:c r="T129" s="7" t="str">
        <x:v>No public business phone in collected record</x:v>
      </x:c>
      <x:c r="U129" s="7" t="str">
        <x:v>3500 PACKERLAND DRIVE DE PERE WI, 54115</x:v>
      </x:c>
      <x:c r="V129" s="7" t="str">
        <x:v>Non-resident</x:v>
      </x:c>
      <x:c r="W129" s="7" t="str">
        <x:v>WI</x:v>
      </x:c>
      <x:c r="X129" s="7" t="str"/>
      <x:c r="Y129" s="7" t="str">
        <x:v>AMERICAN FAMILY CONNECT PROPERTY AND CASUALTY INSURANCE COMPANY / Casualty / 01/17/2024
AMERICAN FAMILY CONNECT PROPERTY AND CASUALTY INSURANCE COMPANY / Property / 01/17/2024
HOMESITE INSURANCE COMPANY OF CALIFORNIA / Casualty / 01/17/2024
HOMESITE INSURANCE COMPANY OF CALIFORNIA / Property / 01/17/2024
HOMESITE INSURANCE COMPANY OF THE MIDWEST / Casualty / 01/17/2024
HOMESITE INSURANCE COMPANY OF THE MIDWEST / Property / 01/17/2024
MIDVALE INDEMNITY COMPANY / Casualty / 01/17/2024
MIDVALE INDEMNITY COMPANY / Property / 01/17/2024</x:v>
      </x:c>
      <x:c r="Z129" s="7" t="str"/>
      <x:c r="AA129" s="7" t="str"/>
      <x:c r="AB129" s="7" t="str"/>
      <x:c r="AC129" s="7" t="str"/>
      <x:c r="AD129" s="7" t="str"/>
      <x:c r="AE129"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129" s="16" t="str"/>
      <x:c r="AG129" s="17" t="str"/>
      <x:c r="AH129" s="7" t="str"/>
      <x:c r="AI129" s="7" t="str"/>
      <x:c r="AJ129" s="7" t="str"/>
      <x:c r="AK129" s="15" t="str"/>
      <x:c r="AL129" s="7" t="str"/>
      <x:c r="AM129" s="7" t="str">
        <x:v>AGUILAR  ANTHONY</x:v>
      </x:c>
      <x:c r="AN129" s="7" t="str">
        <x:v>https://cdicloud.insurance.ca.gov/cal/LicenseDetail?SearchType=IND&amp;SearchLicNbr=4353948&amp;SearchIndvId=4353948</x:v>
      </x:c>
      <x:c r="AO129" s="7" t="str">
        <x:v>2026-10-08</x:v>
      </x:c>
      <x:c r="AP129" s="7" t="str">
        <x:v>dc3c8a34a7795f90bf487df1e63b649f160db819fb44516c939b7393b71b4446</x:v>
      </x:c>
      <x:c r="AQ129" s="7" t="str">
        <x:v>Casualty / Active / 01/17/2024 / 01/17/2024 / 01/31/2028
Property / Active / 01/17/2024 / 01/17/2024 / 01/31/2028</x:v>
      </x:c>
      <x:c r="AR129" s="7" t="str">
        <x:v>Active</x:v>
      </x:c>
      <x:c r="AS129" s="7" t="str">
        <x:v>Current detail page</x:v>
      </x:c>
    </x:row>
    <x:row r="130" ht="52" customHeight="1">
      <x:c r="A130" s="7" t="str">
        <x:v>AGUILAR ANTHONY</x:v>
      </x:c>
      <x:c r="B130" s="14" t="str">
        <x:f>"4358103"</x:f>
        <x:v>4358103</x:v>
      </x:c>
      <x:c r="C130" s="7" t="str">
        <x:v>Omitted</x:v>
      </x:c>
      <x:c r="D130" s="7" t="str">
        <x:v>FAIL</x:v>
      </x:c>
      <x:c r="E130" s="13" t="str">
        <x:v>Pending</x:v>
      </x:c>
      <x:c r="F130" s="13" t="str"/>
      <x:c r="G130" s="13" t="str"/>
      <x:c r="H130" s="13" t="str"/>
      <x:c r="I130" s="7" t="str">
        <x:v>Was this person reviewed? If rejected, give the actual rule and evidence. If acceptable, correct the omission. Confirm the Life-qualification gate and any record change since selection.</x:v>
      </x:c>
      <x:c r="J130" s="7" t="str">
        <x:v>L1</x:v>
      </x:c>
      <x:c r="K130" s="7" t="str">
        <x:v>Verified qualifications do not include active general Life. Current target-pool mismatch; actual historical omission reason unknown.</x:v>
      </x:c>
      <x:c r="L130" s="7" t="str">
        <x:v>Not supplied; membership is known, motive is not</x:v>
      </x:c>
      <x:c r="M130" s="7" t="n">
        <x:v>7</x:v>
      </x:c>
      <x:c r="N130" s="7" t="str">
        <x:v>Outside current general-Life recruiting pool</x:v>
      </x:c>
      <x:c r="O130" s="7" t="str">
        <x:v>Not displayed</x:v>
      </x:c>
      <x:c r="P130" s="7" t="str"/>
      <x:c r="Q130" s="7" t="str"/>
      <x:c r="R130" s="7" t="str"/>
      <x:c r="S130" s="15" t="str"/>
      <x:c r="T130" s="7" t="str">
        <x:v>No public business phone in collected record</x:v>
      </x:c>
      <x:c r="U130" s="7" t="str">
        <x:v>9800 FREDERICKSBURG RD SAN ANTONIO TX, 78288</x:v>
      </x:c>
      <x:c r="V130" s="7" t="str">
        <x:v>Non-resident</x:v>
      </x:c>
      <x:c r="W130" s="7" t="str">
        <x:v>TX</x:v>
      </x:c>
      <x:c r="X130" s="7" t="str"/>
      <x:c r="Y130" s="7" t="str"/>
      <x:c r="Z130" s="7" t="str"/>
      <x:c r="AA130" s="7" t="str"/>
      <x:c r="AB130" s="7" t="str"/>
      <x:c r="AC130" s="7" t="str"/>
      <x:c r="AD130" s="7" t="str">
        <x:v>No agency or insurer displayed: onboarding opportunity possible; existing business unknown</x:v>
      </x:c>
      <x:c r="AE130" s="7" t="str">
        <x:v>Nonresident or address state outside CA; confirm geographic recruiting scope | No public business phone: contact enrichment needed, not proof of poor recruiting fit</x:v>
      </x:c>
      <x:c r="AF130" s="16" t="str"/>
      <x:c r="AG130" s="17" t="str"/>
      <x:c r="AH130" s="7" t="str"/>
      <x:c r="AI130" s="7" t="str"/>
      <x:c r="AJ130" s="7" t="str"/>
      <x:c r="AK130" s="15" t="str"/>
      <x:c r="AL130" s="7" t="str"/>
      <x:c r="AM130" s="7" t="str">
        <x:v>AGUILAR  ANTHONY</x:v>
      </x:c>
      <x:c r="AN130" s="7" t="str">
        <x:v>https://cdicloud.insurance.ca.gov/cal/LicenseDetail?SearchType=IND&amp;SearchLicNbr=4358103&amp;SearchIndvId=4358103</x:v>
      </x:c>
      <x:c r="AO130" s="7" t="str">
        <x:v>2026-10-08</x:v>
      </x:c>
      <x:c r="AP130" s="7" t="str">
        <x:v>35af4bb1db6f066c726b7cfa83e27bf431596a5e857ef7690188ec06ae8f8bd5</x:v>
      </x:c>
      <x:c r="AQ130" s="7" t="str">
        <x:v>Personal Lines / Inactive / 02/09/2024 / 02/28/2026 / 02/28/2026</x:v>
      </x:c>
      <x:c r="AR130" s="7" t="str">
        <x:v>Inactive</x:v>
      </x:c>
      <x:c r="AS130" s="7" t="str">
        <x:v>Current detail page</x:v>
      </x:c>
    </x:row>
    <x:row r="131" ht="52" customHeight="1">
      <x:c r="A131" s="7" t="str">
        <x:v>AGUILAR ANTHONY</x:v>
      </x:c>
      <x:c r="B131" s="14" t="str">
        <x:f>"4388361"</x:f>
        <x:v>4388361</x:v>
      </x:c>
      <x:c r="C131" s="7" t="str">
        <x:v>Omitted</x:v>
      </x:c>
      <x:c r="D131" s="7" t="str">
        <x:v>FAIL</x:v>
      </x:c>
      <x:c r="E131" s="13" t="str">
        <x:v>Pending</x:v>
      </x:c>
      <x:c r="F131" s="13" t="str"/>
      <x:c r="G131" s="13" t="str"/>
      <x:c r="H131" s="13" t="str"/>
      <x:c r="I131" s="7" t="str">
        <x:v>Was this person reviewed? If rejected, give the actual rule and evidence. If acceptable, correct the omission. Confirm the Life-qualification gate and any record change since selection.</x:v>
      </x:c>
      <x:c r="J131" s="7" t="str">
        <x:v>L1</x:v>
      </x:c>
      <x:c r="K131" s="7" t="str">
        <x:v>Verified qualifications do not include active general Life. Current target-pool mismatch; actual historical omission reason unknown.</x:v>
      </x:c>
      <x:c r="L131" s="7" t="str">
        <x:v>Not supplied; membership is known, motive is not</x:v>
      </x:c>
      <x:c r="M131" s="7" t="n">
        <x:v>7</x:v>
      </x:c>
      <x:c r="N131" s="7" t="str">
        <x:v>Outside current general-Life recruiting pool</x:v>
      </x:c>
      <x:c r="O131" s="7" t="str">
        <x:v>Inactive</x:v>
      </x:c>
      <x:c r="P131" s="7" t="str">
        <x:v>07/30/2024</x:v>
      </x:c>
      <x:c r="Q131" s="7" t="str">
        <x:v>07/31/2026</x:v>
      </x:c>
      <x:c r="R131" s="7" t="str"/>
      <x:c r="S131" s="15" t="str">
        <x:v>951-973-6632</x:v>
      </x:c>
      <x:c r="T131" s="7" t="str">
        <x:v>Current CDI</x:v>
      </x:c>
      <x:c r="U131" s="7" t="str">
        <x:v>600 N. ROSEMEAD BLVD #109 PASADENA CA, 91107</x:v>
      </x:c>
      <x:c r="V131" s="7" t="str">
        <x:v>Resident</x:v>
      </x:c>
      <x:c r="W131" s="7" t="str">
        <x:v>CA</x:v>
      </x:c>
      <x:c r="X131" s="7" t="str"/>
      <x:c r="Y131" s="7" t="str"/>
      <x:c r="Z131" s="7" t="str"/>
      <x:c r="AA131" s="7" t="str"/>
      <x:c r="AB131" s="7" t="str"/>
      <x:c r="AC131" s="7" t="str"/>
      <x:c r="AD131" s="7" t="str">
        <x:v>No agency or insurer displayed: onboarding opportunity possible; existing business unknown</x:v>
      </x:c>
      <x:c r="AE131" s="7" t="str"/>
      <x:c r="AF131" s="16" t="str"/>
      <x:c r="AG131" s="17" t="str"/>
      <x:c r="AH131" s="7" t="str"/>
      <x:c r="AI131" s="7" t="str">
        <x:v>English</x:v>
      </x:c>
      <x:c r="AJ131" s="7" t="str"/>
      <x:c r="AK131" s="15" t="str"/>
      <x:c r="AL131" s="7" t="str"/>
      <x:c r="AM131" s="7" t="str">
        <x:v>AGUILAR  ANTHONY | Aguilar Lopez  Anthony</x:v>
      </x:c>
      <x:c r="AN131" s="7" t="str">
        <x:v>https://cdicloud.insurance.ca.gov/cal/LicenseDetail?SearchType=IND&amp;SearchLicNbr=4388361&amp;SearchIndvId=4388361</x:v>
      </x:c>
      <x:c r="AO131" s="7" t="str">
        <x:v>2026-10-08</x:v>
      </x:c>
      <x:c r="AP131" s="7" t="str">
        <x:v>4db02ee2820267cf547de42ea94e27ff0811fb669b27774ffc1b86f097117a1e</x:v>
      </x:c>
      <x:c r="AQ131" s="7" t="str">
        <x:v>Life / Inactive / 07/30/2024 / 07/31/2026 / 07/31/2026</x:v>
      </x:c>
      <x:c r="AR131" s="7" t="str">
        <x:v>Inactive</x:v>
      </x:c>
      <x:c r="AS131" s="7" t="str">
        <x:v>Current detail page</x:v>
      </x:c>
    </x:row>
    <x:row r="132" ht="52" customHeight="1">
      <x:c r="A132" s="7" t="str">
        <x:v>AGUILAR ANTHONY ALEX</x:v>
      </x:c>
      <x:c r="B132" s="14" t="str">
        <x:f>"0H26247"</x:f>
        <x:v>0H26247</x:v>
      </x:c>
      <x:c r="C132" s="7" t="str">
        <x:v>Omitted</x:v>
      </x:c>
      <x:c r="D132" s="7" t="str">
        <x:v>FAIL</x:v>
      </x:c>
      <x:c r="E132" s="13" t="str">
        <x:v>Pending</x:v>
      </x:c>
      <x:c r="F132" s="13" t="str"/>
      <x:c r="G132" s="13" t="str"/>
      <x:c r="H132" s="13" t="str"/>
      <x:c r="I132" s="7" t="str">
        <x:v>Was this person reviewed? If rejected, give the actual rule and evidence. If acceptable, correct the omission. Confirm the Life-qualification gate and any record change since selection.</x:v>
      </x:c>
      <x:c r="J132" s="7" t="str">
        <x:v>L1</x:v>
      </x:c>
      <x:c r="K132" s="7" t="str">
        <x:v>Verified qualifications do not include active general Life. Current target-pool mismatch; actual historical omission reason unknown.</x:v>
      </x:c>
      <x:c r="L132" s="7" t="str">
        <x:v>Not supplied; membership is known, motive is not</x:v>
      </x:c>
      <x:c r="M132" s="7" t="n">
        <x:v>7</x:v>
      </x:c>
      <x:c r="N132" s="7" t="str">
        <x:v>Outside current general-Life recruiting pool</x:v>
      </x:c>
      <x:c r="O132" s="7" t="str">
        <x:v>Not displayed</x:v>
      </x:c>
      <x:c r="P132" s="7" t="str"/>
      <x:c r="Q132" s="7" t="str"/>
      <x:c r="R132" s="7" t="str"/>
      <x:c r="S132" s="15" t="str"/>
      <x:c r="T132" s="7" t="str">
        <x:v>No public business phone in collected record</x:v>
      </x:c>
      <x:c r="U132" s="7" t="str"/>
      <x:c r="V132" s="7" t="str">
        <x:v>Resident</x:v>
      </x:c>
      <x:c r="W132" s="7" t="str">
        <x:v>CA</x:v>
      </x:c>
      <x:c r="X132" s="7" t="str"/>
      <x:c r="Y132" s="7" t="str"/>
      <x:c r="Z132" s="7" t="str"/>
      <x:c r="AA132" s="7" t="str"/>
      <x:c r="AB132" s="7" t="str"/>
      <x:c r="AC132" s="7" t="str"/>
      <x:c r="AD132" s="7" t="str">
        <x:v>No agency or insurer displayed: onboarding opportunity possible; existing business unknown</x:v>
      </x:c>
      <x:c r="AE132" s="7" t="str">
        <x:v>No public business phone: contact enrichment needed, not proof of poor recruiting fit</x:v>
      </x:c>
      <x:c r="AF132" s="16" t="str"/>
      <x:c r="AG132" s="17" t="str"/>
      <x:c r="AH132" s="7" t="str"/>
      <x:c r="AI132" s="7" t="str"/>
      <x:c r="AJ132" s="7" t="str"/>
      <x:c r="AK132" s="15" t="str"/>
      <x:c r="AL132" s="7" t="str"/>
      <x:c r="AM132" s="7" t="str">
        <x:v>AGUILAR ALEX ANTHONY</x:v>
      </x:c>
      <x:c r="AN132" s="7" t="str">
        <x:v>https://cdicloud.insurance.ca.gov/cal/LicenseDetail?SearchType=IND&amp;SearchLicNbr=0H26247&amp;SearchIndvId=1372091</x:v>
      </x:c>
      <x:c r="AO132" s="7" t="str">
        <x:v>2026-10-08</x:v>
      </x:c>
      <x:c r="AP132" s="7" t="str">
        <x:v>40de61012b06bca978b134430dc9e44248064c98293a50fbf862cbe03035ec10</x:v>
      </x:c>
      <x:c r="AQ132" s="7" t="str">
        <x:v>Personal Lines Broker-Agent / Inactive / 12/29/2010 / 12/31/2014 / 12/31/2014</x:v>
      </x:c>
      <x:c r="AR132" s="7" t="str">
        <x:v>Inactive</x:v>
      </x:c>
      <x:c r="AS132" s="7" t="str">
        <x:v>Current detail page</x:v>
      </x:c>
    </x:row>
    <x:row r="133" ht="52" customHeight="1">
      <x:c r="A133" s="7" t="str">
        <x:v>AGUILAR ANTHONY CAMPOS</x:v>
      </x:c>
      <x:c r="B133" s="14" t="str">
        <x:f>"0H04950"</x:f>
        <x:v>0H04950</x:v>
      </x:c>
      <x:c r="C133" s="7" t="str">
        <x:v>Omitted</x:v>
      </x:c>
      <x:c r="D133" s="7" t="str">
        <x:v>FAIL</x:v>
      </x:c>
      <x:c r="E133" s="13" t="str">
        <x:v>Pending</x:v>
      </x:c>
      <x:c r="F133" s="13" t="str"/>
      <x:c r="G133" s="13" t="str"/>
      <x:c r="H133" s="13" t="str"/>
      <x:c r="I133" s="7" t="str">
        <x:v>Was this person reviewed? If rejected, give the actual rule and evidence. If acceptable, correct the omission. Confirm the Life-qualification gate and any record change since selection.</x:v>
      </x:c>
      <x:c r="J133" s="7" t="str">
        <x:v>L1</x:v>
      </x:c>
      <x:c r="K133" s="7" t="str">
        <x:v>Verified qualifications do not include active general Life. Current target-pool mismatch; actual historical omission reason unknown.</x:v>
      </x:c>
      <x:c r="L133" s="7" t="str">
        <x:v>Not supplied; membership is known, motive is not</x:v>
      </x:c>
      <x:c r="M133" s="7" t="n">
        <x:v>7</x:v>
      </x:c>
      <x:c r="N133" s="7" t="str">
        <x:v>Outside current general-Life recruiting pool</x:v>
      </x:c>
      <x:c r="O133" s="7" t="str">
        <x:v>Not displayed</x:v>
      </x:c>
      <x:c r="P133" s="7" t="str"/>
      <x:c r="Q133" s="7" t="str"/>
      <x:c r="R133" s="7" t="str"/>
      <x:c r="S133" s="15" t="str"/>
      <x:c r="T133" s="7" t="str">
        <x:v>No public business phone in collected record</x:v>
      </x:c>
      <x:c r="U133" s="7" t="str"/>
      <x:c r="V133" s="7" t="str">
        <x:v>Resident</x:v>
      </x:c>
      <x:c r="W133" s="7" t="str">
        <x:v>CA</x:v>
      </x:c>
      <x:c r="X133" s="7" t="str"/>
      <x:c r="Y133" s="7" t="str"/>
      <x:c r="Z133" s="7" t="str"/>
      <x:c r="AA133" s="7" t="str"/>
      <x:c r="AB133" s="7" t="str"/>
      <x:c r="AC133" s="7" t="str"/>
      <x:c r="AD133" s="7" t="str">
        <x:v>No agency or insurer displayed: onboarding opportunity possible; existing business unknown</x:v>
      </x:c>
      <x:c r="AE133" s="7" t="str">
        <x:v>No public business phone: contact enrichment needed, not proof of poor recruiting fit</x:v>
      </x:c>
      <x:c r="AF133" s="16" t="str"/>
      <x:c r="AG133" s="17" t="str"/>
      <x:c r="AH133" s="7" t="str"/>
      <x:c r="AI133" s="7" t="str"/>
      <x:c r="AJ133" s="7" t="str"/>
      <x:c r="AK133" s="15" t="str"/>
      <x:c r="AL133" s="7" t="str"/>
      <x:c r="AM133" s="7" t="str">
        <x:v>AGUILAR CAMPOS ANTHONY</x:v>
      </x:c>
      <x:c r="AN133" s="7" t="str">
        <x:v>https://cdicloud.insurance.ca.gov/cal/LicenseDetail?SearchType=IND&amp;SearchLicNbr=0H04950&amp;SearchIndvId=495449</x:v>
      </x:c>
      <x:c r="AO133" s="7" t="str">
        <x:v>2026-10-08</x:v>
      </x:c>
      <x:c r="AP133" s="7" t="str">
        <x:v>f0dd62c0d88524779438dad4d67e8acc19c3ee132216bf8dff506556009f47d4</x:v>
      </x:c>
      <x:c r="AQ133" s="7" t="str">
        <x:v>Accident and Health / Inactive / 05/16/2001 / 06/30/2006 / 06/30/2006
Life Limited-Funeral &amp; Burial / Inactive / 06/29/2000 / 05/16/2001 / 05/16/2001
Life-Only / Inactive / 05/16/2001 / 07/31/2014 / 07/31/2014</x:v>
      </x:c>
      <x:c r="AR133" s="7" t="str">
        <x:v>Inactive</x:v>
      </x:c>
      <x:c r="AS133" s="7" t="str">
        <x:v>Current detail page</x:v>
      </x:c>
    </x:row>
    <x:row r="134" ht="52" customHeight="1">
      <x:c r="A134" s="7" t="str">
        <x:v>AGUILAR ANTHONY CARLOS</x:v>
      </x:c>
      <x:c r="B134" s="14" t="str">
        <x:f>"4389809"</x:f>
        <x:v>4389809</x:v>
      </x:c>
      <x:c r="C134" s="7" t="str">
        <x:v>Omitted</x:v>
      </x:c>
      <x:c r="D134" s="7" t="str">
        <x:v>FAIL</x:v>
      </x:c>
      <x:c r="E134" s="13" t="str">
        <x:v>Pending</x:v>
      </x:c>
      <x:c r="F134" s="13" t="str"/>
      <x:c r="G134" s="13" t="str"/>
      <x:c r="H134" s="13" t="str"/>
      <x:c r="I134" s="7" t="str">
        <x:v>Was this person reviewed? If rejected, give the actual rule and evidence. If acceptable, correct the omission. Confirm the Life-qualification gate and any record change since selection.</x:v>
      </x:c>
      <x:c r="J134" s="7" t="str">
        <x:v>L1</x:v>
      </x:c>
      <x:c r="K134" s="7" t="str">
        <x:v>Verified qualifications do not include active general Life. Current target-pool mismatch; actual historical omission reason unknown.</x:v>
      </x:c>
      <x:c r="L134" s="7" t="str">
        <x:v>Not supplied; membership is known, motive is not</x:v>
      </x:c>
      <x:c r="M134" s="7" t="n">
        <x:v>7</x:v>
      </x:c>
      <x:c r="N134" s="7" t="str">
        <x:v>Outside current general-Life recruiting pool</x:v>
      </x:c>
      <x:c r="O134" s="7" t="str">
        <x:v>Inactive</x:v>
      </x:c>
      <x:c r="P134" s="7" t="str">
        <x:v>07/23/2024</x:v>
      </x:c>
      <x:c r="Q134" s="7" t="str">
        <x:v>07/31/2026</x:v>
      </x:c>
      <x:c r="R134" s="7" t="str"/>
      <x:c r="S134" s="15" t="str">
        <x:v>209-405-4739</x:v>
      </x:c>
      <x:c r="T134" s="7" t="str">
        <x:v>Current CDI</x:v>
      </x:c>
      <x:c r="U134" s="7" t="str">
        <x:v>4147 ROMA LANE STOCKTON CA, 95206</x:v>
      </x:c>
      <x:c r="V134" s="7" t="str">
        <x:v>Resident</x:v>
      </x:c>
      <x:c r="W134" s="7" t="str">
        <x:v>CA</x:v>
      </x:c>
      <x:c r="X134" s="7" t="str"/>
      <x:c r="Y134" s="7" t="str"/>
      <x:c r="Z134" s="7" t="str"/>
      <x:c r="AA134" s="7" t="str"/>
      <x:c r="AB134" s="7" t="str"/>
      <x:c r="AC134" s="7" t="str"/>
      <x:c r="AD134" s="7" t="str">
        <x:v>No agency or insurer displayed: onboarding opportunity possible; existing business unknown</x:v>
      </x:c>
      <x:c r="AE134" s="7" t="str"/>
      <x:c r="AF134" s="16" t="str"/>
      <x:c r="AG134" s="17" t="str"/>
      <x:c r="AH134" s="7" t="str"/>
      <x:c r="AI134" s="7" t="str">
        <x:v>English</x:v>
      </x:c>
      <x:c r="AJ134" s="7" t="str"/>
      <x:c r="AK134" s="15" t="str"/>
      <x:c r="AL134" s="7" t="str"/>
      <x:c r="AM134" s="7" t="str">
        <x:v>AGUILAR CARLOS ANTHONY</x:v>
      </x:c>
      <x:c r="AN134" s="7" t="str">
        <x:v>https://cdicloud.insurance.ca.gov/cal/LicenseDetail?SearchType=IND&amp;SearchLicNbr=4389809&amp;SearchIndvId=4389809</x:v>
      </x:c>
      <x:c r="AO134" s="7" t="str">
        <x:v>2026-10-08</x:v>
      </x:c>
      <x:c r="AP134" s="7" t="str">
        <x:v>e1a1c692a8aa36fbeb8588a9f82fc7a2ffc888774293d63e56d556b614e43444</x:v>
      </x:c>
      <x:c r="AQ134" s="7" t="str">
        <x:v>Accident &amp; Health or Sickness / Inactive / 04/09/2025 / 07/31/2026 / 07/31/2026
Life / Inactive / 07/23/2024 / 07/31/2026 / 07/31/2026</x:v>
      </x:c>
      <x:c r="AR134" s="7" t="str">
        <x:v>Inactive</x:v>
      </x:c>
      <x:c r="AS134" s="7" t="str">
        <x:v>Current detail page</x:v>
      </x:c>
    </x:row>
    <x:row r="135" ht="52" customHeight="1">
      <x:c r="A135" s="7" t="str">
        <x:v>AGUILAR ANTHONY EFRAIN</x:v>
      </x:c>
      <x:c r="B135" s="14" t="str">
        <x:f>"4314924"</x:f>
        <x:v>4314924</x:v>
      </x:c>
      <x:c r="C135" s="7" t="str">
        <x:v>Omitted</x:v>
      </x:c>
      <x:c r="D135" s="7" t="str">
        <x:v>FAIL</x:v>
      </x:c>
      <x:c r="E135" s="13" t="str">
        <x:v>Pending</x:v>
      </x:c>
      <x:c r="F135" s="13" t="str"/>
      <x:c r="G135" s="13" t="str"/>
      <x:c r="H135" s="13" t="str"/>
      <x:c r="I135" s="7" t="str">
        <x:v>Was this person reviewed? If rejected, give the actual rule and evidence. If acceptable, correct the omission. Confirm the Life-qualification gate and any record change since selection.</x:v>
      </x:c>
      <x:c r="J135" s="7" t="str">
        <x:v>L1</x:v>
      </x:c>
      <x:c r="K135" s="7" t="str">
        <x:v>Verified qualifications do not include active general Life. Current target-pool mismatch; actual historical omission reason unknown.</x:v>
      </x:c>
      <x:c r="L135" s="7" t="str">
        <x:v>Not supplied; membership is known, motive is not</x:v>
      </x:c>
      <x:c r="M135" s="7" t="n">
        <x:v>7</x:v>
      </x:c>
      <x:c r="N135" s="7" t="str">
        <x:v>Outside current general-Life recruiting pool</x:v>
      </x:c>
      <x:c r="O135" s="7" t="str">
        <x:v>Inactive</x:v>
      </x:c>
      <x:c r="P135" s="7" t="str">
        <x:v>09/12/2023</x:v>
      </x:c>
      <x:c r="Q135" s="7" t="str">
        <x:v>08/10/2025</x:v>
      </x:c>
      <x:c r="R135" s="7" t="str"/>
      <x:c r="S135" s="15" t="str"/>
      <x:c r="T135" s="7" t="str">
        <x:v>No public business phone in collected record</x:v>
      </x:c>
      <x:c r="U135" s="7" t="str">
        <x:v>2021 N GATEWAY BLVD FRESNO CA, 93727</x:v>
      </x:c>
      <x:c r="V135" s="7" t="str">
        <x:v>Resident</x:v>
      </x:c>
      <x:c r="W135" s="7" t="str">
        <x:v>CA</x:v>
      </x:c>
      <x:c r="X135" s="7" t="str"/>
      <x:c r="Y135" s="7" t="str"/>
      <x:c r="Z135" s="7" t="str"/>
      <x:c r="AA135" s="7" t="str"/>
      <x:c r="AB135" s="7" t="str"/>
      <x:c r="AC135" s="7" t="str"/>
      <x:c r="AD135" s="7" t="str">
        <x:v>No agency or insurer displayed: onboarding opportunity possible; existing business unknown</x:v>
      </x:c>
      <x:c r="AE135" s="7" t="str">
        <x:v>No public business phone: contact enrichment needed, not proof of poor recruiting fit</x:v>
      </x:c>
      <x:c r="AF135" s="16" t="str"/>
      <x:c r="AG135" s="17" t="str"/>
      <x:c r="AH135" s="7" t="str"/>
      <x:c r="AI135" s="7" t="str"/>
      <x:c r="AJ135" s="7" t="str"/>
      <x:c r="AK135" s="15" t="str"/>
      <x:c r="AL135" s="7" t="str"/>
      <x:c r="AM135" s="7" t="str">
        <x:v>AGUILAR EFRAIN ANTHONY</x:v>
      </x:c>
      <x:c r="AN135" s="7" t="str">
        <x:v>https://cdicloud.insurance.ca.gov/cal/LicenseDetail?SearchType=IND&amp;SearchLicNbr=4314924&amp;SearchIndvId=4314924</x:v>
      </x:c>
      <x:c r="AO135" s="7" t="str">
        <x:v>2026-10-08</x:v>
      </x:c>
      <x:c r="AP135" s="7" t="str">
        <x:v>ad7c6d08a58f264b7a4ad84abc89e6cee2595e894f9f8e9fe8904134f20a0ae9</x:v>
      </x:c>
      <x:c r="AQ135" s="7" t="str">
        <x:v>Life / Inactive / 09/12/2023 / 08/10/2025 / 08/10/2025</x:v>
      </x:c>
      <x:c r="AR135" s="7" t="str">
        <x:v>Inactive</x:v>
      </x:c>
      <x:c r="AS135" s="7" t="str">
        <x:v>Current detail page</x:v>
      </x:c>
    </x:row>
    <x:row r="136" ht="52" customHeight="1">
      <x:c r="A136" s="7" t="str">
        <x:v>AGUILAR ANTHONY JAVIER</x:v>
      </x:c>
      <x:c r="B136" s="14" t="str">
        <x:f>"0J01306"</x:f>
        <x:v>0J01306</x:v>
      </x:c>
      <x:c r="C136" s="7" t="str">
        <x:v>Omitted</x:v>
      </x:c>
      <x:c r="D136" s="7" t="str">
        <x:v>FAIL</x:v>
      </x:c>
      <x:c r="E136" s="13" t="str">
        <x:v>Pending</x:v>
      </x:c>
      <x:c r="F136" s="13" t="str"/>
      <x:c r="G136" s="13" t="str"/>
      <x:c r="H136" s="13" t="str"/>
      <x:c r="I136" s="7" t="str">
        <x:v>Was this person reviewed? If rejected, give the actual rule and evidence. If acceptable, correct the omission. Confirm the Life-qualification gate and any record change since selection.</x:v>
      </x:c>
      <x:c r="J136" s="7" t="str">
        <x:v>L1</x:v>
      </x:c>
      <x:c r="K136" s="7" t="str">
        <x:v>Verified qualifications do not include active general Life. Current target-pool mismatch; actual historical omission reason unknown.</x:v>
      </x:c>
      <x:c r="L136" s="7" t="str">
        <x:v>Not supplied; membership is known, motive is not</x:v>
      </x:c>
      <x:c r="M136" s="7" t="n">
        <x:v>7</x:v>
      </x:c>
      <x:c r="N136" s="7" t="str">
        <x:v>Outside current general-Life recruiting pool</x:v>
      </x:c>
      <x:c r="O136" s="7" t="str">
        <x:v>Not displayed</x:v>
      </x:c>
      <x:c r="P136" s="7" t="str"/>
      <x:c r="Q136" s="7" t="str"/>
      <x:c r="R136" s="7" t="str"/>
      <x:c r="S136" s="15" t="str"/>
      <x:c r="T136" s="7" t="str">
        <x:v>No public business phone in collected record</x:v>
      </x:c>
      <x:c r="U136" s="7" t="str"/>
      <x:c r="V136" s="7" t="str">
        <x:v>Resident</x:v>
      </x:c>
      <x:c r="W136" s="7" t="str">
        <x:v>CA</x:v>
      </x:c>
      <x:c r="X136" s="7" t="str"/>
      <x:c r="Y136" s="7" t="str"/>
      <x:c r="Z136" s="7" t="str"/>
      <x:c r="AA136" s="7" t="str"/>
      <x:c r="AB136" s="7" t="str"/>
      <x:c r="AC136" s="7" t="str"/>
      <x:c r="AD136" s="7" t="str">
        <x:v>No agency or insurer displayed: onboarding opportunity possible; existing business unknown</x:v>
      </x:c>
      <x:c r="AE136" s="7" t="str">
        <x:v>No public business phone: contact enrichment needed, not proof of poor recruiting fit</x:v>
      </x:c>
      <x:c r="AF136" s="16" t="str"/>
      <x:c r="AG136" s="17" t="str"/>
      <x:c r="AH136" s="7" t="str"/>
      <x:c r="AI136" s="7" t="str"/>
      <x:c r="AJ136" s="7" t="str"/>
      <x:c r="AK136" s="15" t="str"/>
      <x:c r="AL136" s="7" t="str"/>
      <x:c r="AM136" s="7" t="str">
        <x:v>Aguilar J Anthony | AGUILAR JAVIER ANTHONY</x:v>
      </x:c>
      <x:c r="AN136" s="7" t="str">
        <x:v>https://cdicloud.insurance.ca.gov/cal/LicenseDetail?SearchType=IND&amp;SearchLicNbr=0J01306&amp;SearchIndvId=1689441</x:v>
      </x:c>
      <x:c r="AO136" s="7" t="str">
        <x:v>2026-10-08</x:v>
      </x:c>
      <x:c r="AP136" s="7" t="str">
        <x:v>b4f6d1183239ed8794f6f29f53aa7b9b70b5e37251033d3572a337670c797ad9</x:v>
      </x:c>
      <x:c r="AQ136" s="7" t="str">
        <x:v>Life-Only / Inactive / 08/08/2014 / 08/31/2018 / 08/31/2018</x:v>
      </x:c>
      <x:c r="AR136" s="7" t="str">
        <x:v>Inactive</x:v>
      </x:c>
      <x:c r="AS136" s="7" t="str">
        <x:v>Current detail page</x:v>
      </x:c>
    </x:row>
    <x:row r="137" ht="52" customHeight="1">
      <x:c r="A137" s="7" t="str">
        <x:v>AGUILAR ANTHONY JOSEPH</x:v>
      </x:c>
      <x:c r="B137" s="14" t="str">
        <x:f>"4027838"</x:f>
        <x:v>4027838</x:v>
      </x:c>
      <x:c r="C137" s="7" t="str">
        <x:v>Omitted</x:v>
      </x:c>
      <x:c r="D137" s="7" t="str">
        <x:v>FAIL</x:v>
      </x:c>
      <x:c r="E137" s="13" t="str">
        <x:v>Pending</x:v>
      </x:c>
      <x:c r="F137" s="13" t="str"/>
      <x:c r="G137" s="13" t="str"/>
      <x:c r="H137" s="13" t="str"/>
      <x:c r="I137" s="7" t="str">
        <x:v>Was this person reviewed? If rejected, give the actual rule and evidence. If acceptable, correct the omission. Confirm the Life-qualification gate and any record change since selection.</x:v>
      </x:c>
      <x:c r="J137" s="7" t="str">
        <x:v>L1</x:v>
      </x:c>
      <x:c r="K137" s="7" t="str">
        <x:v>Verified qualifications do not include active general Life. Current target-pool mismatch; actual historical omission reason unknown.</x:v>
      </x:c>
      <x:c r="L137" s="7" t="str">
        <x:v>Not supplied; membership is known, motive is not</x:v>
      </x:c>
      <x:c r="M137" s="7" t="n">
        <x:v>7</x:v>
      </x:c>
      <x:c r="N137" s="7" t="str">
        <x:v>Outside current general-Life recruiting pool</x:v>
      </x:c>
      <x:c r="O137" s="7" t="str">
        <x:v>Inactive</x:v>
      </x:c>
      <x:c r="P137" s="7" t="str">
        <x:v>12/30/2019</x:v>
      </x:c>
      <x:c r="Q137" s="7" t="str">
        <x:v>12/31/2021</x:v>
      </x:c>
      <x:c r="R137" s="7" t="str"/>
      <x:c r="S137" s="15" t="str"/>
      <x:c r="T137" s="7" t="str">
        <x:v>No public business phone in collected record</x:v>
      </x:c>
      <x:c r="U137" s="7" t="str">
        <x:v>7220 TRADE ST STE 203 SAN DIEGO CA, 92121</x:v>
      </x:c>
      <x:c r="V137" s="7" t="str">
        <x:v>Resident</x:v>
      </x:c>
      <x:c r="W137" s="7" t="str">
        <x:v>CA</x:v>
      </x:c>
      <x:c r="X137" s="7" t="str"/>
      <x:c r="Y137" s="7" t="str"/>
      <x:c r="Z137" s="7" t="str"/>
      <x:c r="AA137" s="7" t="str"/>
      <x:c r="AB137" s="7" t="str"/>
      <x:c r="AC137" s="7" t="str"/>
      <x:c r="AD137" s="7" t="str">
        <x:v>No agency or insurer displayed: onboarding opportunity possible; existing business unknown</x:v>
      </x:c>
      <x:c r="AE137" s="7" t="str">
        <x:v>No public business phone: contact enrichment needed, not proof of poor recruiting fit</x:v>
      </x:c>
      <x:c r="AF137" s="16" t="str"/>
      <x:c r="AG137" s="17" t="str"/>
      <x:c r="AH137" s="7" t="str"/>
      <x:c r="AI137" s="7" t="str"/>
      <x:c r="AJ137" s="7" t="str"/>
      <x:c r="AK137" s="15" t="str"/>
      <x:c r="AL137" s="7" t="str"/>
      <x:c r="AM137" s="7" t="str">
        <x:v>Aguilar J Anthony | AGUILAR JOSEPH ANTHONY</x:v>
      </x:c>
      <x:c r="AN137" s="7" t="str">
        <x:v>https://cdicloud.insurance.ca.gov/cal/LicenseDetail?SearchType=IND&amp;SearchLicNbr=4027838&amp;SearchIndvId=4027838</x:v>
      </x:c>
      <x:c r="AO137" s="7" t="str">
        <x:v>2026-10-08</x:v>
      </x:c>
      <x:c r="AP137" s="7" t="str">
        <x:v>63ea23d7730081101cbd989014dcb098325013eb70c9b92328e50684eaf4f58b</x:v>
      </x:c>
      <x:c r="AQ137" s="7" t="str">
        <x:v>Life / Inactive / 12/30/2019 / 12/31/2021 / 12/31/2021</x:v>
      </x:c>
      <x:c r="AR137" s="7" t="str">
        <x:v>Inactive</x:v>
      </x:c>
      <x:c r="AS137" s="7" t="str">
        <x:v>Current detail page</x:v>
      </x:c>
    </x:row>
    <x:row r="138" ht="52" customHeight="1">
      <x:c r="A138" s="7" t="str">
        <x:v>AGUILAR ANTHONY STEVEN</x:v>
      </x:c>
      <x:c r="B138" s="14" t="str">
        <x:f>"0I93919"</x:f>
        <x:v>0I93919</x:v>
      </x:c>
      <x:c r="C138" s="7" t="str">
        <x:v>Omitted</x:v>
      </x:c>
      <x:c r="D138" s="7" t="str">
        <x:v>FAIL</x:v>
      </x:c>
      <x:c r="E138" s="13" t="str">
        <x:v>Pending</x:v>
      </x:c>
      <x:c r="F138" s="13" t="str"/>
      <x:c r="G138" s="13" t="str"/>
      <x:c r="H138" s="13" t="str"/>
      <x:c r="I138" s="7" t="str">
        <x:v>Was this person reviewed? If rejected, give the actual rule and evidence. If acceptable, correct the omission. Confirm the Life-qualification gate and any record change since selection.</x:v>
      </x:c>
      <x:c r="J138" s="7" t="str">
        <x:v>L1</x:v>
      </x:c>
      <x:c r="K138" s="7" t="str">
        <x:v>Verified qualifications do not include active general Life. Current target-pool mismatch; actual historical omission reason unknown.</x:v>
      </x:c>
      <x:c r="L138" s="7" t="str">
        <x:v>Not supplied; membership is known, motive is not</x:v>
      </x:c>
      <x:c r="M138" s="7" t="n">
        <x:v>7</x:v>
      </x:c>
      <x:c r="N138" s="7" t="str">
        <x:v>Outside current general-Life recruiting pool</x:v>
      </x:c>
      <x:c r="O138" s="7" t="str">
        <x:v>Not displayed</x:v>
      </x:c>
      <x:c r="P138" s="7" t="str"/>
      <x:c r="Q138" s="7" t="str"/>
      <x:c r="R138" s="7" t="str"/>
      <x:c r="S138" s="15" t="str"/>
      <x:c r="T138" s="7" t="str">
        <x:v>No public business phone in collected record</x:v>
      </x:c>
      <x:c r="U138" s="7" t="str"/>
      <x:c r="V138" s="7" t="str">
        <x:v>Resident</x:v>
      </x:c>
      <x:c r="W138" s="7" t="str">
        <x:v>CA</x:v>
      </x:c>
      <x:c r="X138" s="7" t="str"/>
      <x:c r="Y138" s="7" t="str"/>
      <x:c r="Z138" s="7" t="str"/>
      <x:c r="AA138" s="7" t="str"/>
      <x:c r="AB138" s="7" t="str"/>
      <x:c r="AC138" s="7" t="str"/>
      <x:c r="AD138" s="7" t="str">
        <x:v>No agency or insurer displayed: onboarding opportunity possible; existing business unknown</x:v>
      </x:c>
      <x:c r="AE138" s="7" t="str">
        <x:v>No public business phone: contact enrichment needed, not proof of poor recruiting fit</x:v>
      </x:c>
      <x:c r="AF138" s="16" t="str"/>
      <x:c r="AG138" s="17" t="str"/>
      <x:c r="AH138" s="7" t="str"/>
      <x:c r="AI138" s="7" t="str"/>
      <x:c r="AJ138" s="7" t="str"/>
      <x:c r="AK138" s="15" t="str"/>
      <x:c r="AL138" s="7" t="str"/>
      <x:c r="AM138" s="7" t="str">
        <x:v>Aguilar S Anthony | AGUILAR STEVEN ANTHONY</x:v>
      </x:c>
      <x:c r="AN138" s="7" t="str">
        <x:v>https://cdicloud.insurance.ca.gov/cal/LicenseDetail?SearchType=IND&amp;SearchLicNbr=0I93919&amp;SearchIndvId=1677360</x:v>
      </x:c>
      <x:c r="AO138" s="7" t="str">
        <x:v>2026-10-08</x:v>
      </x:c>
      <x:c r="AP138" s="7" t="str">
        <x:v>db7c8f4786576cbe237af54b33f2f1498e8e0066a9d14b5b0812a39eddfee63b</x:v>
      </x:c>
      <x:c r="AQ138" s="7" t="str">
        <x:v>Life-Only / Inactive / 06/16/2014 / 06/30/2018 / 06/30/2018</x:v>
      </x:c>
      <x:c r="AR138" s="7" t="str">
        <x:v>Inactive</x:v>
      </x:c>
      <x:c r="AS138" s="7" t="str">
        <x:v>Current detail page</x:v>
      </x:c>
    </x:row>
    <x:row r="139" ht="52" customHeight="1">
      <x:c r="A139" s="7" t="str">
        <x:v>AGUILAR ANTONIO</x:v>
      </x:c>
      <x:c r="B139" s="14" t="str">
        <x:f>"0D17834"</x:f>
        <x:v>0D17834</x:v>
      </x:c>
      <x:c r="C139" s="7" t="str">
        <x:v>Omitted</x:v>
      </x:c>
      <x:c r="D139" s="7" t="str">
        <x:v>FAIL</x:v>
      </x:c>
      <x:c r="E139" s="13" t="str">
        <x:v>Pending</x:v>
      </x:c>
      <x:c r="F139" s="13" t="str"/>
      <x:c r="G139" s="13" t="str"/>
      <x:c r="H139" s="13" t="str"/>
      <x:c r="I139" s="7" t="str">
        <x:v>Was this person reviewed? If rejected, give the actual rule and evidence. If acceptable, correct the omission. Confirm the Life-qualification gate and any record change since selection.</x:v>
      </x:c>
      <x:c r="J139" s="7" t="str">
        <x:v>L1</x:v>
      </x:c>
      <x:c r="K139" s="7" t="str">
        <x:v>Verified qualifications do not include active general Life. Current target-pool mismatch; actual historical omission reason unknown.</x:v>
      </x:c>
      <x:c r="L139" s="7" t="str">
        <x:v>Not supplied; membership is known, motive is not</x:v>
      </x:c>
      <x:c r="M139" s="7" t="n">
        <x:v>7</x:v>
      </x:c>
      <x:c r="N139" s="7" t="str">
        <x:v>Outside current general-Life recruiting pool</x:v>
      </x:c>
      <x:c r="O139" s="7" t="str">
        <x:v>Not displayed</x:v>
      </x:c>
      <x:c r="P139" s="7" t="str"/>
      <x:c r="Q139" s="7" t="str"/>
      <x:c r="R139" s="7" t="str"/>
      <x:c r="S139" s="15" t="str"/>
      <x:c r="T139" s="7" t="str">
        <x:v>No public business phone in collected record</x:v>
      </x:c>
      <x:c r="U139" s="7" t="str"/>
      <x:c r="V139" s="7" t="str">
        <x:v>Resident</x:v>
      </x:c>
      <x:c r="W139" s="7" t="str">
        <x:v>CA</x:v>
      </x:c>
      <x:c r="X139" s="7" t="str"/>
      <x:c r="Y139" s="7" t="str"/>
      <x:c r="Z139" s="7" t="str"/>
      <x:c r="AA139" s="7" t="str"/>
      <x:c r="AB139" s="7" t="str"/>
      <x:c r="AC139" s="7" t="str"/>
      <x:c r="AD139" s="7" t="str">
        <x:v>No agency or insurer displayed: onboarding opportunity possible; existing business unknown</x:v>
      </x:c>
      <x:c r="AE139" s="7" t="str">
        <x:v>No public business phone: contact enrichment needed, not proof of poor recruiting fit</x:v>
      </x:c>
      <x:c r="AF139" s="16" t="str"/>
      <x:c r="AG139" s="17" t="str"/>
      <x:c r="AH139" s="7" t="str"/>
      <x:c r="AI139" s="7" t="str"/>
      <x:c r="AJ139" s="7" t="str"/>
      <x:c r="AK139" s="15" t="str"/>
      <x:c r="AL139" s="7" t="str"/>
      <x:c r="AM139" s="7" t="str">
        <x:v>AGUILAR  ANTONIO</x:v>
      </x:c>
      <x:c r="AN139" s="7" t="str">
        <x:v>https://cdicloud.insurance.ca.gov/cal/LicenseDetail?SearchType=IND&amp;SearchLicNbr=0D17834&amp;SearchIndvId=532336</x:v>
      </x:c>
      <x:c r="AO139" s="7" t="str">
        <x:v>2026-10-08</x:v>
      </x:c>
      <x:c r="AP139" s="7" t="str">
        <x:v>4703d6d3dd9021f7261bb4814cc3749b059ff69c474adfeadb1c96c6afe3f338</x:v>
      </x:c>
      <x:c r="AQ139" s="7" t="str">
        <x:v>Casualty Broker-Agent / Inactive / 01/18/2001 / 01/31/2009 / 01/31/2009
Property Broker-Agent / Inactive / 01/18/2001 / 01/31/2009 / 01/31/2009</x:v>
      </x:c>
      <x:c r="AR139" s="7" t="str">
        <x:v>Inactive</x:v>
      </x:c>
      <x:c r="AS139" s="7" t="str">
        <x:v>Current detail page</x:v>
      </x:c>
    </x:row>
    <x:row r="140" ht="52" customHeight="1">
      <x:c r="A140" s="7" t="str">
        <x:v>AGUILAR ANTONIO</x:v>
      </x:c>
      <x:c r="B140" s="14" t="str">
        <x:f>"0F99410"</x:f>
        <x:v>0F99410</x:v>
      </x:c>
      <x:c r="C140" s="7" t="str">
        <x:v>Omitted</x:v>
      </x:c>
      <x:c r="D140" s="7" t="str">
        <x:v>FAIL</x:v>
      </x:c>
      <x:c r="E140" s="13" t="str">
        <x:v>Pending</x:v>
      </x:c>
      <x:c r="F140" s="13" t="str"/>
      <x:c r="G140" s="13" t="str"/>
      <x:c r="H140" s="13" t="str"/>
      <x:c r="I140" s="7" t="str">
        <x:v>Was this person reviewed? If rejected, give the actual rule and evidence. If acceptable, correct the omission. Confirm the Life-qualification gate and any record change since selection.</x:v>
      </x:c>
      <x:c r="J140" s="7" t="str">
        <x:v>L1</x:v>
      </x:c>
      <x:c r="K140" s="7" t="str">
        <x:v>Verified qualifications do not include active general Life. Current target-pool mismatch; actual historical omission reason unknown.</x:v>
      </x:c>
      <x:c r="L140" s="7" t="str">
        <x:v>Not supplied; membership is known, motive is not</x:v>
      </x:c>
      <x:c r="M140" s="7" t="n">
        <x:v>7</x:v>
      </x:c>
      <x:c r="N140" s="7" t="str">
        <x:v>Outside current general-Life recruiting pool</x:v>
      </x:c>
      <x:c r="O140" s="7" t="str">
        <x:v>Not displayed</x:v>
      </x:c>
      <x:c r="P140" s="7" t="str"/>
      <x:c r="Q140" s="7" t="str"/>
      <x:c r="R140" s="7" t="str"/>
      <x:c r="S140" s="15" t="str"/>
      <x:c r="T140" s="7" t="str">
        <x:v>No public business phone in collected record</x:v>
      </x:c>
      <x:c r="U140" s="7" t="str"/>
      <x:c r="V140" s="7" t="str">
        <x:v>Resident</x:v>
      </x:c>
      <x:c r="W140" s="7" t="str">
        <x:v>CA</x:v>
      </x:c>
      <x:c r="X140" s="7" t="str"/>
      <x:c r="Y140" s="7" t="str"/>
      <x:c r="Z140" s="7" t="str"/>
      <x:c r="AA140" s="7" t="str"/>
      <x:c r="AB140" s="7" t="str"/>
      <x:c r="AC140" s="7" t="str"/>
      <x:c r="AD140" s="7" t="str">
        <x:v>No agency or insurer displayed: onboarding opportunity possible; existing business unknown</x:v>
      </x:c>
      <x:c r="AE140" s="7" t="str">
        <x:v>No public business phone: contact enrichment needed, not proof of poor recruiting fit</x:v>
      </x:c>
      <x:c r="AF140" s="16" t="str"/>
      <x:c r="AG140" s="17" t="str"/>
      <x:c r="AH140" s="7" t="str"/>
      <x:c r="AI140" s="7" t="str"/>
      <x:c r="AJ140" s="7" t="str"/>
      <x:c r="AK140" s="15" t="str"/>
      <x:c r="AL140" s="7" t="str"/>
      <x:c r="AM140" s="7" t="str">
        <x:v>AGUILAR  ANTONIO</x:v>
      </x:c>
      <x:c r="AN140" s="7" t="str">
        <x:v>https://cdicloud.insurance.ca.gov/cal/LicenseDetail?SearchType=IND&amp;SearchLicNbr=0F99410&amp;SearchIndvId=1122143</x:v>
      </x:c>
      <x:c r="AO140" s="7" t="str">
        <x:v>2026-10-08</x:v>
      </x:c>
      <x:c r="AP140" s="7" t="str">
        <x:v>af2606780a086a92e8c93763f9659d5b4adef9611aae281941cdbabfd8b58cc4</x:v>
      </x:c>
      <x:c r="AQ140" s="7" t="str">
        <x:v>Casualty Broker-Agent / Inactive / 02/04/2008 / 02/28/2018 / 02/28/2018
Property Broker-Agent / Inactive / 02/04/2008 / 02/28/2018 / 02/28/2018</x:v>
      </x:c>
      <x:c r="AR140" s="7" t="str">
        <x:v>Inactive</x:v>
      </x:c>
      <x:c r="AS140" s="7" t="str">
        <x:v>Current detail page</x:v>
      </x:c>
    </x:row>
    <x:row r="141" ht="52" customHeight="1">
      <x:c r="A141" s="7" t="str">
        <x:v>AGUILAR ANTONIO</x:v>
      </x:c>
      <x:c r="B141" s="14" t="str">
        <x:f>"0H65654"</x:f>
        <x:v>0H65654</x:v>
      </x:c>
      <x:c r="C141" s="7" t="str">
        <x:v>Omitted</x:v>
      </x:c>
      <x:c r="D141" s="7" t="str">
        <x:v>FAIL</x:v>
      </x:c>
      <x:c r="E141" s="13" t="str">
        <x:v>Pending</x:v>
      </x:c>
      <x:c r="F141" s="13" t="str"/>
      <x:c r="G141" s="13" t="str"/>
      <x:c r="H141" s="13" t="str"/>
      <x:c r="I141" s="7" t="str">
        <x:v>Was this person reviewed? If rejected, give the actual rule and evidence. If acceptable, correct the omission. Confirm the Life-qualification gate and any record change since selection.</x:v>
      </x:c>
      <x:c r="J141" s="7" t="str">
        <x:v>L1</x:v>
      </x:c>
      <x:c r="K141" s="7" t="str">
        <x:v>Verified qualifications do not include active general Life. Current target-pool mismatch; actual historical omission reason unknown.</x:v>
      </x:c>
      <x:c r="L141" s="7" t="str">
        <x:v>Not supplied; membership is known, motive is not</x:v>
      </x:c>
      <x:c r="M141" s="7" t="n">
        <x:v>7</x:v>
      </x:c>
      <x:c r="N141" s="7" t="str">
        <x:v>Outside current general-Life recruiting pool</x:v>
      </x:c>
      <x:c r="O141" s="7" t="str">
        <x:v>Not displayed</x:v>
      </x:c>
      <x:c r="P141" s="7" t="str"/>
      <x:c r="Q141" s="7" t="str"/>
      <x:c r="R141" s="7" t="str"/>
      <x:c r="S141" s="15" t="str"/>
      <x:c r="T141" s="7" t="str">
        <x:v>No public business phone in collected record</x:v>
      </x:c>
      <x:c r="U141" s="7" t="str"/>
      <x:c r="V141" s="7" t="str">
        <x:v>Non-resident</x:v>
      </x:c>
      <x:c r="W141" s="7" t="str">
        <x:v>IL</x:v>
      </x:c>
      <x:c r="X141" s="7" t="str"/>
      <x:c r="Y141" s="7" t="str"/>
      <x:c r="Z141" s="7" t="str"/>
      <x:c r="AA141" s="7" t="str"/>
      <x:c r="AB141" s="7" t="str"/>
      <x:c r="AC141" s="7" t="str"/>
      <x:c r="AD141" s="7" t="str">
        <x:v>No agency or insurer displayed: onboarding opportunity possible; existing business unknown</x:v>
      </x:c>
      <x:c r="AE141" s="7" t="str">
        <x:v>Nonresident or address state outside CA; confirm geographic recruiting scope | No public business phone: contact enrichment needed, not proof of poor recruiting fit</x:v>
      </x:c>
      <x:c r="AF141" s="16" t="str"/>
      <x:c r="AG141" s="17" t="str"/>
      <x:c r="AH141" s="7" t="str"/>
      <x:c r="AI141" s="7" t="str"/>
      <x:c r="AJ141" s="7" t="str"/>
      <x:c r="AK141" s="15" t="str"/>
      <x:c r="AL141" s="7" t="str"/>
      <x:c r="AM141" s="7" t="str">
        <x:v>AGUILAR  ANTONIO</x:v>
      </x:c>
      <x:c r="AN141" s="7" t="str">
        <x:v>https://cdicloud.insurance.ca.gov/cal/LicenseDetail?SearchType=IND&amp;SearchLicNbr=0H65654&amp;SearchIndvId=1487353</x:v>
      </x:c>
      <x:c r="AO141" s="7" t="str">
        <x:v>2026-10-08</x:v>
      </x:c>
      <x:c r="AP141" s="7" t="str">
        <x:v>a3590e1c13e435f50eaa8342da7d0f221f150160c5f624e257ab492cfe21e3ad</x:v>
      </x:c>
      <x:c r="AQ141" s="7" t="str">
        <x:v>Accident and Health / Inactive / 11/09/2011 / 11/30/2013 / 11/30/2013
Life-Only / Inactive / 11/09/2011 / 11/30/2013 / 11/30/2013</x:v>
      </x:c>
      <x:c r="AR141" s="7" t="str">
        <x:v>Inactive</x:v>
      </x:c>
      <x:c r="AS141" s="7" t="str">
        <x:v>Current detail page</x:v>
      </x:c>
    </x:row>
    <x:row r="142" ht="52" customHeight="1">
      <x:c r="A142" s="7" t="str">
        <x:v>AGUILAR ANTONIO ARMANDO</x:v>
      </x:c>
      <x:c r="B142" s="14" t="str">
        <x:f>"0H66540"</x:f>
        <x:v>0H66540</x:v>
      </x:c>
      <x:c r="C142" s="7" t="str">
        <x:v>Omitted</x:v>
      </x:c>
      <x:c r="D142" s="7" t="str">
        <x:v>FAIL</x:v>
      </x:c>
      <x:c r="E142" s="13" t="str">
        <x:v>Pending</x:v>
      </x:c>
      <x:c r="F142" s="13" t="str"/>
      <x:c r="G142" s="13" t="str"/>
      <x:c r="H142" s="13" t="str"/>
      <x:c r="I142" s="7" t="str">
        <x:v>Was this person reviewed? If rejected, give the actual rule and evidence. If acceptable, correct the omission. Confirm the Life-qualification gate and any record change since selection.</x:v>
      </x:c>
      <x:c r="J142" s="7" t="str">
        <x:v>L1</x:v>
      </x:c>
      <x:c r="K142" s="7" t="str">
        <x:v>Verified qualifications do not include active general Life. Current target-pool mismatch; actual historical omission reason unknown.</x:v>
      </x:c>
      <x:c r="L142" s="7" t="str">
        <x:v>Not supplied; membership is known, motive is not</x:v>
      </x:c>
      <x:c r="M142" s="7" t="n">
        <x:v>7</x:v>
      </x:c>
      <x:c r="N142" s="7" t="str">
        <x:v>Outside current general-Life recruiting pool</x:v>
      </x:c>
      <x:c r="O142" s="7" t="str">
        <x:v>Not displayed</x:v>
      </x:c>
      <x:c r="P142" s="7" t="str"/>
      <x:c r="Q142" s="7" t="str"/>
      <x:c r="R142" s="7" t="str"/>
      <x:c r="S142" s="15" t="str"/>
      <x:c r="T142" s="7" t="str">
        <x:v>No public business phone in collected record</x:v>
      </x:c>
      <x:c r="U142" s="7" t="str"/>
      <x:c r="V142" s="7" t="str">
        <x:v>Resident</x:v>
      </x:c>
      <x:c r="W142" s="7" t="str">
        <x:v>CA</x:v>
      </x:c>
      <x:c r="X142" s="7" t="str"/>
      <x:c r="Y142" s="7" t="str"/>
      <x:c r="Z142" s="7" t="str"/>
      <x:c r="AA142" s="7" t="str"/>
      <x:c r="AB142" s="7" t="str"/>
      <x:c r="AC142" s="7" t="str"/>
      <x:c r="AD142" s="7" t="str">
        <x:v>No agency or insurer displayed: onboarding opportunity possible; existing business unknown</x:v>
      </x:c>
      <x:c r="AE142" s="7" t="str">
        <x:v>No public business phone: contact enrichment needed, not proof of poor recruiting fit</x:v>
      </x:c>
      <x:c r="AF142" s="16" t="str"/>
      <x:c r="AG142" s="17" t="str"/>
      <x:c r="AH142" s="7" t="str"/>
      <x:c r="AI142" s="7" t="str"/>
      <x:c r="AJ142" s="7" t="str"/>
      <x:c r="AK142" s="15" t="str"/>
      <x:c r="AL142" s="7" t="str"/>
      <x:c r="AM142" s="7" t="str">
        <x:v>AGUILAR ARMANDO ANTONIO</x:v>
      </x:c>
      <x:c r="AN142" s="7" t="str">
        <x:v>https://cdicloud.insurance.ca.gov/cal/LicenseDetail?SearchType=IND&amp;SearchLicNbr=0H66540&amp;SearchIndvId=1493451</x:v>
      </x:c>
      <x:c r="AO142" s="7" t="str">
        <x:v>2026-10-08</x:v>
      </x:c>
      <x:c r="AP142" s="7" t="str">
        <x:v>f95406faa9018b042b9c43ccfcd8ce7e09080606e901fbd50800c89862500183</x:v>
      </x:c>
      <x:c r="AQ142" s="7" t="str">
        <x:v>Life-Only / Inactive / 12/21/2011 / 12/31/2013 / 12/31/2013</x:v>
      </x:c>
      <x:c r="AR142" s="7" t="str">
        <x:v>Inactive</x:v>
      </x:c>
      <x:c r="AS142" s="7" t="str">
        <x:v>Current detail page</x:v>
      </x:c>
    </x:row>
    <x:row r="143" ht="52" customHeight="1">
      <x:c r="A143" s="7" t="str">
        <x:v>AGUILAR ANTONIO LUIS</x:v>
      </x:c>
      <x:c r="B143" s="14" t="str">
        <x:f>"0I28203"</x:f>
        <x:v>0I28203</x:v>
      </x:c>
      <x:c r="C143" s="7" t="str">
        <x:v>Omitted</x:v>
      </x:c>
      <x:c r="D143" s="7" t="str">
        <x:v>FAIL</x:v>
      </x:c>
      <x:c r="E143" s="13" t="str">
        <x:v>Pending</x:v>
      </x:c>
      <x:c r="F143" s="13" t="str"/>
      <x:c r="G143" s="13" t="str"/>
      <x:c r="H143" s="13" t="str"/>
      <x:c r="I143" s="7" t="str">
        <x:v>Was this person reviewed? If rejected, give the actual rule and evidence. If acceptable, correct the omission. Confirm the Life-qualification gate and any record change since selection.</x:v>
      </x:c>
      <x:c r="J143" s="7" t="str">
        <x:v>L1</x:v>
      </x:c>
      <x:c r="K143" s="7" t="str">
        <x:v>Verified qualifications do not include active general Life. Current target-pool mismatch; actual historical omission reason unknown.</x:v>
      </x:c>
      <x:c r="L143" s="7" t="str">
        <x:v>Not supplied; membership is known, motive is not</x:v>
      </x:c>
      <x:c r="M143" s="7" t="n">
        <x:v>7</x:v>
      </x:c>
      <x:c r="N143" s="7" t="str">
        <x:v>Outside current general-Life recruiting pool</x:v>
      </x:c>
      <x:c r="O143" s="7" t="str">
        <x:v>Not displayed</x:v>
      </x:c>
      <x:c r="P143" s="7" t="str"/>
      <x:c r="Q143" s="7" t="str"/>
      <x:c r="R143" s="7" t="str"/>
      <x:c r="S143" s="15" t="str"/>
      <x:c r="T143" s="7" t="str">
        <x:v>No public business phone in collected record</x:v>
      </x:c>
      <x:c r="U143" s="7" t="str"/>
      <x:c r="V143" s="7" t="str">
        <x:v>Resident</x:v>
      </x:c>
      <x:c r="W143" s="7" t="str">
        <x:v>CA</x:v>
      </x:c>
      <x:c r="X143" s="7" t="str"/>
      <x:c r="Y143" s="7" t="str"/>
      <x:c r="Z143" s="7" t="str"/>
      <x:c r="AA143" s="7" t="str"/>
      <x:c r="AB143" s="7" t="str"/>
      <x:c r="AC143" s="7" t="str"/>
      <x:c r="AD143" s="7" t="str">
        <x:v>No agency or insurer displayed: onboarding opportunity possible; existing business unknown</x:v>
      </x:c>
      <x:c r="AE143" s="7" t="str">
        <x:v>No public business phone: contact enrichment needed, not proof of poor recruiting fit</x:v>
      </x:c>
      <x:c r="AF143" s="16" t="str"/>
      <x:c r="AG143" s="17" t="str"/>
      <x:c r="AH143" s="7" t="str"/>
      <x:c r="AI143" s="7" t="str"/>
      <x:c r="AJ143" s="7" t="str"/>
      <x:c r="AK143" s="15" t="str"/>
      <x:c r="AL143" s="7" t="str"/>
      <x:c r="AM143" s="7" t="str">
        <x:v>Aguilar L Antonio | AGUILAR LUIS ANTONIO</x:v>
      </x:c>
      <x:c r="AN143" s="7" t="str">
        <x:v>https://cdicloud.insurance.ca.gov/cal/LicenseDetail?SearchType=IND&amp;SearchLicNbr=0I28203&amp;SearchIndvId=1570079</x:v>
      </x:c>
      <x:c r="AO143" s="7" t="str">
        <x:v>2026-10-08</x:v>
      </x:c>
      <x:c r="AP143" s="7" t="str">
        <x:v>4c66bf5ff5b0cafbc834a8f13fde73e535732147872f8ab722e04b483626f548</x:v>
      </x:c>
      <x:c r="AQ143" s="7" t="str">
        <x:v>Life-Only / Inactive / 04/16/2013 / 04/30/2015 / 04/30/2015</x:v>
      </x:c>
      <x:c r="AR143" s="7" t="str">
        <x:v>Inactive</x:v>
      </x:c>
      <x:c r="AS143" s="7" t="str">
        <x:v>Current detail page</x:v>
      </x:c>
    </x:row>
    <x:row r="144" ht="52" customHeight="1">
      <x:c r="A144" s="7" t="str">
        <x:v>AGUILAR ANTWANETTE</x:v>
      </x:c>
      <x:c r="B144" s="14" t="str">
        <x:f>"4542915"</x:f>
        <x:v>4542915</x:v>
      </x:c>
      <x:c r="C144" s="7" t="str">
        <x:v>Omitted</x:v>
      </x:c>
      <x:c r="D144" s="7" t="str">
        <x:v>FAIL</x:v>
      </x:c>
      <x:c r="E144" s="13" t="str">
        <x:v>Pending</x:v>
      </x:c>
      <x:c r="F144" s="13" t="str"/>
      <x:c r="G144" s="13" t="str"/>
      <x:c r="H144" s="13" t="str"/>
      <x:c r="I144" s="7" t="str">
        <x:v>Was this person reviewed? If rejected, give the actual rule and evidence. If acceptable, correct the omission. Confirm the Life-qualification gate and any record change since selection.</x:v>
      </x:c>
      <x:c r="J144" s="7" t="str">
        <x:v>L1</x:v>
      </x:c>
      <x:c r="K144" s="7" t="str">
        <x:v>Verified qualifications do not include active general Life. Current target-pool mismatch; actual historical omission reason unknown.</x:v>
      </x:c>
      <x:c r="L144" s="7" t="str">
        <x:v>Not supplied; membership is known, motive is not</x:v>
      </x:c>
      <x:c r="M144" s="7" t="n">
        <x:v>7</x:v>
      </x:c>
      <x:c r="N144" s="7" t="str">
        <x:v>Outside current general-Life recruiting pool</x:v>
      </x:c>
      <x:c r="O144" s="7" t="str">
        <x:v>Not displayed</x:v>
      </x:c>
      <x:c r="P144" s="7" t="str"/>
      <x:c r="Q144" s="7" t="str"/>
      <x:c r="R144" s="7" t="str">
        <x:v>Casualty; Property</x:v>
      </x:c>
      <x:c r="S144" s="15" t="str"/>
      <x:c r="T144" s="7" t="str">
        <x:v>No public business phone in collected record</x:v>
      </x:c>
      <x:c r="U144" s="7" t="str">
        <x:v>6303 OWENSMOUTH AVE WOODLAND HILLS CA, 91367</x:v>
      </x:c>
      <x:c r="V144" s="7" t="str">
        <x:v>Non-resident</x:v>
      </x:c>
      <x:c r="W144" s="7" t="str">
        <x:v>CA</x:v>
      </x:c>
      <x:c r="X144" s="7" t="str">
        <x:v>FX INSURANCE AGENCY, LLC / Casualty / 04/15/2026
FX INSURANCE AGENCY, LLC / Property / 04/15/2026</x:v>
      </x:c>
      <x:c r="Y144" s="7" t="str"/>
      <x:c r="Z144" s="7" t="str"/>
      <x:c r="AA144" s="7" t="str"/>
      <x:c r="AB144" s="7" t="str"/>
      <x:c r="AC144" s="7" t="str"/>
      <x:c r="AD144" s="7" t="str"/>
      <x:c r="AE144"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144" s="16" t="str"/>
      <x:c r="AG144" s="17" t="str"/>
      <x:c r="AH144" s="7" t="str"/>
      <x:c r="AI144" s="7" t="str"/>
      <x:c r="AJ144" s="7" t="str"/>
      <x:c r="AK144" s="15" t="str"/>
      <x:c r="AL144" s="7" t="str"/>
      <x:c r="AM144" s="7" t="str">
        <x:v>AGUILAR  ANTWANETTE</x:v>
      </x:c>
      <x:c r="AN144" s="7" t="str">
        <x:v>https://cdicloud.insurance.ca.gov/cal/LicenseDetail?SearchType=IND&amp;SearchLicNbr=4542915&amp;SearchIndvId=4542915</x:v>
      </x:c>
      <x:c r="AO144" s="7" t="str">
        <x:v>2026-10-08</x:v>
      </x:c>
      <x:c r="AP144" s="7" t="str">
        <x:v>efe5f87997d85cb666ec63b006445e1268042f06b161f6d9dfb123e220d985dd</x:v>
      </x:c>
      <x:c r="AQ144" s="7" t="str">
        <x:v>Casualty / Active / 04/14/2026 / 04/14/2026 / 04/30/2028
Property / Active / 04/14/2026 / 04/14/2026 / 04/30/2028</x:v>
      </x:c>
      <x:c r="AR144" s="7" t="str">
        <x:v>Active</x:v>
      </x:c>
      <x:c r="AS144" s="7" t="str">
        <x:v>Current detail page</x:v>
      </x:c>
    </x:row>
    <x:row r="145" ht="52" customHeight="1">
      <x:c r="A145" s="7" t="str">
        <x:v>AGUILAR ARACELI</x:v>
      </x:c>
      <x:c r="B145" s="14" t="str">
        <x:f>"0G45100"</x:f>
        <x:v>0G45100</x:v>
      </x:c>
      <x:c r="C145" s="7" t="str">
        <x:v>Omitted</x:v>
      </x:c>
      <x:c r="D145" s="7" t="str">
        <x:v>FAIL</x:v>
      </x:c>
      <x:c r="E145" s="13" t="str">
        <x:v>Pending</x:v>
      </x:c>
      <x:c r="F145" s="13" t="str"/>
      <x:c r="G145" s="13" t="str"/>
      <x:c r="H145" s="13" t="str"/>
      <x:c r="I145" s="7" t="str">
        <x:v>Was this person reviewed? If rejected, give the actual rule and evidence. If acceptable, correct the omission. Confirm the Life-qualification gate and any record change since selection.</x:v>
      </x:c>
      <x:c r="J145" s="7" t="str">
        <x:v>L1</x:v>
      </x:c>
      <x:c r="K145" s="7" t="str">
        <x:v>Verified qualifications do not include active general Life. Current target-pool mismatch; actual historical omission reason unknown.</x:v>
      </x:c>
      <x:c r="L145" s="7" t="str">
        <x:v>Not supplied; membership is known, motive is not</x:v>
      </x:c>
      <x:c r="M145" s="7" t="n">
        <x:v>7</x:v>
      </x:c>
      <x:c r="N145" s="7" t="str">
        <x:v>Outside current general-Life recruiting pool</x:v>
      </x:c>
      <x:c r="O145" s="7" t="str">
        <x:v>Not displayed</x:v>
      </x:c>
      <x:c r="P145" s="7" t="str"/>
      <x:c r="Q145" s="7" t="str"/>
      <x:c r="R145" s="7" t="str"/>
      <x:c r="S145" s="15" t="str"/>
      <x:c r="T145" s="7" t="str">
        <x:v>No public business phone in collected record</x:v>
      </x:c>
      <x:c r="U145" s="7" t="str"/>
      <x:c r="V145" s="7" t="str">
        <x:v>Resident</x:v>
      </x:c>
      <x:c r="W145" s="7" t="str">
        <x:v>CA</x:v>
      </x:c>
      <x:c r="X145" s="7" t="str"/>
      <x:c r="Y145" s="7" t="str"/>
      <x:c r="Z145" s="7" t="str"/>
      <x:c r="AA145" s="7" t="str"/>
      <x:c r="AB145" s="7" t="str"/>
      <x:c r="AC145" s="7" t="str"/>
      <x:c r="AD145" s="7" t="str">
        <x:v>No agency or insurer displayed: onboarding opportunity possible; existing business unknown</x:v>
      </x:c>
      <x:c r="AE145" s="7" t="str">
        <x:v>No public business phone: contact enrichment needed, not proof of poor recruiting fit</x:v>
      </x:c>
      <x:c r="AF145" s="16" t="str"/>
      <x:c r="AG145" s="17" t="str"/>
      <x:c r="AH145" s="7" t="str"/>
      <x:c r="AI145" s="7" t="str"/>
      <x:c r="AJ145" s="7" t="str"/>
      <x:c r="AK145" s="15" t="str"/>
      <x:c r="AL145" s="7" t="str"/>
      <x:c r="AM145" s="7" t="str">
        <x:v>AGUILAR  ARACELI</x:v>
      </x:c>
      <x:c r="AN145" s="7" t="str">
        <x:v>https://cdicloud.insurance.ca.gov/cal/LicenseDetail?SearchType=IND&amp;SearchLicNbr=0G45100&amp;SearchIndvId=1222052</x:v>
      </x:c>
      <x:c r="AO145" s="7" t="str">
        <x:v>2026-10-08</x:v>
      </x:c>
      <x:c r="AP145" s="7" t="str">
        <x:v>4903502abc7a0a0e1407ebfd360d0fb11ba7a742d3b87187022ea2faf55e56a7</x:v>
      </x:c>
      <x:c r="AQ145" s="7" t="str">
        <x:v>Limited Lines Automobile / Inactive / 01/17/2009 / 01/31/2011 / 01/31/2011</x:v>
      </x:c>
      <x:c r="AR145" s="7" t="str">
        <x:v>Inactive</x:v>
      </x:c>
      <x:c r="AS145" s="7" t="str">
        <x:v>Current detail page</x:v>
      </x:c>
    </x:row>
    <x:row r="146" ht="52" customHeight="1">
      <x:c r="A146" s="7" t="str">
        <x:v>AGUILAR ARACELI</x:v>
      </x:c>
      <x:c r="B146" s="14" t="str">
        <x:f>"0G49454"</x:f>
        <x:v>0G49454</x:v>
      </x:c>
      <x:c r="C146" s="7" t="str">
        <x:v>Omitted</x:v>
      </x:c>
      <x:c r="D146" s="7" t="str">
        <x:v>FAIL</x:v>
      </x:c>
      <x:c r="E146" s="13" t="str">
        <x:v>Pending</x:v>
      </x:c>
      <x:c r="F146" s="13" t="str"/>
      <x:c r="G146" s="13" t="str"/>
      <x:c r="H146" s="13" t="str"/>
      <x:c r="I146" s="7" t="str">
        <x:v>Was this person reviewed? If rejected, give the actual rule and evidence. If acceptable, correct the omission. Confirm the Life-qualification gate and any record change since selection.</x:v>
      </x:c>
      <x:c r="J146" s="7" t="str">
        <x:v>L1</x:v>
      </x:c>
      <x:c r="K146" s="7" t="str">
        <x:v>Verified qualifications do not include active general Life. Current target-pool mismatch; actual historical omission reason unknown.</x:v>
      </x:c>
      <x:c r="L146" s="7" t="str">
        <x:v>Not supplied; membership is known, motive is not</x:v>
      </x:c>
      <x:c r="M146" s="7" t="n">
        <x:v>7</x:v>
      </x:c>
      <x:c r="N146" s="7" t="str">
        <x:v>Outside current general-Life recruiting pool</x:v>
      </x:c>
      <x:c r="O146" s="7" t="str">
        <x:v>Not displayed</x:v>
      </x:c>
      <x:c r="P146" s="7" t="str"/>
      <x:c r="Q146" s="7" t="str"/>
      <x:c r="R146" s="7" t="str"/>
      <x:c r="S146" s="15" t="str"/>
      <x:c r="T146" s="7" t="str">
        <x:v>No public business phone in collected record</x:v>
      </x:c>
      <x:c r="U146" s="7" t="str"/>
      <x:c r="V146" s="7" t="str">
        <x:v>Resident</x:v>
      </x:c>
      <x:c r="W146" s="7" t="str">
        <x:v>CA</x:v>
      </x:c>
      <x:c r="X146" s="7" t="str"/>
      <x:c r="Y146" s="7" t="str"/>
      <x:c r="Z146" s="7" t="str"/>
      <x:c r="AA146" s="7" t="str"/>
      <x:c r="AB146" s="7" t="str"/>
      <x:c r="AC146" s="7" t="str"/>
      <x:c r="AD146" s="7" t="str">
        <x:v>No agency or insurer displayed: onboarding opportunity possible; existing business unknown</x:v>
      </x:c>
      <x:c r="AE146" s="7" t="str">
        <x:v>No public business phone: contact enrichment needed, not proof of poor recruiting fit</x:v>
      </x:c>
      <x:c r="AF146" s="16" t="str"/>
      <x:c r="AG146" s="17" t="str"/>
      <x:c r="AH146" s="7" t="str"/>
      <x:c r="AI146" s="7" t="str"/>
      <x:c r="AJ146" s="7" t="str"/>
      <x:c r="AK146" s="15" t="str"/>
      <x:c r="AL146" s="7" t="str"/>
      <x:c r="AM146" s="7" t="str">
        <x:v>AGUILAR  ARACELI</x:v>
      </x:c>
      <x:c r="AN146" s="7" t="str">
        <x:v>https://cdicloud.insurance.ca.gov/cal/LicenseDetail?SearchType=IND&amp;SearchLicNbr=0G49454&amp;SearchIndvId=1226951</x:v>
      </x:c>
      <x:c r="AO146" s="7" t="str">
        <x:v>2026-10-08</x:v>
      </x:c>
      <x:c r="AP146" s="7" t="str">
        <x:v>389b23842834374d6da0cf1dc7d27b3de4d16c5c74efa7cc9b8bdbbe5c3ce208</x:v>
      </x:c>
      <x:c r="AQ146" s="7" t="str">
        <x:v>Title Marketing Representative / Inactive / 02/18/2009 / 02/29/2012 / 02/29/2012</x:v>
      </x:c>
      <x:c r="AR146" s="7" t="str">
        <x:v>Inactive</x:v>
      </x:c>
      <x:c r="AS146" s="7" t="str">
        <x:v>Current detail page</x:v>
      </x:c>
    </x:row>
    <x:row r="147" ht="52" customHeight="1">
      <x:c r="A147" s="7" t="str">
        <x:v>AGUILAR ARACELI</x:v>
      </x:c>
      <x:c r="B147" s="14" t="str">
        <x:f>"0H45232"</x:f>
        <x:v>0H45232</x:v>
      </x:c>
      <x:c r="C147" s="7" t="str">
        <x:v>Omitted</x:v>
      </x:c>
      <x:c r="D147" s="7" t="str">
        <x:v>FAIL</x:v>
      </x:c>
      <x:c r="E147" s="13" t="str">
        <x:v>Pending</x:v>
      </x:c>
      <x:c r="F147" s="13" t="str"/>
      <x:c r="G147" s="13" t="str"/>
      <x:c r="H147" s="13" t="str"/>
      <x:c r="I147" s="7" t="str">
        <x:v>Was this person reviewed? If rejected, give the actual rule and evidence. If acceptable, correct the omission. Confirm the Life-qualification gate and any record change since selection.</x:v>
      </x:c>
      <x:c r="J147" s="7" t="str">
        <x:v>L1</x:v>
      </x:c>
      <x:c r="K147" s="7" t="str">
        <x:v>Verified qualifications do not include active general Life. Current target-pool mismatch; actual historical omission reason unknown.</x:v>
      </x:c>
      <x:c r="L147" s="7" t="str">
        <x:v>Not supplied; membership is known, motive is not</x:v>
      </x:c>
      <x:c r="M147" s="7" t="n">
        <x:v>7</x:v>
      </x:c>
      <x:c r="N147" s="7" t="str">
        <x:v>Outside current general-Life recruiting pool</x:v>
      </x:c>
      <x:c r="O147" s="7" t="str">
        <x:v>Not displayed</x:v>
      </x:c>
      <x:c r="P147" s="7" t="str"/>
      <x:c r="Q147" s="7" t="str"/>
      <x:c r="R147" s="7" t="str"/>
      <x:c r="S147" s="15" t="str"/>
      <x:c r="T147" s="7" t="str">
        <x:v>No public business phone in collected record</x:v>
      </x:c>
      <x:c r="U147" s="7" t="str"/>
      <x:c r="V147" s="7" t="str">
        <x:v>Resident</x:v>
      </x:c>
      <x:c r="W147" s="7" t="str">
        <x:v>UT</x:v>
      </x:c>
      <x:c r="X147" s="7" t="str"/>
      <x:c r="Y147" s="7" t="str"/>
      <x:c r="Z147" s="7" t="str"/>
      <x:c r="AA147" s="7" t="str"/>
      <x:c r="AB147" s="7" t="str"/>
      <x:c r="AC147" s="7" t="str"/>
      <x:c r="AD147" s="7" t="str">
        <x:v>No agency or insurer displayed: onboarding opportunity possible; existing business unknown</x:v>
      </x:c>
      <x:c r="AE147" s="7" t="str">
        <x:v>Nonresident or address state outside CA; confirm geographic recruiting scope | No public business phone: contact enrichment needed, not proof of poor recruiting fit</x:v>
      </x:c>
      <x:c r="AF147" s="16" t="str"/>
      <x:c r="AG147" s="17" t="str"/>
      <x:c r="AH147" s="7" t="str"/>
      <x:c r="AI147" s="7" t="str"/>
      <x:c r="AJ147" s="7" t="str"/>
      <x:c r="AK147" s="15" t="str"/>
      <x:c r="AL147" s="7" t="str"/>
      <x:c r="AM147" s="7" t="str">
        <x:v>AGUILAR  ARACELI</x:v>
      </x:c>
      <x:c r="AN147" s="7" t="str">
        <x:v>https://cdicloud.insurance.ca.gov/cal/LicenseDetail?SearchType=IND&amp;SearchLicNbr=0H45232&amp;SearchIndvId=1457997</x:v>
      </x:c>
      <x:c r="AO147" s="7" t="str">
        <x:v>2026-10-08</x:v>
      </x:c>
      <x:c r="AP147" s="7" t="str">
        <x:v>5f2ad35e0dbb278c356b4a90f82aa003004a5340bc1d5c031baaa54e9becba81</x:v>
      </x:c>
      <x:c r="AQ147" s="7" t="str">
        <x:v>Life-Only / Inactive / 06/13/2011 / 06/30/2013 / 06/30/2013</x:v>
      </x:c>
      <x:c r="AR147" s="7" t="str">
        <x:v>Inactive</x:v>
      </x:c>
      <x:c r="AS147" s="7" t="str">
        <x:v>Current detail page</x:v>
      </x:c>
    </x:row>
    <x:row r="148" ht="52" customHeight="1">
      <x:c r="A148" s="7" t="str">
        <x:v>AGUILAR ARACELI</x:v>
      </x:c>
      <x:c r="B148" s="14" t="str">
        <x:f>"0K79454"</x:f>
        <x:v>0K79454</x:v>
      </x:c>
      <x:c r="C148" s="7" t="str">
        <x:v>Omitted</x:v>
      </x:c>
      <x:c r="D148" s="7" t="str">
        <x:v>FAIL</x:v>
      </x:c>
      <x:c r="E148" s="13" t="str">
        <x:v>Pending</x:v>
      </x:c>
      <x:c r="F148" s="13" t="str"/>
      <x:c r="G148" s="13" t="str"/>
      <x:c r="H148" s="13" t="str"/>
      <x:c r="I148" s="7" t="str">
        <x:v>Was this person reviewed? If rejected, give the actual rule and evidence. If acceptable, correct the omission. Confirm the Life-qualification gate and any record change since selection.</x:v>
      </x:c>
      <x:c r="J148" s="7" t="str">
        <x:v>L1</x:v>
      </x:c>
      <x:c r="K148" s="7" t="str">
        <x:v>Verified qualifications do not include active general Life. Current target-pool mismatch; actual historical omission reason unknown.</x:v>
      </x:c>
      <x:c r="L148" s="7" t="str">
        <x:v>Not supplied; membership is known, motive is not</x:v>
      </x:c>
      <x:c r="M148" s="7" t="n">
        <x:v>7</x:v>
      </x:c>
      <x:c r="N148" s="7" t="str">
        <x:v>Outside current general-Life recruiting pool</x:v>
      </x:c>
      <x:c r="O148" s="7" t="str">
        <x:v>Not displayed</x:v>
      </x:c>
      <x:c r="P148" s="7" t="str"/>
      <x:c r="Q148" s="7" t="str"/>
      <x:c r="R148" s="7" t="str"/>
      <x:c r="S148" s="15" t="str"/>
      <x:c r="T148" s="7" t="str">
        <x:v>No public business phone in collected record</x:v>
      </x:c>
      <x:c r="U148" s="7" t="str"/>
      <x:c r="V148" s="7" t="str">
        <x:v>Resident</x:v>
      </x:c>
      <x:c r="W148" s="7" t="str">
        <x:v>CA</x:v>
      </x:c>
      <x:c r="X148" s="7" t="str"/>
      <x:c r="Y148" s="7" t="str"/>
      <x:c r="Z148" s="7" t="str"/>
      <x:c r="AA148" s="7" t="str"/>
      <x:c r="AB148" s="7" t="str"/>
      <x:c r="AC148" s="7" t="str"/>
      <x:c r="AD148" s="7" t="str">
        <x:v>No agency or insurer displayed: onboarding opportunity possible; existing business unknown</x:v>
      </x:c>
      <x:c r="AE148" s="7" t="str">
        <x:v>No public business phone: contact enrichment needed, not proof of poor recruiting fit</x:v>
      </x:c>
      <x:c r="AF148" s="16" t="str"/>
      <x:c r="AG148" s="17" t="str"/>
      <x:c r="AH148" s="7" t="str"/>
      <x:c r="AI148" s="7" t="str"/>
      <x:c r="AJ148" s="7" t="str"/>
      <x:c r="AK148" s="15" t="str"/>
      <x:c r="AL148" s="7" t="str"/>
      <x:c r="AM148" s="7" t="str">
        <x:v>AGUILAR  ARACELI</x:v>
      </x:c>
      <x:c r="AN148" s="7" t="str">
        <x:v>https://cdicloud.insurance.ca.gov/cal/LicenseDetail?SearchType=IND&amp;SearchLicNbr=0K79454&amp;SearchIndvId=1824686</x:v>
      </x:c>
      <x:c r="AO148" s="7" t="str">
        <x:v>2026-10-08</x:v>
      </x:c>
      <x:c r="AP148" s="7" t="str">
        <x:v>fd65b7a926c39cd34eaebfde4486dc03faac18de276e76227a305be1d14b664b</x:v>
      </x:c>
      <x:c r="AQ148" s="7" t="str">
        <x:v>Accident and Health / Inactive / 03/15/2016 / 03/31/2018 / 03/31/2018
Life-Only / Inactive / 03/15/2016 / 03/31/2018 / 03/31/2018</x:v>
      </x:c>
      <x:c r="AR148" s="7" t="str">
        <x:v>Inactive</x:v>
      </x:c>
      <x:c r="AS148" s="7" t="str">
        <x:v>Current detail page</x:v>
      </x:c>
    </x:row>
    <x:row r="149" ht="52" customHeight="1">
      <x:c r="A149" s="7" t="str">
        <x:v>AGUILAR ARACELI</x:v>
      </x:c>
      <x:c r="B149" s="14" t="str">
        <x:f>"E4539407"</x:f>
        <x:v>E4539407</x:v>
      </x:c>
      <x:c r="C149" s="7" t="str">
        <x:v>Omitted</x:v>
      </x:c>
      <x:c r="D149" s="7" t="str">
        <x:v>REVIEW</x:v>
      </x:c>
      <x:c r="E149" s="13" t="str">
        <x:v>Pending</x:v>
      </x:c>
      <x:c r="F149" s="13" t="str"/>
      <x:c r="G149" s="13" t="str"/>
      <x:c r="H149" s="13" t="str"/>
      <x:c r="I149" s="7" t="str">
        <x:v>Was this record reviewed? The detail page provides no qualifications. Verify the actual license type and Life authority before deciding; do not reject for missing data.</x:v>
      </x:c>
      <x:c r="J149" s="7" t="str">
        <x:v>L1</x:v>
      </x:c>
      <x:c r="K149" s="7" t="str">
        <x:v>Detail page displays no qualification information. Life authority cannot be verified; missing data is not a qualification failure. Historical omission reason unknown.</x:v>
      </x:c>
      <x:c r="L149" s="7" t="str">
        <x:v>Not supplied; membership is known, motive is not</x:v>
      </x:c>
      <x:c r="M149" s="7" t="n">
        <x:v>7</x:v>
      </x:c>
      <x:c r="N149" s="7" t="str">
        <x:v>Outside current general-Life recruiting pool</x:v>
      </x:c>
      <x:c r="O149" s="7" t="str">
        <x:v>Not displayed</x:v>
      </x:c>
      <x:c r="P149" s="7" t="str"/>
      <x:c r="Q149" s="7" t="str"/>
      <x:c r="R149" s="7" t="str"/>
      <x:c r="S149" s="15" t="str"/>
      <x:c r="T149" s="7" t="str">
        <x:v>No public business phone in collected record</x:v>
      </x:c>
      <x:c r="U149" s="7" t="str"/>
      <x:c r="V149" s="7" t="str">
        <x:v>Resident</x:v>
      </x:c>
      <x:c r="W149" s="7" t="str"/>
      <x:c r="X149" s="7" t="str"/>
      <x:c r="Y149" s="7" t="str"/>
      <x:c r="Z149" s="7" t="str"/>
      <x:c r="AA149" s="7" t="str"/>
      <x:c r="AB149" s="7" t="str"/>
      <x:c r="AC149" s="7" t="str"/>
      <x:c r="AD149" s="7" t="str">
        <x:v>No agency or insurer displayed: onboarding opportunity possible; existing business unknown</x:v>
      </x:c>
      <x:c r="AE149" s="7" t="str">
        <x:v>Nonresident or address state outside CA; confirm geographic recruiting scope | No public business phone: contact enrichment needed, not proof of poor recruiting fit</x:v>
      </x:c>
      <x:c r="AF149" s="16" t="str"/>
      <x:c r="AG149" s="17" t="str"/>
      <x:c r="AH149" s="7" t="str"/>
      <x:c r="AI149" s="7" t="str">
        <x:v>English</x:v>
      </x:c>
      <x:c r="AJ149" s="7" t="str"/>
      <x:c r="AK149" s="15" t="str"/>
      <x:c r="AL149" s="7" t="str"/>
      <x:c r="AM149" s="7" t="str">
        <x:v>AGUILAR  ARACELI</x:v>
      </x:c>
      <x:c r="AN149" s="7" t="str">
        <x:v>https://cdicloud.insurance.ca.gov/cal/LicenseDetail?SearchType=IND&amp;SearchLicNbr=E4539407&amp;SearchIndvId=4539407</x:v>
      </x:c>
      <x:c r="AO149" s="7" t="str">
        <x:v>2026-10-08</x:v>
      </x:c>
      <x:c r="AP149" s="7" t="str">
        <x:v>ba7c5cd2faf2aecc8b5220766d6789050dd35ce0648fcdf91b5894f6216b242f</x:v>
      </x:c>
      <x:c r="AQ149" s="7" t="str"/>
      <x:c r="AR149" s="7" t="str">
        <x:v>Active</x:v>
      </x:c>
      <x:c r="AS149" s="7" t="str">
        <x:v>Current detail page</x:v>
      </x:c>
    </x:row>
    <x:row r="150" ht="52" customHeight="1">
      <x:c r="A150" s="7" t="str">
        <x:v>AGUILAR ARACELY MONTES</x:v>
      </x:c>
      <x:c r="B150" s="14" t="str">
        <x:f>"0H50518"</x:f>
        <x:v>0H50518</x:v>
      </x:c>
      <x:c r="C150" s="7" t="str">
        <x:v>Omitted</x:v>
      </x:c>
      <x:c r="D150" s="7" t="str">
        <x:v>FAIL</x:v>
      </x:c>
      <x:c r="E150" s="13" t="str">
        <x:v>Pending</x:v>
      </x:c>
      <x:c r="F150" s="13" t="str"/>
      <x:c r="G150" s="13" t="str"/>
      <x:c r="H150" s="13" t="str"/>
      <x:c r="I150" s="7" t="str">
        <x:v>Was this person reviewed? If rejected, give the actual rule and evidence. If acceptable, correct the omission. Confirm the Life-qualification gate and any record change since selection.</x:v>
      </x:c>
      <x:c r="J150" s="7" t="str">
        <x:v>L1</x:v>
      </x:c>
      <x:c r="K150" s="7" t="str">
        <x:v>Verified qualifications do not include active general Life. Current target-pool mismatch; actual historical omission reason unknown.</x:v>
      </x:c>
      <x:c r="L150" s="7" t="str">
        <x:v>Not supplied; membership is known, motive is not</x:v>
      </x:c>
      <x:c r="M150" s="7" t="n">
        <x:v>7</x:v>
      </x:c>
      <x:c r="N150" s="7" t="str">
        <x:v>Outside current general-Life recruiting pool</x:v>
      </x:c>
      <x:c r="O150" s="7" t="str">
        <x:v>Inactive</x:v>
      </x:c>
      <x:c r="P150" s="7" t="str">
        <x:v>08/02/2011</x:v>
      </x:c>
      <x:c r="Q150" s="7" t="str">
        <x:v>08/31/2021</x:v>
      </x:c>
      <x:c r="R150" s="7" t="str"/>
      <x:c r="S150" s="15" t="str"/>
      <x:c r="T150" s="7" t="str">
        <x:v>No public business phone in collected record</x:v>
      </x:c>
      <x:c r="U150" s="7" t="str"/>
      <x:c r="V150" s="7" t="str">
        <x:v>Resident</x:v>
      </x:c>
      <x:c r="W150" s="7" t="str">
        <x:v>CA</x:v>
      </x:c>
      <x:c r="X150" s="7" t="str"/>
      <x:c r="Y150" s="7" t="str"/>
      <x:c r="Z150" s="7" t="str"/>
      <x:c r="AA150" s="7" t="str"/>
      <x:c r="AB150" s="7" t="str"/>
      <x:c r="AC150" s="7" t="str"/>
      <x:c r="AD150" s="7" t="str">
        <x:v>No agency or insurer displayed: onboarding opportunity possible; existing business unknown</x:v>
      </x:c>
      <x:c r="AE150" s="7" t="str">
        <x:v>No public business phone: contact enrichment needed, not proof of poor recruiting fit</x:v>
      </x:c>
      <x:c r="AF150" s="16" t="str"/>
      <x:c r="AG150" s="17" t="str"/>
      <x:c r="AH150" s="7" t="str"/>
      <x:c r="AI150" s="7" t="str">
        <x:v>English</x:v>
      </x:c>
      <x:c r="AJ150" s="7" t="str"/>
      <x:c r="AK150" s="15" t="str"/>
      <x:c r="AL150" s="7" t="str"/>
      <x:c r="AM150" s="7" t="str">
        <x:v>AGUILAR MONTES ARACELY</x:v>
      </x:c>
      <x:c r="AN150" s="7" t="str">
        <x:v>https://cdicloud.insurance.ca.gov/cal/LicenseDetail?SearchType=IND&amp;SearchLicNbr=0H50518&amp;SearchIndvId=1465411</x:v>
      </x:c>
      <x:c r="AO150" s="7" t="str">
        <x:v>2026-10-08</x:v>
      </x:c>
      <x:c r="AP150" s="7" t="str">
        <x:v>60b743d4158717d62704ac12d62b78b6f2ac3295c2e0b90ccd06f668da4701b8</x:v>
      </x:c>
      <x:c r="AQ150" s="7" t="str">
        <x:v>Life / Inactive / 08/02/2011 / 08/31/2021 / 08/31/2021</x:v>
      </x:c>
      <x:c r="AR150" s="7" t="str">
        <x:v>Inactive</x:v>
      </x:c>
      <x:c r="AS150" s="7" t="str">
        <x:v>Current detail page</x:v>
      </x:c>
    </x:row>
    <x:row r="151" ht="52" customHeight="1">
      <x:c r="A151" s="7" t="str">
        <x:v>AGUILAR ARGELIA ADAME</x:v>
      </x:c>
      <x:c r="B151" s="14" t="str">
        <x:f>"0H64495"</x:f>
        <x:v>0H64495</x:v>
      </x:c>
      <x:c r="C151" s="7" t="str">
        <x:v>Omitted</x:v>
      </x:c>
      <x:c r="D151" s="7" t="str">
        <x:v>FAIL</x:v>
      </x:c>
      <x:c r="E151" s="13" t="str">
        <x:v>Pending</x:v>
      </x:c>
      <x:c r="F151" s="13" t="str"/>
      <x:c r="G151" s="13" t="str"/>
      <x:c r="H151" s="13" t="str"/>
      <x:c r="I151" s="7" t="str">
        <x:v>Was this person reviewed? If rejected, give the actual rule and evidence. If acceptable, correct the omission. Confirm the Life-qualification gate and any record change since selection.</x:v>
      </x:c>
      <x:c r="J151" s="7" t="str">
        <x:v>L1</x:v>
      </x:c>
      <x:c r="K151" s="7" t="str">
        <x:v>Verified qualifications do not include active general Life. Current target-pool mismatch; actual historical omission reason unknown.</x:v>
      </x:c>
      <x:c r="L151" s="7" t="str">
        <x:v>Not supplied; membership is known, motive is not</x:v>
      </x:c>
      <x:c r="M151" s="7" t="n">
        <x:v>7</x:v>
      </x:c>
      <x:c r="N151" s="7" t="str">
        <x:v>Outside current general-Life recruiting pool</x:v>
      </x:c>
      <x:c r="O151" s="7" t="str">
        <x:v>Not displayed</x:v>
      </x:c>
      <x:c r="P151" s="7" t="str"/>
      <x:c r="Q151" s="7" t="str"/>
      <x:c r="R151" s="7" t="str"/>
      <x:c r="S151" s="15" t="str"/>
      <x:c r="T151" s="7" t="str">
        <x:v>No public business phone in collected record</x:v>
      </x:c>
      <x:c r="U151" s="7" t="str"/>
      <x:c r="V151" s="7" t="str">
        <x:v>Resident</x:v>
      </x:c>
      <x:c r="W151" s="7" t="str">
        <x:v>CA</x:v>
      </x:c>
      <x:c r="X151" s="7" t="str"/>
      <x:c r="Y151" s="7" t="str"/>
      <x:c r="Z151" s="7" t="str"/>
      <x:c r="AA151" s="7" t="str"/>
      <x:c r="AB151" s="7" t="str"/>
      <x:c r="AC151" s="7" t="str"/>
      <x:c r="AD151" s="7" t="str">
        <x:v>No agency or insurer displayed: onboarding opportunity possible; existing business unknown</x:v>
      </x:c>
      <x:c r="AE151" s="7" t="str">
        <x:v>No public business phone: contact enrichment needed, not proof of poor recruiting fit</x:v>
      </x:c>
      <x:c r="AF151" s="16" t="str"/>
      <x:c r="AG151" s="17" t="str"/>
      <x:c r="AH151" s="7" t="str"/>
      <x:c r="AI151" s="7" t="str"/>
      <x:c r="AJ151" s="7" t="str"/>
      <x:c r="AK151" s="15" t="str"/>
      <x:c r="AL151" s="7" t="str"/>
      <x:c r="AM151" s="7" t="str">
        <x:v>AGUILAR ADAME ARGELIA</x:v>
      </x:c>
      <x:c r="AN151" s="7" t="str">
        <x:v>https://cdicloud.insurance.ca.gov/cal/LicenseDetail?SearchType=IND&amp;SearchLicNbr=0H64495&amp;SearchIndvId=1485522</x:v>
      </x:c>
      <x:c r="AO151" s="7" t="str">
        <x:v>2026-10-08</x:v>
      </x:c>
      <x:c r="AP151" s="7" t="str">
        <x:v>4111d7eabdafbc366bbae01490e7a1f7c547999fab13f0faef5ed6475f84da3f</x:v>
      </x:c>
      <x:c r="AQ151" s="7" t="str">
        <x:v>Casualty Broker-Agent / Inactive / 10/31/2011 / 10/31/2019 / 10/31/2019
Property Broker-Agent / Inactive / 10/31/2011 / 10/31/2019 / 10/31/2019</x:v>
      </x:c>
      <x:c r="AR151" s="7" t="str">
        <x:v>Inactive</x:v>
      </x:c>
      <x:c r="AS151" s="7" t="str">
        <x:v>Current detail page</x:v>
      </x:c>
    </x:row>
    <x:row r="152" ht="52" customHeight="1">
      <x:c r="A152" s="7" t="str">
        <x:v>AGUILAR ARIANNA</x:v>
      </x:c>
      <x:c r="B152" s="14" t="str">
        <x:f>"0L72961"</x:f>
        <x:v>0L72961</x:v>
      </x:c>
      <x:c r="C152" s="7" t="str">
        <x:v>Omitted</x:v>
      </x:c>
      <x:c r="D152" s="7" t="str">
        <x:v>FAIL</x:v>
      </x:c>
      <x:c r="E152" s="13" t="str">
        <x:v>Pending</x:v>
      </x:c>
      <x:c r="F152" s="13" t="str"/>
      <x:c r="G152" s="13" t="str"/>
      <x:c r="H152" s="13" t="str"/>
      <x:c r="I152" s="7" t="str">
        <x:v>Was this person reviewed? If rejected, give the actual rule and evidence. If acceptable, correct the omission. Confirm the Life-qualification gate and any record change since selection.</x:v>
      </x:c>
      <x:c r="J152" s="7" t="str">
        <x:v>L1</x:v>
      </x:c>
      <x:c r="K152" s="7" t="str">
        <x:v>Verified qualifications do not include active general Life. Current target-pool mismatch; actual historical omission reason unknown.</x:v>
      </x:c>
      <x:c r="L152" s="7" t="str">
        <x:v>Not supplied; membership is known, motive is not</x:v>
      </x:c>
      <x:c r="M152" s="7" t="n">
        <x:v>7</x:v>
      </x:c>
      <x:c r="N152" s="7" t="str">
        <x:v>Outside current general-Life recruiting pool</x:v>
      </x:c>
      <x:c r="O152" s="7" t="str">
        <x:v>Not displayed</x:v>
      </x:c>
      <x:c r="P152" s="7" t="str"/>
      <x:c r="Q152" s="7" t="str"/>
      <x:c r="R152" s="7" t="str"/>
      <x:c r="S152" s="15" t="str"/>
      <x:c r="T152" s="7" t="str">
        <x:v>No public business phone in collected record</x:v>
      </x:c>
      <x:c r="U152" s="7" t="str"/>
      <x:c r="V152" s="7" t="str">
        <x:v>Resident</x:v>
      </x:c>
      <x:c r="W152" s="7" t="str">
        <x:v>CA</x:v>
      </x:c>
      <x:c r="X152" s="7" t="str"/>
      <x:c r="Y152" s="7" t="str"/>
      <x:c r="Z152" s="7" t="str"/>
      <x:c r="AA152" s="7" t="str"/>
      <x:c r="AB152" s="7" t="str"/>
      <x:c r="AC152" s="7" t="str"/>
      <x:c r="AD152" s="7" t="str">
        <x:v>No agency or insurer displayed: onboarding opportunity possible; existing business unknown</x:v>
      </x:c>
      <x:c r="AE152" s="7" t="str">
        <x:v>No public business phone: contact enrichment needed, not proof of poor recruiting fit</x:v>
      </x:c>
      <x:c r="AF152" s="16" t="str"/>
      <x:c r="AG152" s="17" t="str"/>
      <x:c r="AH152" s="7" t="str"/>
      <x:c r="AI152" s="7" t="str"/>
      <x:c r="AJ152" s="7" t="str"/>
      <x:c r="AK152" s="15" t="str"/>
      <x:c r="AL152" s="7" t="str"/>
      <x:c r="AM152" s="7" t="str">
        <x:v>AGUILAR  ARIANNA</x:v>
      </x:c>
      <x:c r="AN152" s="7" t="str">
        <x:v>https://cdicloud.insurance.ca.gov/cal/LicenseDetail?SearchType=IND&amp;SearchLicNbr=0L72961&amp;SearchIndvId=1933482</x:v>
      </x:c>
      <x:c r="AO152" s="7" t="str">
        <x:v>2026-10-08</x:v>
      </x:c>
      <x:c r="AP152" s="7" t="str">
        <x:v>cccf97c7bb190b4b4cb74d0cdca029c7225d0dc10dd658e7142c6b8465923bc3</x:v>
      </x:c>
      <x:c r="AQ152" s="7" t="str">
        <x:v>Accident and Health / Inactive / 05/02/2017 / 05/31/2019 / 05/31/2019
Life-Only / Inactive / 05/02/2017 / 05/31/2019 / 05/31/2019</x:v>
      </x:c>
      <x:c r="AR152" s="7" t="str">
        <x:v>Inactive</x:v>
      </x:c>
      <x:c r="AS152" s="7" t="str">
        <x:v>Current detail page</x:v>
      </x:c>
    </x:row>
    <x:row r="153" ht="52" customHeight="1">
      <x:c r="A153" s="7" t="str">
        <x:v>AGUILAR ARIELLE JASMINE</x:v>
      </x:c>
      <x:c r="B153" s="14" t="str">
        <x:f>"0H19520"</x:f>
        <x:v>0H19520</x:v>
      </x:c>
      <x:c r="C153" s="7" t="str">
        <x:v>Omitted</x:v>
      </x:c>
      <x:c r="D153" s="7" t="str">
        <x:v>FAIL</x:v>
      </x:c>
      <x:c r="E153" s="13" t="str">
        <x:v>Pending</x:v>
      </x:c>
      <x:c r="F153" s="13" t="str"/>
      <x:c r="G153" s="13" t="str"/>
      <x:c r="H153" s="13" t="str"/>
      <x:c r="I153" s="7" t="str">
        <x:v>Was this person reviewed? If rejected, give the actual rule and evidence. If acceptable, correct the omission. Confirm the Life-qualification gate and any record change since selection.</x:v>
      </x:c>
      <x:c r="J153" s="7" t="str">
        <x:v>L1</x:v>
      </x:c>
      <x:c r="K153" s="7" t="str">
        <x:v>Verified qualifications do not include active general Life. Current target-pool mismatch; actual historical omission reason unknown.</x:v>
      </x:c>
      <x:c r="L153" s="7" t="str">
        <x:v>Not supplied; membership is known, motive is not</x:v>
      </x:c>
      <x:c r="M153" s="7" t="n">
        <x:v>7</x:v>
      </x:c>
      <x:c r="N153" s="7" t="str">
        <x:v>Outside current general-Life recruiting pool</x:v>
      </x:c>
      <x:c r="O153" s="7" t="str">
        <x:v>Not displayed</x:v>
      </x:c>
      <x:c r="P153" s="7" t="str"/>
      <x:c r="Q153" s="7" t="str"/>
      <x:c r="R153" s="7" t="str"/>
      <x:c r="S153" s="15" t="str"/>
      <x:c r="T153" s="7" t="str">
        <x:v>No public business phone in collected record</x:v>
      </x:c>
      <x:c r="U153" s="7" t="str"/>
      <x:c r="V153" s="7" t="str">
        <x:v>Resident</x:v>
      </x:c>
      <x:c r="W153" s="7" t="str">
        <x:v>CA</x:v>
      </x:c>
      <x:c r="X153" s="7" t="str"/>
      <x:c r="Y153" s="7" t="str"/>
      <x:c r="Z153" s="7" t="str"/>
      <x:c r="AA153" s="7" t="str"/>
      <x:c r="AB153" s="7" t="str"/>
      <x:c r="AC153" s="7" t="str"/>
      <x:c r="AD153" s="7" t="str">
        <x:v>No agency or insurer displayed: onboarding opportunity possible; existing business unknown</x:v>
      </x:c>
      <x:c r="AE153" s="7" t="str">
        <x:v>No public business phone: contact enrichment needed, not proof of poor recruiting fit</x:v>
      </x:c>
      <x:c r="AF153" s="16" t="str"/>
      <x:c r="AG153" s="17" t="str"/>
      <x:c r="AH153" s="7" t="str"/>
      <x:c r="AI153" s="7" t="str"/>
      <x:c r="AJ153" s="7" t="str"/>
      <x:c r="AK153" s="15" t="str"/>
      <x:c r="AL153" s="7" t="str"/>
      <x:c r="AM153" s="7" t="str">
        <x:v>AGUILAR JASMINE ARIELLE</x:v>
      </x:c>
      <x:c r="AN153" s="7" t="str">
        <x:v>https://cdicloud.insurance.ca.gov/cal/LicenseDetail?SearchType=IND&amp;SearchLicNbr=0H19520&amp;SearchIndvId=1359195</x:v>
      </x:c>
      <x:c r="AO153" s="7" t="str">
        <x:v>2026-10-08</x:v>
      </x:c>
      <x:c r="AP153" s="7" t="str">
        <x:v>a95dc3f42b555774193058a91b423ec124b4d5d73a611bc59eb8c87189247091</x:v>
      </x:c>
      <x:c r="AQ153" s="7" t="str">
        <x:v>Accident and Health / Inactive / 10/20/2010 / 10/31/2012 / 10/31/2012
Life-Only / Inactive / 10/20/2010 / 10/31/2012 / 10/31/2012</x:v>
      </x:c>
      <x:c r="AR153" s="7" t="str">
        <x:v>Inactive</x:v>
      </x:c>
      <x:c r="AS153" s="7" t="str">
        <x:v>Current detail page</x:v>
      </x:c>
    </x:row>
    <x:row r="154" ht="52" customHeight="1">
      <x:c r="A154" s="7" t="str">
        <x:v>AGUILAR ARISDELSY</x:v>
      </x:c>
      <x:c r="B154" s="14" t="str">
        <x:f>"4138106"</x:f>
        <x:v>4138106</x:v>
      </x:c>
      <x:c r="C154" s="7" t="str">
        <x:v>Omitted</x:v>
      </x:c>
      <x:c r="D154" s="7" t="str">
        <x:v>FAIL</x:v>
      </x:c>
      <x:c r="E154" s="13" t="str">
        <x:v>Pending</x:v>
      </x:c>
      <x:c r="F154" s="13" t="str"/>
      <x:c r="G154" s="13" t="str"/>
      <x:c r="H154" s="13" t="str"/>
      <x:c r="I154" s="7" t="str">
        <x:v>Was this person reviewed? If rejected, give the actual rule and evidence. If acceptable, correct the omission. Confirm the Life-qualification gate and any record change since selection.</x:v>
      </x:c>
      <x:c r="J154" s="7" t="str">
        <x:v>L1</x:v>
      </x:c>
      <x:c r="K154" s="7" t="str">
        <x:v>Verified qualifications do not include active general Life. Current target-pool mismatch; actual historical omission reason unknown.</x:v>
      </x:c>
      <x:c r="L154" s="7" t="str">
        <x:v>Not supplied; membership is known, motive is not</x:v>
      </x:c>
      <x:c r="M154" s="7" t="n">
        <x:v>7</x:v>
      </x:c>
      <x:c r="N154" s="7" t="str">
        <x:v>Outside current general-Life recruiting pool</x:v>
      </x:c>
      <x:c r="O154" s="7" t="str">
        <x:v>Not displayed</x:v>
      </x:c>
      <x:c r="P154" s="7" t="str"/>
      <x:c r="Q154" s="7" t="str"/>
      <x:c r="R154" s="7" t="str">
        <x:v>Personal Lines</x:v>
      </x:c>
      <x:c r="S154" s="15" t="str">
        <x:v>209-326-0909</x:v>
      </x:c>
      <x:c r="T154" s="7" t="str">
        <x:v>Current CDI</x:v>
      </x:c>
      <x:c r="U154" s="7" t="str">
        <x:v>1140, E WATERLOO RD STE 1 STOCKTON CA, 95205</x:v>
      </x:c>
      <x:c r="V154" s="7" t="str">
        <x:v>Resident</x:v>
      </x:c>
      <x:c r="W154" s="7" t="str">
        <x:v>CA</x:v>
      </x:c>
      <x:c r="X154" s="7" t="str"/>
      <x:c r="Y154" s="7" t="str"/>
      <x:c r="Z154" s="7" t="str"/>
      <x:c r="AA154" s="7" t="str"/>
      <x:c r="AB154" s="7" t="str"/>
      <x:c r="AC154" s="7" t="str"/>
      <x:c r="AD154" s="7" t="str">
        <x:v>No agency or insurer displayed: onboarding opportunity possible; existing business unknown</x:v>
      </x:c>
      <x:c r="AE154" s="7" t="str">
        <x:v>P&amp;C/Personal Lines authority without displayed core Life appointments; mixed profile requires review</x:v>
      </x:c>
      <x:c r="AF154" s="16" t="str"/>
      <x:c r="AG154" s="17" t="str"/>
      <x:c r="AH154" s="7" t="str"/>
      <x:c r="AI154" s="7" t="str">
        <x:v>English</x:v>
      </x:c>
      <x:c r="AJ154" s="7" t="str"/>
      <x:c r="AK154" s="15" t="str"/>
      <x:c r="AL154" s="7" t="str"/>
      <x:c r="AM154" s="7" t="str">
        <x:v>AGUILAR  ARISDELSY</x:v>
      </x:c>
      <x:c r="AN154" s="7" t="str">
        <x:v>https://cdicloud.insurance.ca.gov/cal/LicenseDetail?SearchType=IND&amp;SearchLicNbr=4138106&amp;SearchIndvId=4138106</x:v>
      </x:c>
      <x:c r="AO154" s="7" t="str">
        <x:v>2026-10-08</x:v>
      </x:c>
      <x:c r="AP154" s="7" t="str">
        <x:v>6959565045827723974752b13f8393d8ec6cc3b42add9dbc2a8cef8d149a0d7c</x:v>
      </x:c>
      <x:c r="AQ154" s="7" t="str">
        <x:v>Personal Lines / Active / 07/13/2021 / 11/30/2023 / 07/31/2027</x:v>
      </x:c>
      <x:c r="AR154" s="7" t="str">
        <x:v>Active</x:v>
      </x:c>
      <x:c r="AS154" s="7" t="str">
        <x:v>Current detail page</x:v>
      </x:c>
    </x:row>
    <x:row r="155" ht="52" customHeight="1">
      <x:c r="A155" s="7" t="str">
        <x:v>AGUILAR ARMANDO RAUL JR</x:v>
      </x:c>
      <x:c r="B155" s="14" t="str">
        <x:f>"0E93011"</x:f>
        <x:v>0E93011</x:v>
      </x:c>
      <x:c r="C155" s="7" t="str">
        <x:v>Omitted</x:v>
      </x:c>
      <x:c r="D155" s="7" t="str">
        <x:v>FAIL</x:v>
      </x:c>
      <x:c r="E155" s="13" t="str">
        <x:v>Pending</x:v>
      </x:c>
      <x:c r="F155" s="13" t="str"/>
      <x:c r="G155" s="13" t="str"/>
      <x:c r="H155" s="13" t="str"/>
      <x:c r="I155" s="7" t="str">
        <x:v>Was this person reviewed? If rejected, give the actual rule and evidence. If acceptable, correct the omission. Confirm the Life-qualification gate and any record change since selection.</x:v>
      </x:c>
      <x:c r="J155" s="7" t="str">
        <x:v>L1</x:v>
      </x:c>
      <x:c r="K155" s="7" t="str">
        <x:v>Verified qualifications do not include active general Life. Current target-pool mismatch; actual historical omission reason unknown.</x:v>
      </x:c>
      <x:c r="L155" s="7" t="str">
        <x:v>Not supplied; membership is known, motive is not</x:v>
      </x:c>
      <x:c r="M155" s="7" t="n">
        <x:v>7</x:v>
      </x:c>
      <x:c r="N155" s="7" t="str">
        <x:v>Outside current general-Life recruiting pool</x:v>
      </x:c>
      <x:c r="O155" s="7" t="str">
        <x:v>Not displayed</x:v>
      </x:c>
      <x:c r="P155" s="7" t="str"/>
      <x:c r="Q155" s="7" t="str"/>
      <x:c r="R155" s="7" t="str"/>
      <x:c r="S155" s="15" t="str"/>
      <x:c r="T155" s="7" t="str">
        <x:v>No public business phone in collected record</x:v>
      </x:c>
      <x:c r="U155" s="7" t="str"/>
      <x:c r="V155" s="7" t="str">
        <x:v>Resident</x:v>
      </x:c>
      <x:c r="W155" s="7" t="str">
        <x:v>CA</x:v>
      </x:c>
      <x:c r="X155" s="7" t="str"/>
      <x:c r="Y155" s="7" t="str"/>
      <x:c r="Z155" s="7" t="str"/>
      <x:c r="AA155" s="7" t="str"/>
      <x:c r="AB155" s="7" t="str"/>
      <x:c r="AC155" s="7" t="str"/>
      <x:c r="AD155" s="7" t="str">
        <x:v>No agency or insurer displayed: onboarding opportunity possible; existing business unknown</x:v>
      </x:c>
      <x:c r="AE155" s="7" t="str">
        <x:v>No public business phone: contact enrichment needed, not proof of poor recruiting fit</x:v>
      </x:c>
      <x:c r="AF155" s="16" t="str"/>
      <x:c r="AG155" s="17" t="str"/>
      <x:c r="AH155" s="7" t="str"/>
      <x:c r="AI155" s="7" t="str"/>
      <x:c r="AJ155" s="7" t="str"/>
      <x:c r="AK155" s="15" t="str"/>
      <x:c r="AL155" s="7" t="str"/>
      <x:c r="AM155" s="7" t="str">
        <x:v>AGUILAR RAUL ARMANDO</x:v>
      </x:c>
      <x:c r="AN155" s="7" t="str">
        <x:v>https://cdicloud.insurance.ca.gov/cal/LicenseDetail?SearchType=IND&amp;SearchLicNbr=0E93011&amp;SearchIndvId=970098</x:v>
      </x:c>
      <x:c r="AO155" s="7" t="str">
        <x:v>2026-10-08</x:v>
      </x:c>
      <x:c r="AP155" s="7" t="str">
        <x:v>c1daa72a7f7b549b66e7e7f41a025a4fb8fdcb6af2a993c7017e7f7333448c96</x:v>
      </x:c>
      <x:c r="AQ155" s="7" t="str">
        <x:v>Accident and Health / Inactive / 09/16/2005 / 09/30/2007 / 09/30/2007
Casualty Broker-Agent / Inactive / 10/17/2005 / 09/30/2007 / 09/30/2007
Life-Only / Inactive / 09/16/2005 / 09/30/2007 / 09/30/2007
Property Broker-Agent / Inactive / 10/17/2005 / 09/30/2007 / 09/30/2007</x:v>
      </x:c>
      <x:c r="AR155" s="7" t="str">
        <x:v>Inactive</x:v>
      </x:c>
      <x:c r="AS155" s="7" t="str">
        <x:v>Current detail page</x:v>
      </x:c>
    </x:row>
    <x:row r="156" ht="52" customHeight="1">
      <x:c r="A156" s="7" t="str">
        <x:v>AGUILAR ARNEL</x:v>
      </x:c>
      <x:c r="B156" s="14" t="str">
        <x:f>"0K06366"</x:f>
        <x:v>0K06366</x:v>
      </x:c>
      <x:c r="C156" s="7" t="str">
        <x:v>Omitted</x:v>
      </x:c>
      <x:c r="D156" s="7" t="str">
        <x:v>FAIL</x:v>
      </x:c>
      <x:c r="E156" s="13" t="str">
        <x:v>Pending</x:v>
      </x:c>
      <x:c r="F156" s="13" t="str"/>
      <x:c r="G156" s="13" t="str"/>
      <x:c r="H156" s="13" t="str"/>
      <x:c r="I156" s="7" t="str">
        <x:v>Was this person reviewed? If rejected, give the actual rule and evidence. If acceptable, correct the omission. Confirm the Life-qualification gate and any record change since selection.</x:v>
      </x:c>
      <x:c r="J156" s="7" t="str">
        <x:v>L1</x:v>
      </x:c>
      <x:c r="K156" s="7" t="str">
        <x:v>Verified qualifications do not include active general Life. Current target-pool mismatch; actual historical omission reason unknown.</x:v>
      </x:c>
      <x:c r="L156" s="7" t="str">
        <x:v>Not supplied; membership is known, motive is not</x:v>
      </x:c>
      <x:c r="M156" s="7" t="n">
        <x:v>7</x:v>
      </x:c>
      <x:c r="N156" s="7" t="str">
        <x:v>Outside current general-Life recruiting pool</x:v>
      </x:c>
      <x:c r="O156" s="7" t="str">
        <x:v>Not displayed</x:v>
      </x:c>
      <x:c r="P156" s="7" t="str"/>
      <x:c r="Q156" s="7" t="str"/>
      <x:c r="R156" s="7" t="str"/>
      <x:c r="S156" s="15" t="str"/>
      <x:c r="T156" s="7" t="str">
        <x:v>No public business phone in collected record</x:v>
      </x:c>
      <x:c r="U156" s="7" t="str"/>
      <x:c r="V156" s="7" t="str">
        <x:v>Non-resident</x:v>
      </x:c>
      <x:c r="W156" s="7" t="str">
        <x:v>TN</x:v>
      </x:c>
      <x:c r="X156" s="7" t="str"/>
      <x:c r="Y156" s="7" t="str"/>
      <x:c r="Z156" s="7" t="str"/>
      <x:c r="AA156" s="7" t="str"/>
      <x:c r="AB156" s="7" t="str"/>
      <x:c r="AC156" s="7" t="str"/>
      <x:c r="AD156" s="7" t="str">
        <x:v>No agency or insurer displayed: onboarding opportunity possible; existing business unknown</x:v>
      </x:c>
      <x:c r="AE156" s="7" t="str">
        <x:v>Nonresident or address state outside CA; confirm geographic recruiting scope | No public business phone: contact enrichment needed, not proof of poor recruiting fit</x:v>
      </x:c>
      <x:c r="AF156" s="16" t="str"/>
      <x:c r="AG156" s="17" t="str"/>
      <x:c r="AH156" s="7" t="str"/>
      <x:c r="AI156" s="7" t="str"/>
      <x:c r="AJ156" s="7" t="str"/>
      <x:c r="AK156" s="15" t="str"/>
      <x:c r="AL156" s="7" t="str"/>
      <x:c r="AM156" s="7" t="str">
        <x:v>AGUILAR  ARNEL</x:v>
      </x:c>
      <x:c r="AN156" s="7" t="str">
        <x:v>https://cdicloud.insurance.ca.gov/cal/LicenseDetail?SearchType=IND&amp;SearchLicNbr=0K06366&amp;SearchIndvId=1735361</x:v>
      </x:c>
      <x:c r="AO156" s="7" t="str">
        <x:v>2026-10-08</x:v>
      </x:c>
      <x:c r="AP156" s="7" t="str">
        <x:v>a84557a50ee8189a49b5e8d774d53b5c46f00ef3ffb9ce1bbba35182b6c2ca3c</x:v>
      </x:c>
      <x:c r="AQ156" s="7" t="str">
        <x:v>Accident and Health / Inactive / 01/23/2015 / 01/31/2017 / 01/31/2017
Life-Only / Inactive / 01/23/2015 / 01/31/2017 / 01/31/2017</x:v>
      </x:c>
      <x:c r="AR156" s="7" t="str">
        <x:v>Inactive</x:v>
      </x:c>
      <x:c r="AS156" s="7" t="str">
        <x:v>Current detail page</x:v>
      </x:c>
    </x:row>
    <x:row r="157" ht="52" customHeight="1">
      <x:c r="A157" s="7" t="str">
        <x:v>AGUILAR ARNULFO</x:v>
      </x:c>
      <x:c r="B157" s="14" t="str">
        <x:f>"4233390"</x:f>
        <x:v>4233390</x:v>
      </x:c>
      <x:c r="C157" s="7" t="str">
        <x:v>Omitted</x:v>
      </x:c>
      <x:c r="D157" s="7" t="str">
        <x:v>FAIL</x:v>
      </x:c>
      <x:c r="E157" s="13" t="str">
        <x:v>Pending</x:v>
      </x:c>
      <x:c r="F157" s="13" t="str"/>
      <x:c r="G157" s="13" t="str"/>
      <x:c r="H157" s="13" t="str"/>
      <x:c r="I157" s="7" t="str">
        <x:v>Was this person reviewed? If rejected, give the actual rule and evidence. If acceptable, correct the omission. Confirm the Life-qualification gate and any record change since selection.</x:v>
      </x:c>
      <x:c r="J157" s="7" t="str">
        <x:v>L1</x:v>
      </x:c>
      <x:c r="K157" s="7" t="str">
        <x:v>Verified qualifications do not include active general Life. Current target-pool mismatch; actual historical omission reason unknown.</x:v>
      </x:c>
      <x:c r="L157" s="7" t="str">
        <x:v>Not supplied; membership is known, motive is not</x:v>
      </x:c>
      <x:c r="M157" s="7" t="n">
        <x:v>7</x:v>
      </x:c>
      <x:c r="N157" s="7" t="str">
        <x:v>Outside current general-Life recruiting pool</x:v>
      </x:c>
      <x:c r="O157" s="7" t="str">
        <x:v>Not displayed</x:v>
      </x:c>
      <x:c r="P157" s="7" t="str"/>
      <x:c r="Q157" s="7" t="str"/>
      <x:c r="R157" s="7" t="str">
        <x:v>Personal Lines</x:v>
      </x:c>
      <x:c r="S157" s="15" t="str"/>
      <x:c r="T157" s="7" t="str">
        <x:v>No public business phone in collected record</x:v>
      </x:c>
      <x:c r="U157" s="7" t="str">
        <x:v>801 GREENBRIAR DR APT 21 EDINBURG TX, 78539-5403</x:v>
      </x:c>
      <x:c r="V157" s="7" t="str">
        <x:v>Non-resident</x:v>
      </x:c>
      <x:c r="W157" s="7" t="str">
        <x:v>TX</x:v>
      </x:c>
      <x:c r="X157" s="7" t="str"/>
      <x:c r="Y157" s="7" t="str">
        <x:v>STATE FARM FIRE AND CASUALTY COMPANY / Personal Lines / 05/16/2024
STATE FARM GENERAL INSURANCE COMPANY / Personal Lines / 05/16/2024
STATE FARM MUTUAL AUTOMOBILE INSURANCE COMPANY / Personal Lines / 05/16/2024</x:v>
      </x:c>
      <x:c r="Z157" s="7" t="str"/>
      <x:c r="AA157" s="7" t="str"/>
      <x:c r="AB157" s="7" t="str"/>
      <x:c r="AC157" s="7" t="str"/>
      <x:c r="AD157" s="7" t="str"/>
      <x:c r="AE157"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157" s="16" t="str"/>
      <x:c r="AG157" s="17" t="str"/>
      <x:c r="AH157" s="7" t="str"/>
      <x:c r="AI157" s="7" t="str"/>
      <x:c r="AJ157" s="7" t="str"/>
      <x:c r="AK157" s="15" t="str"/>
      <x:c r="AL157" s="7" t="str"/>
      <x:c r="AM157" s="7" t="str">
        <x:v>AGUILAR  ARNULFO</x:v>
      </x:c>
      <x:c r="AN157" s="7" t="str">
        <x:v>https://cdicloud.insurance.ca.gov/cal/LicenseDetail?SearchType=IND&amp;SearchLicNbr=4233390&amp;SearchIndvId=4233390</x:v>
      </x:c>
      <x:c r="AO157" s="7" t="str">
        <x:v>2026-10-08</x:v>
      </x:c>
      <x:c r="AP157" s="7" t="str">
        <x:v>f26193b5551dd1ce55b8513f0171bcf7ae951e2a23b9a431ab86b006cc64ed55</x:v>
      </x:c>
      <x:c r="AQ157" s="7" t="str">
        <x:v>Personal Lines / Active / 08/25/2022 / 08/25/2022 / 08/31/2028</x:v>
      </x:c>
      <x:c r="AR157" s="7" t="str">
        <x:v>Active</x:v>
      </x:c>
      <x:c r="AS157" s="7" t="str">
        <x:v>Current detail page</x:v>
      </x:c>
    </x:row>
    <x:row r="158" ht="52" customHeight="1">
      <x:c r="A158" s="7" t="str">
        <x:v>AGUILAR ARRIAGA XIMENA</x:v>
      </x:c>
      <x:c r="B158" s="14" t="str">
        <x:f>"4523635"</x:f>
        <x:v>4523635</x:v>
      </x:c>
      <x:c r="C158" s="7" t="str">
        <x:v>Omitted</x:v>
      </x:c>
      <x:c r="D158" s="7" t="str">
        <x:v>FAIL</x:v>
      </x:c>
      <x:c r="E158" s="13" t="str">
        <x:v>Pending</x:v>
      </x:c>
      <x:c r="F158" s="13" t="str"/>
      <x:c r="G158" s="13" t="str"/>
      <x:c r="H158" s="13" t="str"/>
      <x:c r="I158" s="7" t="str">
        <x:v>Was this person reviewed? If rejected, give the actual rule and evidence. If acceptable, correct the omission. Confirm the Life-qualification gate and any record change since selection.</x:v>
      </x:c>
      <x:c r="J158" s="7" t="str">
        <x:v>L1</x:v>
      </x:c>
      <x:c r="K158" s="7" t="str">
        <x:v>Verified qualifications do not include active general Life. Current target-pool mismatch; actual historical omission reason unknown.</x:v>
      </x:c>
      <x:c r="L158" s="7" t="str">
        <x:v>Not supplied; membership is known, motive is not</x:v>
      </x:c>
      <x:c r="M158" s="7" t="n">
        <x:v>7</x:v>
      </x:c>
      <x:c r="N158" s="7" t="str">
        <x:v>Outside current general-Life recruiting pool</x:v>
      </x:c>
      <x:c r="O158" s="7" t="str">
        <x:v>Not displayed</x:v>
      </x:c>
      <x:c r="P158" s="7" t="str"/>
      <x:c r="Q158" s="7" t="str"/>
      <x:c r="R158" s="7" t="str">
        <x:v>Casualty; Property</x:v>
      </x:c>
      <x:c r="S158" s="15" t="str">
        <x:v>707-410-3090</x:v>
      </x:c>
      <x:c r="T158" s="7" t="str">
        <x:v>Current CDI</x:v>
      </x:c>
      <x:c r="U158" s="7" t="str">
        <x:v>1972 N TEXAS ST SUITE G FAIRFIELD CA, 94533</x:v>
      </x:c>
      <x:c r="V158" s="7" t="str">
        <x:v>Resident</x:v>
      </x:c>
      <x:c r="W158" s="7" t="str">
        <x:v>CA</x:v>
      </x:c>
      <x:c r="X158" s="7" t="str">
        <x:v>FIESTA INSURANCE FRANCHISE CORPORATION / Casualty / 02/05/2026
FIESTA INSURANCE FRANCHISE CORPORATION / Property / 02/05/2026</x:v>
      </x:c>
      <x:c r="Y158" s="7" t="str"/>
      <x:c r="Z158" s="7" t="str"/>
      <x:c r="AA158" s="7" t="str"/>
      <x:c r="AB158" s="7" t="str"/>
      <x:c r="AC158" s="7" t="str"/>
      <x:c r="AD158" s="7" t="str"/>
      <x:c r="AE158" s="7" t="str">
        <x:v>P&amp;C/Personal Lines authority without displayed core Life appointments; mixed profile requires review</x:v>
      </x:c>
      <x:c r="AF158" s="16" t="str"/>
      <x:c r="AG158" s="17" t="str"/>
      <x:c r="AH158" s="7" t="str"/>
      <x:c r="AI158" s="7" t="str">
        <x:v>English</x:v>
      </x:c>
      <x:c r="AJ158" s="7" t="str"/>
      <x:c r="AK158" s="15" t="str"/>
      <x:c r="AL158" s="7" t="str"/>
      <x:c r="AM158" s="7" t="str">
        <x:v>AGUILAR ARRIAGA  XIMENA</x:v>
      </x:c>
      <x:c r="AN158" s="7" t="str">
        <x:v>https://cdicloud.insurance.ca.gov/cal/LicenseDetail?SearchType=IND&amp;SearchLicNbr=4523635&amp;SearchIndvId=4523635</x:v>
      </x:c>
      <x:c r="AO158" s="7" t="str">
        <x:v>2026-10-08</x:v>
      </x:c>
      <x:c r="AP158" s="7" t="str">
        <x:v>dcc1d1cdd60a1ce6faf7cbe3df1d9ee980c2d0d17d354950ff3887017b121d41</x:v>
      </x:c>
      <x:c r="AQ158" s="7" t="str">
        <x:v>Casualty / Active / 01/29/2026 / 01/29/2026 / 01/31/2028
Property / Active / 01/29/2026 / 01/29/2026 / 01/31/2028</x:v>
      </x:c>
      <x:c r="AR158" s="7" t="str">
        <x:v>Active</x:v>
      </x:c>
      <x:c r="AS158" s="7" t="str">
        <x:v>Current detail page</x:v>
      </x:c>
    </x:row>
    <x:row r="159" ht="52" customHeight="1">
      <x:c r="A159" s="7" t="str">
        <x:v>AGUILAR ARTURO</x:v>
      </x:c>
      <x:c r="B159" s="14" t="str">
        <x:f>"0D07973"</x:f>
        <x:v>0D07973</x:v>
      </x:c>
      <x:c r="C159" s="7" t="str">
        <x:v>Omitted</x:v>
      </x:c>
      <x:c r="D159" s="7" t="str">
        <x:v>FAIL</x:v>
      </x:c>
      <x:c r="E159" s="13" t="str">
        <x:v>Pending</x:v>
      </x:c>
      <x:c r="F159" s="13" t="str"/>
      <x:c r="G159" s="13" t="str"/>
      <x:c r="H159" s="13" t="str"/>
      <x:c r="I159" s="7" t="str">
        <x:v>Was this person reviewed? If rejected, give the actual rule and evidence. If acceptable, correct the omission. Confirm the Life-qualification gate and any record change since selection.</x:v>
      </x:c>
      <x:c r="J159" s="7" t="str">
        <x:v>L1</x:v>
      </x:c>
      <x:c r="K159" s="7" t="str">
        <x:v>Verified qualifications do not include active general Life. Current target-pool mismatch; actual historical omission reason unknown.</x:v>
      </x:c>
      <x:c r="L159" s="7" t="str">
        <x:v>Not supplied; membership is known, motive is not</x:v>
      </x:c>
      <x:c r="M159" s="7" t="n">
        <x:v>7</x:v>
      </x:c>
      <x:c r="N159" s="7" t="str">
        <x:v>Outside current general-Life recruiting pool</x:v>
      </x:c>
      <x:c r="O159" s="7" t="str">
        <x:v>Not displayed</x:v>
      </x:c>
      <x:c r="P159" s="7" t="str"/>
      <x:c r="Q159" s="7" t="str"/>
      <x:c r="R159" s="7" t="str"/>
      <x:c r="S159" s="15" t="str"/>
      <x:c r="T159" s="7" t="str">
        <x:v>No public business phone in collected record</x:v>
      </x:c>
      <x:c r="U159" s="7" t="str"/>
      <x:c r="V159" s="7" t="str">
        <x:v>Resident</x:v>
      </x:c>
      <x:c r="W159" s="7" t="str">
        <x:v>CA</x:v>
      </x:c>
      <x:c r="X159" s="7" t="str"/>
      <x:c r="Y159" s="7" t="str"/>
      <x:c r="Z159" s="7" t="str"/>
      <x:c r="AA159" s="7" t="str"/>
      <x:c r="AB159" s="7" t="str">
        <x:v>HERRERA RAUL GALINDO / Casualty / 04/02/2007
HERRERA RAUL GALINDO / Property / 04/02/2007</x:v>
      </x:c>
      <x:c r="AC159" s="7" t="str"/>
      <x:c r="AD159" s="7" t="str">
        <x:v>No agency or insurer displayed: onboarding opportunity possible; existing business unknown</x:v>
      </x:c>
      <x:c r="AE159" s="7" t="str">
        <x:v>Sponsor relationships displayed: HERRERA RAUL GALINDO; inspect line-specific relationship, not a blanket employment inference | No public business phone: contact enrichment needed, not proof of poor recruiting fit</x:v>
      </x:c>
      <x:c r="AF159" s="16" t="str"/>
      <x:c r="AG159" s="17" t="str"/>
      <x:c r="AH159" s="7" t="str"/>
      <x:c r="AI159" s="7" t="str"/>
      <x:c r="AJ159" s="7" t="str"/>
      <x:c r="AK159" s="15" t="str"/>
      <x:c r="AL159" s="7" t="str"/>
      <x:c r="AM159" s="7" t="str">
        <x:v>AGUILAR  ARTURO</x:v>
      </x:c>
      <x:c r="AN159" s="7" t="str">
        <x:v>https://cdicloud.insurance.ca.gov/cal/LicenseDetail?SearchType=IND&amp;SearchLicNbr=0D07973&amp;SearchIndvId=513793</x:v>
      </x:c>
      <x:c r="AO159" s="7" t="str">
        <x:v>2026-10-08</x:v>
      </x:c>
      <x:c r="AP159" s="7" t="str">
        <x:v>cebfce815bc5f9bee435796fa4918c0f974bf5c5c80bb6c0d898a3a9cc21defc</x:v>
      </x:c>
      <x:c r="AQ159" s="7" t="str">
        <x:v>Accident and Health / Inactive / 02/05/2004 / 11/30/2008 / 11/30/2008
Casualty Broker-Agent / Inactive / 11/07/2000 / 11/30/2008 / 11/30/2008
Life-Only / Inactive / 02/05/2004 / 11/30/2008 / 11/30/2008
Property Broker-Agent / Inactive / 11/07/2000 / 11/30/2008 / 11/30/2008
Variable Contracts / Inactive / 06/07/2004 / 11/30/2008 / 11/30/2008</x:v>
      </x:c>
      <x:c r="AR159" s="7" t="str">
        <x:v>Inactive</x:v>
      </x:c>
      <x:c r="AS159" s="7" t="str">
        <x:v>Current detail page</x:v>
      </x:c>
    </x:row>
    <x:row r="160" ht="52" customHeight="1">
      <x:c r="A160" s="7" t="str">
        <x:v>AGUILAR ARTURO SALVADOR</x:v>
      </x:c>
      <x:c r="B160" s="14" t="str">
        <x:f>"4071667"</x:f>
        <x:v>4071667</x:v>
      </x:c>
      <x:c r="C160" s="7" t="str">
        <x:v>Omitted</x:v>
      </x:c>
      <x:c r="D160" s="7" t="str">
        <x:v>FAIL</x:v>
      </x:c>
      <x:c r="E160" s="13" t="str">
        <x:v>Pending</x:v>
      </x:c>
      <x:c r="F160" s="13" t="str"/>
      <x:c r="G160" s="13" t="str"/>
      <x:c r="H160" s="13" t="str"/>
      <x:c r="I160" s="7" t="str">
        <x:v>Was this person reviewed? If rejected, give the actual rule and evidence. If acceptable, correct the omission. Confirm the Life-qualification gate and any record change since selection.</x:v>
      </x:c>
      <x:c r="J160" s="7" t="str">
        <x:v>L1</x:v>
      </x:c>
      <x:c r="K160" s="7" t="str">
        <x:v>Verified qualifications do not include active general Life. Current target-pool mismatch; actual historical omission reason unknown.</x:v>
      </x:c>
      <x:c r="L160" s="7" t="str">
        <x:v>Not supplied; membership is known, motive is not</x:v>
      </x:c>
      <x:c r="M160" s="7" t="n">
        <x:v>7</x:v>
      </x:c>
      <x:c r="N160" s="7" t="str">
        <x:v>Outside current general-Life recruiting pool</x:v>
      </x:c>
      <x:c r="O160" s="7" t="str">
        <x:v>Inactive</x:v>
      </x:c>
      <x:c r="P160" s="7" t="str">
        <x:v>10/19/2020</x:v>
      </x:c>
      <x:c r="Q160" s="7" t="str">
        <x:v>10/31/2024</x:v>
      </x:c>
      <x:c r="R160" s="7" t="str"/>
      <x:c r="S160" s="15" t="str">
        <x:v>818-840-0505</x:v>
      </x:c>
      <x:c r="T160" s="7" t="str">
        <x:v>Current CDI</x:v>
      </x:c>
      <x:c r="U160" s="7" t="str">
        <x:v>3311-A W BURBANK BLVD BURBANK CA, 91505</x:v>
      </x:c>
      <x:c r="V160" s="7" t="str">
        <x:v>Resident</x:v>
      </x:c>
      <x:c r="W160" s="7" t="str">
        <x:v>CA</x:v>
      </x:c>
      <x:c r="X160" s="7" t="str"/>
      <x:c r="Y160" s="7" t="str"/>
      <x:c r="Z160" s="7" t="str"/>
      <x:c r="AA160" s="7" t="str"/>
      <x:c r="AB160" s="7" t="str"/>
      <x:c r="AC160" s="7" t="str"/>
      <x:c r="AD160" s="7" t="str">
        <x:v>No agency or insurer displayed: onboarding opportunity possible; existing business unknown</x:v>
      </x:c>
      <x:c r="AE160" s="7" t="str"/>
      <x:c r="AF160" s="16" t="str"/>
      <x:c r="AG160" s="17" t="str"/>
      <x:c r="AH160" s="7" t="str"/>
      <x:c r="AI160" s="7" t="str">
        <x:v>English</x:v>
      </x:c>
      <x:c r="AJ160" s="7" t="str"/>
      <x:c r="AK160" s="15" t="str"/>
      <x:c r="AL160" s="7" t="str"/>
      <x:c r="AM160" s="7" t="str">
        <x:v>AGUILAR SALVADOR ARTURO</x:v>
      </x:c>
      <x:c r="AN160" s="7" t="str">
        <x:v>https://cdicloud.insurance.ca.gov/cal/LicenseDetail?SearchType=IND&amp;SearchLicNbr=4071667&amp;SearchIndvId=4071667</x:v>
      </x:c>
      <x:c r="AO160" s="7" t="str">
        <x:v>2026-10-08</x:v>
      </x:c>
      <x:c r="AP160" s="7" t="str">
        <x:v>ca8e1a6b956fdc2af522793cde9b0c856eea4ea605da08358f51150dadeb3d78</x:v>
      </x:c>
      <x:c r="AQ160" s="7" t="str">
        <x:v>Life / Inactive / 10/19/2020 / 10/31/2024 / 10/31/2024</x:v>
      </x:c>
      <x:c r="AR160" s="7" t="str">
        <x:v>Inactive</x:v>
      </x:c>
      <x:c r="AS160" s="7" t="str">
        <x:v>Current detail page</x:v>
      </x:c>
    </x:row>
    <x:row r="161" ht="52" customHeight="1">
      <x:c r="A161" s="7" t="str">
        <x:v>AGUILAR ARYANI MELINA</x:v>
      </x:c>
      <x:c r="B161" s="14" t="str">
        <x:f>"4230069"</x:f>
        <x:v>4230069</x:v>
      </x:c>
      <x:c r="C161" s="7" t="str">
        <x:v>Omitted</x:v>
      </x:c>
      <x:c r="D161" s="7" t="str">
        <x:v>FAIL</x:v>
      </x:c>
      <x:c r="E161" s="13" t="str">
        <x:v>Pending</x:v>
      </x:c>
      <x:c r="F161" s="13" t="str"/>
      <x:c r="G161" s="13" t="str"/>
      <x:c r="H161" s="13" t="str"/>
      <x:c r="I161" s="7" t="str">
        <x:v>Was this person reviewed? If rejected, give the actual rule and evidence. If acceptable, correct the omission. Confirm the Life-qualification gate and any record change since selection.</x:v>
      </x:c>
      <x:c r="J161" s="7" t="str">
        <x:v>L1</x:v>
      </x:c>
      <x:c r="K161" s="7" t="str">
        <x:v>Verified qualifications do not include active general Life. Current target-pool mismatch; actual historical omission reason unknown.</x:v>
      </x:c>
      <x:c r="L161" s="7" t="str">
        <x:v>Not supplied; membership is known, motive is not</x:v>
      </x:c>
      <x:c r="M161" s="7" t="n">
        <x:v>7</x:v>
      </x:c>
      <x:c r="N161" s="7" t="str">
        <x:v>Outside current general-Life recruiting pool</x:v>
      </x:c>
      <x:c r="O161" s="7" t="str">
        <x:v>Not displayed</x:v>
      </x:c>
      <x:c r="P161" s="7" t="str"/>
      <x:c r="Q161" s="7" t="str"/>
      <x:c r="R161" s="7" t="str">
        <x:v>Casualty; Property; Surplus Lines Broker</x:v>
      </x:c>
      <x:c r="S161" s="15" t="str"/>
      <x:c r="T161" s="7" t="str">
        <x:v>No public business phone in collected record</x:v>
      </x:c>
      <x:c r="U161" s="7" t="str">
        <x:v>ARTHUR J GALLAGHER SERVICES COMPANY 13333 CALIFORNIA ST FL 2 OMAHA NE, 68154-5237</x:v>
      </x:c>
      <x:c r="V161" s="7" t="str">
        <x:v>Non-resident</x:v>
      </x:c>
      <x:c r="W161" s="7" t="str">
        <x:v>NE</x:v>
      </x:c>
      <x:c r="X161" s="7" t="str">
        <x:v>APPLIED RISK SERVICES, INC. / Surplus Lines Broker / 11/29/2022
ARTHUR J. GALLAGHER RISK MANAGEMENT SERVICES, LLC / Casualty / 08/03/2025
ARTHUR J. GALLAGHER RISK MANAGEMENT SERVICES, LLC / Property / 08/03/2025
APPLIED RISK SERVICES, INC. / Surplus Lines Broker / 11/29/2022
ARTHUR J. GALLAGHER RISK MANAGEMENT SERVICES, LLC / Surplus Lines Broker / 08/03/2025</x:v>
      </x:c>
      <x:c r="Y161" s="7" t="str"/>
      <x:c r="Z161" s="7" t="str"/>
      <x:c r="AA161" s="7" t="str"/>
      <x:c r="AB161" s="7" t="str"/>
      <x:c r="AC161" s="7" t="str"/>
      <x:c r="AD161" s="7" t="str"/>
      <x:c r="AE161"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161" s="16" t="str"/>
      <x:c r="AG161" s="17" t="str"/>
      <x:c r="AH161" s="7" t="str"/>
      <x:c r="AI161" s="7" t="str"/>
      <x:c r="AJ161" s="7" t="str"/>
      <x:c r="AK161" s="15" t="str"/>
      <x:c r="AL161" s="7" t="str"/>
      <x:c r="AM161" s="7" t="str">
        <x:v>AGUILAR MELINA ARYANI</x:v>
      </x:c>
      <x:c r="AN161" s="7" t="str">
        <x:v>https://cdicloud.insurance.ca.gov/cal/LicenseDetail?SearchType=IND&amp;SearchLicNbr=4230069&amp;SearchIndvId=4230069</x:v>
      </x:c>
      <x:c r="AO161" s="7" t="str">
        <x:v>2026-10-08</x:v>
      </x:c>
      <x:c r="AP161" s="7" t="str">
        <x:v>8da85830a2317f4f8390aace627dbbfb61489fd5f6f40c85ca367ed0865ba684</x:v>
      </x:c>
      <x:c r="AQ161" s="7" t="str">
        <x:v>Casualty / Active / 08/22/2022 / 08/22/2022 / 08/31/2028
Property / Active / 08/22/2022 / 08/22/2022 / 08/31/2028
Surplus Lines Broker / Active / 11/29/2022 / 11/29/2022 / 08/31/2028</x:v>
      </x:c>
      <x:c r="AR161" s="7" t="str">
        <x:v>Active</x:v>
      </x:c>
      <x:c r="AS161" s="7" t="str">
        <x:v>Current detail page</x:v>
      </x:c>
    </x:row>
    <x:row r="162" ht="52" customHeight="1">
      <x:c r="A162" s="7" t="str">
        <x:v>AGUILAR ASHLEY</x:v>
      </x:c>
      <x:c r="B162" s="14" t="str">
        <x:f>"4193696"</x:f>
        <x:v>4193696</x:v>
      </x:c>
      <x:c r="C162" s="7" t="str">
        <x:v>Omitted</x:v>
      </x:c>
      <x:c r="D162" s="7" t="str">
        <x:v>FAIL</x:v>
      </x:c>
      <x:c r="E162" s="13" t="str">
        <x:v>Pending</x:v>
      </x:c>
      <x:c r="F162" s="13" t="str"/>
      <x:c r="G162" s="13" t="str"/>
      <x:c r="H162" s="13" t="str"/>
      <x:c r="I162" s="7" t="str">
        <x:v>Was this person reviewed? If rejected, give the actual rule and evidence. If acceptable, correct the omission. Confirm the Life-qualification gate and any record change since selection.</x:v>
      </x:c>
      <x:c r="J162" s="7" t="str">
        <x:v>L1</x:v>
      </x:c>
      <x:c r="K162" s="7" t="str">
        <x:v>Verified qualifications do not include active general Life. Current target-pool mismatch; actual historical omission reason unknown.</x:v>
      </x:c>
      <x:c r="L162" s="7" t="str">
        <x:v>Not supplied; membership is known, motive is not</x:v>
      </x:c>
      <x:c r="M162" s="7" t="n">
        <x:v>7</x:v>
      </x:c>
      <x:c r="N162" s="7" t="str">
        <x:v>Outside current general-Life recruiting pool</x:v>
      </x:c>
      <x:c r="O162" s="7" t="str">
        <x:v>Not displayed</x:v>
      </x:c>
      <x:c r="P162" s="7" t="str"/>
      <x:c r="Q162" s="7" t="str"/>
      <x:c r="R162" s="7" t="str"/>
      <x:c r="S162" s="15" t="str"/>
      <x:c r="T162" s="7" t="str">
        <x:v>No public business phone in collected record</x:v>
      </x:c>
      <x:c r="U162" s="7" t="str">
        <x:v>624 W CHAPMAN AVE PLACENTIA CA, 92870</x:v>
      </x:c>
      <x:c r="V162" s="7" t="str">
        <x:v>Resident</x:v>
      </x:c>
      <x:c r="W162" s="7" t="str">
        <x:v>CA</x:v>
      </x:c>
      <x:c r="X162" s="7" t="str"/>
      <x:c r="Y162" s="7" t="str"/>
      <x:c r="Z162" s="7" t="str"/>
      <x:c r="AA162" s="7" t="str"/>
      <x:c r="AB162" s="7" t="str"/>
      <x:c r="AC162" s="7" t="str"/>
      <x:c r="AD162" s="7" t="str">
        <x:v>No agency or insurer displayed: onboarding opportunity possible; existing business unknown</x:v>
      </x:c>
      <x:c r="AE162" s="7" t="str">
        <x:v>No public business phone: contact enrichment needed, not proof of poor recruiting fit</x:v>
      </x:c>
      <x:c r="AF162" s="16" t="str"/>
      <x:c r="AG162" s="17" t="str"/>
      <x:c r="AH162" s="7" t="str"/>
      <x:c r="AI162" s="7" t="str"/>
      <x:c r="AJ162" s="7" t="str"/>
      <x:c r="AK162" s="15" t="str"/>
      <x:c r="AL162" s="7" t="str"/>
      <x:c r="AM162" s="7" t="str">
        <x:v>AGUILAR  ASHLEY</x:v>
      </x:c>
      <x:c r="AN162" s="7" t="str">
        <x:v>https://cdicloud.insurance.ca.gov/cal/LicenseDetail?SearchType=IND&amp;SearchLicNbr=4193696&amp;SearchIndvId=4193696</x:v>
      </x:c>
      <x:c r="AO162" s="7" t="str">
        <x:v>2026-10-08</x:v>
      </x:c>
      <x:c r="AP162" s="7" t="str">
        <x:v>4fa01757900db89bd9d395acf461ae0acb292022d48b70b02d1ba33466a9ee38</x:v>
      </x:c>
      <x:c r="AQ162" s="7" t="str">
        <x:v>Limited Lines Automobile / Inactive / 03/04/2022 / 03/31/2024 / 03/31/2024</x:v>
      </x:c>
      <x:c r="AR162" s="7" t="str">
        <x:v>Inactive</x:v>
      </x:c>
      <x:c r="AS162" s="7" t="str">
        <x:v>Current detail page</x:v>
      </x:c>
    </x:row>
    <x:row r="163" ht="52" customHeight="1">
      <x:c r="A163" s="7" t="str">
        <x:v>AGUILAR ASHLEY NAIDELINE</x:v>
      </x:c>
      <x:c r="B163" s="14" t="str">
        <x:f>"4212216"</x:f>
        <x:v>4212216</x:v>
      </x:c>
      <x:c r="C163" s="7" t="str">
        <x:v>Omitted</x:v>
      </x:c>
      <x:c r="D163" s="7" t="str">
        <x:v>FAIL</x:v>
      </x:c>
      <x:c r="E163" s="13" t="str">
        <x:v>Pending</x:v>
      </x:c>
      <x:c r="F163" s="13" t="str"/>
      <x:c r="G163" s="13" t="str"/>
      <x:c r="H163" s="13" t="str"/>
      <x:c r="I163" s="7" t="str">
        <x:v>Was this person reviewed? If rejected, give the actual rule and evidence. If acceptable, correct the omission. Confirm the Life-qualification gate and any record change since selection.</x:v>
      </x:c>
      <x:c r="J163" s="7" t="str">
        <x:v>L1</x:v>
      </x:c>
      <x:c r="K163" s="7" t="str">
        <x:v>Verified qualifications do not include active general Life. Current target-pool mismatch; actual historical omission reason unknown.</x:v>
      </x:c>
      <x:c r="L163" s="7" t="str">
        <x:v>Not supplied; membership is known, motive is not</x:v>
      </x:c>
      <x:c r="M163" s="7" t="n">
        <x:v>7</x:v>
      </x:c>
      <x:c r="N163" s="7" t="str">
        <x:v>Outside current general-Life recruiting pool</x:v>
      </x:c>
      <x:c r="O163" s="7" t="str">
        <x:v>Inactive</x:v>
      </x:c>
      <x:c r="P163" s="7" t="str">
        <x:v>06/13/2022</x:v>
      </x:c>
      <x:c r="Q163" s="7" t="str">
        <x:v>06/30/2024</x:v>
      </x:c>
      <x:c r="R163" s="7" t="str"/>
      <x:c r="S163" s="15" t="str"/>
      <x:c r="T163" s="7" t="str">
        <x:v>No public business phone in collected record</x:v>
      </x:c>
      <x:c r="U163" s="7" t="str">
        <x:v>1830 F ST BAKERSFIELD CA, 93301</x:v>
      </x:c>
      <x:c r="V163" s="7" t="str">
        <x:v>Resident</x:v>
      </x:c>
      <x:c r="W163" s="7" t="str">
        <x:v>CA</x:v>
      </x:c>
      <x:c r="X163" s="7" t="str"/>
      <x:c r="Y163" s="7" t="str"/>
      <x:c r="Z163" s="7" t="str"/>
      <x:c r="AA163" s="7" t="str"/>
      <x:c r="AB163" s="7" t="str"/>
      <x:c r="AC163" s="7" t="str"/>
      <x:c r="AD163" s="7" t="str">
        <x:v>No agency or insurer displayed: onboarding opportunity possible; existing business unknown</x:v>
      </x:c>
      <x:c r="AE163" s="7" t="str">
        <x:v>No public business phone: contact enrichment needed, not proof of poor recruiting fit</x:v>
      </x:c>
      <x:c r="AF163" s="16" t="str"/>
      <x:c r="AG163" s="17" t="str"/>
      <x:c r="AH163" s="7" t="str"/>
      <x:c r="AI163" s="7" t="str"/>
      <x:c r="AJ163" s="7" t="str"/>
      <x:c r="AK163" s="15" t="str"/>
      <x:c r="AL163" s="7" t="str"/>
      <x:c r="AM163" s="7" t="str">
        <x:v>AGUILAR NAIDELINE ASHLEY</x:v>
      </x:c>
      <x:c r="AN163" s="7" t="str">
        <x:v>https://cdicloud.insurance.ca.gov/cal/LicenseDetail?SearchType=IND&amp;SearchLicNbr=4212216&amp;SearchIndvId=4212216</x:v>
      </x:c>
      <x:c r="AO163" s="7" t="str">
        <x:v>2026-10-08</x:v>
      </x:c>
      <x:c r="AP163" s="7" t="str">
        <x:v>c7f33b5ead55df1e0ac93307f9e34fd6325d6c8b42d3b7c60eb61982255a438a</x:v>
      </x:c>
      <x:c r="AQ163" s="7" t="str">
        <x:v>Life / Inactive / 06/13/2022 / 06/30/2024 / 06/30/2024</x:v>
      </x:c>
      <x:c r="AR163" s="7" t="str">
        <x:v>Inactive</x:v>
      </x:c>
      <x:c r="AS163" s="7" t="str">
        <x:v>Current detail page</x:v>
      </x:c>
    </x:row>
    <x:row r="164" ht="52" customHeight="1">
      <x:c r="A164" s="7" t="str">
        <x:v>AGUILAR AURORA</x:v>
      </x:c>
      <x:c r="B164" s="14" t="str">
        <x:f>"0M46073"</x:f>
        <x:v>0M46073</x:v>
      </x:c>
      <x:c r="C164" s="7" t="str">
        <x:v>Omitted</x:v>
      </x:c>
      <x:c r="D164" s="7" t="str">
        <x:v>FAIL</x:v>
      </x:c>
      <x:c r="E164" s="13" t="str">
        <x:v>Pending</x:v>
      </x:c>
      <x:c r="F164" s="13" t="str"/>
      <x:c r="G164" s="13" t="str"/>
      <x:c r="H164" s="13" t="str"/>
      <x:c r="I164" s="7" t="str">
        <x:v>Was this person reviewed? If rejected, give the actual rule and evidence. If acceptable, correct the omission. Confirm the Life-qualification gate and any record change since selection.</x:v>
      </x:c>
      <x:c r="J164" s="7" t="str">
        <x:v>L1</x:v>
      </x:c>
      <x:c r="K164" s="7" t="str">
        <x:v>Verified qualifications do not include active general Life. Current target-pool mismatch; actual historical omission reason unknown.</x:v>
      </x:c>
      <x:c r="L164" s="7" t="str">
        <x:v>Not supplied; membership is known, motive is not</x:v>
      </x:c>
      <x:c r="M164" s="7" t="n">
        <x:v>7</x:v>
      </x:c>
      <x:c r="N164" s="7" t="str">
        <x:v>Outside current general-Life recruiting pool</x:v>
      </x:c>
      <x:c r="O164" s="7" t="str">
        <x:v>Not displayed</x:v>
      </x:c>
      <x:c r="P164" s="7" t="str"/>
      <x:c r="Q164" s="7" t="str"/>
      <x:c r="R164" s="7" t="str">
        <x:v>Personal Lines</x:v>
      </x:c>
      <x:c r="S164" s="15" t="str"/>
      <x:c r="T164" s="7" t="str">
        <x:v>No public business phone in collected record</x:v>
      </x:c>
      <x:c r="U164" s="7" t="str">
        <x:v>17200 COMMERCE PARK BLVD TAMPA FL, 33647</x:v>
      </x:c>
      <x:c r="V164" s="7" t="str">
        <x:v>Non-resident</x:v>
      </x:c>
      <x:c r="W164" s="7" t="str">
        <x:v>FL</x:v>
      </x:c>
      <x:c r="X164" s="7" t="str"/>
      <x:c r="Y164" s="7" t="str">
        <x:v>GARRISON PROPERTY AND CASUALTY INSURANCE COMPANY / Personal Lines / 07/09/2026
UNITED SERVICES AUTOMOBILE ASSOCIATION / Personal Lines / 07/09/2026
USAA CASUALTY INSURANCE COMPANY / Personal Lines / 07/09/2026
USAA GENERAL INDEMNITY COMPANY / Personal Lines / 07/09/2026</x:v>
      </x:c>
      <x:c r="Z164" s="7" t="str"/>
      <x:c r="AA164" s="7" t="str"/>
      <x:c r="AB164" s="7" t="str"/>
      <x:c r="AC164" s="7" t="str"/>
      <x:c r="AD164" s="7" t="str"/>
      <x:c r="AE164"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164" s="16" t="str"/>
      <x:c r="AG164" s="17" t="str"/>
      <x:c r="AH164" s="7" t="str"/>
      <x:c r="AI164" s="7" t="str"/>
      <x:c r="AJ164" s="7" t="str"/>
      <x:c r="AK164" s="15" t="str"/>
      <x:c r="AL164" s="7" t="str"/>
      <x:c r="AM164" s="7" t="str">
        <x:v>AGUILAR  AURORA</x:v>
      </x:c>
      <x:c r="AN164" s="7" t="str">
        <x:v>https://cdicloud.insurance.ca.gov/cal/LicenseDetail?SearchType=IND&amp;SearchLicNbr=0M46073&amp;SearchIndvId=2038741</x:v>
      </x:c>
      <x:c r="AO164" s="7" t="str">
        <x:v>2026-10-08</x:v>
      </x:c>
      <x:c r="AP164" s="7" t="str">
        <x:v>1d763554ed1df924e318411dff0f88a36ceca9817e24becf75f218f383702a82</x:v>
      </x:c>
      <x:c r="AQ164" s="7" t="str">
        <x:v>Personal Lines / Active / 07/23/2018 / 07/08/2026 / 07/31/2028</x:v>
      </x:c>
      <x:c r="AR164" s="7" t="str">
        <x:v>Active</x:v>
      </x:c>
      <x:c r="AS164" s="7" t="str">
        <x:v>Current detail page</x:v>
      </x:c>
    </x:row>
    <x:row r="165" ht="52" customHeight="1">
      <x:c r="A165" s="7" t="str">
        <x:v>AGUILAR AUSTIN ANTHONY</x:v>
      </x:c>
      <x:c r="B165" s="14" t="str">
        <x:f>"4306214"</x:f>
        <x:v>4306214</x:v>
      </x:c>
      <x:c r="C165" s="7" t="str">
        <x:v>Omitted</x:v>
      </x:c>
      <x:c r="D165" s="7" t="str">
        <x:v>FAIL</x:v>
      </x:c>
      <x:c r="E165" s="13" t="str">
        <x:v>Pending</x:v>
      </x:c>
      <x:c r="F165" s="13" t="str"/>
      <x:c r="G165" s="13" t="str"/>
      <x:c r="H165" s="13" t="str"/>
      <x:c r="I165" s="7" t="str">
        <x:v>Was this person reviewed? If rejected, give the actual rule and evidence. If acceptable, correct the omission. Confirm the Life-qualification gate and any record change since selection.</x:v>
      </x:c>
      <x:c r="J165" s="7" t="str">
        <x:v>L1</x:v>
      </x:c>
      <x:c r="K165" s="7" t="str">
        <x:v>Verified qualifications do not include active general Life. Current target-pool mismatch; actual historical omission reason unknown.</x:v>
      </x:c>
      <x:c r="L165" s="7" t="str">
        <x:v>Not supplied; membership is known, motive is not</x:v>
      </x:c>
      <x:c r="M165" s="7" t="n">
        <x:v>7</x:v>
      </x:c>
      <x:c r="N165" s="7" t="str">
        <x:v>Outside current general-Life recruiting pool</x:v>
      </x:c>
      <x:c r="O165" s="7" t="str">
        <x:v>Inactive</x:v>
      </x:c>
      <x:c r="P165" s="7" t="str">
        <x:v>08/09/2023</x:v>
      </x:c>
      <x:c r="Q165" s="7" t="str">
        <x:v>08/31/2025</x:v>
      </x:c>
      <x:c r="R165" s="7" t="str"/>
      <x:c r="S165" s="15" t="str"/>
      <x:c r="T165" s="7" t="str">
        <x:v>No public business phone in collected record</x:v>
      </x:c>
      <x:c r="U165" s="7" t="str">
        <x:v>6263 N SCOTTSDALE RD STE 140 SCOTTSDALE AZ, 85250-5411</x:v>
      </x:c>
      <x:c r="V165" s="7" t="str">
        <x:v>Non-resident</x:v>
      </x:c>
      <x:c r="W165" s="7" t="str">
        <x:v>AZ</x:v>
      </x:c>
      <x:c r="X165" s="7" t="str"/>
      <x:c r="Y165" s="7" t="str"/>
      <x:c r="Z165" s="7" t="str"/>
      <x:c r="AA165" s="7" t="str"/>
      <x:c r="AB165" s="7" t="str"/>
      <x:c r="AC165" s="7" t="str"/>
      <x:c r="AD165" s="7" t="str">
        <x:v>No agency or insurer displayed: onboarding opportunity possible; existing business unknown</x:v>
      </x:c>
      <x:c r="AE165" s="7" t="str">
        <x:v>Nonresident or address state outside CA; confirm geographic recruiting scope | No public business phone: contact enrichment needed, not proof of poor recruiting fit</x:v>
      </x:c>
      <x:c r="AF165" s="16" t="str"/>
      <x:c r="AG165" s="17" t="str"/>
      <x:c r="AH165" s="7" t="str"/>
      <x:c r="AI165" s="7" t="str"/>
      <x:c r="AJ165" s="7" t="str"/>
      <x:c r="AK165" s="15" t="str"/>
      <x:c r="AL165" s="7" t="str"/>
      <x:c r="AM165" s="7" t="str">
        <x:v>AGUILAR ANTHONY AUSTIN</x:v>
      </x:c>
      <x:c r="AN165" s="7" t="str">
        <x:v>https://cdicloud.insurance.ca.gov/cal/LicenseDetail?SearchType=IND&amp;SearchLicNbr=4306214&amp;SearchIndvId=4306214</x:v>
      </x:c>
      <x:c r="AO165" s="7" t="str">
        <x:v>2026-10-08</x:v>
      </x:c>
      <x:c r="AP165" s="7" t="str">
        <x:v>40c20d8d58a8356deeace09e1d192c94224d8c70fca28175e23621007f5dccd1</x:v>
      </x:c>
      <x:c r="AQ165" s="7" t="str">
        <x:v>Accident &amp; Health or Sickness / Inactive / 08/09/2023 / 08/31/2025 / 08/31/2025
Life / Inactive / 08/09/2023 / 08/31/2025 / 08/31/2025
Var Life and Var Annuity / Inactive / 08/09/2023 / 08/31/2025 / 08/31/2025</x:v>
      </x:c>
      <x:c r="AR165" s="7" t="str">
        <x:v>Inactive</x:v>
      </x:c>
      <x:c r="AS165" s="7" t="str">
        <x:v>Current detail page</x:v>
      </x:c>
    </x:row>
    <x:row r="166" ht="52" customHeight="1">
      <x:c r="A166" s="7" t="str">
        <x:v>AGUILAR AUSTIN ROBERT</x:v>
      </x:c>
      <x:c r="B166" s="14" t="str">
        <x:f>"4272444"</x:f>
        <x:v>4272444</x:v>
      </x:c>
      <x:c r="C166" s="7" t="str">
        <x:v>Omitted</x:v>
      </x:c>
      <x:c r="D166" s="7" t="str">
        <x:v>FAIL</x:v>
      </x:c>
      <x:c r="E166" s="13" t="str">
        <x:v>Pending</x:v>
      </x:c>
      <x:c r="F166" s="13" t="str"/>
      <x:c r="G166" s="13" t="str"/>
      <x:c r="H166" s="13" t="str"/>
      <x:c r="I166" s="7" t="str">
        <x:v>Was this person reviewed? If rejected, give the actual rule and evidence. If acceptable, correct the omission. Confirm the Life-qualification gate and any record change since selection.</x:v>
      </x:c>
      <x:c r="J166" s="7" t="str">
        <x:v>L1</x:v>
      </x:c>
      <x:c r="K166" s="7" t="str">
        <x:v>Verified qualifications do not include active general Life. Current target-pool mismatch; actual historical omission reason unknown.</x:v>
      </x:c>
      <x:c r="L166" s="7" t="str">
        <x:v>Not supplied; membership is known, motive is not</x:v>
      </x:c>
      <x:c r="M166" s="7" t="n">
        <x:v>7</x:v>
      </x:c>
      <x:c r="N166" s="7" t="str">
        <x:v>Outside current general-Life recruiting pool</x:v>
      </x:c>
      <x:c r="O166" s="7" t="str">
        <x:v>Not displayed</x:v>
      </x:c>
      <x:c r="P166" s="7" t="str"/>
      <x:c r="Q166" s="7" t="str"/>
      <x:c r="R166" s="7" t="str">
        <x:v>Casualty; Property</x:v>
      </x:c>
      <x:c r="S166" s="15" t="str">
        <x:v>415-743-8087</x:v>
      </x:c>
      <x:c r="T166" s="7" t="str">
        <x:v>Current CDI</x:v>
      </x:c>
      <x:c r="U166" s="7" t="str">
        <x:v>1166 AVENUE OF THE AMERICAS NEW YORK NY, 10036-2708</x:v>
      </x:c>
      <x:c r="V166" s="7" t="str">
        <x:v>Non-resident</x:v>
      </x:c>
      <x:c r="W166" s="7" t="str">
        <x:v>NY</x:v>
      </x:c>
      <x:c r="X166" s="7" t="str">
        <x:v>MARSH USA LLC / Property / 03/16/2023
MARSH USA LLC / Casualty / 03/16/2023</x:v>
      </x:c>
      <x:c r="Y166" s="7" t="str"/>
      <x:c r="Z166" s="7" t="str"/>
      <x:c r="AA166" s="7" t="str"/>
      <x:c r="AB166" s="7" t="str"/>
      <x:c r="AC166" s="7" t="str"/>
      <x:c r="AD166" s="7" t="str"/>
      <x:c r="AE166" s="7" t="str">
        <x:v>P&amp;C/Personal Lines authority without displayed core Life appointments; mixed profile requires review | Nonresident or address state outside CA; confirm geographic recruiting scope</x:v>
      </x:c>
      <x:c r="AF166" s="16" t="str"/>
      <x:c r="AG166" s="17" t="str"/>
      <x:c r="AH166" s="7" t="str"/>
      <x:c r="AI166" s="7" t="str">
        <x:v>English</x:v>
      </x:c>
      <x:c r="AJ166" s="7" t="str"/>
      <x:c r="AK166" s="15" t="str"/>
      <x:c r="AL166" s="7" t="str"/>
      <x:c r="AM166" s="7" t="str">
        <x:v>AGUILAR ROBERT AUSTIN</x:v>
      </x:c>
      <x:c r="AN166" s="7" t="str">
        <x:v>https://cdicloud.insurance.ca.gov/cal/LicenseDetail?SearchType=IND&amp;SearchLicNbr=4272444&amp;SearchIndvId=4272444</x:v>
      </x:c>
      <x:c r="AO166" s="7" t="str">
        <x:v>2026-10-08</x:v>
      </x:c>
      <x:c r="AP166" s="7" t="str">
        <x:v>da2dfab14fb61c56eb000757acc5ae53c511576bce5f71e150bf2f7aaae44297</x:v>
      </x:c>
      <x:c r="AQ166" s="7" t="str">
        <x:v>Casualty / Active / 03/07/2023 / 04/15/2026 / 03/31/2027
Property / Active / 03/07/2023 / 04/15/2026 / 03/31/2027</x:v>
      </x:c>
      <x:c r="AR166" s="7" t="str">
        <x:v>Active</x:v>
      </x:c>
      <x:c r="AS166" s="7" t="str">
        <x:v>Current detail page</x:v>
      </x:c>
    </x:row>
    <x:row r="167" ht="52" customHeight="1">
      <x:c r="A167" s="7" t="str">
        <x:v>AGUILAR AVERY</x:v>
      </x:c>
      <x:c r="B167" s="14" t="str">
        <x:f>"0L90633"</x:f>
        <x:v>0L90633</x:v>
      </x:c>
      <x:c r="C167" s="7" t="str">
        <x:v>Omitted</x:v>
      </x:c>
      <x:c r="D167" s="7" t="str">
        <x:v>FAIL</x:v>
      </x:c>
      <x:c r="E167" s="13" t="str">
        <x:v>Pending</x:v>
      </x:c>
      <x:c r="F167" s="13" t="str"/>
      <x:c r="G167" s="13" t="str"/>
      <x:c r="H167" s="13" t="str"/>
      <x:c r="I167" s="7" t="str">
        <x:v>Was this person reviewed? If rejected, give the actual rule and evidence. If acceptable, correct the omission. Confirm the Life-qualification gate and any record change since selection.</x:v>
      </x:c>
      <x:c r="J167" s="7" t="str">
        <x:v>L1</x:v>
      </x:c>
      <x:c r="K167" s="7" t="str">
        <x:v>Verified qualifications do not include active general Life. Current target-pool mismatch; actual historical omission reason unknown.</x:v>
      </x:c>
      <x:c r="L167" s="7" t="str">
        <x:v>Not supplied; membership is known, motive is not</x:v>
      </x:c>
      <x:c r="M167" s="7" t="n">
        <x:v>7</x:v>
      </x:c>
      <x:c r="N167" s="7" t="str">
        <x:v>Outside current general-Life recruiting pool</x:v>
      </x:c>
      <x:c r="O167" s="7" t="str">
        <x:v>Not displayed</x:v>
      </x:c>
      <x:c r="P167" s="7" t="str"/>
      <x:c r="Q167" s="7" t="str"/>
      <x:c r="R167" s="7" t="str"/>
      <x:c r="S167" s="15" t="str"/>
      <x:c r="T167" s="7" t="str">
        <x:v>No public business phone in collected record</x:v>
      </x:c>
      <x:c r="U167" s="7" t="str"/>
      <x:c r="V167" s="7" t="str">
        <x:v>Resident</x:v>
      </x:c>
      <x:c r="W167" s="7" t="str">
        <x:v>CA</x:v>
      </x:c>
      <x:c r="X167" s="7" t="str"/>
      <x:c r="Y167" s="7" t="str"/>
      <x:c r="Z167" s="7" t="str"/>
      <x:c r="AA167" s="7" t="str"/>
      <x:c r="AB167" s="7" t="str"/>
      <x:c r="AC167" s="7" t="str"/>
      <x:c r="AD167" s="7" t="str">
        <x:v>No agency or insurer displayed: onboarding opportunity possible; existing business unknown</x:v>
      </x:c>
      <x:c r="AE167" s="7" t="str">
        <x:v>No public business phone: contact enrichment needed, not proof of poor recruiting fit</x:v>
      </x:c>
      <x:c r="AF167" s="16" t="str"/>
      <x:c r="AG167" s="17" t="str"/>
      <x:c r="AH167" s="7" t="str"/>
      <x:c r="AI167" s="7" t="str">
        <x:v>English, Tagalog</x:v>
      </x:c>
      <x:c r="AJ167" s="7" t="str"/>
      <x:c r="AK167" s="15" t="str"/>
      <x:c r="AL167" s="7" t="str"/>
      <x:c r="AM167" s="7" t="str">
        <x:v>AGUILAR  AVERY</x:v>
      </x:c>
      <x:c r="AN167" s="7" t="str">
        <x:v>https://cdicloud.insurance.ca.gov/cal/LicenseDetail?SearchType=IND&amp;SearchLicNbr=0L90633&amp;SearchIndvId=1960204</x:v>
      </x:c>
      <x:c r="AO167" s="7" t="str">
        <x:v>2026-10-08</x:v>
      </x:c>
      <x:c r="AP167" s="7" t="str">
        <x:v>b2be9eb22c435c6b365869f4180a2ced068539b897045014ad0c4e3a2bc03a15</x:v>
      </x:c>
      <x:c r="AQ167" s="7" t="str">
        <x:v>Life-Only / Inactive / 08/28/2017 / 08/31/2019 / 08/31/2019</x:v>
      </x:c>
      <x:c r="AR167" s="7" t="str">
        <x:v>Inactive</x:v>
      </x:c>
      <x:c r="AS167" s="7" t="str">
        <x:v>Current detail page</x:v>
      </x:c>
    </x:row>
    <x:row r="168" ht="52" customHeight="1">
      <x:c r="A168" s="7" t="str">
        <x:v>AGUILAR AXEL NEMECIO</x:v>
      </x:c>
      <x:c r="B168" s="14" t="str">
        <x:f>"4038144"</x:f>
        <x:v>4038144</x:v>
      </x:c>
      <x:c r="C168" s="7" t="str">
        <x:v>Omitted</x:v>
      </x:c>
      <x:c r="D168" s="7" t="str">
        <x:v>FAIL</x:v>
      </x:c>
      <x:c r="E168" s="13" t="str">
        <x:v>Pending</x:v>
      </x:c>
      <x:c r="F168" s="13" t="str"/>
      <x:c r="G168" s="13" t="str"/>
      <x:c r="H168" s="13" t="str"/>
      <x:c r="I168" s="7" t="str">
        <x:v>Was this person reviewed? If rejected, give the actual rule and evidence. If acceptable, correct the omission. Confirm the Life-qualification gate and any record change since selection.</x:v>
      </x:c>
      <x:c r="J168" s="7" t="str">
        <x:v>L1</x:v>
      </x:c>
      <x:c r="K168" s="7" t="str">
        <x:v>Verified qualifications do not include active general Life. Current target-pool mismatch; actual historical omission reason unknown.</x:v>
      </x:c>
      <x:c r="L168" s="7" t="str">
        <x:v>Not supplied; membership is known, motive is not</x:v>
      </x:c>
      <x:c r="M168" s="7" t="n">
        <x:v>7</x:v>
      </x:c>
      <x:c r="N168" s="7" t="str">
        <x:v>Outside current general-Life recruiting pool</x:v>
      </x:c>
      <x:c r="O168" s="7" t="str">
        <x:v>Inactive</x:v>
      </x:c>
      <x:c r="P168" s="7" t="str">
        <x:v>03/23/2020</x:v>
      </x:c>
      <x:c r="Q168" s="7" t="str">
        <x:v>03/31/2022</x:v>
      </x:c>
      <x:c r="R168" s="7" t="str"/>
      <x:c r="S168" s="15" t="str">
        <x:v>818-617-0039</x:v>
      </x:c>
      <x:c r="T168" s="7" t="str">
        <x:v>Current CDI</x:v>
      </x:c>
      <x:c r="U168" s="7" t="str">
        <x:v>13741 FOOTHILL BLVD STE 250 SYLMAR CA, 91342</x:v>
      </x:c>
      <x:c r="V168" s="7" t="str">
        <x:v>Resident</x:v>
      </x:c>
      <x:c r="W168" s="7" t="str">
        <x:v>CA</x:v>
      </x:c>
      <x:c r="X168" s="7" t="str"/>
      <x:c r="Y168" s="7" t="str"/>
      <x:c r="Z168" s="7" t="str"/>
      <x:c r="AA168" s="7" t="str"/>
      <x:c r="AB168" s="7" t="str"/>
      <x:c r="AC168" s="7" t="str"/>
      <x:c r="AD168" s="7" t="str">
        <x:v>No agency or insurer displayed: onboarding opportunity possible; existing business unknown</x:v>
      </x:c>
      <x:c r="AE168" s="7" t="str"/>
      <x:c r="AF168" s="16" t="str"/>
      <x:c r="AG168" s="17" t="str"/>
      <x:c r="AH168" s="7" t="str"/>
      <x:c r="AI168" s="7" t="str">
        <x:v>English</x:v>
      </x:c>
      <x:c r="AJ168" s="7" t="str"/>
      <x:c r="AK168" s="15" t="str"/>
      <x:c r="AL168" s="7" t="str"/>
      <x:c r="AM168" s="7" t="str">
        <x:v>Aguilar N Axel | AGUILAR NEMECIO AXEL</x:v>
      </x:c>
      <x:c r="AN168" s="7" t="str">
        <x:v>https://cdicloud.insurance.ca.gov/cal/LicenseDetail?SearchType=IND&amp;SearchLicNbr=4038144&amp;SearchIndvId=4038144</x:v>
      </x:c>
      <x:c r="AO168" s="7" t="str">
        <x:v>2026-10-08</x:v>
      </x:c>
      <x:c r="AP168" s="7" t="str">
        <x:v>5347b4a05426409137ad6c3a63ee9f576bccfd48988aedd51ee9e581795cdc69</x:v>
      </x:c>
      <x:c r="AQ168" s="7" t="str">
        <x:v>Life / Inactive / 03/23/2020 / 03/31/2022 / 03/31/2022</x:v>
      </x:c>
      <x:c r="AR168" s="7" t="str">
        <x:v>Inactive</x:v>
      </x:c>
      <x:c r="AS168" s="7" t="str">
        <x:v>Current detail page</x:v>
      </x:c>
    </x:row>
    <x:row r="169" ht="52" customHeight="1">
      <x:c r="A169" s="7" t="str">
        <x:v>AGUILAR AZELIA MARGARITA</x:v>
      </x:c>
      <x:c r="B169" s="14" t="str">
        <x:f>"0F06515"</x:f>
        <x:v>0F06515</x:v>
      </x:c>
      <x:c r="C169" s="7" t="str">
        <x:v>Omitted</x:v>
      </x:c>
      <x:c r="D169" s="7" t="str">
        <x:v>FAIL</x:v>
      </x:c>
      <x:c r="E169" s="13" t="str">
        <x:v>Pending</x:v>
      </x:c>
      <x:c r="F169" s="13" t="str"/>
      <x:c r="G169" s="13" t="str"/>
      <x:c r="H169" s="13" t="str"/>
      <x:c r="I169" s="7" t="str">
        <x:v>Was this person reviewed? If rejected, give the actual rule and evidence. If acceptable, correct the omission. Confirm the Life-qualification gate and any record change since selection.</x:v>
      </x:c>
      <x:c r="J169" s="7" t="str">
        <x:v>L1</x:v>
      </x:c>
      <x:c r="K169" s="7" t="str">
        <x:v>Verified qualifications do not include active general Life. Current target-pool mismatch; actual historical omission reason unknown.</x:v>
      </x:c>
      <x:c r="L169" s="7" t="str">
        <x:v>Not supplied; membership is known, motive is not</x:v>
      </x:c>
      <x:c r="M169" s="7" t="n">
        <x:v>7</x:v>
      </x:c>
      <x:c r="N169" s="7" t="str">
        <x:v>Outside current general-Life recruiting pool</x:v>
      </x:c>
      <x:c r="O169" s="7" t="str">
        <x:v>Not displayed</x:v>
      </x:c>
      <x:c r="P169" s="7" t="str"/>
      <x:c r="Q169" s="7" t="str"/>
      <x:c r="R169" s="7" t="str"/>
      <x:c r="S169" s="15" t="str"/>
      <x:c r="T169" s="7" t="str">
        <x:v>No public business phone in collected record</x:v>
      </x:c>
      <x:c r="U169" s="7" t="str"/>
      <x:c r="V169" s="7" t="str">
        <x:v>Resident</x:v>
      </x:c>
      <x:c r="W169" s="7" t="str">
        <x:v>CA</x:v>
      </x:c>
      <x:c r="X169" s="7" t="str"/>
      <x:c r="Y169" s="7" t="str"/>
      <x:c r="Z169" s="7" t="str"/>
      <x:c r="AA169" s="7" t="str"/>
      <x:c r="AB169" s="7" t="str"/>
      <x:c r="AC169" s="7" t="str"/>
      <x:c r="AD169" s="7" t="str">
        <x:v>No agency or insurer displayed: onboarding opportunity possible; existing business unknown</x:v>
      </x:c>
      <x:c r="AE169" s="7" t="str">
        <x:v>No public business phone: contact enrichment needed, not proof of poor recruiting fit</x:v>
      </x:c>
      <x:c r="AF169" s="16" t="str"/>
      <x:c r="AG169" s="17" t="str"/>
      <x:c r="AH169" s="7" t="str"/>
      <x:c r="AI169" s="7" t="str"/>
      <x:c r="AJ169" s="7" t="str"/>
      <x:c r="AK169" s="15" t="str"/>
      <x:c r="AL169" s="7" t="str"/>
      <x:c r="AM169" s="7" t="str">
        <x:v>AGUILAR MARGARITA AZELIA</x:v>
      </x:c>
      <x:c r="AN169" s="7" t="str">
        <x:v>https://cdicloud.insurance.ca.gov/cal/LicenseDetail?SearchType=IND&amp;SearchLicNbr=0F06515&amp;SearchIndvId=990538</x:v>
      </x:c>
      <x:c r="AO169" s="7" t="str">
        <x:v>2026-10-08</x:v>
      </x:c>
      <x:c r="AP169" s="7" t="str">
        <x:v>3d55062d764cd22076888fb9483eeac8566437d62a4222acb5ad742ca7a78bc8</x:v>
      </x:c>
      <x:c r="AQ169" s="7" t="str">
        <x:v>Accident and Health / Inactive / 01/26/2006 / 01/31/2008 / 01/31/2008
Life-Only / Inactive / 01/26/2006 / 01/31/2008 / 01/31/2008</x:v>
      </x:c>
      <x:c r="AR169" s="7" t="str">
        <x:v>Inactive</x:v>
      </x:c>
      <x:c r="AS169" s="7" t="str">
        <x:v>Current detail page</x:v>
      </x:c>
    </x:row>
    <x:row r="170" ht="52" customHeight="1">
      <x:c r="A170" s="7" t="str">
        <x:v>AGUILAR BARBARA JANE</x:v>
      </x:c>
      <x:c r="B170" s="14" t="str">
        <x:f>"0C97212"</x:f>
        <x:v>0C97212</x:v>
      </x:c>
      <x:c r="C170" s="7" t="str">
        <x:v>Omitted</x:v>
      </x:c>
      <x:c r="D170" s="7" t="str">
        <x:v>FAIL</x:v>
      </x:c>
      <x:c r="E170" s="13" t="str">
        <x:v>Pending</x:v>
      </x:c>
      <x:c r="F170" s="13" t="str"/>
      <x:c r="G170" s="13" t="str"/>
      <x:c r="H170" s="13" t="str"/>
      <x:c r="I170" s="7" t="str">
        <x:v>Was this person reviewed? If rejected, give the actual rule and evidence. If acceptable, correct the omission. Confirm the Life-qualification gate and any record change since selection.</x:v>
      </x:c>
      <x:c r="J170" s="7" t="str">
        <x:v>L1</x:v>
      </x:c>
      <x:c r="K170" s="7" t="str">
        <x:v>Verified qualifications do not include active general Life. Current target-pool mismatch; actual historical omission reason unknown.</x:v>
      </x:c>
      <x:c r="L170" s="7" t="str">
        <x:v>Not supplied; membership is known, motive is not</x:v>
      </x:c>
      <x:c r="M170" s="7" t="n">
        <x:v>7</x:v>
      </x:c>
      <x:c r="N170" s="7" t="str">
        <x:v>Outside current general-Life recruiting pool</x:v>
      </x:c>
      <x:c r="O170" s="7" t="str">
        <x:v>Not displayed</x:v>
      </x:c>
      <x:c r="P170" s="7" t="str"/>
      <x:c r="Q170" s="7" t="str"/>
      <x:c r="R170" s="7" t="str"/>
      <x:c r="S170" s="15" t="str"/>
      <x:c r="T170" s="7" t="str">
        <x:v>No public business phone in collected record</x:v>
      </x:c>
      <x:c r="U170" s="7" t="str"/>
      <x:c r="V170" s="7" t="str">
        <x:v>Resident</x:v>
      </x:c>
      <x:c r="W170" s="7" t="str">
        <x:v>CA</x:v>
      </x:c>
      <x:c r="X170" s="7" t="str"/>
      <x:c r="Y170" s="7" t="str"/>
      <x:c r="Z170" s="7" t="str"/>
      <x:c r="AA170" s="7" t="str"/>
      <x:c r="AB170" s="7" t="str"/>
      <x:c r="AC170" s="7" t="str"/>
      <x:c r="AD170" s="7" t="str">
        <x:v>No agency or insurer displayed: onboarding opportunity possible; existing business unknown</x:v>
      </x:c>
      <x:c r="AE170" s="7" t="str">
        <x:v>No public business phone: contact enrichment needed, not proof of poor recruiting fit</x:v>
      </x:c>
      <x:c r="AF170" s="16" t="str"/>
      <x:c r="AG170" s="17" t="str"/>
      <x:c r="AH170" s="7" t="str"/>
      <x:c r="AI170" s="7" t="str"/>
      <x:c r="AJ170" s="7" t="str"/>
      <x:c r="AK170" s="15" t="str"/>
      <x:c r="AL170" s="7" t="str"/>
      <x:c r="AM170" s="7" t="str">
        <x:v>AGUILAR JANE BARBARA</x:v>
      </x:c>
      <x:c r="AN170" s="7" t="str">
        <x:v>https://cdicloud.insurance.ca.gov/cal/LicenseDetail?SearchType=IND&amp;SearchLicNbr=0C97212&amp;SearchIndvId=491511</x:v>
      </x:c>
      <x:c r="AO170" s="7" t="str">
        <x:v>2026-10-08</x:v>
      </x:c>
      <x:c r="AP170" s="7" t="str">
        <x:v>2df0780d4b4bd23121a3f72645214c58f85d768f2a64b49935bbe8eb44552ce2</x:v>
      </x:c>
      <x:c r="AQ170" s="7" t="str">
        <x:v>Accident and Health / Inactive / 09/21/2000 / 05/31/2002 / 05/31/2002
Casualty Broker-Agent / Inactive / 05/30/2000 / 05/31/2002 / 05/31/2002
Life-Only / Inactive / 09/21/2000 / 05/31/2002 / 05/31/2002
Property Broker-Agent / Inactive / 05/30/2000 / 05/31/2002 / 05/31/2002</x:v>
      </x:c>
      <x:c r="AR170" s="7" t="str">
        <x:v>Inactive</x:v>
      </x:c>
      <x:c r="AS170" s="7" t="str">
        <x:v>Current detail page</x:v>
      </x:c>
    </x:row>
    <x:row r="171" ht="52" customHeight="1">
      <x:c r="A171" s="7" t="str">
        <x:v>AGUILAR BAUDELIO ROBERT III</x:v>
      </x:c>
      <x:c r="B171" s="14" t="str">
        <x:f>"1843987"</x:f>
        <x:v>1843987</x:v>
      </x:c>
      <x:c r="C171" s="7" t="str">
        <x:v>Omitted</x:v>
      </x:c>
      <x:c r="D171" s="7" t="str">
        <x:v>FAIL</x:v>
      </x:c>
      <x:c r="E171" s="13" t="str">
        <x:v>Pending</x:v>
      </x:c>
      <x:c r="F171" s="13" t="str"/>
      <x:c r="G171" s="13" t="str"/>
      <x:c r="H171" s="13" t="str"/>
      <x:c r="I171" s="7" t="str">
        <x:v>Was this person reviewed? If rejected, give the actual rule and evidence. If acceptable, correct the omission. Confirm the Life-qualification gate and any record change since selection.</x:v>
      </x:c>
      <x:c r="J171" s="7" t="str">
        <x:v>L1</x:v>
      </x:c>
      <x:c r="K171" s="7" t="str">
        <x:v>Verified qualifications do not include active general Life. Current target-pool mismatch; actual historical omission reason unknown.</x:v>
      </x:c>
      <x:c r="L171" s="7" t="str">
        <x:v>Not supplied; membership is known, motive is not</x:v>
      </x:c>
      <x:c r="M171" s="7" t="n">
        <x:v>7</x:v>
      </x:c>
      <x:c r="N171" s="7" t="str">
        <x:v>Outside current general-Life recruiting pool</x:v>
      </x:c>
      <x:c r="O171" s="7" t="str">
        <x:v>Not displayed</x:v>
      </x:c>
      <x:c r="P171" s="7" t="str"/>
      <x:c r="Q171" s="7" t="str"/>
      <x:c r="R171" s="7" t="str"/>
      <x:c r="S171" s="15" t="str"/>
      <x:c r="T171" s="7" t="str">
        <x:v>No public business phone in collected record</x:v>
      </x:c>
      <x:c r="U171" s="7" t="str"/>
      <x:c r="V171" s="7" t="str">
        <x:v>Resident</x:v>
      </x:c>
      <x:c r="W171" s="7" t="str">
        <x:v>CA</x:v>
      </x:c>
      <x:c r="X171" s="7" t="str"/>
      <x:c r="Y171" s="7" t="str"/>
      <x:c r="Z171" s="7" t="str"/>
      <x:c r="AA171" s="7" t="str"/>
      <x:c r="AB171" s="7" t="str"/>
      <x:c r="AC171" s="7" t="str"/>
      <x:c r="AD171" s="7" t="str">
        <x:v>No agency or insurer displayed: onboarding opportunity possible; existing business unknown</x:v>
      </x:c>
      <x:c r="AE171" s="7" t="str">
        <x:v>No public business phone: contact enrichment needed, not proof of poor recruiting fit</x:v>
      </x:c>
      <x:c r="AF171" s="16" t="str"/>
      <x:c r="AG171" s="17" t="str"/>
      <x:c r="AH171" s="7" t="str"/>
      <x:c r="AI171" s="7" t="str"/>
      <x:c r="AJ171" s="7" t="str"/>
      <x:c r="AK171" s="15" t="str"/>
      <x:c r="AL171" s="7" t="str"/>
      <x:c r="AM171" s="7" t="str">
        <x:v>AGUILAR ROBERT BAUDELIO</x:v>
      </x:c>
      <x:c r="AN171" s="7" t="str">
        <x:v>https://cdicloud.insurance.ca.gov/cal/LicenseDetail?SearchType=IND&amp;SearchLicNbr=1843987&amp;SearchIndvId=1051292</x:v>
      </x:c>
      <x:c r="AO171" s="7" t="str">
        <x:v>2026-10-08</x:v>
      </x:c>
      <x:c r="AP171" s="7" t="str">
        <x:v>f263bd493736c1bc014c3693967fe6abca64f08488f785fb45878520b4b013ea</x:v>
      </x:c>
      <x:c r="AQ171" s="7" t="str">
        <x:v>Bail Agent / Inactive / 10/20/2006 / 08/17/2007 / 08/17/2007</x:v>
      </x:c>
      <x:c r="AR171" s="7" t="str">
        <x:v>Inactive</x:v>
      </x:c>
      <x:c r="AS171" s="7" t="str">
        <x:v>Current detail page</x:v>
      </x:c>
    </x:row>
    <x:row r="172" ht="52" customHeight="1">
      <x:c r="A172" s="7" t="str">
        <x:v>AGUILAR BEATRIZ YORLENY</x:v>
      </x:c>
      <x:c r="B172" s="14" t="str">
        <x:f>"0D40430"</x:f>
        <x:v>0D40430</x:v>
      </x:c>
      <x:c r="C172" s="7" t="str">
        <x:v>Omitted</x:v>
      </x:c>
      <x:c r="D172" s="7" t="str">
        <x:v>FAIL</x:v>
      </x:c>
      <x:c r="E172" s="13" t="str">
        <x:v>Pending</x:v>
      </x:c>
      <x:c r="F172" s="13" t="str"/>
      <x:c r="G172" s="13" t="str"/>
      <x:c r="H172" s="13" t="str"/>
      <x:c r="I172" s="7" t="str">
        <x:v>Was this person reviewed? If rejected, give the actual rule and evidence. If acceptable, correct the omission. Confirm the Life-qualification gate and any record change since selection.</x:v>
      </x:c>
      <x:c r="J172" s="7" t="str">
        <x:v>L1</x:v>
      </x:c>
      <x:c r="K172" s="7" t="str">
        <x:v>Verified qualifications do not include active general Life. Current target-pool mismatch; actual historical omission reason unknown.</x:v>
      </x:c>
      <x:c r="L172" s="7" t="str">
        <x:v>Not supplied; membership is known, motive is not</x:v>
      </x:c>
      <x:c r="M172" s="7" t="n">
        <x:v>7</x:v>
      </x:c>
      <x:c r="N172" s="7" t="str">
        <x:v>Outside current general-Life recruiting pool</x:v>
      </x:c>
      <x:c r="O172" s="7" t="str">
        <x:v>Not displayed</x:v>
      </x:c>
      <x:c r="P172" s="7" t="str"/>
      <x:c r="Q172" s="7" t="str"/>
      <x:c r="R172" s="7" t="str"/>
      <x:c r="S172" s="15" t="str"/>
      <x:c r="T172" s="7" t="str">
        <x:v>No public business phone in collected record</x:v>
      </x:c>
      <x:c r="U172" s="7" t="str"/>
      <x:c r="V172" s="7" t="str">
        <x:v>Resident</x:v>
      </x:c>
      <x:c r="W172" s="7" t="str">
        <x:v>CA</x:v>
      </x:c>
      <x:c r="X172" s="7" t="str"/>
      <x:c r="Y172" s="7" t="str"/>
      <x:c r="Z172" s="7" t="str"/>
      <x:c r="AA172" s="7" t="str"/>
      <x:c r="AB172" s="7" t="str"/>
      <x:c r="AC172" s="7" t="str"/>
      <x:c r="AD172" s="7" t="str">
        <x:v>No agency or insurer displayed: onboarding opportunity possible; existing business unknown</x:v>
      </x:c>
      <x:c r="AE172" s="7" t="str">
        <x:v>No public business phone: contact enrichment needed, not proof of poor recruiting fit</x:v>
      </x:c>
      <x:c r="AF172" s="16" t="str"/>
      <x:c r="AG172" s="17" t="str"/>
      <x:c r="AH172" s="7" t="str"/>
      <x:c r="AI172" s="7" t="str"/>
      <x:c r="AJ172" s="7" t="str"/>
      <x:c r="AK172" s="15" t="str"/>
      <x:c r="AL172" s="7" t="str"/>
      <x:c r="AM172" s="7" t="str">
        <x:v>AGUILAR YORLENY BEATRIZ</x:v>
      </x:c>
      <x:c r="AN172" s="7" t="str">
        <x:v>https://cdicloud.insurance.ca.gov/cal/LicenseDetail?SearchType=IND&amp;SearchLicNbr=0D40430&amp;SearchIndvId=580318</x:v>
      </x:c>
      <x:c r="AO172" s="7" t="str">
        <x:v>2026-10-08</x:v>
      </x:c>
      <x:c r="AP172" s="7" t="str">
        <x:v>01a1178a5b7aa71d43bb58b47733a8a4ffa3d20eebafff74058b9fec310a68dd</x:v>
      </x:c>
      <x:c r="AQ172" s="7" t="str">
        <x:v>Accident and Health / Inactive / 08/30/2001 / 08/31/2003 / 08/31/2003
Life-Only / Inactive / 08/30/2001 / 08/31/2003 / 08/31/2003</x:v>
      </x:c>
      <x:c r="AR172" s="7" t="str">
        <x:v>Inactive</x:v>
      </x:c>
      <x:c r="AS172" s="7" t="str">
        <x:v>Current detail page</x:v>
      </x:c>
    </x:row>
    <x:row r="173" ht="52" customHeight="1">
      <x:c r="A173" s="7" t="str">
        <x:v>AGUILAR BELEN</x:v>
      </x:c>
      <x:c r="B173" s="14" t="str">
        <x:f>"0I22602"</x:f>
        <x:v>0I22602</x:v>
      </x:c>
      <x:c r="C173" s="7" t="str">
        <x:v>Omitted</x:v>
      </x:c>
      <x:c r="D173" s="7" t="str">
        <x:v>FAIL</x:v>
      </x:c>
      <x:c r="E173" s="13" t="str">
        <x:v>Pending</x:v>
      </x:c>
      <x:c r="F173" s="13" t="str"/>
      <x:c r="G173" s="13" t="str"/>
      <x:c r="H173" s="13" t="str"/>
      <x:c r="I173" s="7" t="str">
        <x:v>Was this person reviewed? If rejected, give the actual rule and evidence. If acceptable, correct the omission. Confirm the Life-qualification gate and any record change since selection.</x:v>
      </x:c>
      <x:c r="J173" s="7" t="str">
        <x:v>L1</x:v>
      </x:c>
      <x:c r="K173" s="7" t="str">
        <x:v>Verified qualifications do not include active general Life. Current target-pool mismatch; actual historical omission reason unknown.</x:v>
      </x:c>
      <x:c r="L173" s="7" t="str">
        <x:v>Not supplied; membership is known, motive is not</x:v>
      </x:c>
      <x:c r="M173" s="7" t="n">
        <x:v>7</x:v>
      </x:c>
      <x:c r="N173" s="7" t="str">
        <x:v>Outside current general-Life recruiting pool</x:v>
      </x:c>
      <x:c r="O173" s="7" t="str">
        <x:v>Not displayed</x:v>
      </x:c>
      <x:c r="P173" s="7" t="str"/>
      <x:c r="Q173" s="7" t="str"/>
      <x:c r="R173" s="7" t="str"/>
      <x:c r="S173" s="15" t="str"/>
      <x:c r="T173" s="7" t="str">
        <x:v>No public business phone in collected record</x:v>
      </x:c>
      <x:c r="U173" s="7" t="str"/>
      <x:c r="V173" s="7" t="str">
        <x:v>Resident</x:v>
      </x:c>
      <x:c r="W173" s="7" t="str">
        <x:v>CA</x:v>
      </x:c>
      <x:c r="X173" s="7" t="str"/>
      <x:c r="Y173" s="7" t="str"/>
      <x:c r="Z173" s="7" t="str"/>
      <x:c r="AA173" s="7" t="str"/>
      <x:c r="AB173" s="7" t="str"/>
      <x:c r="AC173" s="7" t="str"/>
      <x:c r="AD173" s="7" t="str">
        <x:v>No agency or insurer displayed: onboarding opportunity possible; existing business unknown</x:v>
      </x:c>
      <x:c r="AE173" s="7" t="str">
        <x:v>No public business phone: contact enrichment needed, not proof of poor recruiting fit</x:v>
      </x:c>
      <x:c r="AF173" s="16" t="str"/>
      <x:c r="AG173" s="17" t="str"/>
      <x:c r="AH173" s="7" t="str"/>
      <x:c r="AI173" s="7" t="str"/>
      <x:c r="AJ173" s="7" t="str"/>
      <x:c r="AK173" s="15" t="str"/>
      <x:c r="AL173" s="7" t="str"/>
      <x:c r="AM173" s="7" t="str">
        <x:v>AGUILAR  BELEN</x:v>
      </x:c>
      <x:c r="AN173" s="7" t="str">
        <x:v>https://cdicloud.insurance.ca.gov/cal/LicenseDetail?SearchType=IND&amp;SearchLicNbr=0I22602&amp;SearchIndvId=1556017</x:v>
      </x:c>
      <x:c r="AO173" s="7" t="str">
        <x:v>2026-10-08</x:v>
      </x:c>
      <x:c r="AP173" s="7" t="str">
        <x:v>1830767f576eae6828be2729796579058ec335745246006fdbf349d10f97b367</x:v>
      </x:c>
      <x:c r="AQ173" s="7" t="str">
        <x:v>Limited Lines Automobile / Inactive / 02/07/2013 / 02/28/2015 / 02/28/2015</x:v>
      </x:c>
      <x:c r="AR173" s="7" t="str">
        <x:v>Inactive</x:v>
      </x:c>
      <x:c r="AS173" s="7" t="str">
        <x:v>Current detail page</x:v>
      </x:c>
    </x:row>
    <x:row r="174" ht="52" customHeight="1">
      <x:c r="A174" s="7" t="str">
        <x:v>AGUILAR BELINDA ERICA</x:v>
      </x:c>
      <x:c r="B174" s="14" t="str">
        <x:f>"0D12304"</x:f>
        <x:v>0D12304</x:v>
      </x:c>
      <x:c r="C174" s="7" t="str">
        <x:v>Omitted</x:v>
      </x:c>
      <x:c r="D174" s="7" t="str">
        <x:v>FAIL</x:v>
      </x:c>
      <x:c r="E174" s="13" t="str">
        <x:v>Pending</x:v>
      </x:c>
      <x:c r="F174" s="13" t="str"/>
      <x:c r="G174" s="13" t="str"/>
      <x:c r="H174" s="13" t="str"/>
      <x:c r="I174" s="7" t="str">
        <x:v>Was this person reviewed? If rejected, give the actual rule and evidence. If acceptable, correct the omission. Confirm the Life-qualification gate and any record change since selection.</x:v>
      </x:c>
      <x:c r="J174" s="7" t="str">
        <x:v>L1</x:v>
      </x:c>
      <x:c r="K174" s="7" t="str">
        <x:v>Verified qualifications do not include active general Life. Current target-pool mismatch; actual historical omission reason unknown.</x:v>
      </x:c>
      <x:c r="L174" s="7" t="str">
        <x:v>Not supplied; membership is known, motive is not</x:v>
      </x:c>
      <x:c r="M174" s="7" t="n">
        <x:v>7</x:v>
      </x:c>
      <x:c r="N174" s="7" t="str">
        <x:v>Outside current general-Life recruiting pool</x:v>
      </x:c>
      <x:c r="O174" s="7" t="str">
        <x:v>Not displayed</x:v>
      </x:c>
      <x:c r="P174" s="7" t="str"/>
      <x:c r="Q174" s="7" t="str"/>
      <x:c r="R174" s="7" t="str"/>
      <x:c r="S174" s="15" t="str"/>
      <x:c r="T174" s="7" t="str">
        <x:v>No public business phone in collected record</x:v>
      </x:c>
      <x:c r="U174" s="7" t="str"/>
      <x:c r="V174" s="7" t="str">
        <x:v>Resident</x:v>
      </x:c>
      <x:c r="W174" s="7" t="str">
        <x:v>CA</x:v>
      </x:c>
      <x:c r="X174" s="7" t="str"/>
      <x:c r="Y174" s="7" t="str"/>
      <x:c r="Z174" s="7" t="str"/>
      <x:c r="AA174" s="7" t="str"/>
      <x:c r="AB174" s="7" t="str"/>
      <x:c r="AC174" s="7" t="str"/>
      <x:c r="AD174" s="7" t="str">
        <x:v>No agency or insurer displayed: onboarding opportunity possible; existing business unknown</x:v>
      </x:c>
      <x:c r="AE174" s="7" t="str">
        <x:v>No public business phone: contact enrichment needed, not proof of poor recruiting fit</x:v>
      </x:c>
      <x:c r="AF174" s="16" t="str"/>
      <x:c r="AG174" s="17" t="str"/>
      <x:c r="AH174" s="7" t="str"/>
      <x:c r="AI174" s="7" t="str"/>
      <x:c r="AJ174" s="7" t="str"/>
      <x:c r="AK174" s="15" t="str"/>
      <x:c r="AL174" s="7" t="str"/>
      <x:c r="AM174" s="7" t="str">
        <x:v>AGUILAR ERICA BELINDA</x:v>
      </x:c>
      <x:c r="AN174" s="7" t="str">
        <x:v>https://cdicloud.insurance.ca.gov/cal/LicenseDetail?SearchType=IND&amp;SearchLicNbr=0D12304&amp;SearchIndvId=522485</x:v>
      </x:c>
      <x:c r="AO174" s="7" t="str">
        <x:v>2026-10-08</x:v>
      </x:c>
      <x:c r="AP174" s="7" t="str">
        <x:v>84029fbbb5134e5bdddaaf03a981303042d3ffac200ddd5df3b0302f6f19e43c</x:v>
      </x:c>
      <x:c r="AQ174" s="7" t="str">
        <x:v>Accident and Health / Inactive / 11/21/2000 / 11/30/2002 / 11/30/2002
Life-Only / Inactive / 11/21/2000 / 11/30/2002 / 11/30/2002</x:v>
      </x:c>
      <x:c r="AR174" s="7" t="str">
        <x:v>Inactive</x:v>
      </x:c>
      <x:c r="AS174" s="7" t="str">
        <x:v>Current detail page</x:v>
      </x:c>
    </x:row>
    <x:row r="175" ht="52" customHeight="1">
      <x:c r="A175" s="7" t="str">
        <x:v>AGUILAR BENJAMIN</x:v>
      </x:c>
      <x:c r="B175" s="14" t="str">
        <x:f>"4471051"</x:f>
        <x:v>4471051</x:v>
      </x:c>
      <x:c r="C175" s="7" t="str">
        <x:v>Omitted</x:v>
      </x:c>
      <x:c r="D175" s="7" t="str">
        <x:v>FAIL</x:v>
      </x:c>
      <x:c r="E175" s="13" t="str">
        <x:v>Pending</x:v>
      </x:c>
      <x:c r="F175" s="13" t="str"/>
      <x:c r="G175" s="13" t="str"/>
      <x:c r="H175" s="13" t="str"/>
      <x:c r="I175" s="7" t="str">
        <x:v>Was this person reviewed? If rejected, give the actual rule and evidence. If acceptable, correct the omission. Confirm the Life-qualification gate and any record change since selection.</x:v>
      </x:c>
      <x:c r="J175" s="7" t="str">
        <x:v>L1</x:v>
      </x:c>
      <x:c r="K175" s="7" t="str">
        <x:v>Verified qualifications do not include active general Life. Current target-pool mismatch; actual historical omission reason unknown.</x:v>
      </x:c>
      <x:c r="L175" s="7" t="str">
        <x:v>Not supplied; membership is known, motive is not</x:v>
      </x:c>
      <x:c r="M175" s="7" t="n">
        <x:v>7</x:v>
      </x:c>
      <x:c r="N175" s="7" t="str">
        <x:v>Outside current general-Life recruiting pool</x:v>
      </x:c>
      <x:c r="O175" s="7" t="str">
        <x:v>Not displayed</x:v>
      </x:c>
      <x:c r="P175" s="7" t="str"/>
      <x:c r="Q175" s="7" t="str"/>
      <x:c r="R175" s="7" t="str">
        <x:v>Personal Lines</x:v>
      </x:c>
      <x:c r="S175" s="15" t="str"/>
      <x:c r="T175" s="7" t="str">
        <x:v>No public business phone in collected record</x:v>
      </x:c>
      <x:c r="U175" s="7" t="str">
        <x:v>7810 E ESCALANTE RD TUCSON AZ, 85730</x:v>
      </x:c>
      <x:c r="V175" s="7" t="str">
        <x:v>Non-resident</x:v>
      </x:c>
      <x:c r="W175" s="7" t="str">
        <x:v>AZ</x:v>
      </x:c>
      <x:c r="X175" s="7" t="str">
        <x:v>PROGRESSIVE ADVANTAGE AGENCY INC / Personal Lines / 06/23/2025</x:v>
      </x:c>
      <x:c r="Y175" s="7" t="str"/>
      <x:c r="Z175" s="7" t="str"/>
      <x:c r="AA175" s="7" t="str"/>
      <x:c r="AB175" s="7" t="str"/>
      <x:c r="AC175" s="7" t="str"/>
      <x:c r="AD175" s="7" t="str"/>
      <x:c r="AE175"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175" s="16" t="str"/>
      <x:c r="AG175" s="17" t="str"/>
      <x:c r="AH175" s="7" t="str"/>
      <x:c r="AI175" s="7" t="str"/>
      <x:c r="AJ175" s="7" t="str"/>
      <x:c r="AK175" s="15" t="str"/>
      <x:c r="AL175" s="7" t="str"/>
      <x:c r="AM175" s="7" t="str">
        <x:v>AGUILAR  BENJAMIN</x:v>
      </x:c>
      <x:c r="AN175" s="7" t="str">
        <x:v>https://cdicloud.insurance.ca.gov/cal/LicenseDetail?SearchType=IND&amp;SearchLicNbr=4471051&amp;SearchIndvId=4471051</x:v>
      </x:c>
      <x:c r="AO175" s="7" t="str">
        <x:v>2026-10-08</x:v>
      </x:c>
      <x:c r="AP175" s="7" t="str">
        <x:v>d3ad491e5bbb89686b2d9401032331d69cbd79eed930b96f681a77becc3eaf97</x:v>
      </x:c>
      <x:c r="AQ175" s="7" t="str">
        <x:v>Personal Lines / Active / 06/17/2025 / 06/17/2025 / 06/30/2027</x:v>
      </x:c>
      <x:c r="AR175" s="7" t="str">
        <x:v>Active</x:v>
      </x:c>
      <x:c r="AS175" s="7" t="str">
        <x:v>Current detail page</x:v>
      </x:c>
    </x:row>
    <x:row r="176" ht="52" customHeight="1">
      <x:c r="A176" s="7" t="str">
        <x:v>AGUILAR BERTHA</x:v>
      </x:c>
      <x:c r="B176" s="14" t="str">
        <x:f>"0F77002"</x:f>
        <x:v>0F77002</x:v>
      </x:c>
      <x:c r="C176" s="7" t="str">
        <x:v>Omitted</x:v>
      </x:c>
      <x:c r="D176" s="7" t="str">
        <x:v>FAIL</x:v>
      </x:c>
      <x:c r="E176" s="13" t="str">
        <x:v>Pending</x:v>
      </x:c>
      <x:c r="F176" s="13" t="str"/>
      <x:c r="G176" s="13" t="str"/>
      <x:c r="H176" s="13" t="str"/>
      <x:c r="I176" s="7" t="str">
        <x:v>Was this person reviewed? If rejected, give the actual rule and evidence. If acceptable, correct the omission. Confirm the Life-qualification gate and any record change since selection.</x:v>
      </x:c>
      <x:c r="J176" s="7" t="str">
        <x:v>L1</x:v>
      </x:c>
      <x:c r="K176" s="7" t="str">
        <x:v>Verified qualifications do not include active general Life. Current target-pool mismatch; actual historical omission reason unknown.</x:v>
      </x:c>
      <x:c r="L176" s="7" t="str">
        <x:v>Not supplied; membership is known, motive is not</x:v>
      </x:c>
      <x:c r="M176" s="7" t="n">
        <x:v>7</x:v>
      </x:c>
      <x:c r="N176" s="7" t="str">
        <x:v>Outside current general-Life recruiting pool</x:v>
      </x:c>
      <x:c r="O176" s="7" t="str">
        <x:v>Not displayed</x:v>
      </x:c>
      <x:c r="P176" s="7" t="str"/>
      <x:c r="Q176" s="7" t="str"/>
      <x:c r="R176" s="7" t="str"/>
      <x:c r="S176" s="15" t="str"/>
      <x:c r="T176" s="7" t="str">
        <x:v>No public business phone in collected record</x:v>
      </x:c>
      <x:c r="U176" s="7" t="str"/>
      <x:c r="V176" s="7" t="str">
        <x:v>Resident</x:v>
      </x:c>
      <x:c r="W176" s="7" t="str">
        <x:v>CA</x:v>
      </x:c>
      <x:c r="X176" s="7" t="str"/>
      <x:c r="Y176" s="7" t="str"/>
      <x:c r="Z176" s="7" t="str"/>
      <x:c r="AA176" s="7" t="str"/>
      <x:c r="AB176" s="7" t="str"/>
      <x:c r="AC176" s="7" t="str"/>
      <x:c r="AD176" s="7" t="str">
        <x:v>No agency or insurer displayed: onboarding opportunity possible; existing business unknown</x:v>
      </x:c>
      <x:c r="AE176" s="7" t="str">
        <x:v>No public business phone: contact enrichment needed, not proof of poor recruiting fit</x:v>
      </x:c>
      <x:c r="AF176" s="16" t="str"/>
      <x:c r="AG176" s="17" t="str"/>
      <x:c r="AH176" s="7" t="str"/>
      <x:c r="AI176" s="7" t="str"/>
      <x:c r="AJ176" s="7" t="str"/>
      <x:c r="AK176" s="15" t="str"/>
      <x:c r="AL176" s="7" t="str"/>
      <x:c r="AM176" s="7" t="str">
        <x:v>AGUILAR  BERTHA</x:v>
      </x:c>
      <x:c r="AN176" s="7" t="str">
        <x:v>https://cdicloud.insurance.ca.gov/cal/LicenseDetail?SearchType=IND&amp;SearchLicNbr=0F77002&amp;SearchIndvId=1096028</x:v>
      </x:c>
      <x:c r="AO176" s="7" t="str">
        <x:v>2026-10-08</x:v>
      </x:c>
      <x:c r="AP176" s="7" t="str">
        <x:v>5b5a1181de82029d03ab84ad9c2aeb1f1a25b0079155f35ddaf8c47982d8622e</x:v>
      </x:c>
      <x:c r="AQ176" s="7" t="str">
        <x:v>Casualty Broker-Agent / Inactive / 08/11/2007 / 08/31/2009 / 08/31/2009
Property Broker-Agent / Inactive / 08/11/2007 / 08/31/2009 / 08/31/2009</x:v>
      </x:c>
      <x:c r="AR176" s="7" t="str">
        <x:v>Inactive</x:v>
      </x:c>
      <x:c r="AS176" s="7" t="str">
        <x:v>Current detail page</x:v>
      </x:c>
    </x:row>
    <x:row r="177" ht="52" customHeight="1">
      <x:c r="A177" s="7" t="str">
        <x:v>AGUILAR BERTHA ALICIA</x:v>
      </x:c>
      <x:c r="B177" s="14" t="str">
        <x:f>"2124267"</x:f>
        <x:v>2124267</x:v>
      </x:c>
      <x:c r="C177" s="7" t="str">
        <x:v>Omitted</x:v>
      </x:c>
      <x:c r="D177" s="7" t="str">
        <x:v>FAIL</x:v>
      </x:c>
      <x:c r="E177" s="13" t="str">
        <x:v>Pending</x:v>
      </x:c>
      <x:c r="F177" s="13" t="str"/>
      <x:c r="G177" s="13" t="str"/>
      <x:c r="H177" s="13" t="str"/>
      <x:c r="I177" s="7" t="str">
        <x:v>Was this person reviewed? If rejected, give the actual rule and evidence. If acceptable, correct the omission. Confirm the Life-qualification gate and any record change since selection.</x:v>
      </x:c>
      <x:c r="J177" s="7" t="str">
        <x:v>L1</x:v>
      </x:c>
      <x:c r="K177" s="7" t="str">
        <x:v>Verified qualifications do not include active general Life. Current target-pool mismatch; actual historical omission reason unknown.</x:v>
      </x:c>
      <x:c r="L177" s="7" t="str">
        <x:v>Not supplied; membership is known, motive is not</x:v>
      </x:c>
      <x:c r="M177" s="7" t="n">
        <x:v>7</x:v>
      </x:c>
      <x:c r="N177" s="7" t="str">
        <x:v>Outside current general-Life recruiting pool</x:v>
      </x:c>
      <x:c r="O177" s="7" t="str">
        <x:v>Inactive</x:v>
      </x:c>
      <x:c r="P177" s="7" t="str">
        <x:v>09/05/2019</x:v>
      </x:c>
      <x:c r="Q177" s="7" t="str">
        <x:v>09/30/2021</x:v>
      </x:c>
      <x:c r="R177" s="7" t="str"/>
      <x:c r="S177" s="15" t="str"/>
      <x:c r="T177" s="7" t="str">
        <x:v>No public business phone in collected record</x:v>
      </x:c>
      <x:c r="U177" s="7" t="str"/>
      <x:c r="V177" s="7" t="str">
        <x:v>Resident</x:v>
      </x:c>
      <x:c r="W177" s="7" t="str">
        <x:v>CA</x:v>
      </x:c>
      <x:c r="X177" s="7" t="str"/>
      <x:c r="Y177" s="7" t="str"/>
      <x:c r="Z177" s="7" t="str"/>
      <x:c r="AA177" s="7" t="str"/>
      <x:c r="AB177" s="7" t="str"/>
      <x:c r="AC177" s="7" t="str"/>
      <x:c r="AD177" s="7" t="str">
        <x:v>No agency or insurer displayed: onboarding opportunity possible; existing business unknown</x:v>
      </x:c>
      <x:c r="AE177" s="7" t="str">
        <x:v>No public business phone: contact enrichment needed, not proof of poor recruiting fit</x:v>
      </x:c>
      <x:c r="AF177" s="16" t="str"/>
      <x:c r="AG177" s="17" t="str"/>
      <x:c r="AH177" s="7" t="str"/>
      <x:c r="AI177" s="7" t="str"/>
      <x:c r="AJ177" s="7" t="str"/>
      <x:c r="AK177" s="15" t="str"/>
      <x:c r="AL177" s="7" t="str"/>
      <x:c r="AM177" s="7" t="str">
        <x:v>Aguilar A Bertha | AGUILAR ALICIA BERTHA</x:v>
      </x:c>
      <x:c r="AN177" s="7" t="str">
        <x:v>https://cdicloud.insurance.ca.gov/cal/LicenseDetail?SearchType=IND&amp;SearchLicNbr=2124267&amp;SearchIndvId=2124267</x:v>
      </x:c>
      <x:c r="AO177" s="7" t="str">
        <x:v>2026-10-08</x:v>
      </x:c>
      <x:c r="AP177" s="7" t="str">
        <x:v>376ae49c1821b788591d1e097c26811280e8f33738ef41d5fd81ca214bffd31d</x:v>
      </x:c>
      <x:c r="AQ177" s="7" t="str">
        <x:v>Life / Inactive / 09/05/2019 / 09/30/2021 / 09/30/2021</x:v>
      </x:c>
      <x:c r="AR177" s="7" t="str">
        <x:v>Inactive</x:v>
      </x:c>
      <x:c r="AS177" s="7" t="str">
        <x:v>Current detail page</x:v>
      </x:c>
    </x:row>
    <x:row r="178" ht="52" customHeight="1">
      <x:c r="A178" s="7" t="str">
        <x:v>AGUILAR BETTY ANGEL</x:v>
      </x:c>
      <x:c r="B178" s="14" t="str">
        <x:f>"0L78996"</x:f>
        <x:v>0L78996</x:v>
      </x:c>
      <x:c r="C178" s="7" t="str">
        <x:v>Omitted</x:v>
      </x:c>
      <x:c r="D178" s="7" t="str">
        <x:v>FAIL</x:v>
      </x:c>
      <x:c r="E178" s="13" t="str">
        <x:v>Pending</x:v>
      </x:c>
      <x:c r="F178" s="13" t="str"/>
      <x:c r="G178" s="13" t="str"/>
      <x:c r="H178" s="13" t="str"/>
      <x:c r="I178" s="7" t="str">
        <x:v>Was this person reviewed? If rejected, give the actual rule and evidence. If acceptable, correct the omission. Confirm the Life-qualification gate and any record change since selection.</x:v>
      </x:c>
      <x:c r="J178" s="7" t="str">
        <x:v>L1</x:v>
      </x:c>
      <x:c r="K178" s="7" t="str">
        <x:v>Verified qualifications do not include active general Life. Current target-pool mismatch; actual historical omission reason unknown.</x:v>
      </x:c>
      <x:c r="L178" s="7" t="str">
        <x:v>Not supplied; membership is known, motive is not</x:v>
      </x:c>
      <x:c r="M178" s="7" t="n">
        <x:v>7</x:v>
      </x:c>
      <x:c r="N178" s="7" t="str">
        <x:v>Outside current general-Life recruiting pool</x:v>
      </x:c>
      <x:c r="O178" s="7" t="str">
        <x:v>Not displayed</x:v>
      </x:c>
      <x:c r="P178" s="7" t="str"/>
      <x:c r="Q178" s="7" t="str"/>
      <x:c r="R178" s="7" t="str"/>
      <x:c r="S178" s="15" t="str"/>
      <x:c r="T178" s="7" t="str">
        <x:v>No public business phone in collected record</x:v>
      </x:c>
      <x:c r="U178" s="7" t="str"/>
      <x:c r="V178" s="7" t="str">
        <x:v>Resident</x:v>
      </x:c>
      <x:c r="W178" s="7" t="str">
        <x:v>CA</x:v>
      </x:c>
      <x:c r="X178" s="7" t="str"/>
      <x:c r="Y178" s="7" t="str"/>
      <x:c r="Z178" s="7" t="str"/>
      <x:c r="AA178" s="7" t="str"/>
      <x:c r="AB178" s="7" t="str"/>
      <x:c r="AC178" s="7" t="str"/>
      <x:c r="AD178" s="7" t="str">
        <x:v>No agency or insurer displayed: onboarding opportunity possible; existing business unknown</x:v>
      </x:c>
      <x:c r="AE178" s="7" t="str">
        <x:v>No public business phone: contact enrichment needed, not proof of poor recruiting fit</x:v>
      </x:c>
      <x:c r="AF178" s="16" t="str"/>
      <x:c r="AG178" s="17" t="str"/>
      <x:c r="AH178" s="7" t="str"/>
      <x:c r="AI178" s="7" t="str"/>
      <x:c r="AJ178" s="7" t="str"/>
      <x:c r="AK178" s="15" t="str"/>
      <x:c r="AL178" s="7" t="str"/>
      <x:c r="AM178" s="7" t="str">
        <x:v>Aguilar A Betty | AGUILAR ANGEL BETTY</x:v>
      </x:c>
      <x:c r="AN178" s="7" t="str">
        <x:v>https://cdicloud.insurance.ca.gov/cal/LicenseDetail?SearchType=IND&amp;SearchLicNbr=0L78996&amp;SearchIndvId=1944440</x:v>
      </x:c>
      <x:c r="AO178" s="7" t="str">
        <x:v>2026-10-08</x:v>
      </x:c>
      <x:c r="AP178" s="7" t="str">
        <x:v>cf74f5abf4b678337b571e2784dd7c45f847747d4793f06d2bcc4b0257906564</x:v>
      </x:c>
      <x:c r="AQ178" s="7" t="str">
        <x:v>Life-Only / Inactive / 06/12/2017 / 06/30/2019 / 06/30/2019</x:v>
      </x:c>
      <x:c r="AR178" s="7" t="str">
        <x:v>Inactive</x:v>
      </x:c>
      <x:c r="AS178" s="7" t="str">
        <x:v>Current detail page</x:v>
      </x:c>
    </x:row>
    <x:row r="179" ht="52" customHeight="1">
      <x:c r="A179" s="7" t="str">
        <x:v>AGUILAR BIANCA</x:v>
      </x:c>
      <x:c r="B179" s="14" t="str">
        <x:f>"E4538075"</x:f>
        <x:v>E4538075</x:v>
      </x:c>
      <x:c r="C179" s="7" t="str">
        <x:v>Omitted</x:v>
      </x:c>
      <x:c r="D179" s="7" t="str">
        <x:v>REVIEW</x:v>
      </x:c>
      <x:c r="E179" s="13" t="str">
        <x:v>Pending</x:v>
      </x:c>
      <x:c r="F179" s="13" t="str"/>
      <x:c r="G179" s="13" t="str"/>
      <x:c r="H179" s="13" t="str"/>
      <x:c r="I179" s="7" t="str">
        <x:v>Was this record reviewed? The detail page provides no qualifications. Verify the actual license type and Life authority before deciding; do not reject for missing data.</x:v>
      </x:c>
      <x:c r="J179" s="7" t="str">
        <x:v>L1</x:v>
      </x:c>
      <x:c r="K179" s="7" t="str">
        <x:v>Detail page displays no qualification information. Life authority cannot be verified; missing data is not a qualification failure. Historical omission reason unknown.</x:v>
      </x:c>
      <x:c r="L179" s="7" t="str">
        <x:v>Not supplied; membership is known, motive is not</x:v>
      </x:c>
      <x:c r="M179" s="7" t="n">
        <x:v>7</x:v>
      </x:c>
      <x:c r="N179" s="7" t="str">
        <x:v>Outside current general-Life recruiting pool</x:v>
      </x:c>
      <x:c r="O179" s="7" t="str">
        <x:v>Not displayed</x:v>
      </x:c>
      <x:c r="P179" s="7" t="str"/>
      <x:c r="Q179" s="7" t="str"/>
      <x:c r="R179" s="7" t="str"/>
      <x:c r="S179" s="15" t="str"/>
      <x:c r="T179" s="7" t="str">
        <x:v>No public business phone in collected record</x:v>
      </x:c>
      <x:c r="U179" s="7" t="str"/>
      <x:c r="V179" s="7" t="str">
        <x:v>Resident</x:v>
      </x:c>
      <x:c r="W179" s="7" t="str">
        <x:v>CA</x:v>
      </x:c>
      <x:c r="X179" s="7" t="str"/>
      <x:c r="Y179" s="7" t="str"/>
      <x:c r="Z179" s="7" t="str"/>
      <x:c r="AA179" s="7" t="str"/>
      <x:c r="AB179" s="7" t="str"/>
      <x:c r="AC179" s="7" t="str"/>
      <x:c r="AD179" s="7" t="str">
        <x:v>No agency or insurer displayed: onboarding opportunity possible; existing business unknown</x:v>
      </x:c>
      <x:c r="AE179" s="7" t="str">
        <x:v>No public business phone: contact enrichment needed, not proof of poor recruiting fit</x:v>
      </x:c>
      <x:c r="AF179" s="16" t="str"/>
      <x:c r="AG179" s="17" t="str"/>
      <x:c r="AH179" s="7" t="str"/>
      <x:c r="AI179" s="7" t="str">
        <x:v>English</x:v>
      </x:c>
      <x:c r="AJ179" s="7" t="str"/>
      <x:c r="AK179" s="15" t="str"/>
      <x:c r="AL179" s="7" t="str"/>
      <x:c r="AM179" s="7" t="str">
        <x:v>AGUILAR  BIANCA</x:v>
      </x:c>
      <x:c r="AN179" s="7" t="str">
        <x:v>https://cdicloud.insurance.ca.gov/cal/LicenseDetail?SearchType=IND&amp;SearchLicNbr=E4538075&amp;SearchIndvId=4538075</x:v>
      </x:c>
      <x:c r="AO179" s="7" t="str">
        <x:v>2026-10-08</x:v>
      </x:c>
      <x:c r="AP179" s="7" t="str">
        <x:v>84000b654af963e8fe05f091b25f3bc55bd8398afec302c0e4a6f1cc3180fcc1</x:v>
      </x:c>
      <x:c r="AQ179" s="7" t="str"/>
      <x:c r="AR179" s="7" t="str">
        <x:v>Active</x:v>
      </x:c>
      <x:c r="AS179" s="7" t="str">
        <x:v>Current detail page</x:v>
      </x:c>
    </x:row>
    <x:row r="180" ht="52" customHeight="1">
      <x:c r="A180" s="7" t="str">
        <x:v>AGUILAR BIANCA JEANNETTE</x:v>
      </x:c>
      <x:c r="B180" s="14" t="str">
        <x:f>"0K17900"</x:f>
        <x:v>0K17900</x:v>
      </x:c>
      <x:c r="C180" s="7" t="str">
        <x:v>Omitted</x:v>
      </x:c>
      <x:c r="D180" s="7" t="str">
        <x:v>FAIL</x:v>
      </x:c>
      <x:c r="E180" s="13" t="str">
        <x:v>Pending</x:v>
      </x:c>
      <x:c r="F180" s="13" t="str"/>
      <x:c r="G180" s="13" t="str"/>
      <x:c r="H180" s="13" t="str"/>
      <x:c r="I180" s="7" t="str">
        <x:v>Was this person reviewed? If rejected, give the actual rule and evidence. If acceptable, correct the omission. Confirm the Life-qualification gate and any record change since selection.</x:v>
      </x:c>
      <x:c r="J180" s="7" t="str">
        <x:v>L1</x:v>
      </x:c>
      <x:c r="K180" s="7" t="str">
        <x:v>Verified qualifications do not include active general Life. Current target-pool mismatch; actual historical omission reason unknown.</x:v>
      </x:c>
      <x:c r="L180" s="7" t="str">
        <x:v>Not supplied; membership is known, motive is not</x:v>
      </x:c>
      <x:c r="M180" s="7" t="n">
        <x:v>7</x:v>
      </x:c>
      <x:c r="N180" s="7" t="str">
        <x:v>Outside current general-Life recruiting pool</x:v>
      </x:c>
      <x:c r="O180" s="7" t="str">
        <x:v>Not displayed</x:v>
      </x:c>
      <x:c r="P180" s="7" t="str"/>
      <x:c r="Q180" s="7" t="str"/>
      <x:c r="R180" s="7" t="str"/>
      <x:c r="S180" s="15" t="str"/>
      <x:c r="T180" s="7" t="str">
        <x:v>No public business phone in collected record</x:v>
      </x:c>
      <x:c r="U180" s="7" t="str"/>
      <x:c r="V180" s="7" t="str">
        <x:v>Resident</x:v>
      </x:c>
      <x:c r="W180" s="7" t="str">
        <x:v>CA</x:v>
      </x:c>
      <x:c r="X180" s="7" t="str"/>
      <x:c r="Y180" s="7" t="str"/>
      <x:c r="Z180" s="7" t="str"/>
      <x:c r="AA180" s="7" t="str"/>
      <x:c r="AB180" s="7" t="str"/>
      <x:c r="AC180" s="7" t="str"/>
      <x:c r="AD180" s="7" t="str">
        <x:v>No agency or insurer displayed: onboarding opportunity possible; existing business unknown</x:v>
      </x:c>
      <x:c r="AE180" s="7" t="str">
        <x:v>No public business phone: contact enrichment needed, not proof of poor recruiting fit</x:v>
      </x:c>
      <x:c r="AF180" s="16" t="str"/>
      <x:c r="AG180" s="17" t="str"/>
      <x:c r="AH180" s="7" t="str"/>
      <x:c r="AI180" s="7" t="str"/>
      <x:c r="AJ180" s="7" t="str"/>
      <x:c r="AK180" s="15" t="str"/>
      <x:c r="AL180" s="7" t="str"/>
      <x:c r="AM180" s="7" t="str">
        <x:v>AGUILAR JEANNETTE BIANCA</x:v>
      </x:c>
      <x:c r="AN180" s="7" t="str">
        <x:v>https://cdicloud.insurance.ca.gov/cal/LicenseDetail?SearchType=IND&amp;SearchLicNbr=0K17900&amp;SearchIndvId=1748921</x:v>
      </x:c>
      <x:c r="AO180" s="7" t="str">
        <x:v>2026-10-08</x:v>
      </x:c>
      <x:c r="AP180" s="7" t="str">
        <x:v>e5f15a71d6b2743a8702ec90c3f21445cab6f1262faa8a753b6f3ad29dcc172d</x:v>
      </x:c>
      <x:c r="AQ180" s="7" t="str">
        <x:v>Accident and Health / Inactive / 04/09/2015 / 04/30/2017 / 04/30/2017
Casualty Broker-Agent / Inactive / 05/12/2015 / 04/30/2017 / 04/30/2017
Life-Only / Inactive / 04/09/2015 / 04/30/2017 / 04/30/2017
Property Broker-Agent / Inactive / 05/12/2015 / 04/30/2017 / 04/30/2017</x:v>
      </x:c>
      <x:c r="AR180" s="7" t="str">
        <x:v>Inactive</x:v>
      </x:c>
      <x:c r="AS180" s="7" t="str">
        <x:v>Current detail page</x:v>
      </x:c>
    </x:row>
    <x:row r="181" ht="52" customHeight="1">
      <x:c r="A181" s="7" t="str">
        <x:v>AGUILAR BLANCA</x:v>
      </x:c>
      <x:c r="B181" s="14" t="str">
        <x:f>"0687924"</x:f>
        <x:v>0687924</x:v>
      </x:c>
      <x:c r="C181" s="7" t="str">
        <x:v>Omitted</x:v>
      </x:c>
      <x:c r="D181" s="7" t="str">
        <x:v>FAIL</x:v>
      </x:c>
      <x:c r="E181" s="13" t="str">
        <x:v>Pending</x:v>
      </x:c>
      <x:c r="F181" s="13" t="str"/>
      <x:c r="G181" s="13" t="str"/>
      <x:c r="H181" s="13" t="str"/>
      <x:c r="I181" s="7" t="str">
        <x:v>Was this person reviewed? If rejected, give the actual rule and evidence. If acceptable, correct the omission. Confirm the Life-qualification gate and any record change since selection.</x:v>
      </x:c>
      <x:c r="J181" s="7" t="str">
        <x:v>L1</x:v>
      </x:c>
      <x:c r="K181" s="7" t="str">
        <x:v>Verified qualifications do not include active general Life. Current target-pool mismatch; actual historical omission reason unknown.</x:v>
      </x:c>
      <x:c r="L181" s="7" t="str">
        <x:v>Not supplied; membership is known, motive is not</x:v>
      </x:c>
      <x:c r="M181" s="7" t="n">
        <x:v>7</x:v>
      </x:c>
      <x:c r="N181" s="7" t="str">
        <x:v>Outside current general-Life recruiting pool</x:v>
      </x:c>
      <x:c r="O181" s="7" t="str">
        <x:v>Not displayed</x:v>
      </x:c>
      <x:c r="P181" s="7" t="str"/>
      <x:c r="Q181" s="7" t="str"/>
      <x:c r="R181" s="7" t="str"/>
      <x:c r="S181" s="15" t="str"/>
      <x:c r="T181" s="7" t="str">
        <x:v>No public business phone in collected record</x:v>
      </x:c>
      <x:c r="U181" s="7" t="str"/>
      <x:c r="V181" s="7" t="str">
        <x:v>Resident</x:v>
      </x:c>
      <x:c r="W181" s="7" t="str">
        <x:v>CA</x:v>
      </x:c>
      <x:c r="X181" s="7" t="str"/>
      <x:c r="Y181" s="7" t="str"/>
      <x:c r="Z181" s="7" t="str"/>
      <x:c r="AA181" s="7" t="str"/>
      <x:c r="AB181" s="7" t="str"/>
      <x:c r="AC181" s="7" t="str"/>
      <x:c r="AD181" s="7" t="str">
        <x:v>No agency or insurer displayed: onboarding opportunity possible; existing business unknown</x:v>
      </x:c>
      <x:c r="AE181" s="7" t="str">
        <x:v>No public business phone: contact enrichment needed, not proof of poor recruiting fit</x:v>
      </x:c>
      <x:c r="AF181" s="16" t="str"/>
      <x:c r="AG181" s="17" t="str"/>
      <x:c r="AH181" s="7" t="str"/>
      <x:c r="AI181" s="7" t="str"/>
      <x:c r="AJ181" s="7" t="str"/>
      <x:c r="AK181" s="15" t="str"/>
      <x:c r="AL181" s="7" t="str"/>
      <x:c r="AM181" s="7" t="str">
        <x:v>AGUILAR  BLANCA</x:v>
      </x:c>
      <x:c r="AN181" s="7" t="str">
        <x:v>https://cdicloud.insurance.ca.gov/cal/LicenseDetail?SearchType=IND&amp;SearchLicNbr=0687924&amp;SearchIndvId=411941</x:v>
      </x:c>
      <x:c r="AO181" s="7" t="str">
        <x:v>2026-10-08</x:v>
      </x:c>
      <x:c r="AP181" s="7" t="str">
        <x:v>fbf8800e6fb21adedd77bc7cddabef4bacc53a37d272eab3bd442005a4252ebd</x:v>
      </x:c>
      <x:c r="AQ181" s="7" t="str">
        <x:v>Travel Agent / Inactive / 10/01/1985 / 01/01/2013 / 01/01/2013</x:v>
      </x:c>
      <x:c r="AR181" s="7" t="str">
        <x:v>Inactive</x:v>
      </x:c>
      <x:c r="AS181" s="7" t="str">
        <x:v>Current detail page</x:v>
      </x:c>
    </x:row>
    <x:row r="182" ht="52" customHeight="1">
      <x:c r="A182" s="7" t="str">
        <x:v>AGUILAR BLANCA CELESTE</x:v>
      </x:c>
      <x:c r="B182" s="14" t="str">
        <x:f>"0L10773"</x:f>
        <x:v>0L10773</x:v>
      </x:c>
      <x:c r="C182" s="7" t="str">
        <x:v>Omitted</x:v>
      </x:c>
      <x:c r="D182" s="7" t="str">
        <x:v>FAIL</x:v>
      </x:c>
      <x:c r="E182" s="13" t="str">
        <x:v>Pending</x:v>
      </x:c>
      <x:c r="F182" s="13" t="str"/>
      <x:c r="G182" s="13" t="str"/>
      <x:c r="H182" s="13" t="str"/>
      <x:c r="I182" s="7" t="str">
        <x:v>Was this person reviewed? If rejected, give the actual rule and evidence. If acceptable, correct the omission. Confirm the Life-qualification gate and any record change since selection.</x:v>
      </x:c>
      <x:c r="J182" s="7" t="str">
        <x:v>L1</x:v>
      </x:c>
      <x:c r="K182" s="7" t="str">
        <x:v>Verified qualifications do not include active general Life. Current target-pool mismatch; actual historical omission reason unknown.</x:v>
      </x:c>
      <x:c r="L182" s="7" t="str">
        <x:v>Not supplied; membership is known, motive is not</x:v>
      </x:c>
      <x:c r="M182" s="7" t="n">
        <x:v>7</x:v>
      </x:c>
      <x:c r="N182" s="7" t="str">
        <x:v>Outside current general-Life recruiting pool</x:v>
      </x:c>
      <x:c r="O182" s="7" t="str">
        <x:v>Not displayed</x:v>
      </x:c>
      <x:c r="P182" s="7" t="str"/>
      <x:c r="Q182" s="7" t="str"/>
      <x:c r="R182" s="7" t="str"/>
      <x:c r="S182" s="15" t="str"/>
      <x:c r="T182" s="7" t="str">
        <x:v>No public business phone in collected record</x:v>
      </x:c>
      <x:c r="U182" s="7" t="str"/>
      <x:c r="V182" s="7" t="str">
        <x:v>Resident</x:v>
      </x:c>
      <x:c r="W182" s="7" t="str">
        <x:v>CA</x:v>
      </x:c>
      <x:c r="X182" s="7" t="str"/>
      <x:c r="Y182" s="7" t="str"/>
      <x:c r="Z182" s="7" t="str"/>
      <x:c r="AA182" s="7" t="str"/>
      <x:c r="AB182" s="7" t="str"/>
      <x:c r="AC182" s="7" t="str"/>
      <x:c r="AD182" s="7" t="str">
        <x:v>No agency or insurer displayed: onboarding opportunity possible; existing business unknown</x:v>
      </x:c>
      <x:c r="AE182" s="7" t="str">
        <x:v>No public business phone: contact enrichment needed, not proof of poor recruiting fit</x:v>
      </x:c>
      <x:c r="AF182" s="16" t="str"/>
      <x:c r="AG182" s="17" t="str"/>
      <x:c r="AH182" s="7" t="str"/>
      <x:c r="AI182" s="7" t="str"/>
      <x:c r="AJ182" s="7" t="str"/>
      <x:c r="AK182" s="15" t="str"/>
      <x:c r="AL182" s="7" t="str"/>
      <x:c r="AM182" s="7" t="str">
        <x:v>Aguilar C Blanca | AGUILAR CELESTE BLANCA</x:v>
      </x:c>
      <x:c r="AN182" s="7" t="str">
        <x:v>https://cdicloud.insurance.ca.gov/cal/LicenseDetail?SearchType=IND&amp;SearchLicNbr=0L10773&amp;SearchIndvId=1861061</x:v>
      </x:c>
      <x:c r="AO182" s="7" t="str">
        <x:v>2026-10-08</x:v>
      </x:c>
      <x:c r="AP182" s="7" t="str">
        <x:v>6576a542f4a836f65b5ebb324d38fade8c5c441d58434de370eb41f486832fef</x:v>
      </x:c>
      <x:c r="AQ182" s="7" t="str">
        <x:v>Life-Only / Inactive / 09/07/2016 / 09/30/2018 / 09/30/2018</x:v>
      </x:c>
      <x:c r="AR182" s="7" t="str">
        <x:v>Inactive</x:v>
      </x:c>
      <x:c r="AS182" s="7" t="str">
        <x:v>Current detail page</x:v>
      </x:c>
    </x:row>
    <x:row r="183" ht="52" customHeight="1">
      <x:c r="A183" s="7" t="str">
        <x:v>AGUILAR BLANCA ESTELA</x:v>
      </x:c>
      <x:c r="B183" s="14" t="str">
        <x:f>"0C44725"</x:f>
        <x:v>0C44725</x:v>
      </x:c>
      <x:c r="C183" s="7" t="str">
        <x:v>Omitted</x:v>
      </x:c>
      <x:c r="D183" s="7" t="str">
        <x:v>FAIL</x:v>
      </x:c>
      <x:c r="E183" s="13" t="str">
        <x:v>Pending</x:v>
      </x:c>
      <x:c r="F183" s="13" t="str"/>
      <x:c r="G183" s="13" t="str"/>
      <x:c r="H183" s="13" t="str"/>
      <x:c r="I183" s="7" t="str">
        <x:v>Was this person reviewed? If rejected, give the actual rule and evidence. If acceptable, correct the omission. Confirm the Life-qualification gate and any record change since selection.</x:v>
      </x:c>
      <x:c r="J183" s="7" t="str">
        <x:v>L1</x:v>
      </x:c>
      <x:c r="K183" s="7" t="str">
        <x:v>Verified qualifications do not include active general Life. Current target-pool mismatch; actual historical omission reason unknown.</x:v>
      </x:c>
      <x:c r="L183" s="7" t="str">
        <x:v>Not supplied; membership is known, motive is not</x:v>
      </x:c>
      <x:c r="M183" s="7" t="n">
        <x:v>7</x:v>
      </x:c>
      <x:c r="N183" s="7" t="str">
        <x:v>Outside current general-Life recruiting pool</x:v>
      </x:c>
      <x:c r="O183" s="7" t="str">
        <x:v>Not displayed</x:v>
      </x:c>
      <x:c r="P183" s="7" t="str"/>
      <x:c r="Q183" s="7" t="str"/>
      <x:c r="R183" s="7" t="str"/>
      <x:c r="S183" s="15" t="str"/>
      <x:c r="T183" s="7" t="str">
        <x:v>No public business phone in collected record</x:v>
      </x:c>
      <x:c r="U183" s="7" t="str"/>
      <x:c r="V183" s="7" t="str">
        <x:v>Resident</x:v>
      </x:c>
      <x:c r="W183" s="7" t="str">
        <x:v>CA</x:v>
      </x:c>
      <x:c r="X183" s="7" t="str"/>
      <x:c r="Y183" s="7" t="str"/>
      <x:c r="Z183" s="7" t="str"/>
      <x:c r="AA183" s="7" t="str"/>
      <x:c r="AB183" s="7" t="str"/>
      <x:c r="AC183" s="7" t="str"/>
      <x:c r="AD183" s="7" t="str">
        <x:v>No agency or insurer displayed: onboarding opportunity possible; existing business unknown</x:v>
      </x:c>
      <x:c r="AE183" s="7" t="str">
        <x:v>No public business phone: contact enrichment needed, not proof of poor recruiting fit</x:v>
      </x:c>
      <x:c r="AF183" s="16" t="str"/>
      <x:c r="AG183" s="17" t="str"/>
      <x:c r="AH183" s="7" t="str"/>
      <x:c r="AI183" s="7" t="str"/>
      <x:c r="AJ183" s="7" t="str"/>
      <x:c r="AK183" s="15" t="str"/>
      <x:c r="AL183" s="7" t="str"/>
      <x:c r="AM183" s="7" t="str">
        <x:v>AGUILAR ESTELA BLANCA</x:v>
      </x:c>
      <x:c r="AN183" s="7" t="str">
        <x:v>https://cdicloud.insurance.ca.gov/cal/LicenseDetail?SearchType=IND&amp;SearchLicNbr=0C44725&amp;SearchIndvId=319122</x:v>
      </x:c>
      <x:c r="AO183" s="7" t="str">
        <x:v>2026-10-08</x:v>
      </x:c>
      <x:c r="AP183" s="7" t="str">
        <x:v>eb87546423b135e1207ac79f2fc79a57dfb9864c4a62191c0fc6ee4e6a52f9da</x:v>
      </x:c>
      <x:c r="AQ183" s="7" t="str">
        <x:v>Casualty Broker-Agent / Inactive / 10/08/1998 / 10/31/2000 / 10/31/2000
Property Broker-Agent / Inactive / 10/08/1998 / 10/31/2000 / 10/31/2000</x:v>
      </x:c>
      <x:c r="AR183" s="7" t="str">
        <x:v>Inactive</x:v>
      </x:c>
      <x:c r="AS183" s="7" t="str">
        <x:v>Current detail page</x:v>
      </x:c>
    </x:row>
    <x:row r="184" ht="52" customHeight="1">
      <x:c r="A184" s="7" t="str">
        <x:v>AGUILAR BLANCA MONICA</x:v>
      </x:c>
      <x:c r="B184" s="14" t="str">
        <x:f>"0G14911"</x:f>
        <x:v>0G14911</x:v>
      </x:c>
      <x:c r="C184" s="7" t="str">
        <x:v>Omitted</x:v>
      </x:c>
      <x:c r="D184" s="7" t="str">
        <x:v>FAIL</x:v>
      </x:c>
      <x:c r="E184" s="13" t="str">
        <x:v>Pending</x:v>
      </x:c>
      <x:c r="F184" s="13" t="str"/>
      <x:c r="G184" s="13" t="str"/>
      <x:c r="H184" s="13" t="str"/>
      <x:c r="I184" s="7" t="str">
        <x:v>Was this person reviewed? If rejected, give the actual rule and evidence. If acceptable, correct the omission. Confirm the Life-qualification gate and any record change since selection.</x:v>
      </x:c>
      <x:c r="J184" s="7" t="str">
        <x:v>L1</x:v>
      </x:c>
      <x:c r="K184" s="7" t="str">
        <x:v>Verified qualifications do not include active general Life. Current target-pool mismatch; actual historical omission reason unknown.</x:v>
      </x:c>
      <x:c r="L184" s="7" t="str">
        <x:v>Not supplied; membership is known, motive is not</x:v>
      </x:c>
      <x:c r="M184" s="7" t="n">
        <x:v>7</x:v>
      </x:c>
      <x:c r="N184" s="7" t="str">
        <x:v>Outside current general-Life recruiting pool</x:v>
      </x:c>
      <x:c r="O184" s="7" t="str">
        <x:v>Not displayed</x:v>
      </x:c>
      <x:c r="P184" s="7" t="str"/>
      <x:c r="Q184" s="7" t="str"/>
      <x:c r="R184" s="7" t="str"/>
      <x:c r="S184" s="15" t="str"/>
      <x:c r="T184" s="7" t="str">
        <x:v>No public business phone in collected record</x:v>
      </x:c>
      <x:c r="U184" s="7" t="str"/>
      <x:c r="V184" s="7" t="str">
        <x:v>Resident</x:v>
      </x:c>
      <x:c r="W184" s="7" t="str">
        <x:v>CA</x:v>
      </x:c>
      <x:c r="X184" s="7" t="str"/>
      <x:c r="Y184" s="7" t="str"/>
      <x:c r="Z184" s="7" t="str"/>
      <x:c r="AA184" s="7" t="str"/>
      <x:c r="AB184" s="7" t="str"/>
      <x:c r="AC184" s="7" t="str"/>
      <x:c r="AD184" s="7" t="str">
        <x:v>No agency or insurer displayed: onboarding opportunity possible; existing business unknown</x:v>
      </x:c>
      <x:c r="AE184" s="7" t="str">
        <x:v>No public business phone: contact enrichment needed, not proof of poor recruiting fit</x:v>
      </x:c>
      <x:c r="AF184" s="16" t="str"/>
      <x:c r="AG184" s="17" t="str"/>
      <x:c r="AH184" s="7" t="str"/>
      <x:c r="AI184" s="7" t="str"/>
      <x:c r="AJ184" s="7" t="str"/>
      <x:c r="AK184" s="15" t="str"/>
      <x:c r="AL184" s="7" t="str"/>
      <x:c r="AM184" s="7" t="str">
        <x:v>AGUILAR MONICA BLANCA</x:v>
      </x:c>
      <x:c r="AN184" s="7" t="str">
        <x:v>https://cdicloud.insurance.ca.gov/cal/LicenseDetail?SearchType=IND&amp;SearchLicNbr=0G14911&amp;SearchIndvId=1151123</x:v>
      </x:c>
      <x:c r="AO184" s="7" t="str">
        <x:v>2026-10-08</x:v>
      </x:c>
      <x:c r="AP184" s="7" t="str">
        <x:v>66f4c2c24895002a1962737bcdda039803952ab05b5724f7dd8a93fa27d94bf5</x:v>
      </x:c>
      <x:c r="AQ184" s="7" t="str">
        <x:v>Casualty Broker-Agent / Inactive / 05/20/2008 / 05/31/2010 / 05/31/2010
Property Broker-Agent / Inactive / 05/20/2008 / 05/31/2010 / 05/31/2010</x:v>
      </x:c>
      <x:c r="AR184" s="7" t="str">
        <x:v>Inactive</x:v>
      </x:c>
      <x:c r="AS184" s="7" t="str">
        <x:v>Current detail page</x:v>
      </x:c>
    </x:row>
    <x:row r="185" ht="52" customHeight="1">
      <x:c r="A185" s="7" t="str">
        <x:v>AGUILAR BRANDON L</x:v>
      </x:c>
      <x:c r="B185" s="14" t="str">
        <x:f>"4498659"</x:f>
        <x:v>4498659</x:v>
      </x:c>
      <x:c r="C185" s="7" t="str">
        <x:v>Omitted</x:v>
      </x:c>
      <x:c r="D185" s="7" t="str">
        <x:v>FAIL</x:v>
      </x:c>
      <x:c r="E185" s="13" t="str">
        <x:v>Pending</x:v>
      </x:c>
      <x:c r="F185" s="13" t="str"/>
      <x:c r="G185" s="13" t="str"/>
      <x:c r="H185" s="13" t="str"/>
      <x:c r="I185" s="7" t="str">
        <x:v>Was this person reviewed? If rejected, give the actual rule and evidence. If acceptable, correct the omission. Confirm the Life-qualification gate and any record change since selection.</x:v>
      </x:c>
      <x:c r="J185" s="7" t="str">
        <x:v>L1</x:v>
      </x:c>
      <x:c r="K185" s="7" t="str">
        <x:v>Verified qualifications do not include active general Life. Current target-pool mismatch; actual historical omission reason unknown.</x:v>
      </x:c>
      <x:c r="L185" s="7" t="str">
        <x:v>Not supplied; membership is known, motive is not</x:v>
      </x:c>
      <x:c r="M185" s="7" t="n">
        <x:v>7</x:v>
      </x:c>
      <x:c r="N185" s="7" t="str">
        <x:v>Outside current general-Life recruiting pool</x:v>
      </x:c>
      <x:c r="O185" s="7" t="str">
        <x:v>Not displayed</x:v>
      </x:c>
      <x:c r="P185" s="7" t="str"/>
      <x:c r="Q185" s="7" t="str"/>
      <x:c r="R185" s="7" t="str">
        <x:v>Personal Lines</x:v>
      </x:c>
      <x:c r="S185" s="15" t="str">
        <x:v>661-447-4180</x:v>
      </x:c>
      <x:c r="T185" s="7" t="str">
        <x:v>Current CDI</x:v>
      </x:c>
      <x:c r="U185" s="7" t="str">
        <x:v>3209 NILES ST BAKERSFIELD CA, 93306</x:v>
      </x:c>
      <x:c r="V185" s="7" t="str">
        <x:v>Resident</x:v>
      </x:c>
      <x:c r="W185" s="7" t="str">
        <x:v>CA</x:v>
      </x:c>
      <x:c r="X185" s="7" t="str"/>
      <x:c r="Y185" s="7" t="str"/>
      <x:c r="Z185" s="7" t="str"/>
      <x:c r="AA185" s="7" t="str"/>
      <x:c r="AB185" s="7" t="str"/>
      <x:c r="AC185" s="7" t="str"/>
      <x:c r="AD185" s="7" t="str">
        <x:v>No agency or insurer displayed: onboarding opportunity possible; existing business unknown</x:v>
      </x:c>
      <x:c r="AE185" s="7" t="str">
        <x:v>P&amp;C/Personal Lines authority without displayed core Life appointments; mixed profile requires review</x:v>
      </x:c>
      <x:c r="AF185" s="16" t="str"/>
      <x:c r="AG185" s="17" t="str"/>
      <x:c r="AH185" s="7" t="str"/>
      <x:c r="AI185" s="7" t="str">
        <x:v>English</x:v>
      </x:c>
      <x:c r="AJ185" s="7" t="str"/>
      <x:c r="AK185" s="15" t="str"/>
      <x:c r="AL185" s="7" t="str"/>
      <x:c r="AM185" s="7" t="str">
        <x:v>AGUILAR L BRANDON | aguilar luis brandon</x:v>
      </x:c>
      <x:c r="AN185" s="7" t="str">
        <x:v>https://cdicloud.insurance.ca.gov/cal/LicenseDetail?SearchType=IND&amp;SearchLicNbr=4498659&amp;SearchIndvId=4498659</x:v>
      </x:c>
      <x:c r="AO185" s="7" t="str">
        <x:v>2026-10-08</x:v>
      </x:c>
      <x:c r="AP185" s="7" t="str">
        <x:v>7356d1b1b7b38af540fbf3f8d666811e443154a2d0f73fcfd9dc7c2e5cd0b347</x:v>
      </x:c>
      <x:c r="AQ185" s="7" t="str">
        <x:v>Personal Lines / Active / 06/03/2026 / 06/03/2026 / 06/30/2028</x:v>
      </x:c>
      <x:c r="AR185" s="7" t="str">
        <x:v>Active</x:v>
      </x:c>
      <x:c r="AS185" s="7" t="str">
        <x:v>Current detail page</x:v>
      </x:c>
    </x:row>
    <x:row r="186" ht="52" customHeight="1">
      <x:c r="A186" s="7" t="str">
        <x:v>AGUILAR BRAULIO MALDONADO</x:v>
      </x:c>
      <x:c r="B186" s="14" t="str">
        <x:f>"0I08179"</x:f>
        <x:v>0I08179</x:v>
      </x:c>
      <x:c r="C186" s="7" t="str">
        <x:v>Omitted</x:v>
      </x:c>
      <x:c r="D186" s="7" t="str">
        <x:v>FAIL</x:v>
      </x:c>
      <x:c r="E186" s="13" t="str">
        <x:v>Pending</x:v>
      </x:c>
      <x:c r="F186" s="13" t="str"/>
      <x:c r="G186" s="13" t="str"/>
      <x:c r="H186" s="13" t="str"/>
      <x:c r="I186" s="7" t="str">
        <x:v>Was this person reviewed? If rejected, give the actual rule and evidence. If acceptable, correct the omission. Confirm the Life-qualification gate and any record change since selection.</x:v>
      </x:c>
      <x:c r="J186" s="7" t="str">
        <x:v>L1</x:v>
      </x:c>
      <x:c r="K186" s="7" t="str">
        <x:v>Verified qualifications do not include active general Life. Current target-pool mismatch; actual historical omission reason unknown.</x:v>
      </x:c>
      <x:c r="L186" s="7" t="str">
        <x:v>Not supplied; membership is known, motive is not</x:v>
      </x:c>
      <x:c r="M186" s="7" t="n">
        <x:v>7</x:v>
      </x:c>
      <x:c r="N186" s="7" t="str">
        <x:v>Outside current general-Life recruiting pool</x:v>
      </x:c>
      <x:c r="O186" s="7" t="str">
        <x:v>Not displayed</x:v>
      </x:c>
      <x:c r="P186" s="7" t="str"/>
      <x:c r="Q186" s="7" t="str"/>
      <x:c r="R186" s="7" t="str"/>
      <x:c r="S186" s="15" t="str"/>
      <x:c r="T186" s="7" t="str">
        <x:v>No public business phone in collected record</x:v>
      </x:c>
      <x:c r="U186" s="7" t="str"/>
      <x:c r="V186" s="7" t="str">
        <x:v>Resident</x:v>
      </x:c>
      <x:c r="W186" s="7" t="str">
        <x:v>CA</x:v>
      </x:c>
      <x:c r="X186" s="7" t="str"/>
      <x:c r="Y186" s="7" t="str"/>
      <x:c r="Z186" s="7" t="str"/>
      <x:c r="AA186" s="7" t="str"/>
      <x:c r="AB186" s="7" t="str"/>
      <x:c r="AC186" s="7" t="str"/>
      <x:c r="AD186" s="7" t="str">
        <x:v>No agency or insurer displayed: onboarding opportunity possible; existing business unknown</x:v>
      </x:c>
      <x:c r="AE186" s="7" t="str">
        <x:v>No public business phone: contact enrichment needed, not proof of poor recruiting fit</x:v>
      </x:c>
      <x:c r="AF186" s="16" t="str"/>
      <x:c r="AG186" s="17" t="str"/>
      <x:c r="AH186" s="7" t="str"/>
      <x:c r="AI186" s="7" t="str"/>
      <x:c r="AJ186" s="7" t="str"/>
      <x:c r="AK186" s="15" t="str"/>
      <x:c r="AL186" s="7" t="str"/>
      <x:c r="AM186" s="7" t="str">
        <x:v>AGUILAR MALDONADO BRAULIO</x:v>
      </x:c>
      <x:c r="AN186" s="7" t="str">
        <x:v>https://cdicloud.insurance.ca.gov/cal/LicenseDetail?SearchType=IND&amp;SearchLicNbr=0I08179&amp;SearchIndvId=1534208</x:v>
      </x:c>
      <x:c r="AO186" s="7" t="str">
        <x:v>2026-10-08</x:v>
      </x:c>
      <x:c r="AP186" s="7" t="str">
        <x:v>d442ea8c287b6794597247cc0028e497eb9b9ec644c710d8495caa86138e198f</x:v>
      </x:c>
      <x:c r="AQ186" s="7" t="str">
        <x:v>Personal Lines Broker-Agent / Inactive / 10/11/2012 / 10/31/2014 / 10/31/2014</x:v>
      </x:c>
      <x:c r="AR186" s="7" t="str">
        <x:v>Inactive</x:v>
      </x:c>
      <x:c r="AS186" s="7" t="str">
        <x:v>Current detail page</x:v>
      </x:c>
    </x:row>
    <x:row r="187" ht="52" customHeight="1">
      <x:c r="A187" s="7" t="str">
        <x:v>AGUILAR BREANNA ALYZEH</x:v>
      </x:c>
      <x:c r="B187" s="14" t="str">
        <x:f>"4175098"</x:f>
        <x:v>4175098</x:v>
      </x:c>
      <x:c r="C187" s="7" t="str">
        <x:v>Omitted</x:v>
      </x:c>
      <x:c r="D187" s="7" t="str">
        <x:v>FAIL</x:v>
      </x:c>
      <x:c r="E187" s="13" t="str">
        <x:v>Pending</x:v>
      </x:c>
      <x:c r="F187" s="13" t="str"/>
      <x:c r="G187" s="13" t="str"/>
      <x:c r="H187" s="13" t="str"/>
      <x:c r="I187" s="7" t="str">
        <x:v>Was this person reviewed? If rejected, give the actual rule and evidence. If acceptable, correct the omission. Confirm the Life-qualification gate and any record change since selection.</x:v>
      </x:c>
      <x:c r="J187" s="7" t="str">
        <x:v>L1</x:v>
      </x:c>
      <x:c r="K187" s="7" t="str">
        <x:v>Verified qualifications do not include active general Life. Current target-pool mismatch; actual historical omission reason unknown.</x:v>
      </x:c>
      <x:c r="L187" s="7" t="str">
        <x:v>Not supplied; membership is known, motive is not</x:v>
      </x:c>
      <x:c r="M187" s="7" t="n">
        <x:v>7</x:v>
      </x:c>
      <x:c r="N187" s="7" t="str">
        <x:v>Outside current general-Life recruiting pool</x:v>
      </x:c>
      <x:c r="O187" s="7" t="str">
        <x:v>Inactive</x:v>
      </x:c>
      <x:c r="P187" s="7" t="str">
        <x:v>12/23/2021</x:v>
      </x:c>
      <x:c r="Q187" s="7" t="str">
        <x:v>12/31/2023</x:v>
      </x:c>
      <x:c r="R187" s="7" t="str"/>
      <x:c r="S187" s="15" t="str">
        <x:v>805-342-2555</x:v>
      </x:c>
      <x:c r="T187" s="7" t="str">
        <x:v>Current CDI</x:v>
      </x:c>
      <x:c r="U187" s="7" t="str">
        <x:v>108 W 5TH ST OXNARD CA, 93030</x:v>
      </x:c>
      <x:c r="V187" s="7" t="str">
        <x:v>Resident</x:v>
      </x:c>
      <x:c r="W187" s="7" t="str">
        <x:v>CA</x:v>
      </x:c>
      <x:c r="X187" s="7" t="str"/>
      <x:c r="Y187" s="7" t="str"/>
      <x:c r="Z187" s="7" t="str"/>
      <x:c r="AA187" s="7" t="str"/>
      <x:c r="AB187" s="7" t="str"/>
      <x:c r="AC187" s="7" t="str"/>
      <x:c r="AD187" s="7" t="str">
        <x:v>No agency or insurer displayed: onboarding opportunity possible; existing business unknown</x:v>
      </x:c>
      <x:c r="AE187" s="7" t="str"/>
      <x:c r="AF187" s="16" t="str"/>
      <x:c r="AG187" s="17" t="str"/>
      <x:c r="AH187" s="7" t="str"/>
      <x:c r="AI187" s="7" t="str">
        <x:v>English</x:v>
      </x:c>
      <x:c r="AJ187" s="7" t="str"/>
      <x:c r="AK187" s="15" t="str"/>
      <x:c r="AL187" s="7" t="str"/>
      <x:c r="AM187" s="7" t="str">
        <x:v>AGUILAR ALYZEH BREANNA</x:v>
      </x:c>
      <x:c r="AN187" s="7" t="str">
        <x:v>https://cdicloud.insurance.ca.gov/cal/LicenseDetail?SearchType=IND&amp;SearchLicNbr=4175098&amp;SearchIndvId=4175098</x:v>
      </x:c>
      <x:c r="AO187" s="7" t="str">
        <x:v>2026-10-08</x:v>
      </x:c>
      <x:c r="AP187" s="7" t="str">
        <x:v>0a51e2e1601fbe6b46b0d2fc1410983d95ba2935ee115f4f361cd9e1f97d82b4</x:v>
      </x:c>
      <x:c r="AQ187" s="7" t="str">
        <x:v>Life / Inactive / 12/23/2021 / 12/31/2023 / 12/31/2023</x:v>
      </x:c>
      <x:c r="AR187" s="7" t="str">
        <x:v>Inactive</x:v>
      </x:c>
      <x:c r="AS187" s="7" t="str">
        <x:v>Current detail page</x:v>
      </x:c>
    </x:row>
    <x:row r="188" ht="52" customHeight="1">
      <x:c r="A188" s="7" t="str">
        <x:v>AGUILAR BRIAN ALBERTO</x:v>
      </x:c>
      <x:c r="B188" s="14" t="str">
        <x:f>"0K46877"</x:f>
        <x:v>0K46877</x:v>
      </x:c>
      <x:c r="C188" s="7" t="str">
        <x:v>Omitted</x:v>
      </x:c>
      <x:c r="D188" s="7" t="str">
        <x:v>FAIL</x:v>
      </x:c>
      <x:c r="E188" s="13" t="str">
        <x:v>Pending</x:v>
      </x:c>
      <x:c r="F188" s="13" t="str"/>
      <x:c r="G188" s="13" t="str"/>
      <x:c r="H188" s="13" t="str"/>
      <x:c r="I188" s="7" t="str">
        <x:v>Was this person reviewed? If rejected, give the actual rule and evidence. If acceptable, correct the omission. Confirm the Life-qualification gate and any record change since selection.</x:v>
      </x:c>
      <x:c r="J188" s="7" t="str">
        <x:v>L1</x:v>
      </x:c>
      <x:c r="K188" s="7" t="str">
        <x:v>Verified qualifications do not include active general Life. Current target-pool mismatch; actual historical omission reason unknown.</x:v>
      </x:c>
      <x:c r="L188" s="7" t="str">
        <x:v>Not supplied; membership is known, motive is not</x:v>
      </x:c>
      <x:c r="M188" s="7" t="n">
        <x:v>7</x:v>
      </x:c>
      <x:c r="N188" s="7" t="str">
        <x:v>Outside current general-Life recruiting pool</x:v>
      </x:c>
      <x:c r="O188" s="7" t="str">
        <x:v>Not displayed</x:v>
      </x:c>
      <x:c r="P188" s="7" t="str"/>
      <x:c r="Q188" s="7" t="str"/>
      <x:c r="R188" s="7" t="str"/>
      <x:c r="S188" s="15" t="str"/>
      <x:c r="T188" s="7" t="str">
        <x:v>No public business phone in collected record</x:v>
      </x:c>
      <x:c r="U188" s="7" t="str"/>
      <x:c r="V188" s="7" t="str">
        <x:v>Resident</x:v>
      </x:c>
      <x:c r="W188" s="7" t="str">
        <x:v>CA</x:v>
      </x:c>
      <x:c r="X188" s="7" t="str"/>
      <x:c r="Y188" s="7" t="str"/>
      <x:c r="Z188" s="7" t="str"/>
      <x:c r="AA188" s="7" t="str"/>
      <x:c r="AB188" s="7" t="str"/>
      <x:c r="AC188" s="7" t="str"/>
      <x:c r="AD188" s="7" t="str">
        <x:v>No agency or insurer displayed: onboarding opportunity possible; existing business unknown</x:v>
      </x:c>
      <x:c r="AE188" s="7" t="str">
        <x:v>No public business phone: contact enrichment needed, not proof of poor recruiting fit</x:v>
      </x:c>
      <x:c r="AF188" s="16" t="str"/>
      <x:c r="AG188" s="17" t="str"/>
      <x:c r="AH188" s="7" t="str"/>
      <x:c r="AI188" s="7" t="str"/>
      <x:c r="AJ188" s="7" t="str"/>
      <x:c r="AK188" s="15" t="str"/>
      <x:c r="AL188" s="7" t="str"/>
      <x:c r="AM188" s="7" t="str">
        <x:v>Aguilar A Brian | AGUILAR ALBERTO BRIAN</x:v>
      </x:c>
      <x:c r="AN188" s="7" t="str">
        <x:v>https://cdicloud.insurance.ca.gov/cal/LicenseDetail?SearchType=IND&amp;SearchLicNbr=0K46877&amp;SearchIndvId=1784231</x:v>
      </x:c>
      <x:c r="AO188" s="7" t="str">
        <x:v>2026-10-08</x:v>
      </x:c>
      <x:c r="AP188" s="7" t="str">
        <x:v>de1ec145f91dade0d154721dfdd4450a176f8ce204af5b90a3c495d94c48025e</x:v>
      </x:c>
      <x:c r="AQ188" s="7" t="str">
        <x:v>Life-Only / Inactive / 09/15/2015 / 09/30/2017 / 09/30/2017</x:v>
      </x:c>
      <x:c r="AR188" s="7" t="str">
        <x:v>Inactive</x:v>
      </x:c>
      <x:c r="AS188" s="7" t="str">
        <x:v>Current detail page</x:v>
      </x:c>
    </x:row>
    <x:row r="189" ht="52" customHeight="1">
      <x:c r="A189" s="7" t="str">
        <x:v>AGUILAR BRIAN OSWALDO</x:v>
      </x:c>
      <x:c r="B189" s="14" t="str">
        <x:f>"0I91512"</x:f>
        <x:v>0I91512</x:v>
      </x:c>
      <x:c r="C189" s="7" t="str">
        <x:v>Omitted</x:v>
      </x:c>
      <x:c r="D189" s="7" t="str">
        <x:v>FAIL</x:v>
      </x:c>
      <x:c r="E189" s="13" t="str">
        <x:v>Pending</x:v>
      </x:c>
      <x:c r="F189" s="13" t="str"/>
      <x:c r="G189" s="13" t="str"/>
      <x:c r="H189" s="13" t="str"/>
      <x:c r="I189" s="7" t="str">
        <x:v>Was this person reviewed? If rejected, give the actual rule and evidence. If acceptable, correct the omission. Confirm the Life-qualification gate and any record change since selection.</x:v>
      </x:c>
      <x:c r="J189" s="7" t="str">
        <x:v>L1</x:v>
      </x:c>
      <x:c r="K189" s="7" t="str">
        <x:v>Verified qualifications do not include active general Life. Current target-pool mismatch; actual historical omission reason unknown.</x:v>
      </x:c>
      <x:c r="L189" s="7" t="str">
        <x:v>Not supplied; membership is known, motive is not</x:v>
      </x:c>
      <x:c r="M189" s="7" t="n">
        <x:v>7</x:v>
      </x:c>
      <x:c r="N189" s="7" t="str">
        <x:v>Outside current general-Life recruiting pool</x:v>
      </x:c>
      <x:c r="O189" s="7" t="str">
        <x:v>Not displayed</x:v>
      </x:c>
      <x:c r="P189" s="7" t="str"/>
      <x:c r="Q189" s="7" t="str"/>
      <x:c r="R189" s="7" t="str"/>
      <x:c r="S189" s="15" t="str"/>
      <x:c r="T189" s="7" t="str">
        <x:v>No public business phone in collected record</x:v>
      </x:c>
      <x:c r="U189" s="7" t="str"/>
      <x:c r="V189" s="7" t="str">
        <x:v>Resident</x:v>
      </x:c>
      <x:c r="W189" s="7" t="str">
        <x:v>CA</x:v>
      </x:c>
      <x:c r="X189" s="7" t="str"/>
      <x:c r="Y189" s="7" t="str"/>
      <x:c r="Z189" s="7" t="str"/>
      <x:c r="AA189" s="7" t="str"/>
      <x:c r="AB189" s="7" t="str"/>
      <x:c r="AC189" s="7" t="str"/>
      <x:c r="AD189" s="7" t="str">
        <x:v>No agency or insurer displayed: onboarding opportunity possible; existing business unknown</x:v>
      </x:c>
      <x:c r="AE189" s="7" t="str">
        <x:v>No public business phone: contact enrichment needed, not proof of poor recruiting fit</x:v>
      </x:c>
      <x:c r="AF189" s="16" t="str"/>
      <x:c r="AG189" s="17" t="str"/>
      <x:c r="AH189" s="7" t="str"/>
      <x:c r="AI189" s="7" t="str"/>
      <x:c r="AJ189" s="7" t="str"/>
      <x:c r="AK189" s="15" t="str"/>
      <x:c r="AL189" s="7" t="str"/>
      <x:c r="AM189" s="7" t="str">
        <x:v>Aguilar O Brian | AGUILAR OSWALDO BRIAN</x:v>
      </x:c>
      <x:c r="AN189" s="7" t="str">
        <x:v>https://cdicloud.insurance.ca.gov/cal/LicenseDetail?SearchType=IND&amp;SearchLicNbr=0I91512&amp;SearchIndvId=1675578</x:v>
      </x:c>
      <x:c r="AO189" s="7" t="str">
        <x:v>2026-10-08</x:v>
      </x:c>
      <x:c r="AP189" s="7" t="str">
        <x:v>f693ab81b0936a521d24673f4099ee7af2cc96bdf3639c4baab569175c3c2d0f</x:v>
      </x:c>
      <x:c r="AQ189" s="7" t="str">
        <x:v>Life-Only / Inactive / 06/20/2014 / 06/30/2016 / 06/30/2016</x:v>
      </x:c>
      <x:c r="AR189" s="7" t="str">
        <x:v>Inactive</x:v>
      </x:c>
      <x:c r="AS189" s="7" t="str">
        <x:v>Current detail page</x:v>
      </x:c>
    </x:row>
    <x:row r="190" ht="52" customHeight="1">
      <x:c r="A190" s="7" t="str">
        <x:v>AGUILAR BRITTNEY</x:v>
      </x:c>
      <x:c r="B190" s="14" t="str">
        <x:f>"2066967"</x:f>
        <x:v>2066967</x:v>
      </x:c>
      <x:c r="C190" s="7" t="str">
        <x:v>Omitted</x:v>
      </x:c>
      <x:c r="D190" s="7" t="str">
        <x:v>FAIL</x:v>
      </x:c>
      <x:c r="E190" s="13" t="str">
        <x:v>Pending</x:v>
      </x:c>
      <x:c r="F190" s="13" t="str"/>
      <x:c r="G190" s="13" t="str"/>
      <x:c r="H190" s="13" t="str"/>
      <x:c r="I190" s="7" t="str">
        <x:v>Was this person reviewed? If rejected, give the actual rule and evidence. If acceptable, correct the omission. Confirm the Life-qualification gate and any record change since selection.</x:v>
      </x:c>
      <x:c r="J190" s="7" t="str">
        <x:v>L1</x:v>
      </x:c>
      <x:c r="K190" s="7" t="str">
        <x:v>Verified qualifications do not include active general Life. Current target-pool mismatch; actual historical omission reason unknown.</x:v>
      </x:c>
      <x:c r="L190" s="7" t="str">
        <x:v>Not supplied; membership is known, motive is not</x:v>
      </x:c>
      <x:c r="M190" s="7" t="n">
        <x:v>7</x:v>
      </x:c>
      <x:c r="N190" s="7" t="str">
        <x:v>Outside current general-Life recruiting pool</x:v>
      </x:c>
      <x:c r="O190" s="7" t="str">
        <x:v>Inactive</x:v>
      </x:c>
      <x:c r="P190" s="7" t="str">
        <x:v>11/09/2021</x:v>
      </x:c>
      <x:c r="Q190" s="7" t="str">
        <x:v>11/30/2025</x:v>
      </x:c>
      <x:c r="R190" s="7" t="str"/>
      <x:c r="S190" s="15" t="str">
        <x:v>916-271-6204</x:v>
      </x:c>
      <x:c r="T190" s="7" t="str">
        <x:v>Current CDI</x:v>
      </x:c>
      <x:c r="U190" s="7" t="str">
        <x:v>8853 APRICOT WOODS WAY ELK GROVE CA, 95624-1228</x:v>
      </x:c>
      <x:c r="V190" s="7" t="str">
        <x:v>Resident</x:v>
      </x:c>
      <x:c r="W190" s="7" t="str">
        <x:v>CA</x:v>
      </x:c>
      <x:c r="X190" s="7" t="str"/>
      <x:c r="Y190" s="7" t="str"/>
      <x:c r="Z190" s="7" t="str"/>
      <x:c r="AA190" s="7" t="str"/>
      <x:c r="AB190" s="7" t="str"/>
      <x:c r="AC190" s="7" t="str"/>
      <x:c r="AD190" s="7" t="str">
        <x:v>No agency or insurer displayed: onboarding opportunity possible; existing business unknown</x:v>
      </x:c>
      <x:c r="AE190" s="7" t="str"/>
      <x:c r="AF190" s="16" t="str"/>
      <x:c r="AG190" s="17" t="str"/>
      <x:c r="AH190" s="7" t="str"/>
      <x:c r="AI190" s="7" t="str">
        <x:v>English</x:v>
      </x:c>
      <x:c r="AJ190" s="7" t="str"/>
      <x:c r="AK190" s="15" t="str"/>
      <x:c r="AL190" s="7" t="str"/>
      <x:c r="AM190" s="7" t="str">
        <x:v>AGUILAR  BRITTNEY</x:v>
      </x:c>
      <x:c r="AN190" s="7" t="str">
        <x:v>https://cdicloud.insurance.ca.gov/cal/LicenseDetail?SearchType=IND&amp;SearchLicNbr=2066967&amp;SearchIndvId=2066967</x:v>
      </x:c>
      <x:c r="AO190" s="7" t="str">
        <x:v>2026-10-08</x:v>
      </x:c>
      <x:c r="AP190" s="7" t="str">
        <x:v>f418b77b53eff33feaffb75249b1e9f31b8c424f6dc187c9821fb94a3c40a172</x:v>
      </x:c>
      <x:c r="AQ190" s="7" t="str">
        <x:v>Accident &amp; Health or Sickness / Inactive / 11/09/2021 / 11/30/2025 / 11/30/2025
Life / Inactive / 11/09/2021 / 11/30/2025 / 11/30/2025</x:v>
      </x:c>
      <x:c r="AR190" s="7" t="str">
        <x:v>Inactive</x:v>
      </x:c>
      <x:c r="AS190" s="7" t="str">
        <x:v>Current detail page</x:v>
      </x:c>
    </x:row>
    <x:row r="191" ht="52" customHeight="1">
      <x:c r="A191" s="7" t="str">
        <x:v>AGUILAR BRITTNEY RAYLENE MOLINAR</x:v>
      </x:c>
      <x:c r="B191" s="14" t="str">
        <x:f>"0K97200"</x:f>
        <x:v>0K97200</x:v>
      </x:c>
      <x:c r="C191" s="7" t="str">
        <x:v>Omitted</x:v>
      </x:c>
      <x:c r="D191" s="7" t="str">
        <x:v>FAIL</x:v>
      </x:c>
      <x:c r="E191" s="13" t="str">
        <x:v>Pending</x:v>
      </x:c>
      <x:c r="F191" s="13" t="str"/>
      <x:c r="G191" s="13" t="str"/>
      <x:c r="H191" s="13" t="str"/>
      <x:c r="I191" s="7" t="str">
        <x:v>Was this person reviewed? If rejected, give the actual rule and evidence. If acceptable, correct the omission. Confirm the Life-qualification gate and any record change since selection.</x:v>
      </x:c>
      <x:c r="J191" s="7" t="str">
        <x:v>L1</x:v>
      </x:c>
      <x:c r="K191" s="7" t="str">
        <x:v>Verified qualifications do not include active general Life. Current target-pool mismatch; actual historical omission reason unknown.</x:v>
      </x:c>
      <x:c r="L191" s="7" t="str">
        <x:v>Not supplied; membership is known, motive is not</x:v>
      </x:c>
      <x:c r="M191" s="7" t="n">
        <x:v>7</x:v>
      </x:c>
      <x:c r="N191" s="7" t="str">
        <x:v>Outside current general-Life recruiting pool</x:v>
      </x:c>
      <x:c r="O191" s="7" t="str">
        <x:v>Not displayed</x:v>
      </x:c>
      <x:c r="P191" s="7" t="str"/>
      <x:c r="Q191" s="7" t="str"/>
      <x:c r="R191" s="7" t="str"/>
      <x:c r="S191" s="15" t="str"/>
      <x:c r="T191" s="7" t="str">
        <x:v>No public business phone in collected record</x:v>
      </x:c>
      <x:c r="U191" s="7" t="str"/>
      <x:c r="V191" s="7" t="str">
        <x:v>Resident</x:v>
      </x:c>
      <x:c r="W191" s="7" t="str">
        <x:v>CA</x:v>
      </x:c>
      <x:c r="X191" s="7" t="str"/>
      <x:c r="Y191" s="7" t="str"/>
      <x:c r="Z191" s="7" t="str"/>
      <x:c r="AA191" s="7" t="str"/>
      <x:c r="AB191" s="7" t="str"/>
      <x:c r="AC191" s="7" t="str"/>
      <x:c r="AD191" s="7" t="str">
        <x:v>No agency or insurer displayed: onboarding opportunity possible; existing business unknown</x:v>
      </x:c>
      <x:c r="AE191" s="7" t="str">
        <x:v>No public business phone: contact enrichment needed, not proof of poor recruiting fit</x:v>
      </x:c>
      <x:c r="AF191" s="16" t="str"/>
      <x:c r="AG191" s="17" t="str"/>
      <x:c r="AH191" s="7" t="str"/>
      <x:c r="AI191" s="7" t="str"/>
      <x:c r="AJ191" s="7" t="str"/>
      <x:c r="AK191" s="15" t="str"/>
      <x:c r="AL191" s="7" t="str"/>
      <x:c r="AM191" s="7" t="str">
        <x:v>Aguilar R Brittney | AGUILAR RAYLENE MOLINAR BRITTNEY</x:v>
      </x:c>
      <x:c r="AN191" s="7" t="str">
        <x:v>https://cdicloud.insurance.ca.gov/cal/LicenseDetail?SearchType=IND&amp;SearchLicNbr=0K97200&amp;SearchIndvId=1844220</x:v>
      </x:c>
      <x:c r="AO191" s="7" t="str">
        <x:v>2026-10-08</x:v>
      </x:c>
      <x:c r="AP191" s="7" t="str">
        <x:v>57f81c675e39a21b5b341b8fdded14d467d026fc0d8b9f3a11fbafe643d55c2d</x:v>
      </x:c>
      <x:c r="AQ191" s="7" t="str">
        <x:v>Life-Only / Inactive / 06/28/2016 / 06/30/2018 / 06/30/2018</x:v>
      </x:c>
      <x:c r="AR191" s="7" t="str">
        <x:v>Inactive</x:v>
      </x:c>
      <x:c r="AS191" s="7" t="str">
        <x:v>Current detail page</x:v>
      </x:c>
    </x:row>
    <x:row r="192" ht="52" customHeight="1">
      <x:c r="A192" s="7" t="str">
        <x:v>AGUILAR BRUCE XAVIER</x:v>
      </x:c>
      <x:c r="B192" s="14" t="str">
        <x:f>"4356276"</x:f>
        <x:v>4356276</x:v>
      </x:c>
      <x:c r="C192" s="7" t="str">
        <x:v>Omitted</x:v>
      </x:c>
      <x:c r="D192" s="7" t="str">
        <x:v>FAIL</x:v>
      </x:c>
      <x:c r="E192" s="13" t="str">
        <x:v>Pending</x:v>
      </x:c>
      <x:c r="F192" s="13" t="str"/>
      <x:c r="G192" s="13" t="str"/>
      <x:c r="H192" s="13" t="str"/>
      <x:c r="I192" s="7" t="str">
        <x:v>Was this person reviewed? If rejected, give the actual rule and evidence. If acceptable, correct the omission. Confirm the Life-qualification gate and any record change since selection.</x:v>
      </x:c>
      <x:c r="J192" s="7" t="str">
        <x:v>L1</x:v>
      </x:c>
      <x:c r="K192" s="7" t="str">
        <x:v>Verified qualifications do not include active general Life. Current target-pool mismatch; actual historical omission reason unknown.</x:v>
      </x:c>
      <x:c r="L192" s="7" t="str">
        <x:v>Not supplied; membership is known, motive is not</x:v>
      </x:c>
      <x:c r="M192" s="7" t="n">
        <x:v>7</x:v>
      </x:c>
      <x:c r="N192" s="7" t="str">
        <x:v>Outside current general-Life recruiting pool</x:v>
      </x:c>
      <x:c r="O192" s="7" t="str">
        <x:v>Inactive</x:v>
      </x:c>
      <x:c r="P192" s="7" t="str">
        <x:v>02/16/2024</x:v>
      </x:c>
      <x:c r="Q192" s="7" t="str">
        <x:v>02/28/2026</x:v>
      </x:c>
      <x:c r="R192" s="7" t="str"/>
      <x:c r="S192" s="15" t="str">
        <x:v>714-408-5846</x:v>
      </x:c>
      <x:c r="T192" s="7" t="str">
        <x:v>Current CDI</x:v>
      </x:c>
      <x:c r="U192" s="7" t="str">
        <x:v>5034 VISTA MONTANA YORBA LINDA CA, 92886</x:v>
      </x:c>
      <x:c r="V192" s="7" t="str">
        <x:v>Resident</x:v>
      </x:c>
      <x:c r="W192" s="7" t="str">
        <x:v>CA</x:v>
      </x:c>
      <x:c r="X192" s="7" t="str"/>
      <x:c r="Y192" s="7" t="str"/>
      <x:c r="Z192" s="7" t="str"/>
      <x:c r="AA192" s="7" t="str"/>
      <x:c r="AB192" s="7" t="str"/>
      <x:c r="AC192" s="7" t="str"/>
      <x:c r="AD192" s="7" t="str">
        <x:v>No agency or insurer displayed: onboarding opportunity possible; existing business unknown</x:v>
      </x:c>
      <x:c r="AE192" s="7" t="str"/>
      <x:c r="AF192" s="16" t="str"/>
      <x:c r="AG192" s="17" t="str"/>
      <x:c r="AH192" s="7" t="str"/>
      <x:c r="AI192" s="7" t="str">
        <x:v>English</x:v>
      </x:c>
      <x:c r="AJ192" s="7" t="str"/>
      <x:c r="AK192" s="15" t="str"/>
      <x:c r="AL192" s="7" t="str"/>
      <x:c r="AM192" s="7" t="str">
        <x:v>AGUILAR XAVIER BRUCE</x:v>
      </x:c>
      <x:c r="AN192" s="7" t="str">
        <x:v>https://cdicloud.insurance.ca.gov/cal/LicenseDetail?SearchType=IND&amp;SearchLicNbr=4356276&amp;SearchIndvId=4356276</x:v>
      </x:c>
      <x:c r="AO192" s="7" t="str">
        <x:v>2026-10-08</x:v>
      </x:c>
      <x:c r="AP192" s="7" t="str">
        <x:v>6bfe541a68c83ac02597d6c23126416c7d67215907ef089e3890a79051929cab</x:v>
      </x:c>
      <x:c r="AQ192" s="7" t="str">
        <x:v>Life / Inactive / 02/16/2024 / 02/28/2026 / 02/28/2026</x:v>
      </x:c>
      <x:c r="AR192" s="7" t="str">
        <x:v>Inactive</x:v>
      </x:c>
      <x:c r="AS192" s="7" t="str">
        <x:v>Current detail page</x:v>
      </x:c>
    </x:row>
    <x:row r="193" ht="52" customHeight="1">
      <x:c r="A193" s="7" t="str">
        <x:v>AGUILAR BRYAN</x:v>
      </x:c>
      <x:c r="B193" s="14" t="str">
        <x:f>"0L16264"</x:f>
        <x:v>0L16264</x:v>
      </x:c>
      <x:c r="C193" s="7" t="str">
        <x:v>Omitted</x:v>
      </x:c>
      <x:c r="D193" s="7" t="str">
        <x:v>FAIL</x:v>
      </x:c>
      <x:c r="E193" s="13" t="str">
        <x:v>Pending</x:v>
      </x:c>
      <x:c r="F193" s="13" t="str"/>
      <x:c r="G193" s="13" t="str"/>
      <x:c r="H193" s="13" t="str"/>
      <x:c r="I193" s="7" t="str">
        <x:v>Was this person reviewed? If rejected, give the actual rule and evidence. If acceptable, correct the omission. Confirm the Life-qualification gate and any record change since selection.</x:v>
      </x:c>
      <x:c r="J193" s="7" t="str">
        <x:v>L1</x:v>
      </x:c>
      <x:c r="K193" s="7" t="str">
        <x:v>Verified qualifications do not include active general Life. Current target-pool mismatch; actual historical omission reason unknown.</x:v>
      </x:c>
      <x:c r="L193" s="7" t="str">
        <x:v>Not supplied; membership is known, motive is not</x:v>
      </x:c>
      <x:c r="M193" s="7" t="n">
        <x:v>7</x:v>
      </x:c>
      <x:c r="N193" s="7" t="str">
        <x:v>Outside current general-Life recruiting pool</x:v>
      </x:c>
      <x:c r="O193" s="7" t="str">
        <x:v>Not displayed</x:v>
      </x:c>
      <x:c r="P193" s="7" t="str"/>
      <x:c r="Q193" s="7" t="str"/>
      <x:c r="R193" s="7" t="str"/>
      <x:c r="S193" s="15" t="str"/>
      <x:c r="T193" s="7" t="str">
        <x:v>No public business phone in collected record</x:v>
      </x:c>
      <x:c r="U193" s="7" t="str"/>
      <x:c r="V193" s="7" t="str">
        <x:v>Resident</x:v>
      </x:c>
      <x:c r="W193" s="7" t="str">
        <x:v>CA</x:v>
      </x:c>
      <x:c r="X193" s="7" t="str"/>
      <x:c r="Y193" s="7" t="str"/>
      <x:c r="Z193" s="7" t="str"/>
      <x:c r="AA193" s="7" t="str"/>
      <x:c r="AB193" s="7" t="str"/>
      <x:c r="AC193" s="7" t="str"/>
      <x:c r="AD193" s="7" t="str">
        <x:v>No agency or insurer displayed: onboarding opportunity possible; existing business unknown</x:v>
      </x:c>
      <x:c r="AE193" s="7" t="str">
        <x:v>No public business phone: contact enrichment needed, not proof of poor recruiting fit</x:v>
      </x:c>
      <x:c r="AF193" s="16" t="str"/>
      <x:c r="AG193" s="17" t="str"/>
      <x:c r="AH193" s="7" t="str"/>
      <x:c r="AI193" s="7" t="str"/>
      <x:c r="AJ193" s="7" t="str"/>
      <x:c r="AK193" s="15" t="str"/>
      <x:c r="AL193" s="7" t="str"/>
      <x:c r="AM193" s="7" t="str">
        <x:v>AGUILAR  BRYAN</x:v>
      </x:c>
      <x:c r="AN193" s="7" t="str">
        <x:v>https://cdicloud.insurance.ca.gov/cal/LicenseDetail?SearchType=IND&amp;SearchLicNbr=0L16264&amp;SearchIndvId=1866004</x:v>
      </x:c>
      <x:c r="AO193" s="7" t="str">
        <x:v>2026-10-08</x:v>
      </x:c>
      <x:c r="AP193" s="7" t="str">
        <x:v>d4ade10e68aecb81ce9234c08dd46cbcc28151c6eb188221cb66338fe74ff26e</x:v>
      </x:c>
      <x:c r="AQ193" s="7" t="str">
        <x:v>Life-Only / Inactive / 09/28/2016 / 09/30/2018 / 09/30/2018</x:v>
      </x:c>
      <x:c r="AR193" s="7" t="str">
        <x:v>Inactive</x:v>
      </x:c>
      <x:c r="AS193" s="7" t="str">
        <x:v>Current detail page</x:v>
      </x:c>
    </x:row>
    <x:row r="194" ht="52" customHeight="1">
      <x:c r="A194" s="7" t="str">
        <x:v>AGUILAR BRYAN</x:v>
      </x:c>
      <x:c r="B194" s="14" t="str">
        <x:f>"4323368"</x:f>
        <x:v>4323368</x:v>
      </x:c>
      <x:c r="C194" s="7" t="str">
        <x:v>Omitted</x:v>
      </x:c>
      <x:c r="D194" s="7" t="str">
        <x:v>FAIL</x:v>
      </x:c>
      <x:c r="E194" s="13" t="str">
        <x:v>Pending</x:v>
      </x:c>
      <x:c r="F194" s="13" t="str"/>
      <x:c r="G194" s="13" t="str"/>
      <x:c r="H194" s="13" t="str"/>
      <x:c r="I194" s="7" t="str">
        <x:v>Was this person reviewed? If rejected, give the actual rule and evidence. If acceptable, correct the omission. Confirm the Life-qualification gate and any record change since selection.</x:v>
      </x:c>
      <x:c r="J194" s="7" t="str">
        <x:v>L1</x:v>
      </x:c>
      <x:c r="K194" s="7" t="str">
        <x:v>Verified qualifications do not include active general Life. Current target-pool mismatch; actual historical omission reason unknown.</x:v>
      </x:c>
      <x:c r="L194" s="7" t="str">
        <x:v>Not supplied; membership is known, motive is not</x:v>
      </x:c>
      <x:c r="M194" s="7" t="n">
        <x:v>7</x:v>
      </x:c>
      <x:c r="N194" s="7" t="str">
        <x:v>Outside current general-Life recruiting pool</x:v>
      </x:c>
      <x:c r="O194" s="7" t="str">
        <x:v>Inactive</x:v>
      </x:c>
      <x:c r="P194" s="7" t="str">
        <x:v>09/20/2023</x:v>
      </x:c>
      <x:c r="Q194" s="7" t="str">
        <x:v>09/30/2025</x:v>
      </x:c>
      <x:c r="R194" s="7" t="str"/>
      <x:c r="S194" s="15" t="str">
        <x:v>510-621-9960</x:v>
      </x:c>
      <x:c r="T194" s="7" t="str">
        <x:v>Current CDI</x:v>
      </x:c>
      <x:c r="U194" s="7" t="str">
        <x:v>1153 RUMRILL BLVD #15 SAN PABLO CA, 94806</x:v>
      </x:c>
      <x:c r="V194" s="7" t="str">
        <x:v>Resident</x:v>
      </x:c>
      <x:c r="W194" s="7" t="str">
        <x:v>CA</x:v>
      </x:c>
      <x:c r="X194" s="7" t="str"/>
      <x:c r="Y194" s="7" t="str"/>
      <x:c r="Z194" s="7" t="str"/>
      <x:c r="AA194" s="7" t="str"/>
      <x:c r="AB194" s="7" t="str"/>
      <x:c r="AC194" s="7" t="str"/>
      <x:c r="AD194" s="7" t="str">
        <x:v>No agency or insurer displayed: onboarding opportunity possible; existing business unknown</x:v>
      </x:c>
      <x:c r="AE194" s="7" t="str"/>
      <x:c r="AF194" s="16" t="str"/>
      <x:c r="AG194" s="17" t="str"/>
      <x:c r="AH194" s="7" t="str"/>
      <x:c r="AI194" s="7" t="str">
        <x:v>English</x:v>
      </x:c>
      <x:c r="AJ194" s="7" t="str"/>
      <x:c r="AK194" s="15" t="str"/>
      <x:c r="AL194" s="7" t="str"/>
      <x:c r="AM194" s="7" t="str">
        <x:v>AGUILAR  BRYAN</x:v>
      </x:c>
      <x:c r="AN194" s="7" t="str">
        <x:v>https://cdicloud.insurance.ca.gov/cal/LicenseDetail?SearchType=IND&amp;SearchLicNbr=4323368&amp;SearchIndvId=4323368</x:v>
      </x:c>
      <x:c r="AO194" s="7" t="str">
        <x:v>2026-10-08</x:v>
      </x:c>
      <x:c r="AP194" s="7" t="str">
        <x:v>30f8715b32e0c5061e7d9868802535e90989b8089916a895e2ccd4ff44171a1d</x:v>
      </x:c>
      <x:c r="AQ194" s="7" t="str">
        <x:v>Accident &amp; Health or Sickness / Inactive / 09/20/2023 / 09/30/2025 / 09/30/2025
Life / Inactive / 09/20/2023 / 09/30/2025 / 09/30/2025</x:v>
      </x:c>
      <x:c r="AR194" s="7" t="str">
        <x:v>Inactive</x:v>
      </x:c>
      <x:c r="AS194" s="7" t="str">
        <x:v>Current detail page</x:v>
      </x:c>
    </x:row>
    <x:row r="195" ht="52" customHeight="1">
      <x:c r="A195" s="7" t="str">
        <x:v>AGUILAR BRYAN VINICIO</x:v>
      </x:c>
      <x:c r="B195" s="14" t="str">
        <x:f>"0G56705"</x:f>
        <x:v>0G56705</x:v>
      </x:c>
      <x:c r="C195" s="7" t="str">
        <x:v>Omitted</x:v>
      </x:c>
      <x:c r="D195" s="7" t="str">
        <x:v>FAIL</x:v>
      </x:c>
      <x:c r="E195" s="13" t="str">
        <x:v>Pending</x:v>
      </x:c>
      <x:c r="F195" s="13" t="str"/>
      <x:c r="G195" s="13" t="str"/>
      <x:c r="H195" s="13" t="str"/>
      <x:c r="I195" s="7" t="str">
        <x:v>Was this person reviewed? If rejected, give the actual rule and evidence. If acceptable, correct the omission. Confirm the Life-qualification gate and any record change since selection.</x:v>
      </x:c>
      <x:c r="J195" s="7" t="str">
        <x:v>L1</x:v>
      </x:c>
      <x:c r="K195" s="7" t="str">
        <x:v>Verified qualifications do not include active general Life. Current target-pool mismatch; actual historical omission reason unknown.</x:v>
      </x:c>
      <x:c r="L195" s="7" t="str">
        <x:v>Not supplied; membership is known, motive is not</x:v>
      </x:c>
      <x:c r="M195" s="7" t="n">
        <x:v>7</x:v>
      </x:c>
      <x:c r="N195" s="7" t="str">
        <x:v>Outside current general-Life recruiting pool</x:v>
      </x:c>
      <x:c r="O195" s="7" t="str">
        <x:v>Not displayed</x:v>
      </x:c>
      <x:c r="P195" s="7" t="str"/>
      <x:c r="Q195" s="7" t="str"/>
      <x:c r="R195" s="7" t="str"/>
      <x:c r="S195" s="15" t="str"/>
      <x:c r="T195" s="7" t="str">
        <x:v>No public business phone in collected record</x:v>
      </x:c>
      <x:c r="U195" s="7" t="str"/>
      <x:c r="V195" s="7" t="str">
        <x:v>Resident</x:v>
      </x:c>
      <x:c r="W195" s="7" t="str">
        <x:v>CA</x:v>
      </x:c>
      <x:c r="X195" s="7" t="str"/>
      <x:c r="Y195" s="7" t="str"/>
      <x:c r="Z195" s="7" t="str"/>
      <x:c r="AA195" s="7" t="str"/>
      <x:c r="AB195" s="7" t="str"/>
      <x:c r="AC195" s="7" t="str"/>
      <x:c r="AD195" s="7" t="str">
        <x:v>No agency or insurer displayed: onboarding opportunity possible; existing business unknown</x:v>
      </x:c>
      <x:c r="AE195" s="7" t="str">
        <x:v>No public business phone: contact enrichment needed, not proof of poor recruiting fit</x:v>
      </x:c>
      <x:c r="AF195" s="16" t="str"/>
      <x:c r="AG195" s="17" t="str"/>
      <x:c r="AH195" s="7" t="str"/>
      <x:c r="AI195" s="7" t="str"/>
      <x:c r="AJ195" s="7" t="str"/>
      <x:c r="AK195" s="15" t="str"/>
      <x:c r="AL195" s="7" t="str"/>
      <x:c r="AM195" s="7" t="str">
        <x:v>AGUILAR VINICIO BRYAN</x:v>
      </x:c>
      <x:c r="AN195" s="7" t="str">
        <x:v>https://cdicloud.insurance.ca.gov/cal/LicenseDetail?SearchType=IND&amp;SearchLicNbr=0G56705&amp;SearchIndvId=1248368</x:v>
      </x:c>
      <x:c r="AO195" s="7" t="str">
        <x:v>2026-10-08</x:v>
      </x:c>
      <x:c r="AP195" s="7" t="str">
        <x:v>98fd8fefb3ec96aba62f09322adbad7235356400dd1731e0d901f8bf97eec385</x:v>
      </x:c>
      <x:c r="AQ195" s="7" t="str">
        <x:v>Limited Lines Automobile / Inactive / 05/01/2009 / 05/31/2011 / 05/31/2011</x:v>
      </x:c>
      <x:c r="AR195" s="7" t="str">
        <x:v>Inactive</x:v>
      </x:c>
      <x:c r="AS195" s="7" t="str">
        <x:v>Current detail page</x:v>
      </x:c>
    </x:row>
    <x:row r="196" ht="52" customHeight="1">
      <x:c r="A196" s="7" t="str">
        <x:v>AGUILAR BRYANNA TORRES</x:v>
      </x:c>
      <x:c r="B196" s="14" t="str">
        <x:f>"4332879"</x:f>
        <x:v>4332879</x:v>
      </x:c>
      <x:c r="C196" s="7" t="str">
        <x:v>Omitted</x:v>
      </x:c>
      <x:c r="D196" s="7" t="str">
        <x:v>FAIL</x:v>
      </x:c>
      <x:c r="E196" s="13" t="str">
        <x:v>Pending</x:v>
      </x:c>
      <x:c r="F196" s="13" t="str"/>
      <x:c r="G196" s="13" t="str"/>
      <x:c r="H196" s="13" t="str"/>
      <x:c r="I196" s="7" t="str">
        <x:v>Was this person reviewed? If rejected, give the actual rule and evidence. If acceptable, correct the omission. Confirm the Life-qualification gate and any record change since selection.</x:v>
      </x:c>
      <x:c r="J196" s="7" t="str">
        <x:v>L1</x:v>
      </x:c>
      <x:c r="K196" s="7" t="str">
        <x:v>Verified qualifications do not include active general Life. Current target-pool mismatch; actual historical omission reason unknown.</x:v>
      </x:c>
      <x:c r="L196" s="7" t="str">
        <x:v>Not supplied; membership is known, motive is not</x:v>
      </x:c>
      <x:c r="M196" s="7" t="n">
        <x:v>7</x:v>
      </x:c>
      <x:c r="N196" s="7" t="str">
        <x:v>Outside current general-Life recruiting pool</x:v>
      </x:c>
      <x:c r="O196" s="7" t="str">
        <x:v>Inactive</x:v>
      </x:c>
      <x:c r="P196" s="7" t="str">
        <x:v>10/20/2023</x:v>
      </x:c>
      <x:c r="Q196" s="7" t="str">
        <x:v>10/31/2025</x:v>
      </x:c>
      <x:c r="R196" s="7" t="str"/>
      <x:c r="S196" s="15" t="str">
        <x:v>916-709-8040</x:v>
      </x:c>
      <x:c r="T196" s="7" t="str">
        <x:v>Current CDI</x:v>
      </x:c>
      <x:c r="U196" s="7" t="str">
        <x:v>741 S OAK ST UKIAH CA, 95482</x:v>
      </x:c>
      <x:c r="V196" s="7" t="str">
        <x:v>Resident</x:v>
      </x:c>
      <x:c r="W196" s="7" t="str">
        <x:v>CA</x:v>
      </x:c>
      <x:c r="X196" s="7" t="str"/>
      <x:c r="Y196" s="7" t="str"/>
      <x:c r="Z196" s="7" t="str"/>
      <x:c r="AA196" s="7" t="str"/>
      <x:c r="AB196" s="7" t="str"/>
      <x:c r="AC196" s="7" t="str"/>
      <x:c r="AD196" s="7" t="str">
        <x:v>No agency or insurer displayed: onboarding opportunity possible; existing business unknown</x:v>
      </x:c>
      <x:c r="AE196" s="7" t="str"/>
      <x:c r="AF196" s="16" t="str"/>
      <x:c r="AG196" s="17" t="str"/>
      <x:c r="AH196" s="7" t="str"/>
      <x:c r="AI196" s="7" t="str">
        <x:v>English</x:v>
      </x:c>
      <x:c r="AJ196" s="7" t="str"/>
      <x:c r="AK196" s="15" t="str"/>
      <x:c r="AL196" s="7" t="str"/>
      <x:c r="AM196" s="7" t="str">
        <x:v>AGUILAR TORRES BRYANNA</x:v>
      </x:c>
      <x:c r="AN196" s="7" t="str">
        <x:v>https://cdicloud.insurance.ca.gov/cal/LicenseDetail?SearchType=IND&amp;SearchLicNbr=4332879&amp;SearchIndvId=4332879</x:v>
      </x:c>
      <x:c r="AO196" s="7" t="str">
        <x:v>2026-10-08</x:v>
      </x:c>
      <x:c r="AP196" s="7" t="str">
        <x:v>64e20d2846e50fe797c3dd693dc3d25a4e47fe27f307232fe681e6631365b180</x:v>
      </x:c>
      <x:c r="AQ196" s="7" t="str">
        <x:v>Accident &amp; Health or Sickness / Inactive / 10/20/2023 / 10/31/2025 / 10/31/2025
Life / Inactive / 10/20/2023 / 10/31/2025 / 10/31/2025</x:v>
      </x:c>
      <x:c r="AR196" s="7" t="str">
        <x:v>Inactive</x:v>
      </x:c>
      <x:c r="AS196" s="7" t="str">
        <x:v>Current detail page</x:v>
      </x:c>
    </x:row>
    <x:row r="197" ht="52" customHeight="1">
      <x:c r="A197" s="7" t="str">
        <x:v>AGUILAR CALDERON CINDI KAREN</x:v>
      </x:c>
      <x:c r="B197" s="14" t="str">
        <x:f>"4298157"</x:f>
        <x:v>4298157</x:v>
      </x:c>
      <x:c r="C197" s="7" t="str">
        <x:v>Omitted</x:v>
      </x:c>
      <x:c r="D197" s="7" t="str">
        <x:v>FAIL</x:v>
      </x:c>
      <x:c r="E197" s="13" t="str">
        <x:v>Pending</x:v>
      </x:c>
      <x:c r="F197" s="13" t="str"/>
      <x:c r="G197" s="13" t="str"/>
      <x:c r="H197" s="13" t="str"/>
      <x:c r="I197" s="7" t="str">
        <x:v>Was this person reviewed? If rejected, give the actual rule and evidence. If acceptable, correct the omission. Confirm the Life-qualification gate and any record change since selection.</x:v>
      </x:c>
      <x:c r="J197" s="7" t="str">
        <x:v>L1</x:v>
      </x:c>
      <x:c r="K197" s="7" t="str">
        <x:v>Verified qualifications do not include active general Life. Current target-pool mismatch; actual historical omission reason unknown.</x:v>
      </x:c>
      <x:c r="L197" s="7" t="str">
        <x:v>Not supplied; membership is known, motive is not</x:v>
      </x:c>
      <x:c r="M197" s="7" t="n">
        <x:v>7</x:v>
      </x:c>
      <x:c r="N197" s="7" t="str">
        <x:v>Outside current general-Life recruiting pool</x:v>
      </x:c>
      <x:c r="O197" s="7" t="str">
        <x:v>Not displayed</x:v>
      </x:c>
      <x:c r="P197" s="7" t="str"/>
      <x:c r="Q197" s="7" t="str"/>
      <x:c r="R197" s="7" t="str">
        <x:v>Accident &amp; Health or Sickness</x:v>
      </x:c>
      <x:c r="S197" s="15" t="str"/>
      <x:c r="T197" s="7" t="str">
        <x:v>No public business phone in collected record</x:v>
      </x:c>
      <x:c r="U197" s="7" t="str">
        <x:v>17239 N 19TH AVE APT 2101 PHOENIX AZ, 85023-2436</x:v>
      </x:c>
      <x:c r="V197" s="7" t="str">
        <x:v>Non-resident</x:v>
      </x:c>
      <x:c r="W197" s="7" t="str">
        <x:v>AZ</x:v>
      </x:c>
      <x:c r="X197" s="7" t="str"/>
      <x:c r="Y197" s="7" t="str">
        <x:v>AETNA LIFE INSURANCE COMPANY / Accident &amp; Health or Sickness / 10/17/2023
ANTHEM BLUE CROSS LIFE AND HEALTH INSURANCE COMPANY / Accident &amp; Health or Sickness / 08/13/2026
ANTHEM INSURANCE COMPANIES, INC. / Accident &amp; Health or Sickness / 08/13/2026</x:v>
      </x:c>
      <x:c r="Z197" s="7" t="str"/>
      <x:c r="AA197" s="7" t="str"/>
      <x:c r="AB197" s="7" t="str"/>
      <x:c r="AC197" s="7" t="str"/>
      <x:c r="AD197" s="7" t="str">
        <x:v>Active A&amp;H supports optional cross-selling; not necessary for target products</x:v>
      </x:c>
      <x:c r="AE197" s="7" t="str">
        <x:v>Displayed insurer appointments are A&amp;H/disability only despite active Life authority | Nonresident or address state outside CA; confirm geographic recruiting scope | No public business phone: contact enrichment needed, not proof of poor recruiting fit</x:v>
      </x:c>
      <x:c r="AF197" s="16" t="str"/>
      <x:c r="AG197" s="17" t="str"/>
      <x:c r="AH197" s="7" t="str"/>
      <x:c r="AI197" s="7" t="str"/>
      <x:c r="AJ197" s="7" t="str"/>
      <x:c r="AK197" s="15" t="str"/>
      <x:c r="AL197" s="7" t="str"/>
      <x:c r="AM197" s="7" t="str">
        <x:v>Aguilar Calderon Karen Cindi</x:v>
      </x:c>
      <x:c r="AN197" s="7" t="str">
        <x:v>https://cdicloud.insurance.ca.gov/cal/LicenseDetail?SearchType=IND&amp;SearchLicNbr=4298157&amp;SearchIndvId=4298157</x:v>
      </x:c>
      <x:c r="AO197" s="7" t="str">
        <x:v>2026-10-08</x:v>
      </x:c>
      <x:c r="AP197" s="7" t="str">
        <x:v>a2f8ce2dfb0c73b42365e5484b7c00dc6cad07d9ff5d3167933487d294818e05</x:v>
      </x:c>
      <x:c r="AQ197" s="7" t="str">
        <x:v>Accident &amp; Health or Sickness / Active / 05/26/2023 / 05/26/2023 / 05/31/2027</x:v>
      </x:c>
      <x:c r="AR197" s="7" t="str">
        <x:v>Active</x:v>
      </x:c>
      <x:c r="AS197" s="7" t="str">
        <x:v>Current detail page</x:v>
      </x:c>
    </x:row>
    <x:row r="198" ht="52" customHeight="1">
      <x:c r="A198" s="7" t="str">
        <x:v>AGUILAR CANAS LAURA TATIANA</x:v>
      </x:c>
      <x:c r="B198" s="14" t="str">
        <x:f>"4158403"</x:f>
        <x:v>4158403</x:v>
      </x:c>
      <x:c r="C198" s="7" t="str">
        <x:v>Omitted</x:v>
      </x:c>
      <x:c r="D198" s="7" t="str">
        <x:v>FAIL</x:v>
      </x:c>
      <x:c r="E198" s="13" t="str">
        <x:v>Pending</x:v>
      </x:c>
      <x:c r="F198" s="13" t="str"/>
      <x:c r="G198" s="13" t="str"/>
      <x:c r="H198" s="13" t="str"/>
      <x:c r="I198" s="7" t="str">
        <x:v>Was this person reviewed? If rejected, give the actual rule and evidence. If acceptable, correct the omission. Confirm the Life-qualification gate and any record change since selection.</x:v>
      </x:c>
      <x:c r="J198" s="7" t="str">
        <x:v>L1</x:v>
      </x:c>
      <x:c r="K198" s="7" t="str">
        <x:v>Verified qualifications do not include active general Life. Current target-pool mismatch; actual historical omission reason unknown.</x:v>
      </x:c>
      <x:c r="L198" s="7" t="str">
        <x:v>Not supplied; membership is known, motive is not</x:v>
      </x:c>
      <x:c r="M198" s="7" t="n">
        <x:v>7</x:v>
      </x:c>
      <x:c r="N198" s="7" t="str">
        <x:v>Outside current general-Life recruiting pool</x:v>
      </x:c>
      <x:c r="O198" s="7" t="str">
        <x:v>Inactive</x:v>
      </x:c>
      <x:c r="P198" s="7" t="str">
        <x:v>09/23/2021</x:v>
      </x:c>
      <x:c r="Q198" s="7" t="str">
        <x:v>09/30/2023</x:v>
      </x:c>
      <x:c r="R198" s="7" t="str"/>
      <x:c r="S198" s="15" t="str"/>
      <x:c r="T198" s="7" t="str">
        <x:v>No public business phone in collected record</x:v>
      </x:c>
      <x:c r="U198" s="7" t="str">
        <x:v>4150 W PEORIA AVE STE 128B PHOENIX AZ, 85029</x:v>
      </x:c>
      <x:c r="V198" s="7" t="str">
        <x:v>Non-resident</x:v>
      </x:c>
      <x:c r="W198" s="7" t="str">
        <x:v>AZ</x:v>
      </x:c>
      <x:c r="X198" s="7" t="str"/>
      <x:c r="Y198" s="7" t="str"/>
      <x:c r="Z198" s="7" t="str"/>
      <x:c r="AA198" s="7" t="str"/>
      <x:c r="AB198" s="7" t="str"/>
      <x:c r="AC198" s="7" t="str"/>
      <x:c r="AD198" s="7" t="str">
        <x:v>No agency or insurer displayed: onboarding opportunity possible; existing business unknown</x:v>
      </x:c>
      <x:c r="AE198" s="7" t="str">
        <x:v>Nonresident or address state outside CA; confirm geographic recruiting scope | No public business phone: contact enrichment needed, not proof of poor recruiting fit</x:v>
      </x:c>
      <x:c r="AF198" s="16" t="str"/>
      <x:c r="AG198" s="17" t="str"/>
      <x:c r="AH198" s="7" t="str"/>
      <x:c r="AI198" s="7" t="str"/>
      <x:c r="AJ198" s="7" t="str"/>
      <x:c r="AK198" s="15" t="str"/>
      <x:c r="AL198" s="7" t="str"/>
      <x:c r="AM198" s="7" t="str">
        <x:v>AGUILAR CANAS TATIANA LAURA</x:v>
      </x:c>
      <x:c r="AN198" s="7" t="str">
        <x:v>https://cdicloud.insurance.ca.gov/cal/LicenseDetail?SearchType=IND&amp;SearchLicNbr=4158403&amp;SearchIndvId=4158403</x:v>
      </x:c>
      <x:c r="AO198" s="7" t="str">
        <x:v>2026-10-08</x:v>
      </x:c>
      <x:c r="AP198" s="7" t="str">
        <x:v>bcb0aad17e606e25dbf8ebcab0df2f2f3a401e92f5d254b9aae58818b7f707ab</x:v>
      </x:c>
      <x:c r="AQ198" s="7" t="str">
        <x:v>Life / Inactive / 09/23/2021 / 09/30/2023 / 09/30/2023</x:v>
      </x:c>
      <x:c r="AR198" s="7" t="str">
        <x:v>Inactive</x:v>
      </x:c>
      <x:c r="AS198" s="7" t="str">
        <x:v>Current detail page</x:v>
      </x:c>
    </x:row>
    <x:row r="199" ht="52" customHeight="1">
      <x:c r="A199" s="7" t="str">
        <x:v>AGUILAR CARLA C</x:v>
      </x:c>
      <x:c r="B199" s="14" t="str">
        <x:f>"4032541"</x:f>
        <x:v>4032541</x:v>
      </x:c>
      <x:c r="C199" s="7" t="str">
        <x:v>Omitted</x:v>
      </x:c>
      <x:c r="D199" s="7" t="str">
        <x:v>FAIL</x:v>
      </x:c>
      <x:c r="E199" s="13" t="str">
        <x:v>Pending</x:v>
      </x:c>
      <x:c r="F199" s="13" t="str"/>
      <x:c r="G199" s="13" t="str"/>
      <x:c r="H199" s="13" t="str"/>
      <x:c r="I199" s="7" t="str">
        <x:v>Was this person reviewed? If rejected, give the actual rule and evidence. If acceptable, correct the omission. Confirm the Life-qualification gate and any record change since selection.</x:v>
      </x:c>
      <x:c r="J199" s="7" t="str">
        <x:v>L1</x:v>
      </x:c>
      <x:c r="K199" s="7" t="str">
        <x:v>Verified qualifications do not include active general Life. Current target-pool mismatch; actual historical omission reason unknown.</x:v>
      </x:c>
      <x:c r="L199" s="7" t="str">
        <x:v>Not supplied; membership is known, motive is not</x:v>
      </x:c>
      <x:c r="M199" s="7" t="n">
        <x:v>7</x:v>
      </x:c>
      <x:c r="N199" s="7" t="str">
        <x:v>Outside current general-Life recruiting pool</x:v>
      </x:c>
      <x:c r="O199" s="7" t="str">
        <x:v>Not displayed</x:v>
      </x:c>
      <x:c r="P199" s="7" t="str"/>
      <x:c r="Q199" s="7" t="str"/>
      <x:c r="R199" s="7" t="str"/>
      <x:c r="S199" s="15" t="str"/>
      <x:c r="T199" s="7" t="str">
        <x:v>No public business phone in collected record</x:v>
      </x:c>
      <x:c r="U199" s="7" t="str">
        <x:v>1251 STATE ST RICHARDSON TX, 75082</x:v>
      </x:c>
      <x:c r="V199" s="7" t="str">
        <x:v>Non-resident</x:v>
      </x:c>
      <x:c r="W199" s="7" t="str">
        <x:v>TX</x:v>
      </x:c>
      <x:c r="X199" s="7" t="str"/>
      <x:c r="Y199" s="7" t="str"/>
      <x:c r="Z199" s="7" t="str"/>
      <x:c r="AA199" s="7" t="str"/>
      <x:c r="AB199" s="7" t="str"/>
      <x:c r="AC199" s="7" t="str"/>
      <x:c r="AD199" s="7" t="str">
        <x:v>No agency or insurer displayed: onboarding opportunity possible; existing business unknown</x:v>
      </x:c>
      <x:c r="AE199" s="7" t="str">
        <x:v>Nonresident or address state outside CA; confirm geographic recruiting scope | No public business phone: contact enrichment needed, not proof of poor recruiting fit</x:v>
      </x:c>
      <x:c r="AF199" s="16" t="str"/>
      <x:c r="AG199" s="17" t="str"/>
      <x:c r="AH199" s="7" t="str"/>
      <x:c r="AI199" s="7" t="str"/>
      <x:c r="AJ199" s="7" t="str"/>
      <x:c r="AK199" s="15" t="str"/>
      <x:c r="AL199" s="7" t="str"/>
      <x:c r="AM199" s="7" t="str">
        <x:v>AGUILAR C CARLA | AGUILAR  MARIA</x:v>
      </x:c>
      <x:c r="AN199" s="7" t="str">
        <x:v>https://cdicloud.insurance.ca.gov/cal/LicenseDetail?SearchType=IND&amp;SearchLicNbr=4032541&amp;SearchIndvId=4032541</x:v>
      </x:c>
      <x:c r="AO199" s="7" t="str">
        <x:v>2026-10-08</x:v>
      </x:c>
      <x:c r="AP199" s="7" t="str">
        <x:v>cb0ecfb40dcd3c6e390a40469bdc480bcdcd465cc176e56c6b79c58b57d0af2a</x:v>
      </x:c>
      <x:c r="AQ199" s="7" t="str">
        <x:v>Casualty / Inactive / 01/31/2020 / 01/31/2022 / 01/31/2022
Property / Inactive / 01/31/2020 / 01/31/2022 / 01/31/2022</x:v>
      </x:c>
      <x:c r="AR199" s="7" t="str">
        <x:v>Inactive</x:v>
      </x:c>
      <x:c r="AS199" s="7" t="str">
        <x:v>Current detail page</x:v>
      </x:c>
    </x:row>
    <x:row r="200" ht="52" customHeight="1">
      <x:c r="A200" s="7" t="str">
        <x:v>AGUILAR CARLA YANITHZA</x:v>
      </x:c>
      <x:c r="B200" s="14" t="str">
        <x:f>"4000199"</x:f>
        <x:v>4000199</x:v>
      </x:c>
      <x:c r="C200" s="7" t="str">
        <x:v>Omitted</x:v>
      </x:c>
      <x:c r="D200" s="7" t="str">
        <x:v>FAIL</x:v>
      </x:c>
      <x:c r="E200" s="13" t="str">
        <x:v>Pending</x:v>
      </x:c>
      <x:c r="F200" s="13" t="str"/>
      <x:c r="G200" s="13" t="str"/>
      <x:c r="H200" s="13" t="str"/>
      <x:c r="I200" s="7" t="str">
        <x:v>Was this person reviewed? If rejected, give the actual rule and evidence. If acceptable, correct the omission. Confirm the Life-qualification gate and any record change since selection.</x:v>
      </x:c>
      <x:c r="J200" s="7" t="str">
        <x:v>L1</x:v>
      </x:c>
      <x:c r="K200" s="7" t="str">
        <x:v>Verified qualifications do not include active general Life. Current target-pool mismatch; actual historical omission reason unknown.</x:v>
      </x:c>
      <x:c r="L200" s="7" t="str">
        <x:v>Not supplied; membership is known, motive is not</x:v>
      </x:c>
      <x:c r="M200" s="7" t="n">
        <x:v>7</x:v>
      </x:c>
      <x:c r="N200" s="7" t="str">
        <x:v>Outside current general-Life recruiting pool</x:v>
      </x:c>
      <x:c r="O200" s="7" t="str">
        <x:v>Inactive</x:v>
      </x:c>
      <x:c r="P200" s="7" t="str">
        <x:v>09/19/2019</x:v>
      </x:c>
      <x:c r="Q200" s="7" t="str">
        <x:v>09/30/2021</x:v>
      </x:c>
      <x:c r="R200" s="7" t="str"/>
      <x:c r="S200" s="15" t="str"/>
      <x:c r="T200" s="7" t="str">
        <x:v>No public business phone in collected record</x:v>
      </x:c>
      <x:c r="U200" s="7" t="str"/>
      <x:c r="V200" s="7" t="str">
        <x:v>Resident</x:v>
      </x:c>
      <x:c r="W200" s="7" t="str">
        <x:v>CA</x:v>
      </x:c>
      <x:c r="X200" s="7" t="str"/>
      <x:c r="Y200" s="7" t="str"/>
      <x:c r="Z200" s="7" t="str"/>
      <x:c r="AA200" s="7" t="str"/>
      <x:c r="AB200" s="7" t="str"/>
      <x:c r="AC200" s="7" t="str"/>
      <x:c r="AD200" s="7" t="str">
        <x:v>No agency or insurer displayed: onboarding opportunity possible; existing business unknown</x:v>
      </x:c>
      <x:c r="AE200" s="7" t="str">
        <x:v>No public business phone: contact enrichment needed, not proof of poor recruiting fit</x:v>
      </x:c>
      <x:c r="AF200" s="16" t="str"/>
      <x:c r="AG200" s="17" t="str"/>
      <x:c r="AH200" s="7" t="str"/>
      <x:c r="AI200" s="7" t="str"/>
      <x:c r="AJ200" s="7" t="str"/>
      <x:c r="AK200" s="15" t="str"/>
      <x:c r="AL200" s="7" t="str"/>
      <x:c r="AM200" s="7" t="str">
        <x:v>Aguilar Y Carla | AGUILAR YANITHZA CARLA</x:v>
      </x:c>
      <x:c r="AN200" s="7" t="str">
        <x:v>https://cdicloud.insurance.ca.gov/cal/LicenseDetail?SearchType=IND&amp;SearchLicNbr=4000199&amp;SearchIndvId=4000199</x:v>
      </x:c>
      <x:c r="AO200" s="7" t="str">
        <x:v>2026-10-08</x:v>
      </x:c>
      <x:c r="AP200" s="7" t="str">
        <x:v>a055dc3ac4e2b2c7847f18f01ad002160d156db592954742ced5b0dfd17e19fa</x:v>
      </x:c>
      <x:c r="AQ200" s="7" t="str">
        <x:v>Life / Inactive / 09/19/2019 / 09/30/2021 / 09/30/2021</x:v>
      </x:c>
      <x:c r="AR200" s="7" t="str">
        <x:v>Inactive</x:v>
      </x:c>
      <x:c r="AS200" s="7" t="str">
        <x:v>Current detail page</x:v>
      </x:c>
    </x:row>
    <x:row r="201" ht="52" customHeight="1">
      <x:c r="A201" s="7" t="str">
        <x:v>AGUILAR CARLOS</x:v>
      </x:c>
      <x:c r="B201" s="14" t="str">
        <x:f>"0K02222"</x:f>
        <x:v>0K02222</x:v>
      </x:c>
      <x:c r="C201" s="7" t="str">
        <x:v>Omitted</x:v>
      </x:c>
      <x:c r="D201" s="7" t="str">
        <x:v>FAIL</x:v>
      </x:c>
      <x:c r="E201" s="13" t="str">
        <x:v>Pending</x:v>
      </x:c>
      <x:c r="F201" s="13" t="str"/>
      <x:c r="G201" s="13" t="str"/>
      <x:c r="H201" s="13" t="str"/>
      <x:c r="I201" s="7" t="str">
        <x:v>Was this person reviewed? If rejected, give the actual rule and evidence. If acceptable, correct the omission. Confirm the Life-qualification gate and any record change since selection.</x:v>
      </x:c>
      <x:c r="J201" s="7" t="str">
        <x:v>L1</x:v>
      </x:c>
      <x:c r="K201" s="7" t="str">
        <x:v>Verified qualifications do not include active general Life. Current target-pool mismatch; actual historical omission reason unknown.</x:v>
      </x:c>
      <x:c r="L201" s="7" t="str">
        <x:v>Not supplied; membership is known, motive is not</x:v>
      </x:c>
      <x:c r="M201" s="7" t="n">
        <x:v>7</x:v>
      </x:c>
      <x:c r="N201" s="7" t="str">
        <x:v>Outside current general-Life recruiting pool</x:v>
      </x:c>
      <x:c r="O201" s="7" t="str">
        <x:v>Not displayed</x:v>
      </x:c>
      <x:c r="P201" s="7" t="str"/>
      <x:c r="Q201" s="7" t="str"/>
      <x:c r="R201" s="7" t="str"/>
      <x:c r="S201" s="15" t="str"/>
      <x:c r="T201" s="7" t="str">
        <x:v>No public business phone in collected record</x:v>
      </x:c>
      <x:c r="U201" s="7" t="str"/>
      <x:c r="V201" s="7" t="str">
        <x:v>Non-resident</x:v>
      </x:c>
      <x:c r="W201" s="7" t="str">
        <x:v>IA</x:v>
      </x:c>
      <x:c r="X201" s="7" t="str"/>
      <x:c r="Y201" s="7" t="str"/>
      <x:c r="Z201" s="7" t="str"/>
      <x:c r="AA201" s="7" t="str"/>
      <x:c r="AB201" s="7" t="str"/>
      <x:c r="AC201" s="7" t="str"/>
      <x:c r="AD201" s="7" t="str">
        <x:v>No agency or insurer displayed: onboarding opportunity possible; existing business unknown</x:v>
      </x:c>
      <x:c r="AE201" s="7" t="str">
        <x:v>Nonresident or address state outside CA; confirm geographic recruiting scope | No public business phone: contact enrichment needed, not proof of poor recruiting fit</x:v>
      </x:c>
      <x:c r="AF201" s="16" t="str"/>
      <x:c r="AG201" s="17" t="str"/>
      <x:c r="AH201" s="7" t="str"/>
      <x:c r="AI201" s="7" t="str"/>
      <x:c r="AJ201" s="7" t="str"/>
      <x:c r="AK201" s="15" t="str"/>
      <x:c r="AL201" s="7" t="str"/>
      <x:c r="AM201" s="7" t="str">
        <x:v>AGUILAR  CARLOS</x:v>
      </x:c>
      <x:c r="AN201" s="7" t="str">
        <x:v>https://cdicloud.insurance.ca.gov/cal/LicenseDetail?SearchType=IND&amp;SearchLicNbr=0K02222&amp;SearchIndvId=1726800</x:v>
      </x:c>
      <x:c r="AO201" s="7" t="str">
        <x:v>2026-10-08</x:v>
      </x:c>
      <x:c r="AP201" s="7" t="str">
        <x:v>d2d6df44564487cb5a1aed15a048a487db28a8824069dede128d8e46ac4d0b0a</x:v>
      </x:c>
      <x:c r="AQ201" s="7" t="str">
        <x:v>Personal Lines Broker-Agent / Inactive / 12/29/2014 / 12/31/2016 / 12/31/2016</x:v>
      </x:c>
      <x:c r="AR201" s="7" t="str">
        <x:v>Inactive</x:v>
      </x:c>
      <x:c r="AS201" s="7" t="str">
        <x:v>Current detail page</x:v>
      </x:c>
    </x:row>
    <x:row r="202" ht="52" customHeight="1">
      <x:c r="A202" s="7" t="str">
        <x:v>AGUILAR CARLOS</x:v>
      </x:c>
      <x:c r="B202" s="14" t="str">
        <x:f>"4262997"</x:f>
        <x:v>4262997</x:v>
      </x:c>
      <x:c r="C202" s="7" t="str">
        <x:v>Omitted</x:v>
      </x:c>
      <x:c r="D202" s="7" t="str">
        <x:v>FAIL</x:v>
      </x:c>
      <x:c r="E202" s="13" t="str">
        <x:v>Pending</x:v>
      </x:c>
      <x:c r="F202" s="13" t="str"/>
      <x:c r="G202" s="13" t="str"/>
      <x:c r="H202" s="13" t="str"/>
      <x:c r="I202" s="7" t="str">
        <x:v>Was this person reviewed? If rejected, give the actual rule and evidence. If acceptable, correct the omission. Confirm the Life-qualification gate and any record change since selection.</x:v>
      </x:c>
      <x:c r="J202" s="7" t="str">
        <x:v>L1</x:v>
      </x:c>
      <x:c r="K202" s="7" t="str">
        <x:v>Verified qualifications do not include active general Life. Current target-pool mismatch; actual historical omission reason unknown.</x:v>
      </x:c>
      <x:c r="L202" s="7" t="str">
        <x:v>Not supplied; membership is known, motive is not</x:v>
      </x:c>
      <x:c r="M202" s="7" t="n">
        <x:v>7</x:v>
      </x:c>
      <x:c r="N202" s="7" t="str">
        <x:v>Outside current general-Life recruiting pool</x:v>
      </x:c>
      <x:c r="O202" s="7" t="str">
        <x:v>Inactive</x:v>
      </x:c>
      <x:c r="P202" s="7" t="str">
        <x:v>12/28/2022</x:v>
      </x:c>
      <x:c r="Q202" s="7" t="str">
        <x:v>12/31/2024</x:v>
      </x:c>
      <x:c r="R202" s="7" t="str">
        <x:v>Personal Lines</x:v>
      </x:c>
      <x:c r="S202" s="15" t="str">
        <x:v>951-817-5448</x:v>
      </x:c>
      <x:c r="T202" s="7" t="str">
        <x:v>Current CDI</x:v>
      </x:c>
      <x:c r="U202" s="7" t="str">
        <x:v>1170 EL CAMINO AVE CORONA CA, 92879-1761</x:v>
      </x:c>
      <x:c r="V202" s="7" t="str">
        <x:v>Resident</x:v>
      </x:c>
      <x:c r="W202" s="7" t="str">
        <x:v>CA</x:v>
      </x:c>
      <x:c r="X202" s="7" t="str">
        <x:v>AUTOMOBILE CLUB OF SOUTHERN CALIFORNIA / Personal Lines / 12/08/2023</x:v>
      </x:c>
      <x:c r="Y202" s="7" t="str"/>
      <x:c r="Z202" s="7" t="str"/>
      <x:c r="AA202" s="7" t="str"/>
      <x:c r="AB202" s="7" t="str"/>
      <x:c r="AC202" s="7" t="str"/>
      <x:c r="AD202" s="7" t="str"/>
      <x:c r="AE202" s="7" t="str">
        <x:v>P&amp;C/Personal Lines authority without displayed core Life appointments; mixed profile requires review</x:v>
      </x:c>
      <x:c r="AF202" s="16" t="str"/>
      <x:c r="AG202" s="17" t="str"/>
      <x:c r="AH202" s="7" t="str"/>
      <x:c r="AI202" s="7" t="str">
        <x:v>English</x:v>
      </x:c>
      <x:c r="AJ202" s="7" t="str"/>
      <x:c r="AK202" s="15" t="str"/>
      <x:c r="AL202" s="7" t="str"/>
      <x:c r="AM202" s="7" t="str">
        <x:v>AGUILAR  CARLOS</x:v>
      </x:c>
      <x:c r="AN202" s="7" t="str">
        <x:v>https://cdicloud.insurance.ca.gov/cal/LicenseDetail?SearchType=IND&amp;SearchLicNbr=4262997&amp;SearchIndvId=4262997</x:v>
      </x:c>
      <x:c r="AO202" s="7" t="str">
        <x:v>2026-10-08</x:v>
      </x:c>
      <x:c r="AP202" s="7" t="str">
        <x:v>e07ffaf1ea38a6131082c0408484724cff3808acd8be07e8c65a646f33b13aa5</x:v>
      </x:c>
      <x:c r="AQ202" s="7" t="str">
        <x:v>Personal Lines / Active / 11/15/2023 / 11/15/2023 / 12/31/2026
Accident &amp; Health or Sickness / Inactive / 12/23/2022 / 12/31/2024 / 12/31/2024
Life / Inactive / 12/28/2022 / 12/31/2024 / 12/31/2024</x:v>
      </x:c>
      <x:c r="AR202" s="7" t="str">
        <x:v>Active</x:v>
      </x:c>
      <x:c r="AS202" s="7" t="str">
        <x:v>Current detail page</x:v>
      </x:c>
    </x:row>
    <x:row r="203" ht="52" customHeight="1">
      <x:c r="A203" s="7" t="str">
        <x:v>AGUILAR CARLOS ADRIAN</x:v>
      </x:c>
      <x:c r="B203" s="14" t="str">
        <x:f>"0M22312"</x:f>
        <x:v>0M22312</x:v>
      </x:c>
      <x:c r="C203" s="7" t="str">
        <x:v>Omitted</x:v>
      </x:c>
      <x:c r="D203" s="7" t="str">
        <x:v>FAIL</x:v>
      </x:c>
      <x:c r="E203" s="13" t="str">
        <x:v>Pending</x:v>
      </x:c>
      <x:c r="F203" s="13" t="str"/>
      <x:c r="G203" s="13" t="str"/>
      <x:c r="H203" s="13" t="str"/>
      <x:c r="I203" s="7" t="str">
        <x:v>Was this person reviewed? If rejected, give the actual rule and evidence. If acceptable, correct the omission. Confirm the Life-qualification gate and any record change since selection.</x:v>
      </x:c>
      <x:c r="J203" s="7" t="str">
        <x:v>L1</x:v>
      </x:c>
      <x:c r="K203" s="7" t="str">
        <x:v>Verified qualifications do not include active general Life. Current target-pool mismatch; actual historical omission reason unknown.</x:v>
      </x:c>
      <x:c r="L203" s="7" t="str">
        <x:v>Not supplied; membership is known, motive is not</x:v>
      </x:c>
      <x:c r="M203" s="7" t="n">
        <x:v>7</x:v>
      </x:c>
      <x:c r="N203" s="7" t="str">
        <x:v>Outside current general-Life recruiting pool</x:v>
      </x:c>
      <x:c r="O203" s="7" t="str">
        <x:v>Not displayed</x:v>
      </x:c>
      <x:c r="P203" s="7" t="str"/>
      <x:c r="Q203" s="7" t="str"/>
      <x:c r="R203" s="7" t="str"/>
      <x:c r="S203" s="15" t="str"/>
      <x:c r="T203" s="7" t="str">
        <x:v>No public business phone in collected record</x:v>
      </x:c>
      <x:c r="U203" s="7" t="str"/>
      <x:c r="V203" s="7" t="str">
        <x:v>Resident</x:v>
      </x:c>
      <x:c r="W203" s="7" t="str">
        <x:v>CA</x:v>
      </x:c>
      <x:c r="X203" s="7" t="str"/>
      <x:c r="Y203" s="7" t="str"/>
      <x:c r="Z203" s="7" t="str"/>
      <x:c r="AA203" s="7" t="str"/>
      <x:c r="AB203" s="7" t="str"/>
      <x:c r="AC203" s="7" t="str"/>
      <x:c r="AD203" s="7" t="str">
        <x:v>No agency or insurer displayed: onboarding opportunity possible; existing business unknown</x:v>
      </x:c>
      <x:c r="AE203" s="7" t="str">
        <x:v>No public business phone: contact enrichment needed, not proof of poor recruiting fit</x:v>
      </x:c>
      <x:c r="AF203" s="16" t="str"/>
      <x:c r="AG203" s="17" t="str"/>
      <x:c r="AH203" s="7" t="str"/>
      <x:c r="AI203" s="7" t="str"/>
      <x:c r="AJ203" s="7" t="str"/>
      <x:c r="AK203" s="15" t="str"/>
      <x:c r="AL203" s="7" t="str"/>
      <x:c r="AM203" s="7" t="str">
        <x:v>Aguilar A Carlos | AGUILAR ADRIAN CARLOS</x:v>
      </x:c>
      <x:c r="AN203" s="7" t="str">
        <x:v>https://cdicloud.insurance.ca.gov/cal/LicenseDetail?SearchType=IND&amp;SearchLicNbr=0M22312&amp;SearchIndvId=1999326</x:v>
      </x:c>
      <x:c r="AO203" s="7" t="str">
        <x:v>2026-10-08</x:v>
      </x:c>
      <x:c r="AP203" s="7" t="str">
        <x:v>73e29161d6a506fcd3857ce6d1233958862721f5e761e6dec3846c186f80240e</x:v>
      </x:c>
      <x:c r="AQ203" s="7" t="str">
        <x:v>Life-Only / Inactive / 03/02/2018 / 03/31/2020 / 03/31/2020</x:v>
      </x:c>
      <x:c r="AR203" s="7" t="str">
        <x:v>Inactive</x:v>
      </x:c>
      <x:c r="AS203" s="7" t="str">
        <x:v>Current detail page</x:v>
      </x:c>
    </x:row>
    <x:row r="204" ht="52" customHeight="1">
      <x:c r="A204" s="7" t="str">
        <x:v>AGUILAR CARLOS ALBERTO</x:v>
      </x:c>
      <x:c r="B204" s="14" t="str">
        <x:f>"0C61422"</x:f>
        <x:v>0C61422</x:v>
      </x:c>
      <x:c r="C204" s="7" t="str">
        <x:v>Omitted</x:v>
      </x:c>
      <x:c r="D204" s="7" t="str">
        <x:v>FAIL</x:v>
      </x:c>
      <x:c r="E204" s="13" t="str">
        <x:v>Pending</x:v>
      </x:c>
      <x:c r="F204" s="13" t="str"/>
      <x:c r="G204" s="13" t="str"/>
      <x:c r="H204" s="13" t="str"/>
      <x:c r="I204" s="7" t="str">
        <x:v>Was this person reviewed? If rejected, give the actual rule and evidence. If acceptable, correct the omission. Confirm the Life-qualification gate and any record change since selection.</x:v>
      </x:c>
      <x:c r="J204" s="7" t="str">
        <x:v>L1</x:v>
      </x:c>
      <x:c r="K204" s="7" t="str">
        <x:v>Verified qualifications do not include active general Life. Current target-pool mismatch; actual historical omission reason unknown.</x:v>
      </x:c>
      <x:c r="L204" s="7" t="str">
        <x:v>Not supplied; membership is known, motive is not</x:v>
      </x:c>
      <x:c r="M204" s="7" t="n">
        <x:v>7</x:v>
      </x:c>
      <x:c r="N204" s="7" t="str">
        <x:v>Outside current general-Life recruiting pool</x:v>
      </x:c>
      <x:c r="O204" s="7" t="str">
        <x:v>Not displayed</x:v>
      </x:c>
      <x:c r="P204" s="7" t="str"/>
      <x:c r="Q204" s="7" t="str"/>
      <x:c r="R204" s="7" t="str"/>
      <x:c r="S204" s="15" t="str"/>
      <x:c r="T204" s="7" t="str">
        <x:v>No public business phone in collected record</x:v>
      </x:c>
      <x:c r="U204" s="7" t="str"/>
      <x:c r="V204" s="7" t="str">
        <x:v>Resident</x:v>
      </x:c>
      <x:c r="W204" s="7" t="str">
        <x:v>CA</x:v>
      </x:c>
      <x:c r="X204" s="7" t="str"/>
      <x:c r="Y204" s="7" t="str"/>
      <x:c r="Z204" s="7" t="str"/>
      <x:c r="AA204" s="7" t="str"/>
      <x:c r="AB204" s="7" t="str"/>
      <x:c r="AC204" s="7" t="str"/>
      <x:c r="AD204" s="7" t="str">
        <x:v>No agency or insurer displayed: onboarding opportunity possible; existing business unknown</x:v>
      </x:c>
      <x:c r="AE204" s="7" t="str">
        <x:v>No public business phone: contact enrichment needed, not proof of poor recruiting fit</x:v>
      </x:c>
      <x:c r="AF204" s="16" t="str"/>
      <x:c r="AG204" s="17" t="str"/>
      <x:c r="AH204" s="7" t="str"/>
      <x:c r="AI204" s="7" t="str"/>
      <x:c r="AJ204" s="7" t="str"/>
      <x:c r="AK204" s="15" t="str"/>
      <x:c r="AL204" s="7" t="str"/>
      <x:c r="AM204" s="7" t="str">
        <x:v>AGUILAR ALBERTO CARLOS</x:v>
      </x:c>
      <x:c r="AN204" s="7" t="str">
        <x:v>https://cdicloud.insurance.ca.gov/cal/LicenseDetail?SearchType=IND&amp;SearchLicNbr=0C61422&amp;SearchIndvId=429053</x:v>
      </x:c>
      <x:c r="AO204" s="7" t="str">
        <x:v>2026-10-08</x:v>
      </x:c>
      <x:c r="AP204" s="7" t="str">
        <x:v>31f7ee8d0c206c648e7a094a053ee01423db4653b02db8df92f43a576ffcff75</x:v>
      </x:c>
      <x:c r="AQ204" s="7" t="str">
        <x:v>Accident and Health / Inactive / 05/07/1999 / 05/31/2003 / 05/31/2003
Life-Only / Inactive / 05/07/1999 / 05/31/2003 / 05/31/2003</x:v>
      </x:c>
      <x:c r="AR204" s="7" t="str">
        <x:v>Inactive</x:v>
      </x:c>
      <x:c r="AS204" s="7" t="str">
        <x:v>Current detail page</x:v>
      </x:c>
    </x:row>
    <x:row r="205" ht="52" customHeight="1">
      <x:c r="A205" s="7" t="str">
        <x:v>AGUILAR CARLOS ALBERTO</x:v>
      </x:c>
      <x:c r="B205" s="14" t="str">
        <x:f>"0E03697"</x:f>
        <x:v>0E03697</x:v>
      </x:c>
      <x:c r="C205" s="7" t="str">
        <x:v>Omitted</x:v>
      </x:c>
      <x:c r="D205" s="7" t="str">
        <x:v>FAIL</x:v>
      </x:c>
      <x:c r="E205" s="13" t="str">
        <x:v>Pending</x:v>
      </x:c>
      <x:c r="F205" s="13" t="str"/>
      <x:c r="G205" s="13" t="str"/>
      <x:c r="H205" s="13" t="str"/>
      <x:c r="I205" s="7" t="str">
        <x:v>Was this person reviewed? If rejected, give the actual rule and evidence. If acceptable, correct the omission. Confirm the Life-qualification gate and any record change since selection.</x:v>
      </x:c>
      <x:c r="J205" s="7" t="str">
        <x:v>L1</x:v>
      </x:c>
      <x:c r="K205" s="7" t="str">
        <x:v>Verified qualifications do not include active general Life. Current target-pool mismatch; actual historical omission reason unknown.</x:v>
      </x:c>
      <x:c r="L205" s="7" t="str">
        <x:v>Not supplied; membership is known, motive is not</x:v>
      </x:c>
      <x:c r="M205" s="7" t="n">
        <x:v>7</x:v>
      </x:c>
      <x:c r="N205" s="7" t="str">
        <x:v>Outside current general-Life recruiting pool</x:v>
      </x:c>
      <x:c r="O205" s="7" t="str">
        <x:v>Not displayed</x:v>
      </x:c>
      <x:c r="P205" s="7" t="str"/>
      <x:c r="Q205" s="7" t="str"/>
      <x:c r="R205" s="7" t="str"/>
      <x:c r="S205" s="15" t="str"/>
      <x:c r="T205" s="7" t="str">
        <x:v>No public business phone in collected record</x:v>
      </x:c>
      <x:c r="U205" s="7" t="str"/>
      <x:c r="V205" s="7" t="str">
        <x:v>Resident</x:v>
      </x:c>
      <x:c r="W205" s="7" t="str">
        <x:v>CA</x:v>
      </x:c>
      <x:c r="X205" s="7" t="str"/>
      <x:c r="Y205" s="7" t="str"/>
      <x:c r="Z205" s="7" t="str"/>
      <x:c r="AA205" s="7" t="str"/>
      <x:c r="AB205" s="7" t="str"/>
      <x:c r="AC205" s="7" t="str"/>
      <x:c r="AD205" s="7" t="str">
        <x:v>No agency or insurer displayed: onboarding opportunity possible; existing business unknown</x:v>
      </x:c>
      <x:c r="AE205" s="7" t="str">
        <x:v>No public business phone: contact enrichment needed, not proof of poor recruiting fit</x:v>
      </x:c>
      <x:c r="AF205" s="16" t="str"/>
      <x:c r="AG205" s="17" t="str"/>
      <x:c r="AH205" s="7" t="str"/>
      <x:c r="AI205" s="7" t="str"/>
      <x:c r="AJ205" s="7" t="str"/>
      <x:c r="AK205" s="15" t="str"/>
      <x:c r="AL205" s="7" t="str"/>
      <x:c r="AM205" s="7" t="str">
        <x:v>AGUILAR ALBERTO CARLOS</x:v>
      </x:c>
      <x:c r="AN205" s="7" t="str">
        <x:v>https://cdicloud.insurance.ca.gov/cal/LicenseDetail?SearchType=IND&amp;SearchLicNbr=0E03697&amp;SearchIndvId=845315</x:v>
      </x:c>
      <x:c r="AO205" s="7" t="str">
        <x:v>2026-10-08</x:v>
      </x:c>
      <x:c r="AP205" s="7" t="str">
        <x:v>c7588b3f39e8f5e2d3df92a078c610961b03460154cfebd9a76009d52a0def31</x:v>
      </x:c>
      <x:c r="AQ205" s="7" t="str">
        <x:v>Accident and Health / Inactive / 05/21/2003 / 05/31/2009 / 05/31/2009
Life-Only / Inactive / 05/21/2003 / 05/31/2009 / 05/31/2009</x:v>
      </x:c>
      <x:c r="AR205" s="7" t="str">
        <x:v>Inactive</x:v>
      </x:c>
      <x:c r="AS205" s="7" t="str">
        <x:v>Current detail page</x:v>
      </x:c>
    </x:row>
    <x:row r="206" ht="52" customHeight="1">
      <x:c r="A206" s="7" t="str">
        <x:v>AGUILAR CARLOS EDUARDO</x:v>
      </x:c>
      <x:c r="B206" s="14" t="str">
        <x:f>"0I42940"</x:f>
        <x:v>0I42940</x:v>
      </x:c>
      <x:c r="C206" s="7" t="str">
        <x:v>Omitted</x:v>
      </x:c>
      <x:c r="D206" s="7" t="str">
        <x:v>FAIL</x:v>
      </x:c>
      <x:c r="E206" s="13" t="str">
        <x:v>Pending</x:v>
      </x:c>
      <x:c r="F206" s="13" t="str"/>
      <x:c r="G206" s="13" t="str"/>
      <x:c r="H206" s="13" t="str"/>
      <x:c r="I206" s="7" t="str">
        <x:v>Was this person reviewed? If rejected, give the actual rule and evidence. If acceptable, correct the omission. Confirm the Life-qualification gate and any record change since selection.</x:v>
      </x:c>
      <x:c r="J206" s="7" t="str">
        <x:v>L1</x:v>
      </x:c>
      <x:c r="K206" s="7" t="str">
        <x:v>Verified qualifications do not include active general Life. Current target-pool mismatch; actual historical omission reason unknown.</x:v>
      </x:c>
      <x:c r="L206" s="7" t="str">
        <x:v>Not supplied; membership is known, motive is not</x:v>
      </x:c>
      <x:c r="M206" s="7" t="n">
        <x:v>7</x:v>
      </x:c>
      <x:c r="N206" s="7" t="str">
        <x:v>Outside current general-Life recruiting pool</x:v>
      </x:c>
      <x:c r="O206" s="7" t="str">
        <x:v>Not displayed</x:v>
      </x:c>
      <x:c r="P206" s="7" t="str"/>
      <x:c r="Q206" s="7" t="str"/>
      <x:c r="R206" s="7" t="str"/>
      <x:c r="S206" s="15" t="str"/>
      <x:c r="T206" s="7" t="str">
        <x:v>No public business phone in collected record</x:v>
      </x:c>
      <x:c r="U206" s="7" t="str"/>
      <x:c r="V206" s="7" t="str">
        <x:v>Resident</x:v>
      </x:c>
      <x:c r="W206" s="7" t="str">
        <x:v>CA</x:v>
      </x:c>
      <x:c r="X206" s="7" t="str"/>
      <x:c r="Y206" s="7" t="str"/>
      <x:c r="Z206" s="7" t="str"/>
      <x:c r="AA206" s="7" t="str"/>
      <x:c r="AB206" s="7" t="str"/>
      <x:c r="AC206" s="7" t="str"/>
      <x:c r="AD206" s="7" t="str">
        <x:v>No agency or insurer displayed: onboarding opportunity possible; existing business unknown</x:v>
      </x:c>
      <x:c r="AE206" s="7" t="str">
        <x:v>No public business phone: contact enrichment needed, not proof of poor recruiting fit</x:v>
      </x:c>
      <x:c r="AF206" s="16" t="str"/>
      <x:c r="AG206" s="17" t="str"/>
      <x:c r="AH206" s="7" t="str"/>
      <x:c r="AI206" s="7" t="str"/>
      <x:c r="AJ206" s="7" t="str"/>
      <x:c r="AK206" s="15" t="str"/>
      <x:c r="AL206" s="7" t="str"/>
      <x:c r="AM206" s="7" t="str">
        <x:v>aguilar e carlos | AGUILAR EDUARDO CARLOS</x:v>
      </x:c>
      <x:c r="AN206" s="7" t="str">
        <x:v>https://cdicloud.insurance.ca.gov/cal/LicenseDetail?SearchType=IND&amp;SearchLicNbr=0I42940&amp;SearchIndvId=1590558</x:v>
      </x:c>
      <x:c r="AO206" s="7" t="str">
        <x:v>2026-10-08</x:v>
      </x:c>
      <x:c r="AP206" s="7" t="str">
        <x:v>58348ae20326abfef3db7e202bae81a00ea845ea8946fc6d14fbbe4a0b666b41</x:v>
      </x:c>
      <x:c r="AQ206" s="7" t="str">
        <x:v>Life-Only / Inactive / 07/12/2013 / 07/31/2015 / 07/31/2015</x:v>
      </x:c>
      <x:c r="AR206" s="7" t="str">
        <x:v>Inactive</x:v>
      </x:c>
      <x:c r="AS206" s="7" t="str">
        <x:v>Current detail page</x:v>
      </x:c>
    </x:row>
    <x:row r="207" ht="52" customHeight="1">
      <x:c r="A207" s="7" t="str">
        <x:v>AGUILAR CARLOS ENRIQUE</x:v>
      </x:c>
      <x:c r="B207" s="14" t="str">
        <x:f>"0624267"</x:f>
        <x:v>0624267</x:v>
      </x:c>
      <x:c r="C207" s="7" t="str">
        <x:v>Omitted</x:v>
      </x:c>
      <x:c r="D207" s="7" t="str">
        <x:v>FAIL</x:v>
      </x:c>
      <x:c r="E207" s="13" t="str">
        <x:v>Pending</x:v>
      </x:c>
      <x:c r="F207" s="13" t="str"/>
      <x:c r="G207" s="13" t="str"/>
      <x:c r="H207" s="13" t="str"/>
      <x:c r="I207" s="7" t="str">
        <x:v>Was this person reviewed? If rejected, give the actual rule and evidence. If acceptable, correct the omission. Confirm the Life-qualification gate and any record change since selection.</x:v>
      </x:c>
      <x:c r="J207" s="7" t="str">
        <x:v>L1</x:v>
      </x:c>
      <x:c r="K207" s="7" t="str">
        <x:v>Verified qualifications do not include active general Life. Current target-pool mismatch; actual historical omission reason unknown.</x:v>
      </x:c>
      <x:c r="L207" s="7" t="str">
        <x:v>Not supplied; membership is known, motive is not</x:v>
      </x:c>
      <x:c r="M207" s="7" t="n">
        <x:v>7</x:v>
      </x:c>
      <x:c r="N207" s="7" t="str">
        <x:v>Outside current general-Life recruiting pool</x:v>
      </x:c>
      <x:c r="O207" s="7" t="str">
        <x:v>Inactive</x:v>
      </x:c>
      <x:c r="P207" s="7" t="str">
        <x:v>09/01/2023</x:v>
      </x:c>
      <x:c r="Q207" s="7" t="str">
        <x:v>09/30/2025</x:v>
      </x:c>
      <x:c r="R207" s="7" t="str"/>
      <x:c r="S207" s="15" t="str"/>
      <x:c r="T207" s="7" t="str">
        <x:v>No public business phone in collected record</x:v>
      </x:c>
      <x:c r="U207" s="7" t="str">
        <x:v>3534 CUDAHY ST HUNTINGTON PARK CA, 90255</x:v>
      </x:c>
      <x:c r="V207" s="7" t="str">
        <x:v>Resident</x:v>
      </x:c>
      <x:c r="W207" s="7" t="str">
        <x:v>CA</x:v>
      </x:c>
      <x:c r="X207" s="7" t="str"/>
      <x:c r="Y207" s="7" t="str"/>
      <x:c r="Z207" s="7" t="str"/>
      <x:c r="AA207" s="7" t="str"/>
      <x:c r="AB207" s="7" t="str"/>
      <x:c r="AC207" s="7" t="str"/>
      <x:c r="AD207" s="7" t="str">
        <x:v>No agency or insurer displayed: onboarding opportunity possible; existing business unknown</x:v>
      </x:c>
      <x:c r="AE207" s="7" t="str">
        <x:v>No public business phone: contact enrichment needed, not proof of poor recruiting fit</x:v>
      </x:c>
      <x:c r="AF207" s="16" t="str"/>
      <x:c r="AG207" s="17" t="str"/>
      <x:c r="AH207" s="7" t="str"/>
      <x:c r="AI207" s="7" t="str">
        <x:v>English</x:v>
      </x:c>
      <x:c r="AJ207" s="7" t="str"/>
      <x:c r="AK207" s="15" t="str"/>
      <x:c r="AL207" s="7" t="str"/>
      <x:c r="AM207" s="7" t="str">
        <x:v>AGUILAR ENRIQUE CARLOS</x:v>
      </x:c>
      <x:c r="AN207" s="7" t="str">
        <x:v>https://cdicloud.insurance.ca.gov/cal/LicenseDetail?SearchType=IND&amp;SearchLicNbr=0624267&amp;SearchIndvId=394695</x:v>
      </x:c>
      <x:c r="AO207" s="7" t="str">
        <x:v>2026-10-08</x:v>
      </x:c>
      <x:c r="AP207" s="7" t="str">
        <x:v>e3cecdc089b0777006ac021e31d38656920d5d301d142243c2888b41422bc900</x:v>
      </x:c>
      <x:c r="AQ207" s="7" t="str">
        <x:v>Accident &amp; Health or Sickness / Inactive / 09/01/2023 / 09/30/2025 / 09/30/2025
Casualty / Inactive / 09/01/2023 / 09/30/2025 / 09/30/2025
Life / Inactive / 09/01/2023 / 09/30/2025 / 09/30/2025
Property / Inactive / 09/01/2023 / 09/30/2025 / 09/30/2025</x:v>
      </x:c>
      <x:c r="AR207" s="7" t="str">
        <x:v>Inactive</x:v>
      </x:c>
      <x:c r="AS207" s="7" t="str">
        <x:v>Current detail page</x:v>
      </x:c>
    </x:row>
    <x:row r="208" ht="52" customHeight="1">
      <x:c r="A208" s="7" t="str">
        <x:v>AGUILAR CARLOS JESUS</x:v>
      </x:c>
      <x:c r="B208" s="14" t="str">
        <x:f>"0680015"</x:f>
        <x:v>0680015</x:v>
      </x:c>
      <x:c r="C208" s="7" t="str">
        <x:v>Omitted</x:v>
      </x:c>
      <x:c r="D208" s="7" t="str">
        <x:v>FAIL</x:v>
      </x:c>
      <x:c r="E208" s="13" t="str">
        <x:v>Pending</x:v>
      </x:c>
      <x:c r="F208" s="13" t="str"/>
      <x:c r="G208" s="13" t="str"/>
      <x:c r="H208" s="13" t="str"/>
      <x:c r="I208" s="7" t="str">
        <x:v>Was this person reviewed? If rejected, give the actual rule and evidence. If acceptable, correct the omission. Confirm the Life-qualification gate and any record change since selection.</x:v>
      </x:c>
      <x:c r="J208" s="7" t="str">
        <x:v>L1</x:v>
      </x:c>
      <x:c r="K208" s="7" t="str">
        <x:v>Verified qualifications do not include active general Life. Current target-pool mismatch; actual historical omission reason unknown.</x:v>
      </x:c>
      <x:c r="L208" s="7" t="str">
        <x:v>Not supplied; membership is known, motive is not</x:v>
      </x:c>
      <x:c r="M208" s="7" t="n">
        <x:v>7</x:v>
      </x:c>
      <x:c r="N208" s="7" t="str">
        <x:v>Outside current general-Life recruiting pool</x:v>
      </x:c>
      <x:c r="O208" s="7" t="str">
        <x:v>Not displayed</x:v>
      </x:c>
      <x:c r="P208" s="7" t="str"/>
      <x:c r="Q208" s="7" t="str"/>
      <x:c r="R208" s="7" t="str"/>
      <x:c r="S208" s="15" t="str"/>
      <x:c r="T208" s="7" t="str">
        <x:v>No public business phone in collected record</x:v>
      </x:c>
      <x:c r="U208" s="7" t="str"/>
      <x:c r="V208" s="7" t="str">
        <x:v>Non-resident</x:v>
      </x:c>
      <x:c r="W208" s="7" t="str">
        <x:v>AZ</x:v>
      </x:c>
      <x:c r="X208" s="7" t="str"/>
      <x:c r="Y208" s="7" t="str"/>
      <x:c r="Z208" s="7" t="str"/>
      <x:c r="AA208" s="7" t="str"/>
      <x:c r="AB208" s="7" t="str"/>
      <x:c r="AC208" s="7" t="str"/>
      <x:c r="AD208" s="7" t="str">
        <x:v>No agency or insurer displayed: onboarding opportunity possible; existing business unknown</x:v>
      </x:c>
      <x:c r="AE208" s="7" t="str">
        <x:v>Nonresident or address state outside CA; confirm geographic recruiting scope | No public business phone: contact enrichment needed, not proof of poor recruiting fit</x:v>
      </x:c>
      <x:c r="AF208" s="16" t="str"/>
      <x:c r="AG208" s="17" t="str"/>
      <x:c r="AH208" s="7" t="str"/>
      <x:c r="AI208" s="7" t="str"/>
      <x:c r="AJ208" s="7" t="str"/>
      <x:c r="AK208" s="15" t="str"/>
      <x:c r="AL208" s="7" t="str"/>
      <x:c r="AM208" s="7" t="str">
        <x:v>AGUILAR JESUS CARLOS</x:v>
      </x:c>
      <x:c r="AN208" s="7" t="str">
        <x:v>https://cdicloud.insurance.ca.gov/cal/LicenseDetail?SearchType=IND&amp;SearchLicNbr=0680015&amp;SearchIndvId=409357</x:v>
      </x:c>
      <x:c r="AO208" s="7" t="str">
        <x:v>2026-10-08</x:v>
      </x:c>
      <x:c r="AP208" s="7" t="str">
        <x:v>edeca4d830c153e2e7fc170153261967184cd3458b5c605e0e85930fc8fd1daa</x:v>
      </x:c>
      <x:c r="AQ208" s="7" t="str">
        <x:v>Accident and Health / Inactive / 11/25/1991 / 08/31/1998 / 08/31/1998
Life-Only / Inactive / 11/25/1991 / 08/31/1998 / 08/31/1998</x:v>
      </x:c>
      <x:c r="AR208" s="7" t="str">
        <x:v>Inactive</x:v>
      </x:c>
      <x:c r="AS208" s="7" t="str">
        <x:v>Current detail page</x:v>
      </x:c>
    </x:row>
    <x:row r="209" ht="52" customHeight="1">
      <x:c r="A209" s="7" t="str">
        <x:v>AGUILAR CARLOS MAURICIO</x:v>
      </x:c>
      <x:c r="B209" s="14" t="str">
        <x:f>"0F39216"</x:f>
        <x:v>0F39216</x:v>
      </x:c>
      <x:c r="C209" s="7" t="str">
        <x:v>Omitted</x:v>
      </x:c>
      <x:c r="D209" s="7" t="str">
        <x:v>FAIL</x:v>
      </x:c>
      <x:c r="E209" s="13" t="str">
        <x:v>Pending</x:v>
      </x:c>
      <x:c r="F209" s="13" t="str"/>
      <x:c r="G209" s="13" t="str"/>
      <x:c r="H209" s="13" t="str"/>
      <x:c r="I209" s="7" t="str">
        <x:v>Was this person reviewed? If rejected, give the actual rule and evidence. If acceptable, correct the omission. Confirm the Life-qualification gate and any record change since selection.</x:v>
      </x:c>
      <x:c r="J209" s="7" t="str">
        <x:v>L1</x:v>
      </x:c>
      <x:c r="K209" s="7" t="str">
        <x:v>Verified qualifications do not include active general Life. Current target-pool mismatch; actual historical omission reason unknown.</x:v>
      </x:c>
      <x:c r="L209" s="7" t="str">
        <x:v>Not supplied; membership is known, motive is not</x:v>
      </x:c>
      <x:c r="M209" s="7" t="n">
        <x:v>7</x:v>
      </x:c>
      <x:c r="N209" s="7" t="str">
        <x:v>Outside current general-Life recruiting pool</x:v>
      </x:c>
      <x:c r="O209" s="7" t="str">
        <x:v>Not displayed</x:v>
      </x:c>
      <x:c r="P209" s="7" t="str"/>
      <x:c r="Q209" s="7" t="str"/>
      <x:c r="R209" s="7" t="str"/>
      <x:c r="S209" s="15" t="str"/>
      <x:c r="T209" s="7" t="str">
        <x:v>No public business phone in collected record</x:v>
      </x:c>
      <x:c r="U209" s="7" t="str"/>
      <x:c r="V209" s="7" t="str">
        <x:v>Resident</x:v>
      </x:c>
      <x:c r="W209" s="7" t="str">
        <x:v>CA</x:v>
      </x:c>
      <x:c r="X209" s="7" t="str"/>
      <x:c r="Y209" s="7" t="str"/>
      <x:c r="Z209" s="7" t="str"/>
      <x:c r="AA209" s="7" t="str"/>
      <x:c r="AB209" s="7" t="str"/>
      <x:c r="AC209" s="7" t="str"/>
      <x:c r="AD209" s="7" t="str">
        <x:v>No agency or insurer displayed: onboarding opportunity possible; existing business unknown</x:v>
      </x:c>
      <x:c r="AE209" s="7" t="str">
        <x:v>No public business phone: contact enrichment needed, not proof of poor recruiting fit</x:v>
      </x:c>
      <x:c r="AF209" s="16" t="str"/>
      <x:c r="AG209" s="17" t="str"/>
      <x:c r="AH209" s="7" t="str"/>
      <x:c r="AI209" s="7" t="str"/>
      <x:c r="AJ209" s="7" t="str"/>
      <x:c r="AK209" s="15" t="str"/>
      <x:c r="AL209" s="7" t="str"/>
      <x:c r="AM209" s="7" t="str">
        <x:v>AGUILAR MAURICIO CARLOS</x:v>
      </x:c>
      <x:c r="AN209" s="7" t="str">
        <x:v>https://cdicloud.insurance.ca.gov/cal/LicenseDetail?SearchType=IND&amp;SearchLicNbr=0F39216&amp;SearchIndvId=1049448</x:v>
      </x:c>
      <x:c r="AO209" s="7" t="str">
        <x:v>2026-10-08</x:v>
      </x:c>
      <x:c r="AP209" s="7" t="str">
        <x:v>cdb6d22f699773ee34f3f80dca81040f78c976657431c0608774b811ee3ca9a9</x:v>
      </x:c>
      <x:c r="AQ209" s="7" t="str">
        <x:v>Casualty Broker-Agent / Inactive / 10/11/2006 / 10/31/2010 / 10/31/2010
Property Broker-Agent / Inactive / 10/11/2006 / 10/31/2010 / 10/31/2010</x:v>
      </x:c>
      <x:c r="AR209" s="7" t="str">
        <x:v>Inactive</x:v>
      </x:c>
      <x:c r="AS209" s="7" t="str">
        <x:v>Current detail page</x:v>
      </x:c>
    </x:row>
    <x:row r="210" ht="52" customHeight="1">
      <x:c r="A210" s="7" t="str">
        <x:v>AGUILAR CARLOTA</x:v>
      </x:c>
      <x:c r="B210" s="14" t="str">
        <x:f>"0A92897"</x:f>
        <x:v>0A92897</x:v>
      </x:c>
      <x:c r="C210" s="7" t="str">
        <x:v>Omitted</x:v>
      </x:c>
      <x:c r="D210" s="7" t="str">
        <x:v>FAIL</x:v>
      </x:c>
      <x:c r="E210" s="13" t="str">
        <x:v>Pending</x:v>
      </x:c>
      <x:c r="F210" s="13" t="str"/>
      <x:c r="G210" s="13" t="str"/>
      <x:c r="H210" s="13" t="str"/>
      <x:c r="I210" s="7" t="str">
        <x:v>Was this person reviewed? If rejected, give the actual rule and evidence. If acceptable, correct the omission. Confirm the Life-qualification gate and any record change since selection.</x:v>
      </x:c>
      <x:c r="J210" s="7" t="str">
        <x:v>L1</x:v>
      </x:c>
      <x:c r="K210" s="7" t="str">
        <x:v>Verified qualifications do not include active general Life. Current target-pool mismatch; actual historical omission reason unknown.</x:v>
      </x:c>
      <x:c r="L210" s="7" t="str">
        <x:v>Not supplied; membership is known, motive is not</x:v>
      </x:c>
      <x:c r="M210" s="7" t="n">
        <x:v>7</x:v>
      </x:c>
      <x:c r="N210" s="7" t="str">
        <x:v>Outside current general-Life recruiting pool</x:v>
      </x:c>
      <x:c r="O210" s="7" t="str">
        <x:v>Not displayed</x:v>
      </x:c>
      <x:c r="P210" s="7" t="str"/>
      <x:c r="Q210" s="7" t="str"/>
      <x:c r="R210" s="7" t="str"/>
      <x:c r="S210" s="15" t="str"/>
      <x:c r="T210" s="7" t="str">
        <x:v>No public business phone in collected record</x:v>
      </x:c>
      <x:c r="U210" s="7" t="str"/>
      <x:c r="V210" s="7" t="str">
        <x:v>Resident</x:v>
      </x:c>
      <x:c r="W210" s="7" t="str">
        <x:v>CA</x:v>
      </x:c>
      <x:c r="X210" s="7" t="str"/>
      <x:c r="Y210" s="7" t="str"/>
      <x:c r="Z210" s="7" t="str"/>
      <x:c r="AA210" s="7" t="str"/>
      <x:c r="AB210" s="7" t="str"/>
      <x:c r="AC210" s="7" t="str"/>
      <x:c r="AD210" s="7" t="str">
        <x:v>No agency or insurer displayed: onboarding opportunity possible; existing business unknown</x:v>
      </x:c>
      <x:c r="AE210" s="7" t="str">
        <x:v>No public business phone: contact enrichment needed, not proof of poor recruiting fit</x:v>
      </x:c>
      <x:c r="AF210" s="16" t="str"/>
      <x:c r="AG210" s="17" t="str"/>
      <x:c r="AH210" s="7" t="str"/>
      <x:c r="AI210" s="7" t="str"/>
      <x:c r="AJ210" s="7" t="str"/>
      <x:c r="AK210" s="15" t="str"/>
      <x:c r="AL210" s="7" t="str"/>
      <x:c r="AM210" s="7" t="str">
        <x:v>AGUILAR  CARLOTA</x:v>
      </x:c>
      <x:c r="AN210" s="7" t="str">
        <x:v>https://cdicloud.insurance.ca.gov/cal/LicenseDetail?SearchType=IND&amp;SearchLicNbr=0A92897&amp;SearchIndvId=175974</x:v>
      </x:c>
      <x:c r="AO210" s="7" t="str">
        <x:v>2026-10-08</x:v>
      </x:c>
      <x:c r="AP210" s="7" t="str">
        <x:v>fa6fd30e896c8075f49a044fb6c210407ded14c87e4546c86f0d6d15b6d32460</x:v>
      </x:c>
      <x:c r="AQ210" s="7" t="str">
        <x:v>Accident and Health / Inactive / 12/12/1991 / 12/31/1993 / 12/31/1993
Life-Only / Inactive / 12/12/1991 / 12/31/1993 / 12/31/1993</x:v>
      </x:c>
      <x:c r="AR210" s="7" t="str">
        <x:v>Inactive</x:v>
      </x:c>
      <x:c r="AS210" s="7" t="str">
        <x:v>Current detail page</x:v>
      </x:c>
    </x:row>
    <x:row r="211" ht="52" customHeight="1">
      <x:c r="A211" s="7" t="str">
        <x:v>AGUILAR CARMEN</x:v>
      </x:c>
      <x:c r="B211" s="14" t="str">
        <x:f>"0B75999"</x:f>
        <x:v>0B75999</x:v>
      </x:c>
      <x:c r="C211" s="7" t="str">
        <x:v>Omitted</x:v>
      </x:c>
      <x:c r="D211" s="7" t="str">
        <x:v>FAIL</x:v>
      </x:c>
      <x:c r="E211" s="13" t="str">
        <x:v>Pending</x:v>
      </x:c>
      <x:c r="F211" s="13" t="str"/>
      <x:c r="G211" s="13" t="str"/>
      <x:c r="H211" s="13" t="str"/>
      <x:c r="I211" s="7" t="str">
        <x:v>Was this person reviewed? If rejected, give the actual rule and evidence. If acceptable, correct the omission. Confirm the Life-qualification gate and any record change since selection.</x:v>
      </x:c>
      <x:c r="J211" s="7" t="str">
        <x:v>L1</x:v>
      </x:c>
      <x:c r="K211" s="7" t="str">
        <x:v>Verified qualifications do not include active general Life. Current target-pool mismatch; actual historical omission reason unknown.</x:v>
      </x:c>
      <x:c r="L211" s="7" t="str">
        <x:v>Not supplied; membership is known, motive is not</x:v>
      </x:c>
      <x:c r="M211" s="7" t="n">
        <x:v>7</x:v>
      </x:c>
      <x:c r="N211" s="7" t="str">
        <x:v>Outside current general-Life recruiting pool</x:v>
      </x:c>
      <x:c r="O211" s="7" t="str">
        <x:v>Not displayed</x:v>
      </x:c>
      <x:c r="P211" s="7" t="str"/>
      <x:c r="Q211" s="7" t="str"/>
      <x:c r="R211" s="7" t="str"/>
      <x:c r="S211" s="15" t="str"/>
      <x:c r="T211" s="7" t="str">
        <x:v>No public business phone in collected record</x:v>
      </x:c>
      <x:c r="U211" s="7" t="str"/>
      <x:c r="V211" s="7" t="str">
        <x:v>Resident</x:v>
      </x:c>
      <x:c r="W211" s="7" t="str">
        <x:v>CA</x:v>
      </x:c>
      <x:c r="X211" s="7" t="str"/>
      <x:c r="Y211" s="7" t="str"/>
      <x:c r="Z211" s="7" t="str"/>
      <x:c r="AA211" s="7" t="str"/>
      <x:c r="AB211" s="7" t="str"/>
      <x:c r="AC211" s="7" t="str"/>
      <x:c r="AD211" s="7" t="str">
        <x:v>No agency or insurer displayed: onboarding opportunity possible; existing business unknown</x:v>
      </x:c>
      <x:c r="AE211" s="7" t="str">
        <x:v>No public business phone: contact enrichment needed, not proof of poor recruiting fit</x:v>
      </x:c>
      <x:c r="AF211" s="16" t="str"/>
      <x:c r="AG211" s="17" t="str"/>
      <x:c r="AH211" s="7" t="str"/>
      <x:c r="AI211" s="7" t="str"/>
      <x:c r="AJ211" s="7" t="str"/>
      <x:c r="AK211" s="15" t="str"/>
      <x:c r="AL211" s="7" t="str"/>
      <x:c r="AM211" s="7" t="str">
        <x:v>AGUILAR  CARMEN</x:v>
      </x:c>
      <x:c r="AN211" s="7" t="str">
        <x:v>https://cdicloud.insurance.ca.gov/cal/LicenseDetail?SearchType=IND&amp;SearchLicNbr=0B75999&amp;SearchIndvId=253904</x:v>
      </x:c>
      <x:c r="AO211" s="7" t="str">
        <x:v>2026-10-08</x:v>
      </x:c>
      <x:c r="AP211" s="7" t="str">
        <x:v>bd18322411372df2700502bc715591f389ab4438fda320444cd523facfb6df09</x:v>
      </x:c>
      <x:c r="AQ211" s="7" t="str">
        <x:v>Accident and Health / Inactive / 03/26/1996 / 03/31/1998 / 03/31/1998
Life-Only / Inactive / 03/26/1996 / 03/31/1998 / 03/31/1998</x:v>
      </x:c>
      <x:c r="AR211" s="7" t="str">
        <x:v>Inactive</x:v>
      </x:c>
      <x:c r="AS211" s="7" t="str">
        <x:v>Current detail page</x:v>
      </x:c>
    </x:row>
    <x:row r="212" ht="52" customHeight="1">
      <x:c r="A212" s="7" t="str">
        <x:v>AGUILAR CARMEN</x:v>
      </x:c>
      <x:c r="B212" s="14" t="str">
        <x:f>"0C45538"</x:f>
        <x:v>0C45538</x:v>
      </x:c>
      <x:c r="C212" s="7" t="str">
        <x:v>Omitted</x:v>
      </x:c>
      <x:c r="D212" s="7" t="str">
        <x:v>FAIL</x:v>
      </x:c>
      <x:c r="E212" s="13" t="str">
        <x:v>Pending</x:v>
      </x:c>
      <x:c r="F212" s="13" t="str"/>
      <x:c r="G212" s="13" t="str"/>
      <x:c r="H212" s="13" t="str"/>
      <x:c r="I212" s="7" t="str">
        <x:v>Was this person reviewed? If rejected, give the actual rule and evidence. If acceptable, correct the omission. Confirm the Life-qualification gate and any record change since selection.</x:v>
      </x:c>
      <x:c r="J212" s="7" t="str">
        <x:v>L1</x:v>
      </x:c>
      <x:c r="K212" s="7" t="str">
        <x:v>Verified qualifications do not include active general Life. Current target-pool mismatch; actual historical omission reason unknown.</x:v>
      </x:c>
      <x:c r="L212" s="7" t="str">
        <x:v>Not supplied; membership is known, motive is not</x:v>
      </x:c>
      <x:c r="M212" s="7" t="n">
        <x:v>7</x:v>
      </x:c>
      <x:c r="N212" s="7" t="str">
        <x:v>Outside current general-Life recruiting pool</x:v>
      </x:c>
      <x:c r="O212" s="7" t="str">
        <x:v>Not displayed</x:v>
      </x:c>
      <x:c r="P212" s="7" t="str"/>
      <x:c r="Q212" s="7" t="str"/>
      <x:c r="R212" s="7" t="str"/>
      <x:c r="S212" s="15" t="str"/>
      <x:c r="T212" s="7" t="str">
        <x:v>No public business phone in collected record</x:v>
      </x:c>
      <x:c r="U212" s="7" t="str"/>
      <x:c r="V212" s="7" t="str">
        <x:v>Resident</x:v>
      </x:c>
      <x:c r="W212" s="7" t="str">
        <x:v>CA</x:v>
      </x:c>
      <x:c r="X212" s="7" t="str"/>
      <x:c r="Y212" s="7" t="str"/>
      <x:c r="Z212" s="7" t="str"/>
      <x:c r="AA212" s="7" t="str"/>
      <x:c r="AB212" s="7" t="str"/>
      <x:c r="AC212" s="7" t="str"/>
      <x:c r="AD212" s="7" t="str">
        <x:v>No agency or insurer displayed: onboarding opportunity possible; existing business unknown</x:v>
      </x:c>
      <x:c r="AE212" s="7" t="str">
        <x:v>No public business phone: contact enrichment needed, not proof of poor recruiting fit</x:v>
      </x:c>
      <x:c r="AF212" s="16" t="str"/>
      <x:c r="AG212" s="17" t="str"/>
      <x:c r="AH212" s="7" t="str"/>
      <x:c r="AI212" s="7" t="str"/>
      <x:c r="AJ212" s="7" t="str"/>
      <x:c r="AK212" s="15" t="str"/>
      <x:c r="AL212" s="7" t="str"/>
      <x:c r="AM212" s="7" t="str">
        <x:v>AGUILAR  CARMEN</x:v>
      </x:c>
      <x:c r="AN212" s="7" t="str">
        <x:v>https://cdicloud.insurance.ca.gov/cal/LicenseDetail?SearchType=IND&amp;SearchLicNbr=0C45538&amp;SearchIndvId=319934</x:v>
      </x:c>
      <x:c r="AO212" s="7" t="str">
        <x:v>2026-10-08</x:v>
      </x:c>
      <x:c r="AP212" s="7" t="str">
        <x:v>1ad0f6b3f87f446d85b8c2de75fe808ec62e403412bbe6a7a4eacb4df46b96c4</x:v>
      </x:c>
      <x:c r="AQ212" s="7" t="str">
        <x:v>Accident and Health / Inactive / 06/17/1999 / 10/31/2000 / 10/31/2000
Casualty Broker-Agent / Inactive / 10/13/1998 / 10/31/2000 / 10/31/2000
Life-Only / Inactive / 06/17/1999 / 10/31/2000 / 10/31/2000
Property Broker-Agent / Inactive / 10/13/1998 / 10/31/2000 / 10/31/2000</x:v>
      </x:c>
      <x:c r="AR212" s="7" t="str">
        <x:v>Inactive</x:v>
      </x:c>
      <x:c r="AS212" s="7" t="str">
        <x:v>Current detail page</x:v>
      </x:c>
    </x:row>
    <x:row r="213" ht="52" customHeight="1">
      <x:c r="A213" s="7" t="str">
        <x:v>AGUILAR CARMEN</x:v>
      </x:c>
      <x:c r="B213" s="14" t="str">
        <x:f>"0H86862"</x:f>
        <x:v>0H86862</x:v>
      </x:c>
      <x:c r="C213" s="7" t="str">
        <x:v>Omitted</x:v>
      </x:c>
      <x:c r="D213" s="7" t="str">
        <x:v>FAIL</x:v>
      </x:c>
      <x:c r="E213" s="13" t="str">
        <x:v>Pending</x:v>
      </x:c>
      <x:c r="F213" s="13" t="str"/>
      <x:c r="G213" s="13" t="str"/>
      <x:c r="H213" s="13" t="str"/>
      <x:c r="I213" s="7" t="str">
        <x:v>Was this person reviewed? If rejected, give the actual rule and evidence. If acceptable, correct the omission. Confirm the Life-qualification gate and any record change since selection.</x:v>
      </x:c>
      <x:c r="J213" s="7" t="str">
        <x:v>L1</x:v>
      </x:c>
      <x:c r="K213" s="7" t="str">
        <x:v>Verified qualifications do not include active general Life. Current target-pool mismatch; actual historical omission reason unknown.</x:v>
      </x:c>
      <x:c r="L213" s="7" t="str">
        <x:v>Not supplied; membership is known, motive is not</x:v>
      </x:c>
      <x:c r="M213" s="7" t="n">
        <x:v>7</x:v>
      </x:c>
      <x:c r="N213" s="7" t="str">
        <x:v>Outside current general-Life recruiting pool</x:v>
      </x:c>
      <x:c r="O213" s="7" t="str">
        <x:v>Not displayed</x:v>
      </x:c>
      <x:c r="P213" s="7" t="str"/>
      <x:c r="Q213" s="7" t="str"/>
      <x:c r="R213" s="7" t="str"/>
      <x:c r="S213" s="15" t="str"/>
      <x:c r="T213" s="7" t="str">
        <x:v>No public business phone in collected record</x:v>
      </x:c>
      <x:c r="U213" s="7" t="str"/>
      <x:c r="V213" s="7" t="str">
        <x:v>Resident</x:v>
      </x:c>
      <x:c r="W213" s="7" t="str">
        <x:v>CA</x:v>
      </x:c>
      <x:c r="X213" s="7" t="str"/>
      <x:c r="Y213" s="7" t="str"/>
      <x:c r="Z213" s="7" t="str"/>
      <x:c r="AA213" s="7" t="str"/>
      <x:c r="AB213" s="7" t="str"/>
      <x:c r="AC213" s="7" t="str"/>
      <x:c r="AD213" s="7" t="str">
        <x:v>No agency or insurer displayed: onboarding opportunity possible; existing business unknown</x:v>
      </x:c>
      <x:c r="AE213" s="7" t="str">
        <x:v>No public business phone: contact enrichment needed, not proof of poor recruiting fit</x:v>
      </x:c>
      <x:c r="AF213" s="16" t="str"/>
      <x:c r="AG213" s="17" t="str"/>
      <x:c r="AH213" s="7" t="str"/>
      <x:c r="AI213" s="7" t="str"/>
      <x:c r="AJ213" s="7" t="str"/>
      <x:c r="AK213" s="15" t="str"/>
      <x:c r="AL213" s="7" t="str"/>
      <x:c r="AM213" s="7" t="str">
        <x:v>AGUILAR  CARMEN</x:v>
      </x:c>
      <x:c r="AN213" s="7" t="str">
        <x:v>https://cdicloud.insurance.ca.gov/cal/LicenseDetail?SearchType=IND&amp;SearchLicNbr=0H86862&amp;SearchIndvId=1511166</x:v>
      </x:c>
      <x:c r="AO213" s="7" t="str">
        <x:v>2026-10-08</x:v>
      </x:c>
      <x:c r="AP213" s="7" t="str">
        <x:v>9a196940b63c601513c9085e31538bf6525c9f0d7b6bc86b426cd98188d401a3</x:v>
      </x:c>
      <x:c r="AQ213" s="7" t="str">
        <x:v>Life-Only / Inactive / 05/09/2012 / 05/31/2014 / 05/31/2014</x:v>
      </x:c>
      <x:c r="AR213" s="7" t="str">
        <x:v>Inactive</x:v>
      </x:c>
      <x:c r="AS213" s="7" t="str">
        <x:v>Current detail page</x:v>
      </x:c>
    </x:row>
    <x:row r="214" ht="52" customHeight="1">
      <x:c r="A214" s="7" t="str">
        <x:v>AGUILAR CARMEN MARIA</x:v>
      </x:c>
      <x:c r="B214" s="14" t="str">
        <x:f>"1220708"</x:f>
        <x:v>1220708</x:v>
      </x:c>
      <x:c r="C214" s="7" t="str">
        <x:v>Omitted</x:v>
      </x:c>
      <x:c r="D214" s="7" t="str">
        <x:v>FAIL</x:v>
      </x:c>
      <x:c r="E214" s="13" t="str">
        <x:v>Pending</x:v>
      </x:c>
      <x:c r="F214" s="13" t="str"/>
      <x:c r="G214" s="13" t="str"/>
      <x:c r="H214" s="13" t="str"/>
      <x:c r="I214" s="7" t="str">
        <x:v>Was this person reviewed? If rejected, give the actual rule and evidence. If acceptable, correct the omission. Confirm the Life-qualification gate and any record change since selection.</x:v>
      </x:c>
      <x:c r="J214" s="7" t="str">
        <x:v>L1</x:v>
      </x:c>
      <x:c r="K214" s="7" t="str">
        <x:v>Verified qualifications do not include active general Life. Current target-pool mismatch; actual historical omission reason unknown.</x:v>
      </x:c>
      <x:c r="L214" s="7" t="str">
        <x:v>Not supplied; membership is known, motive is not</x:v>
      </x:c>
      <x:c r="M214" s="7" t="n">
        <x:v>7</x:v>
      </x:c>
      <x:c r="N214" s="7" t="str">
        <x:v>Outside current general-Life recruiting pool</x:v>
      </x:c>
      <x:c r="O214" s="7" t="str">
        <x:v>Not displayed</x:v>
      </x:c>
      <x:c r="P214" s="7" t="str"/>
      <x:c r="Q214" s="7" t="str"/>
      <x:c r="R214" s="7" t="str">
        <x:v>Accident &amp; Health or Sickness</x:v>
      </x:c>
      <x:c r="S214" s="15" t="str"/>
      <x:c r="T214" s="7" t="str">
        <x:v>No public business phone in collected record</x:v>
      </x:c>
      <x:c r="U214" s="7" t="str">
        <x:v>24722 HICKORY MDW SAN ANTONIO TX, 78261-2473</x:v>
      </x:c>
      <x:c r="V214" s="7" t="str">
        <x:v>Non-resident</x:v>
      </x:c>
      <x:c r="W214" s="7" t="str">
        <x:v>TX</x:v>
      </x:c>
      <x:c r="X214" s="7" t="str">
        <x:v>HUMANA MARKETPOINT, INC. / Accident &amp; Health or Sickness / 03/10/2020</x:v>
      </x:c>
      <x:c r="Y214" s="7" t="str">
        <x:v>HUMANA BENEFIT PLAN OF ILLINOIS, INC. / Accident &amp; Health or Sickness / 12/30/2021
HUMANA INSURANCE COMPANY / Accident &amp; Health or Sickness / 11/07/2019</x:v>
      </x:c>
      <x:c r="Z214" s="7" t="str"/>
      <x:c r="AA214" s="7" t="str"/>
      <x:c r="AB214" s="7" t="str"/>
      <x:c r="AC214" s="7" t="str"/>
      <x:c r="AD214" s="7" t="str">
        <x:v>Active A&amp;H supports optional cross-selling; not necessary for target products</x:v>
      </x:c>
      <x:c r="AE214" s="7" t="str">
        <x:v>Displayed insurer appointments are A&amp;H/disability only despite active Life authority | Nonresident or address state outside CA; confirm geographic recruiting scope | No public business phone: contact enrichment needed, not proof of poor recruiting fit</x:v>
      </x:c>
      <x:c r="AF214" s="16" t="str"/>
      <x:c r="AG214" s="17" t="str"/>
      <x:c r="AH214" s="7" t="str"/>
      <x:c r="AI214" s="7" t="str"/>
      <x:c r="AJ214" s="7" t="str"/>
      <x:c r="AK214" s="15" t="str"/>
      <x:c r="AL214" s="7" t="str"/>
      <x:c r="AM214" s="7" t="str">
        <x:v>AGUILAR MARIA CARMEN</x:v>
      </x:c>
      <x:c r="AN214" s="7" t="str">
        <x:v>https://cdicloud.insurance.ca.gov/cal/LicenseDetail?SearchType=IND&amp;SearchLicNbr=1220708&amp;SearchIndvId=1220708</x:v>
      </x:c>
      <x:c r="AO214" s="7" t="str">
        <x:v>2026-10-08</x:v>
      </x:c>
      <x:c r="AP214" s="7" t="str">
        <x:v>3ba1e19c65d1ab24abeafae3d3c20534ca0a65f813a26d3e57e6c33c33d3507c</x:v>
      </x:c>
      <x:c r="AQ214" s="7" t="str">
        <x:v>Accident &amp; Health or Sickness / Active / 10/15/2019 / 10/15/2019 / 10/31/2027</x:v>
      </x:c>
      <x:c r="AR214" s="7" t="str">
        <x:v>Active</x:v>
      </x:c>
      <x:c r="AS214" s="7" t="str">
        <x:v>Current detail page</x:v>
      </x:c>
    </x:row>
    <x:row r="215" ht="52" customHeight="1">
      <x:c r="A215" s="7" t="str">
        <x:v>AGUILAR CARMEN PATRICIA</x:v>
      </x:c>
      <x:c r="B215" s="14" t="str">
        <x:f>"0E39194"</x:f>
        <x:v>0E39194</x:v>
      </x:c>
      <x:c r="C215" s="7" t="str">
        <x:v>Omitted</x:v>
      </x:c>
      <x:c r="D215" s="7" t="str">
        <x:v>FAIL</x:v>
      </x:c>
      <x:c r="E215" s="13" t="str">
        <x:v>Pending</x:v>
      </x:c>
      <x:c r="F215" s="13" t="str"/>
      <x:c r="G215" s="13" t="str"/>
      <x:c r="H215" s="13" t="str"/>
      <x:c r="I215" s="7" t="str">
        <x:v>Was this person reviewed? If rejected, give the actual rule and evidence. If acceptable, correct the omission. Confirm the Life-qualification gate and any record change since selection.</x:v>
      </x:c>
      <x:c r="J215" s="7" t="str">
        <x:v>L1</x:v>
      </x:c>
      <x:c r="K215" s="7" t="str">
        <x:v>Verified qualifications do not include active general Life. Current target-pool mismatch; actual historical omission reason unknown.</x:v>
      </x:c>
      <x:c r="L215" s="7" t="str">
        <x:v>Not supplied; membership is known, motive is not</x:v>
      </x:c>
      <x:c r="M215" s="7" t="n">
        <x:v>7</x:v>
      </x:c>
      <x:c r="N215" s="7" t="str">
        <x:v>Outside current general-Life recruiting pool</x:v>
      </x:c>
      <x:c r="O215" s="7" t="str">
        <x:v>Not displayed</x:v>
      </x:c>
      <x:c r="P215" s="7" t="str"/>
      <x:c r="Q215" s="7" t="str"/>
      <x:c r="R215" s="7" t="str"/>
      <x:c r="S215" s="15" t="str"/>
      <x:c r="T215" s="7" t="str">
        <x:v>No public business phone in collected record</x:v>
      </x:c>
      <x:c r="U215" s="7" t="str"/>
      <x:c r="V215" s="7" t="str">
        <x:v>Resident</x:v>
      </x:c>
      <x:c r="W215" s="7" t="str">
        <x:v>CA</x:v>
      </x:c>
      <x:c r="X215" s="7" t="str"/>
      <x:c r="Y215" s="7" t="str"/>
      <x:c r="Z215" s="7" t="str"/>
      <x:c r="AA215" s="7" t="str"/>
      <x:c r="AB215" s="7" t="str"/>
      <x:c r="AC215" s="7" t="str"/>
      <x:c r="AD215" s="7" t="str">
        <x:v>No agency or insurer displayed: onboarding opportunity possible; existing business unknown</x:v>
      </x:c>
      <x:c r="AE215" s="7" t="str">
        <x:v>No public business phone: contact enrichment needed, not proof of poor recruiting fit</x:v>
      </x:c>
      <x:c r="AF215" s="16" t="str"/>
      <x:c r="AG215" s="17" t="str"/>
      <x:c r="AH215" s="7" t="str"/>
      <x:c r="AI215" s="7" t="str"/>
      <x:c r="AJ215" s="7" t="str"/>
      <x:c r="AK215" s="15" t="str"/>
      <x:c r="AL215" s="7" t="str"/>
      <x:c r="AM215" s="7" t="str">
        <x:v>AGUILAR PATRICIA CARMEN</x:v>
      </x:c>
      <x:c r="AN215" s="7" t="str">
        <x:v>https://cdicloud.insurance.ca.gov/cal/LicenseDetail?SearchType=IND&amp;SearchLicNbr=0E39194&amp;SearchIndvId=894868</x:v>
      </x:c>
      <x:c r="AO215" s="7" t="str">
        <x:v>2026-10-08</x:v>
      </x:c>
      <x:c r="AP215" s="7" t="str">
        <x:v>7dc09e98abb6a39f26791f756de8451779030fce09ce545b3ea769616bae8267</x:v>
      </x:c>
      <x:c r="AQ215" s="7" t="str">
        <x:v>Accident and Health / Inactive / 04/28/2004 / 04/30/2006 / 04/30/2006
Life-Only / Inactive / 04/28/2004 / 04/30/2006 / 04/30/2006</x:v>
      </x:c>
      <x:c r="AR215" s="7" t="str">
        <x:v>Inactive</x:v>
      </x:c>
      <x:c r="AS215" s="7" t="str">
        <x:v>Current detail page</x:v>
      </x:c>
    </x:row>
    <x:row r="216" ht="52" customHeight="1">
      <x:c r="A216" s="7" t="str">
        <x:v>AGUILAR CARO</x:v>
      </x:c>
      <x:c r="B216" s="14" t="str">
        <x:f>"4203055"</x:f>
        <x:v>4203055</x:v>
      </x:c>
      <x:c r="C216" s="7" t="str">
        <x:v>Omitted</x:v>
      </x:c>
      <x:c r="D216" s="7" t="str">
        <x:v>FAIL</x:v>
      </x:c>
      <x:c r="E216" s="13" t="str">
        <x:v>Pending</x:v>
      </x:c>
      <x:c r="F216" s="13" t="str"/>
      <x:c r="G216" s="13" t="str"/>
      <x:c r="H216" s="13" t="str"/>
      <x:c r="I216" s="7" t="str">
        <x:v>Was this person reviewed? If rejected, give the actual rule and evidence. If acceptable, correct the omission. Confirm the Life-qualification gate and any record change since selection.</x:v>
      </x:c>
      <x:c r="J216" s="7" t="str">
        <x:v>L1</x:v>
      </x:c>
      <x:c r="K216" s="7" t="str">
        <x:v>Verified qualifications do not include active general Life. Current target-pool mismatch; actual historical omission reason unknown.</x:v>
      </x:c>
      <x:c r="L216" s="7" t="str">
        <x:v>Not supplied; membership is known, motive is not</x:v>
      </x:c>
      <x:c r="M216" s="7" t="n">
        <x:v>7</x:v>
      </x:c>
      <x:c r="N216" s="7" t="str">
        <x:v>Outside current general-Life recruiting pool</x:v>
      </x:c>
      <x:c r="O216" s="7" t="str">
        <x:v>Not displayed</x:v>
      </x:c>
      <x:c r="P216" s="7" t="str"/>
      <x:c r="Q216" s="7" t="str"/>
      <x:c r="R216" s="7" t="str"/>
      <x:c r="S216" s="15" t="str"/>
      <x:c r="T216" s="7" t="str">
        <x:v>No public business phone in collected record</x:v>
      </x:c>
      <x:c r="U216" s="7" t="str">
        <x:v>1100 TOWN &amp; COUNTRY ROAD STE. 1600 ORANGE CA, 92868</x:v>
      </x:c>
      <x:c r="V216" s="7" t="str">
        <x:v>Resident</x:v>
      </x:c>
      <x:c r="W216" s="7" t="str">
        <x:v>CA</x:v>
      </x:c>
      <x:c r="X216" s="7" t="str"/>
      <x:c r="Y216" s="7" t="str"/>
      <x:c r="Z216" s="7" t="str"/>
      <x:c r="AA216" s="7" t="str"/>
      <x:c r="AB216" s="7" t="str"/>
      <x:c r="AC216" s="7" t="str"/>
      <x:c r="AD216" s="7" t="str">
        <x:v>No agency or insurer displayed: onboarding opportunity possible; existing business unknown</x:v>
      </x:c>
      <x:c r="AE216" s="7" t="str">
        <x:v>No public business phone: contact enrichment needed, not proof of poor recruiting fit</x:v>
      </x:c>
      <x:c r="AF216" s="16" t="str"/>
      <x:c r="AG216" s="17" t="str"/>
      <x:c r="AH216" s="7" t="str"/>
      <x:c r="AI216" s="7" t="str"/>
      <x:c r="AJ216" s="7" t="str"/>
      <x:c r="AK216" s="15" t="str"/>
      <x:c r="AL216" s="7" t="str"/>
      <x:c r="AM216" s="7" t="str">
        <x:v>AGUILAR  CARO | AGUILAR C CARO | AGUILAR COPE CAROLINE</x:v>
      </x:c>
      <x:c r="AN216" s="7" t="str">
        <x:v>https://cdicloud.insurance.ca.gov/cal/LicenseDetail?SearchType=IND&amp;SearchLicNbr=4203055&amp;SearchIndvId=4203055</x:v>
      </x:c>
      <x:c r="AO216" s="7" t="str">
        <x:v>2026-10-08</x:v>
      </x:c>
      <x:c r="AP216" s="7" t="str">
        <x:v>dff4414a44bed98f106379f8539be2012cde083bdb16c85aa1530174c7d2a950</x:v>
      </x:c>
      <x:c r="AQ216" s="7" t="str">
        <x:v>Accident &amp; Health or Sickness / Inactive / 04/18/2022 / 04/30/2024 / 04/30/2024</x:v>
      </x:c>
      <x:c r="AR216" s="7" t="str">
        <x:v>Inactive</x:v>
      </x:c>
      <x:c r="AS216" s="7" t="str">
        <x:v>Current detail page</x:v>
      </x:c>
    </x:row>
    <x:row r="217" ht="52" customHeight="1">
      <x:c r="A217" s="7" t="str">
        <x:v>AGUILAR CAROL NATALIA</x:v>
      </x:c>
      <x:c r="B217" s="14" t="str">
        <x:f>"0D19763"</x:f>
        <x:v>0D19763</x:v>
      </x:c>
      <x:c r="C217" s="7" t="str">
        <x:v>Omitted</x:v>
      </x:c>
      <x:c r="D217" s="7" t="str">
        <x:v>FAIL</x:v>
      </x:c>
      <x:c r="E217" s="13" t="str">
        <x:v>Pending</x:v>
      </x:c>
      <x:c r="F217" s="13" t="str"/>
      <x:c r="G217" s="13" t="str"/>
      <x:c r="H217" s="13" t="str"/>
      <x:c r="I217" s="7" t="str">
        <x:v>Was this person reviewed? If rejected, give the actual rule and evidence. If acceptable, correct the omission. Confirm the Life-qualification gate and any record change since selection.</x:v>
      </x:c>
      <x:c r="J217" s="7" t="str">
        <x:v>L1</x:v>
      </x:c>
      <x:c r="K217" s="7" t="str">
        <x:v>Verified qualifications do not include active general Life. Current target-pool mismatch; actual historical omission reason unknown.</x:v>
      </x:c>
      <x:c r="L217" s="7" t="str">
        <x:v>Not supplied; membership is known, motive is not</x:v>
      </x:c>
      <x:c r="M217" s="7" t="n">
        <x:v>7</x:v>
      </x:c>
      <x:c r="N217" s="7" t="str">
        <x:v>Outside current general-Life recruiting pool</x:v>
      </x:c>
      <x:c r="O217" s="7" t="str">
        <x:v>Not displayed</x:v>
      </x:c>
      <x:c r="P217" s="7" t="str"/>
      <x:c r="Q217" s="7" t="str"/>
      <x:c r="R217" s="7" t="str"/>
      <x:c r="S217" s="15" t="str"/>
      <x:c r="T217" s="7" t="str">
        <x:v>No public business phone in collected record</x:v>
      </x:c>
      <x:c r="U217" s="7" t="str"/>
      <x:c r="V217" s="7" t="str">
        <x:v>Resident</x:v>
      </x:c>
      <x:c r="W217" s="7" t="str">
        <x:v>CA</x:v>
      </x:c>
      <x:c r="X217" s="7" t="str"/>
      <x:c r="Y217" s="7" t="str"/>
      <x:c r="Z217" s="7" t="str"/>
      <x:c r="AA217" s="7" t="str"/>
      <x:c r="AB217" s="7" t="str"/>
      <x:c r="AC217" s="7" t="str"/>
      <x:c r="AD217" s="7" t="str">
        <x:v>No agency or insurer displayed: onboarding opportunity possible; existing business unknown</x:v>
      </x:c>
      <x:c r="AE217" s="7" t="str">
        <x:v>No public business phone: contact enrichment needed, not proof of poor recruiting fit</x:v>
      </x:c>
      <x:c r="AF217" s="16" t="str"/>
      <x:c r="AG217" s="17" t="str"/>
      <x:c r="AH217" s="7" t="str"/>
      <x:c r="AI217" s="7" t="str"/>
      <x:c r="AJ217" s="7" t="str"/>
      <x:c r="AK217" s="15" t="str"/>
      <x:c r="AL217" s="7" t="str"/>
      <x:c r="AM217" s="7" t="str">
        <x:v>AGUILAR NATALIA CAROL</x:v>
      </x:c>
      <x:c r="AN217" s="7" t="str">
        <x:v>https://cdicloud.insurance.ca.gov/cal/LicenseDetail?SearchType=IND&amp;SearchLicNbr=0D19763&amp;SearchIndvId=536217</x:v>
      </x:c>
      <x:c r="AO217" s="7" t="str">
        <x:v>2026-10-08</x:v>
      </x:c>
      <x:c r="AP217" s="7" t="str">
        <x:v>0c6372c497d8cb3a25547c28fcbb9ce7db4ddbd7d3dd73aa0ab090c8fc0644c6</x:v>
      </x:c>
      <x:c r="AQ217" s="7" t="str">
        <x:v>Accident and Health / Inactive / 02/07/2001 / 02/28/2003 / 02/28/2003
Life-Only / Inactive / 02/07/2001 / 02/28/2003 / 02/28/2003</x:v>
      </x:c>
      <x:c r="AR217" s="7" t="str">
        <x:v>Inactive</x:v>
      </x:c>
      <x:c r="AS217" s="7" t="str">
        <x:v>Current detail page</x:v>
      </x:c>
    </x:row>
    <x:row r="218" ht="52" customHeight="1">
      <x:c r="A218" s="7" t="str">
        <x:v>AGUILAR CAROLINA</x:v>
      </x:c>
      <x:c r="B218" s="14" t="str">
        <x:f>"0H90951"</x:f>
        <x:v>0H90951</x:v>
      </x:c>
      <x:c r="C218" s="7" t="str">
        <x:v>Omitted</x:v>
      </x:c>
      <x:c r="D218" s="7" t="str">
        <x:v>FAIL</x:v>
      </x:c>
      <x:c r="E218" s="13" t="str">
        <x:v>Pending</x:v>
      </x:c>
      <x:c r="F218" s="13" t="str"/>
      <x:c r="G218" s="13" t="str"/>
      <x:c r="H218" s="13" t="str"/>
      <x:c r="I218" s="7" t="str">
        <x:v>Was this person reviewed? If rejected, give the actual rule and evidence. If acceptable, correct the omission. Confirm the Life-qualification gate and any record change since selection.</x:v>
      </x:c>
      <x:c r="J218" s="7" t="str">
        <x:v>L1</x:v>
      </x:c>
      <x:c r="K218" s="7" t="str">
        <x:v>Verified qualifications do not include active general Life. Current target-pool mismatch; actual historical omission reason unknown.</x:v>
      </x:c>
      <x:c r="L218" s="7" t="str">
        <x:v>Not supplied; membership is known, motive is not</x:v>
      </x:c>
      <x:c r="M218" s="7" t="n">
        <x:v>7</x:v>
      </x:c>
      <x:c r="N218" s="7" t="str">
        <x:v>Outside current general-Life recruiting pool</x:v>
      </x:c>
      <x:c r="O218" s="7" t="str">
        <x:v>Not displayed</x:v>
      </x:c>
      <x:c r="P218" s="7" t="str"/>
      <x:c r="Q218" s="7" t="str"/>
      <x:c r="R218" s="7" t="str"/>
      <x:c r="S218" s="15" t="str"/>
      <x:c r="T218" s="7" t="str">
        <x:v>No public business phone in collected record</x:v>
      </x:c>
      <x:c r="U218" s="7" t="str"/>
      <x:c r="V218" s="7" t="str">
        <x:v>Resident</x:v>
      </x:c>
      <x:c r="W218" s="7" t="str">
        <x:v>CA</x:v>
      </x:c>
      <x:c r="X218" s="7" t="str"/>
      <x:c r="Y218" s="7" t="str"/>
      <x:c r="Z218" s="7" t="str"/>
      <x:c r="AA218" s="7" t="str"/>
      <x:c r="AB218" s="7" t="str"/>
      <x:c r="AC218" s="7" t="str"/>
      <x:c r="AD218" s="7" t="str">
        <x:v>No agency or insurer displayed: onboarding opportunity possible; existing business unknown</x:v>
      </x:c>
      <x:c r="AE218" s="7" t="str">
        <x:v>No public business phone: contact enrichment needed, not proof of poor recruiting fit</x:v>
      </x:c>
      <x:c r="AF218" s="16" t="str"/>
      <x:c r="AG218" s="17" t="str"/>
      <x:c r="AH218" s="7" t="str"/>
      <x:c r="AI218" s="7" t="str"/>
      <x:c r="AJ218" s="7" t="str"/>
      <x:c r="AK218" s="15" t="str"/>
      <x:c r="AL218" s="7" t="str"/>
      <x:c r="AM218" s="7" t="str">
        <x:v>AGUILAR  CAROLINA</x:v>
      </x:c>
      <x:c r="AN218" s="7" t="str">
        <x:v>https://cdicloud.insurance.ca.gov/cal/LicenseDetail?SearchType=IND&amp;SearchLicNbr=0H90951&amp;SearchIndvId=1516338</x:v>
      </x:c>
      <x:c r="AO218" s="7" t="str">
        <x:v>2026-10-08</x:v>
      </x:c>
      <x:c r="AP218" s="7" t="str">
        <x:v>83ce9835aba05e178d660ebb0dce20ebd3bf4af3467ee7572417c14c57de4ac2</x:v>
      </x:c>
      <x:c r="AQ218" s="7" t="str">
        <x:v>Life-Only / Inactive / 06/13/2012 / 06/30/2014 / 06/30/2014</x:v>
      </x:c>
      <x:c r="AR218" s="7" t="str">
        <x:v>Inactive</x:v>
      </x:c>
      <x:c r="AS218" s="7" t="str">
        <x:v>Current detail page</x:v>
      </x:c>
    </x:row>
    <x:row r="219" ht="52" customHeight="1">
      <x:c r="A219" s="7" t="str">
        <x:v>AGUILAR CAROLINA CONTRERAS</x:v>
      </x:c>
      <x:c r="B219" s="14" t="str">
        <x:f>"0M81084"</x:f>
        <x:v>0M81084</x:v>
      </x:c>
      <x:c r="C219" s="7" t="str">
        <x:v>Omitted</x:v>
      </x:c>
      <x:c r="D219" s="7" t="str">
        <x:v>FAIL</x:v>
      </x:c>
      <x:c r="E219" s="13" t="str">
        <x:v>Pending</x:v>
      </x:c>
      <x:c r="F219" s="13" t="str"/>
      <x:c r="G219" s="13" t="str"/>
      <x:c r="H219" s="13" t="str"/>
      <x:c r="I219" s="7" t="str">
        <x:v>Was this person reviewed? If rejected, give the actual rule and evidence. If acceptable, correct the omission. Confirm the Life-qualification gate and any record change since selection.</x:v>
      </x:c>
      <x:c r="J219" s="7" t="str">
        <x:v>L1</x:v>
      </x:c>
      <x:c r="K219" s="7" t="str">
        <x:v>Verified qualifications do not include active general Life. Current target-pool mismatch; actual historical omission reason unknown.</x:v>
      </x:c>
      <x:c r="L219" s="7" t="str">
        <x:v>Not supplied; membership is known, motive is not</x:v>
      </x:c>
      <x:c r="M219" s="7" t="n">
        <x:v>7</x:v>
      </x:c>
      <x:c r="N219" s="7" t="str">
        <x:v>Outside current general-Life recruiting pool</x:v>
      </x:c>
      <x:c r="O219" s="7" t="str">
        <x:v>Not displayed</x:v>
      </x:c>
      <x:c r="P219" s="7" t="str"/>
      <x:c r="Q219" s="7" t="str"/>
      <x:c r="R219" s="7" t="str"/>
      <x:c r="S219" s="15" t="str"/>
      <x:c r="T219" s="7" t="str">
        <x:v>No public business phone in collected record</x:v>
      </x:c>
      <x:c r="U219" s="7" t="str"/>
      <x:c r="V219" s="7" t="str">
        <x:v>Resident</x:v>
      </x:c>
      <x:c r="W219" s="7" t="str">
        <x:v>CA</x:v>
      </x:c>
      <x:c r="X219" s="7" t="str"/>
      <x:c r="Y219" s="7" t="str"/>
      <x:c r="Z219" s="7" t="str"/>
      <x:c r="AA219" s="7" t="str"/>
      <x:c r="AB219" s="7" t="str"/>
      <x:c r="AC219" s="7" t="str"/>
      <x:c r="AD219" s="7" t="str">
        <x:v>No agency or insurer displayed: onboarding opportunity possible; existing business unknown</x:v>
      </x:c>
      <x:c r="AE219" s="7" t="str">
        <x:v>No public business phone: contact enrichment needed, not proof of poor recruiting fit</x:v>
      </x:c>
      <x:c r="AF219" s="16" t="str"/>
      <x:c r="AG219" s="17" t="str"/>
      <x:c r="AH219" s="7" t="str"/>
      <x:c r="AI219" s="7" t="str"/>
      <x:c r="AJ219" s="7" t="str"/>
      <x:c r="AK219" s="15" t="str"/>
      <x:c r="AL219" s="7" t="str"/>
      <x:c r="AM219" s="7" t="str">
        <x:v>Aguilar C Carolina | AGUILAR CONTRERAS CAROLINA</x:v>
      </x:c>
      <x:c r="AN219" s="7" t="str">
        <x:v>https://cdicloud.insurance.ca.gov/cal/LicenseDetail?SearchType=IND&amp;SearchLicNbr=0M81084&amp;SearchIndvId=2081142</x:v>
      </x:c>
      <x:c r="AO219" s="7" t="str">
        <x:v>2026-10-08</x:v>
      </x:c>
      <x:c r="AP219" s="7" t="str">
        <x:v>4c0fa50a3ebfac72fc88e4cd3aa68d51b4a79056f4915039158dcb1b1a46ff80</x:v>
      </x:c>
      <x:c r="AQ219" s="7" t="str">
        <x:v>Life-Only / Inactive / 02/07/2019 / 02/28/2021 / 02/28/2021</x:v>
      </x:c>
      <x:c r="AR219" s="7" t="str">
        <x:v>Inactive</x:v>
      </x:c>
      <x:c r="AS219" s="7" t="str">
        <x:v>Current detail page</x:v>
      </x:c>
    </x:row>
    <x:row r="220" ht="52" customHeight="1">
      <x:c r="A220" s="7" t="str">
        <x:v>AGUILAR CAROLYN ESTELA</x:v>
      </x:c>
      <x:c r="B220" s="14" t="str">
        <x:f>"0G30773"</x:f>
        <x:v>0G30773</x:v>
      </x:c>
      <x:c r="C220" s="7" t="str">
        <x:v>Omitted</x:v>
      </x:c>
      <x:c r="D220" s="7" t="str">
        <x:v>FAIL</x:v>
      </x:c>
      <x:c r="E220" s="13" t="str">
        <x:v>Pending</x:v>
      </x:c>
      <x:c r="F220" s="13" t="str"/>
      <x:c r="G220" s="13" t="str"/>
      <x:c r="H220" s="13" t="str"/>
      <x:c r="I220" s="7" t="str">
        <x:v>Was this person reviewed? If rejected, give the actual rule and evidence. If acceptable, correct the omission. Confirm the Life-qualification gate and any record change since selection.</x:v>
      </x:c>
      <x:c r="J220" s="7" t="str">
        <x:v>L1</x:v>
      </x:c>
      <x:c r="K220" s="7" t="str">
        <x:v>Verified qualifications do not include active general Life. Current target-pool mismatch; actual historical omission reason unknown.</x:v>
      </x:c>
      <x:c r="L220" s="7" t="str">
        <x:v>Not supplied; membership is known, motive is not</x:v>
      </x:c>
      <x:c r="M220" s="7" t="n">
        <x:v>7</x:v>
      </x:c>
      <x:c r="N220" s="7" t="str">
        <x:v>Outside current general-Life recruiting pool</x:v>
      </x:c>
      <x:c r="O220" s="7" t="str">
        <x:v>Not displayed</x:v>
      </x:c>
      <x:c r="P220" s="7" t="str"/>
      <x:c r="Q220" s="7" t="str"/>
      <x:c r="R220" s="7" t="str">
        <x:v>Accident &amp; Health or Sickness</x:v>
      </x:c>
      <x:c r="S220" s="15" t="str">
        <x:v>818-546-1006</x:v>
      </x:c>
      <x:c r="T220" s="7" t="str">
        <x:v>Current CDI</x:v>
      </x:c>
      <x:c r="U220" s="7" t="str">
        <x:v>1317 N SAN FERNANDO BLVD, SUITE 318 1317 N SAN FERNANDO BLVD, SUITE 318 BURBANK CA, 91504</x:v>
      </x:c>
      <x:c r="V220" s="7" t="str">
        <x:v>Resident</x:v>
      </x:c>
      <x:c r="W220" s="7" t="str">
        <x:v>CA</x:v>
      </x:c>
      <x:c r="X220" s="7" t="str">
        <x:v>CALIFORNIA HEALTH BENEFIT EXCHANGE / Accident &amp; Health or Sickness / 12/03/2025</x:v>
      </x:c>
      <x:c r="Y220" s="7" t="str"/>
      <x:c r="Z220" s="7" t="str"/>
      <x:c r="AA220" s="7" t="str"/>
      <x:c r="AB220" s="7" t="str"/>
      <x:c r="AC220" s="7" t="str"/>
      <x:c r="AD220" s="7" t="str">
        <x:v>Active A&amp;H supports optional cross-selling; not necessary for target products</x:v>
      </x:c>
      <x:c r="AE220" s="7" t="str"/>
      <x:c r="AF220" s="16" t="str"/>
      <x:c r="AG220" s="17" t="str"/>
      <x:c r="AH220" s="7" t="str"/>
      <x:c r="AI220" s="7" t="str">
        <x:v>English</x:v>
      </x:c>
      <x:c r="AJ220" s="7" t="str"/>
      <x:c r="AK220" s="15" t="str"/>
      <x:c r="AL220" s="7" t="str"/>
      <x:c r="AM220" s="7" t="str">
        <x:v>AGUILAR ESTELA CAROLYN</x:v>
      </x:c>
      <x:c r="AN220" s="7" t="str">
        <x:v>https://cdicloud.insurance.ca.gov/cal/LicenseDetail?SearchType=IND&amp;SearchLicNbr=0G30773&amp;SearchIndvId=1179391</x:v>
      </x:c>
      <x:c r="AO220" s="7" t="str">
        <x:v>2026-10-08</x:v>
      </x:c>
      <x:c r="AP220" s="7" t="str">
        <x:v>37d84d0aa3901dcc066223ee1af52e5a0c84034853cbf7554b25064b66c7e75b</x:v>
      </x:c>
      <x:c r="AQ220" s="7" t="str">
        <x:v>Accident &amp; Health or Sickness / Active / 11/18/2013 / 12/03/2025 / 11/30/2027</x:v>
      </x:c>
      <x:c r="AR220" s="7" t="str">
        <x:v>Active</x:v>
      </x:c>
      <x:c r="AS220" s="7" t="str">
        <x:v>Current detail page</x:v>
      </x:c>
    </x:row>
    <x:row r="221" ht="52" customHeight="1">
      <x:c r="A221" s="7" t="str">
        <x:v>AGUILAR CAROLYN ROCIO</x:v>
      </x:c>
      <x:c r="B221" s="14" t="str">
        <x:f>"0I82423"</x:f>
        <x:v>0I82423</x:v>
      </x:c>
      <x:c r="C221" s="7" t="str">
        <x:v>Omitted</x:v>
      </x:c>
      <x:c r="D221" s="7" t="str">
        <x:v>FAIL</x:v>
      </x:c>
      <x:c r="E221" s="13" t="str">
        <x:v>Pending</x:v>
      </x:c>
      <x:c r="F221" s="13" t="str"/>
      <x:c r="G221" s="13" t="str"/>
      <x:c r="H221" s="13" t="str"/>
      <x:c r="I221" s="7" t="str">
        <x:v>Was this person reviewed? If rejected, give the actual rule and evidence. If acceptable, correct the omission. Confirm the Life-qualification gate and any record change since selection.</x:v>
      </x:c>
      <x:c r="J221" s="7" t="str">
        <x:v>L1</x:v>
      </x:c>
      <x:c r="K221" s="7" t="str">
        <x:v>Verified qualifications do not include active general Life. Current target-pool mismatch; actual historical omission reason unknown.</x:v>
      </x:c>
      <x:c r="L221" s="7" t="str">
        <x:v>Not supplied; membership is known, motive is not</x:v>
      </x:c>
      <x:c r="M221" s="7" t="n">
        <x:v>7</x:v>
      </x:c>
      <x:c r="N221" s="7" t="str">
        <x:v>Outside current general-Life recruiting pool</x:v>
      </x:c>
      <x:c r="O221" s="7" t="str">
        <x:v>Not displayed</x:v>
      </x:c>
      <x:c r="P221" s="7" t="str"/>
      <x:c r="Q221" s="7" t="str"/>
      <x:c r="R221" s="7" t="str"/>
      <x:c r="S221" s="15" t="str"/>
      <x:c r="T221" s="7" t="str">
        <x:v>No public business phone in collected record</x:v>
      </x:c>
      <x:c r="U221" s="7" t="str"/>
      <x:c r="V221" s="7" t="str">
        <x:v>Resident</x:v>
      </x:c>
      <x:c r="W221" s="7" t="str">
        <x:v>CA</x:v>
      </x:c>
      <x:c r="X221" s="7" t="str"/>
      <x:c r="Y221" s="7" t="str"/>
      <x:c r="Z221" s="7" t="str"/>
      <x:c r="AA221" s="7" t="str"/>
      <x:c r="AB221" s="7" t="str"/>
      <x:c r="AC221" s="7" t="str"/>
      <x:c r="AD221" s="7" t="str">
        <x:v>No agency or insurer displayed: onboarding opportunity possible; existing business unknown</x:v>
      </x:c>
      <x:c r="AE221" s="7" t="str">
        <x:v>No public business phone: contact enrichment needed, not proof of poor recruiting fit</x:v>
      </x:c>
      <x:c r="AF221" s="16" t="str"/>
      <x:c r="AG221" s="17" t="str"/>
      <x:c r="AH221" s="7" t="str"/>
      <x:c r="AI221" s="7" t="str">
        <x:v>English, Spanish, Spanish</x:v>
      </x:c>
      <x:c r="AJ221" s="7" t="str"/>
      <x:c r="AK221" s="15" t="str"/>
      <x:c r="AL221" s="7" t="str"/>
      <x:c r="AM221" s="7" t="str">
        <x:v>Aguilar R Carolyn | AGUILAR ROCIO CAROLYN</x:v>
      </x:c>
      <x:c r="AN221" s="7" t="str">
        <x:v>https://cdicloud.insurance.ca.gov/cal/LicenseDetail?SearchType=IND&amp;SearchLicNbr=0I82423&amp;SearchIndvId=1660479</x:v>
      </x:c>
      <x:c r="AO221" s="7" t="str">
        <x:v>2026-10-08</x:v>
      </x:c>
      <x:c r="AP221" s="7" t="str">
        <x:v>a33b9eea11d4ef796c51d9ab359e6ad95e7d65a443e7888fd9f56e3187b8c146</x:v>
      </x:c>
      <x:c r="AQ221" s="7" t="str">
        <x:v>Accident and Health / Inactive / 04/04/2014 / 04/30/2020 / 04/30/2020
Casualty Broker-Agent / Inactive / 09/02/2016 / 04/30/2020 / 04/30/2020
Life-Only / Inactive / 04/04/2014 / 04/30/2020 / 04/30/2020
Property Broker-Agent / Inactive / 09/02/2016 / 04/30/2020 / 04/30/2020</x:v>
      </x:c>
      <x:c r="AR221" s="7" t="str">
        <x:v>Inactive</x:v>
      </x:c>
      <x:c r="AS221" s="7" t="str">
        <x:v>Current detail page</x:v>
      </x:c>
    </x:row>
    <x:row r="222" ht="52" customHeight="1">
      <x:c r="A222" s="7" t="str">
        <x:v>AGUILAR CASANDRA PAULA</x:v>
      </x:c>
      <x:c r="B222" s="14" t="str">
        <x:f>"0D22046"</x:f>
        <x:v>0D22046</x:v>
      </x:c>
      <x:c r="C222" s="7" t="str">
        <x:v>Omitted</x:v>
      </x:c>
      <x:c r="D222" s="7" t="str">
        <x:v>FAIL</x:v>
      </x:c>
      <x:c r="E222" s="13" t="str">
        <x:v>Pending</x:v>
      </x:c>
      <x:c r="F222" s="13" t="str"/>
      <x:c r="G222" s="13" t="str"/>
      <x:c r="H222" s="13" t="str"/>
      <x:c r="I222" s="7" t="str">
        <x:v>Was this person reviewed? If rejected, give the actual rule and evidence. If acceptable, correct the omission. Confirm the Life-qualification gate and any record change since selection.</x:v>
      </x:c>
      <x:c r="J222" s="7" t="str">
        <x:v>L1</x:v>
      </x:c>
      <x:c r="K222" s="7" t="str">
        <x:v>Verified qualifications do not include active general Life. Current target-pool mismatch; actual historical omission reason unknown.</x:v>
      </x:c>
      <x:c r="L222" s="7" t="str">
        <x:v>Not supplied; membership is known, motive is not</x:v>
      </x:c>
      <x:c r="M222" s="7" t="n">
        <x:v>7</x:v>
      </x:c>
      <x:c r="N222" s="7" t="str">
        <x:v>Outside current general-Life recruiting pool</x:v>
      </x:c>
      <x:c r="O222" s="7" t="str">
        <x:v>Not displayed</x:v>
      </x:c>
      <x:c r="P222" s="7" t="str"/>
      <x:c r="Q222" s="7" t="str"/>
      <x:c r="R222" s="7" t="str"/>
      <x:c r="S222" s="15" t="str"/>
      <x:c r="T222" s="7" t="str">
        <x:v>No public business phone in collected record</x:v>
      </x:c>
      <x:c r="U222" s="7" t="str"/>
      <x:c r="V222" s="7" t="str">
        <x:v>Resident</x:v>
      </x:c>
      <x:c r="W222" s="7" t="str">
        <x:v>CA</x:v>
      </x:c>
      <x:c r="X222" s="7" t="str"/>
      <x:c r="Y222" s="7" t="str"/>
      <x:c r="Z222" s="7" t="str"/>
      <x:c r="AA222" s="7" t="str"/>
      <x:c r="AB222" s="7" t="str"/>
      <x:c r="AC222" s="7" t="str"/>
      <x:c r="AD222" s="7" t="str">
        <x:v>No agency or insurer displayed: onboarding opportunity possible; existing business unknown</x:v>
      </x:c>
      <x:c r="AE222" s="7" t="str">
        <x:v>No public business phone: contact enrichment needed, not proof of poor recruiting fit</x:v>
      </x:c>
      <x:c r="AF222" s="16" t="str"/>
      <x:c r="AG222" s="17" t="str"/>
      <x:c r="AH222" s="7" t="str"/>
      <x:c r="AI222" s="7" t="str"/>
      <x:c r="AJ222" s="7" t="str"/>
      <x:c r="AK222" s="15" t="str"/>
      <x:c r="AL222" s="7" t="str"/>
      <x:c r="AM222" s="7" t="str">
        <x:v>AGUILAR PAULA CASANDRA</x:v>
      </x:c>
      <x:c r="AN222" s="7" t="str">
        <x:v>https://cdicloud.insurance.ca.gov/cal/LicenseDetail?SearchType=IND&amp;SearchLicNbr=0D22046&amp;SearchIndvId=545109</x:v>
      </x:c>
      <x:c r="AO222" s="7" t="str">
        <x:v>2026-10-08</x:v>
      </x:c>
      <x:c r="AP222" s="7" t="str">
        <x:v>f3e78af15943f9264ad333f1e3c31c7dbf2736f527eed559e294413ba5abb844</x:v>
      </x:c>
      <x:c r="AQ222" s="7" t="str">
        <x:v>Casualty Broker-Agent / Inactive / 03/19/2001 / 03/31/2003 / 03/31/2003
Property Broker-Agent / Inactive / 03/19/2001 / 03/31/2003 / 03/31/2003</x:v>
      </x:c>
      <x:c r="AR222" s="7" t="str">
        <x:v>Inactive</x:v>
      </x:c>
      <x:c r="AS222" s="7" t="str">
        <x:v>Current detail page</x:v>
      </x:c>
    </x:row>
    <x:row r="223" ht="52" customHeight="1">
      <x:c r="A223" s="7" t="str">
        <x:v>AGUILAR CASTILLO JESUS</x:v>
      </x:c>
      <x:c r="B223" s="14" t="str">
        <x:f>"4303670"</x:f>
        <x:v>4303670</x:v>
      </x:c>
      <x:c r="C223" s="7" t="str">
        <x:v>Omitted</x:v>
      </x:c>
      <x:c r="D223" s="7" t="str">
        <x:v>FAIL</x:v>
      </x:c>
      <x:c r="E223" s="13" t="str">
        <x:v>Pending</x:v>
      </x:c>
      <x:c r="F223" s="13" t="str"/>
      <x:c r="G223" s="13" t="str"/>
      <x:c r="H223" s="13" t="str"/>
      <x:c r="I223" s="7" t="str">
        <x:v>Was this person reviewed? If rejected, give the actual rule and evidence. If acceptable, correct the omission. Confirm the Life-qualification gate and any record change since selection.</x:v>
      </x:c>
      <x:c r="J223" s="7" t="str">
        <x:v>L1</x:v>
      </x:c>
      <x:c r="K223" s="7" t="str">
        <x:v>Verified qualifications do not include active general Life. Current target-pool mismatch; actual historical omission reason unknown.</x:v>
      </x:c>
      <x:c r="L223" s="7" t="str">
        <x:v>Not supplied; membership is known, motive is not</x:v>
      </x:c>
      <x:c r="M223" s="7" t="n">
        <x:v>7</x:v>
      </x:c>
      <x:c r="N223" s="7" t="str">
        <x:v>Outside current general-Life recruiting pool</x:v>
      </x:c>
      <x:c r="O223" s="7" t="str">
        <x:v>Inactive</x:v>
      </x:c>
      <x:c r="P223" s="7" t="str">
        <x:v>06/20/2023</x:v>
      </x:c>
      <x:c r="Q223" s="7" t="str">
        <x:v>06/30/2025</x:v>
      </x:c>
      <x:c r="R223" s="7" t="str"/>
      <x:c r="S223" s="15" t="str"/>
      <x:c r="T223" s="7" t="str">
        <x:v>No public business phone in collected record</x:v>
      </x:c>
      <x:c r="U223" s="7" t="str">
        <x:v>9800 FREDERICKSBURG RD SAN ANTONIO TX, 78288</x:v>
      </x:c>
      <x:c r="V223" s="7" t="str">
        <x:v>Non-resident</x:v>
      </x:c>
      <x:c r="W223" s="7" t="str">
        <x:v>TX</x:v>
      </x:c>
      <x:c r="X223" s="7" t="str"/>
      <x:c r="Y223" s="7" t="str"/>
      <x:c r="Z223" s="7" t="str"/>
      <x:c r="AA223" s="7" t="str"/>
      <x:c r="AB223" s="7" t="str"/>
      <x:c r="AC223" s="7" t="str"/>
      <x:c r="AD223" s="7" t="str">
        <x:v>No agency or insurer displayed: onboarding opportunity possible; existing business unknown</x:v>
      </x:c>
      <x:c r="AE223" s="7" t="str">
        <x:v>Nonresident or address state outside CA; confirm geographic recruiting scope | No public business phone: contact enrichment needed, not proof of poor recruiting fit</x:v>
      </x:c>
      <x:c r="AF223" s="16" t="str"/>
      <x:c r="AG223" s="17" t="str"/>
      <x:c r="AH223" s="7" t="str"/>
      <x:c r="AI223" s="7" t="str"/>
      <x:c r="AJ223" s="7" t="str"/>
      <x:c r="AK223" s="15" t="str"/>
      <x:c r="AL223" s="7" t="str"/>
      <x:c r="AM223" s="7" t="str">
        <x:v>AGUILAR CASTILLO  JESUS</x:v>
      </x:c>
      <x:c r="AN223" s="7" t="str">
        <x:v>https://cdicloud.insurance.ca.gov/cal/LicenseDetail?SearchType=IND&amp;SearchLicNbr=4303670&amp;SearchIndvId=4303670</x:v>
      </x:c>
      <x:c r="AO223" s="7" t="str">
        <x:v>2026-10-08</x:v>
      </x:c>
      <x:c r="AP223" s="7" t="str">
        <x:v>e86212deaf2e7dff0d2a277ac24e3d416349a56ed07937d75e38a66d9de81634</x:v>
      </x:c>
      <x:c r="AQ223" s="7" t="str">
        <x:v>Accident &amp; Health or Sickness / Inactive / 06/20/2023 / 06/30/2025 / 06/30/2025
Life / Inactive / 06/20/2023 / 06/30/2025 / 06/30/2025</x:v>
      </x:c>
      <x:c r="AR223" s="7" t="str">
        <x:v>Inactive</x:v>
      </x:c>
      <x:c r="AS223" s="7" t="str">
        <x:v>Current detail page</x:v>
      </x:c>
    </x:row>
    <x:row r="224" ht="52" customHeight="1">
      <x:c r="A224" s="7" t="str">
        <x:v>AGUILAR CATHERINE LAUREL</x:v>
      </x:c>
      <x:c r="B224" s="14" t="str">
        <x:f>"0L92883"</x:f>
        <x:v>0L92883</x:v>
      </x:c>
      <x:c r="C224" s="7" t="str">
        <x:v>Omitted</x:v>
      </x:c>
      <x:c r="D224" s="7" t="str">
        <x:v>FAIL</x:v>
      </x:c>
      <x:c r="E224" s="13" t="str">
        <x:v>Pending</x:v>
      </x:c>
      <x:c r="F224" s="13" t="str"/>
      <x:c r="G224" s="13" t="str"/>
      <x:c r="H224" s="13" t="str"/>
      <x:c r="I224" s="7" t="str">
        <x:v>Was this person reviewed? If rejected, give the actual rule and evidence. If acceptable, correct the omission. Confirm the Life-qualification gate and any record change since selection.</x:v>
      </x:c>
      <x:c r="J224" s="7" t="str">
        <x:v>L1</x:v>
      </x:c>
      <x:c r="K224" s="7" t="str">
        <x:v>Verified qualifications do not include active general Life. Current target-pool mismatch; actual historical omission reason unknown.</x:v>
      </x:c>
      <x:c r="L224" s="7" t="str">
        <x:v>Not supplied; membership is known, motive is not</x:v>
      </x:c>
      <x:c r="M224" s="7" t="n">
        <x:v>7</x:v>
      </x:c>
      <x:c r="N224" s="7" t="str">
        <x:v>Outside current general-Life recruiting pool</x:v>
      </x:c>
      <x:c r="O224" s="7" t="str">
        <x:v>Not displayed</x:v>
      </x:c>
      <x:c r="P224" s="7" t="str"/>
      <x:c r="Q224" s="7" t="str"/>
      <x:c r="R224" s="7" t="str"/>
      <x:c r="S224" s="15" t="str"/>
      <x:c r="T224" s="7" t="str">
        <x:v>No public business phone in collected record</x:v>
      </x:c>
      <x:c r="U224" s="7" t="str"/>
      <x:c r="V224" s="7" t="str">
        <x:v>Resident</x:v>
      </x:c>
      <x:c r="W224" s="7" t="str">
        <x:v>CA</x:v>
      </x:c>
      <x:c r="X224" s="7" t="str"/>
      <x:c r="Y224" s="7" t="str"/>
      <x:c r="Z224" s="7" t="str"/>
      <x:c r="AA224" s="7" t="str"/>
      <x:c r="AB224" s="7" t="str"/>
      <x:c r="AC224" s="7" t="str"/>
      <x:c r="AD224" s="7" t="str">
        <x:v>No agency or insurer displayed: onboarding opportunity possible; existing business unknown</x:v>
      </x:c>
      <x:c r="AE224" s="7" t="str">
        <x:v>No public business phone: contact enrichment needed, not proof of poor recruiting fit</x:v>
      </x:c>
      <x:c r="AF224" s="16" t="str"/>
      <x:c r="AG224" s="17" t="str"/>
      <x:c r="AH224" s="7" t="str"/>
      <x:c r="AI224" s="7" t="str"/>
      <x:c r="AJ224" s="7" t="str"/>
      <x:c r="AK224" s="15" t="str"/>
      <x:c r="AL224" s="7" t="str"/>
      <x:c r="AM224" s="7" t="str">
        <x:v>AGUILAR LAUREL CATHERINE</x:v>
      </x:c>
      <x:c r="AN224" s="7" t="str">
        <x:v>https://cdicloud.insurance.ca.gov/cal/LicenseDetail?SearchType=IND&amp;SearchLicNbr=0L92883&amp;SearchIndvId=1962886</x:v>
      </x:c>
      <x:c r="AO224" s="7" t="str">
        <x:v>2026-10-08</x:v>
      </x:c>
      <x:c r="AP224" s="7" t="str">
        <x:v>ce44da51c72a113fc2317bab537d6db2df8e08e3fc4cdd9f7ef2d4fc9e8d5f40</x:v>
      </x:c>
      <x:c r="AQ224" s="7" t="str">
        <x:v>Accident and Health / Inactive / 09/26/2017 / 09/30/2019 / 09/30/2019
Casualty Broker-Agent / Inactive / 09/11/2017 / 09/30/2019 / 09/30/2019
Life-Only / Inactive / 09/26/2017 / 09/30/2019 / 09/30/2019
Property Broker-Agent / Inactive / 09/11/2017 / 09/30/2019 / 09/30/2019</x:v>
      </x:c>
      <x:c r="AR224" s="7" t="str">
        <x:v>Inactive</x:v>
      </x:c>
      <x:c r="AS224" s="7" t="str">
        <x:v>Current detail page</x:v>
      </x:c>
    </x:row>
    <x:row r="225" ht="52" customHeight="1">
      <x:c r="A225" s="7" t="str">
        <x:v>AGUILAR CAZANDRA</x:v>
      </x:c>
      <x:c r="B225" s="14" t="str">
        <x:f>"E4531944"</x:f>
        <x:v>E4531944</x:v>
      </x:c>
      <x:c r="C225" s="7" t="str">
        <x:v>Omitted</x:v>
      </x:c>
      <x:c r="D225" s="7" t="str">
        <x:v>REVIEW</x:v>
      </x:c>
      <x:c r="E225" s="13" t="str">
        <x:v>Pending</x:v>
      </x:c>
      <x:c r="F225" s="13" t="str"/>
      <x:c r="G225" s="13" t="str"/>
      <x:c r="H225" s="13" t="str"/>
      <x:c r="I225" s="7" t="str">
        <x:v>Was this record reviewed? The detail page provides no qualifications. Verify the actual license type and Life authority before deciding; do not reject for missing data.</x:v>
      </x:c>
      <x:c r="J225" s="7" t="str">
        <x:v>L1</x:v>
      </x:c>
      <x:c r="K225" s="7" t="str">
        <x:v>Detail page displays no qualification information. Life authority cannot be verified; missing data is not a qualification failure. Historical omission reason unknown.</x:v>
      </x:c>
      <x:c r="L225" s="7" t="str">
        <x:v>Not supplied; membership is known, motive is not</x:v>
      </x:c>
      <x:c r="M225" s="7" t="n">
        <x:v>7</x:v>
      </x:c>
      <x:c r="N225" s="7" t="str">
        <x:v>Outside current general-Life recruiting pool</x:v>
      </x:c>
      <x:c r="O225" s="7" t="str">
        <x:v>Not displayed</x:v>
      </x:c>
      <x:c r="P225" s="7" t="str"/>
      <x:c r="Q225" s="7" t="str"/>
      <x:c r="R225" s="7" t="str"/>
      <x:c r="S225" s="15" t="str"/>
      <x:c r="T225" s="7" t="str">
        <x:v>No public business phone in collected record</x:v>
      </x:c>
      <x:c r="U225" s="7" t="str"/>
      <x:c r="V225" s="7" t="str">
        <x:v>Resident</x:v>
      </x:c>
      <x:c r="W225" s="7" t="str">
        <x:v>CA</x:v>
      </x:c>
      <x:c r="X225" s="7" t="str"/>
      <x:c r="Y225" s="7" t="str"/>
      <x:c r="Z225" s="7" t="str"/>
      <x:c r="AA225" s="7" t="str"/>
      <x:c r="AB225" s="7" t="str"/>
      <x:c r="AC225" s="7" t="str"/>
      <x:c r="AD225" s="7" t="str">
        <x:v>No agency or insurer displayed: onboarding opportunity possible; existing business unknown</x:v>
      </x:c>
      <x:c r="AE225" s="7" t="str">
        <x:v>No public business phone: contact enrichment needed, not proof of poor recruiting fit</x:v>
      </x:c>
      <x:c r="AF225" s="16" t="str"/>
      <x:c r="AG225" s="17" t="str"/>
      <x:c r="AH225" s="7" t="str"/>
      <x:c r="AI225" s="7" t="str">
        <x:v>English</x:v>
      </x:c>
      <x:c r="AJ225" s="7" t="str"/>
      <x:c r="AK225" s="15" t="str"/>
      <x:c r="AL225" s="7" t="str"/>
      <x:c r="AM225" s="7" t="str">
        <x:v>AGUILAR  CAZANDRA</x:v>
      </x:c>
      <x:c r="AN225" s="7" t="str">
        <x:v>https://cdicloud.insurance.ca.gov/cal/LicenseDetail?SearchType=IND&amp;SearchLicNbr=E4531944&amp;SearchIndvId=4531944</x:v>
      </x:c>
      <x:c r="AO225" s="7" t="str">
        <x:v>2026-10-08</x:v>
      </x:c>
      <x:c r="AP225" s="7" t="str">
        <x:v>e3046801692e7602db42c2f8ed484a75d1c221e03ed7f812d5f60d2970889e82</x:v>
      </x:c>
      <x:c r="AQ225" s="7" t="str"/>
      <x:c r="AR225" s="7" t="str">
        <x:v>Active</x:v>
      </x:c>
      <x:c r="AS225" s="7" t="str">
        <x:v>Current detail page</x:v>
      </x:c>
    </x:row>
    <x:row r="226" ht="52" customHeight="1">
      <x:c r="A226" s="7" t="str">
        <x:v>AGUILAR CECILIA</x:v>
      </x:c>
      <x:c r="B226" s="14" t="str">
        <x:f>"0K19018"</x:f>
        <x:v>0K19018</x:v>
      </x:c>
      <x:c r="C226" s="7" t="str">
        <x:v>Omitted</x:v>
      </x:c>
      <x:c r="D226" s="7" t="str">
        <x:v>FAIL</x:v>
      </x:c>
      <x:c r="E226" s="13" t="str">
        <x:v>Pending</x:v>
      </x:c>
      <x:c r="F226" s="13" t="str"/>
      <x:c r="G226" s="13" t="str"/>
      <x:c r="H226" s="13" t="str"/>
      <x:c r="I226" s="7" t="str">
        <x:v>Was this person reviewed? If rejected, give the actual rule and evidence. If acceptable, correct the omission. Confirm the Life-qualification gate and any record change since selection.</x:v>
      </x:c>
      <x:c r="J226" s="7" t="str">
        <x:v>L1</x:v>
      </x:c>
      <x:c r="K226" s="7" t="str">
        <x:v>Verified qualifications do not include active general Life. Current target-pool mismatch; actual historical omission reason unknown.</x:v>
      </x:c>
      <x:c r="L226" s="7" t="str">
        <x:v>Not supplied; membership is known, motive is not</x:v>
      </x:c>
      <x:c r="M226" s="7" t="n">
        <x:v>7</x:v>
      </x:c>
      <x:c r="N226" s="7" t="str">
        <x:v>Outside current general-Life recruiting pool</x:v>
      </x:c>
      <x:c r="O226" s="7" t="str">
        <x:v>Not displayed</x:v>
      </x:c>
      <x:c r="P226" s="7" t="str"/>
      <x:c r="Q226" s="7" t="str"/>
      <x:c r="R226" s="7" t="str"/>
      <x:c r="S226" s="15" t="str"/>
      <x:c r="T226" s="7" t="str">
        <x:v>No public business phone in collected record</x:v>
      </x:c>
      <x:c r="U226" s="7" t="str"/>
      <x:c r="V226" s="7" t="str">
        <x:v>Resident</x:v>
      </x:c>
      <x:c r="W226" s="7" t="str">
        <x:v>CA</x:v>
      </x:c>
      <x:c r="X226" s="7" t="str"/>
      <x:c r="Y226" s="7" t="str"/>
      <x:c r="Z226" s="7" t="str"/>
      <x:c r="AA226" s="7" t="str"/>
      <x:c r="AB226" s="7" t="str">
        <x:v>MARANO STEPHEN JR / Casualty / 04/16/2015
MARANO STEPHEN JR / Property / 04/16/2015</x:v>
      </x:c>
      <x:c r="AC226" s="7" t="str"/>
      <x:c r="AD226" s="7" t="str">
        <x:v>No agency or insurer displayed: onboarding opportunity possible; existing business unknown</x:v>
      </x:c>
      <x:c r="AE226" s="7" t="str">
        <x:v>Sponsor relationships displayed: MARANO STEPHEN JR; inspect line-specific relationship, not a blanket employment inference | No public business phone: contact enrichment needed, not proof of poor recruiting fit</x:v>
      </x:c>
      <x:c r="AF226" s="16" t="str"/>
      <x:c r="AG226" s="17" t="str"/>
      <x:c r="AH226" s="7" t="str"/>
      <x:c r="AI226" s="7" t="str"/>
      <x:c r="AJ226" s="7" t="str"/>
      <x:c r="AK226" s="15" t="str"/>
      <x:c r="AL226" s="7" t="str"/>
      <x:c r="AM226" s="7" t="str">
        <x:v>AGUILAR  CECILIA</x:v>
      </x:c>
      <x:c r="AN226" s="7" t="str">
        <x:v>https://cdicloud.insurance.ca.gov/cal/LicenseDetail?SearchType=IND&amp;SearchLicNbr=0K19018&amp;SearchIndvId=1750184</x:v>
      </x:c>
      <x:c r="AO226" s="7" t="str">
        <x:v>2026-10-08</x:v>
      </x:c>
      <x:c r="AP226" s="7" t="str">
        <x:v>334687d63b7331886201c18527a71a1c9b59703a76e2531e050754c566ab127f</x:v>
      </x:c>
      <x:c r="AQ226" s="7" t="str">
        <x:v>Personal Lines Broker-Agent / Inactive / 04/15/2015 / 04/30/2017 / 04/30/2017</x:v>
      </x:c>
      <x:c r="AR226" s="7" t="str">
        <x:v>Inactive</x:v>
      </x:c>
      <x:c r="AS226" s="7" t="str">
        <x:v>Current detail page</x:v>
      </x:c>
    </x:row>
    <x:row r="227" ht="52" customHeight="1">
      <x:c r="A227" s="7" t="str">
        <x:v>AGUILAR CELENE SUHEY</x:v>
      </x:c>
      <x:c r="B227" s="14" t="str">
        <x:f>"0J13009"</x:f>
        <x:v>0J13009</x:v>
      </x:c>
      <x:c r="C227" s="7" t="str">
        <x:v>Omitted</x:v>
      </x:c>
      <x:c r="D227" s="7" t="str">
        <x:v>FAIL</x:v>
      </x:c>
      <x:c r="E227" s="13" t="str">
        <x:v>Pending</x:v>
      </x:c>
      <x:c r="F227" s="13" t="str"/>
      <x:c r="G227" s="13" t="str"/>
      <x:c r="H227" s="13" t="str"/>
      <x:c r="I227" s="7" t="str">
        <x:v>Was this person reviewed? If rejected, give the actual rule and evidence. If acceptable, correct the omission. Confirm the Life-qualification gate and any record change since selection.</x:v>
      </x:c>
      <x:c r="J227" s="7" t="str">
        <x:v>L1</x:v>
      </x:c>
      <x:c r="K227" s="7" t="str">
        <x:v>Verified qualifications do not include active general Life. Current target-pool mismatch; actual historical omission reason unknown.</x:v>
      </x:c>
      <x:c r="L227" s="7" t="str">
        <x:v>Not supplied; membership is known, motive is not</x:v>
      </x:c>
      <x:c r="M227" s="7" t="n">
        <x:v>7</x:v>
      </x:c>
      <x:c r="N227" s="7" t="str">
        <x:v>Outside current general-Life recruiting pool</x:v>
      </x:c>
      <x:c r="O227" s="7" t="str">
        <x:v>Not displayed</x:v>
      </x:c>
      <x:c r="P227" s="7" t="str"/>
      <x:c r="Q227" s="7" t="str"/>
      <x:c r="R227" s="7" t="str"/>
      <x:c r="S227" s="15" t="str"/>
      <x:c r="T227" s="7" t="str">
        <x:v>No public business phone in collected record</x:v>
      </x:c>
      <x:c r="U227" s="7" t="str"/>
      <x:c r="V227" s="7" t="str">
        <x:v>Resident</x:v>
      </x:c>
      <x:c r="W227" s="7" t="str">
        <x:v>CA</x:v>
      </x:c>
      <x:c r="X227" s="7" t="str"/>
      <x:c r="Y227" s="7" t="str"/>
      <x:c r="Z227" s="7" t="str"/>
      <x:c r="AA227" s="7" t="str"/>
      <x:c r="AB227" s="7" t="str"/>
      <x:c r="AC227" s="7" t="str"/>
      <x:c r="AD227" s="7" t="str">
        <x:v>No agency or insurer displayed: onboarding opportunity possible; existing business unknown</x:v>
      </x:c>
      <x:c r="AE227" s="7" t="str">
        <x:v>No public business phone: contact enrichment needed, not proof of poor recruiting fit</x:v>
      </x:c>
      <x:c r="AF227" s="16" t="str"/>
      <x:c r="AG227" s="17" t="str"/>
      <x:c r="AH227" s="7" t="str"/>
      <x:c r="AI227" s="7" t="str">
        <x:v>English, Spanish, Spanish</x:v>
      </x:c>
      <x:c r="AJ227" s="7" t="str"/>
      <x:c r="AK227" s="15" t="str"/>
      <x:c r="AL227" s="7" t="str"/>
      <x:c r="AM227" s="7" t="str">
        <x:v>Aguilar S Celene | AGUILAR SUHEY CELENE</x:v>
      </x:c>
      <x:c r="AN227" s="7" t="str">
        <x:v>https://cdicloud.insurance.ca.gov/cal/LicenseDetail?SearchType=IND&amp;SearchLicNbr=0J13009&amp;SearchIndvId=1686282</x:v>
      </x:c>
      <x:c r="AO227" s="7" t="str">
        <x:v>2026-10-08</x:v>
      </x:c>
      <x:c r="AP227" s="7" t="str">
        <x:v>a85dddf441cfdc640c414ce2081416c384b69ed36b954c826d4fdf24d303dbab</x:v>
      </x:c>
      <x:c r="AQ227" s="7" t="str">
        <x:v>Accident and Health / Inactive / 10/13/2014 / 10/31/2018 / 10/31/2018
Life-Only / Inactive / 10/13/2014 / 10/31/2018 / 10/31/2018</x:v>
      </x:c>
      <x:c r="AR227" s="7" t="str">
        <x:v>Inactive</x:v>
      </x:c>
      <x:c r="AS227" s="7" t="str">
        <x:v>Current detail page</x:v>
      </x:c>
    </x:row>
    <x:row r="228" ht="52" customHeight="1">
      <x:c r="A228" s="7" t="str">
        <x:v>AGUILAR CELIA</x:v>
      </x:c>
      <x:c r="B228" s="14" t="str">
        <x:f>"0E89157"</x:f>
        <x:v>0E89157</x:v>
      </x:c>
      <x:c r="C228" s="7" t="str">
        <x:v>Omitted</x:v>
      </x:c>
      <x:c r="D228" s="7" t="str">
        <x:v>FAIL</x:v>
      </x:c>
      <x:c r="E228" s="13" t="str">
        <x:v>Pending</x:v>
      </x:c>
      <x:c r="F228" s="13" t="str"/>
      <x:c r="G228" s="13" t="str"/>
      <x:c r="H228" s="13" t="str"/>
      <x:c r="I228" s="7" t="str">
        <x:v>Was this person reviewed? If rejected, give the actual rule and evidence. If acceptable, correct the omission. Confirm the Life-qualification gate and any record change since selection.</x:v>
      </x:c>
      <x:c r="J228" s="7" t="str">
        <x:v>L1</x:v>
      </x:c>
      <x:c r="K228" s="7" t="str">
        <x:v>Verified qualifications do not include active general Life. Current target-pool mismatch; actual historical omission reason unknown.</x:v>
      </x:c>
      <x:c r="L228" s="7" t="str">
        <x:v>Not supplied; membership is known, motive is not</x:v>
      </x:c>
      <x:c r="M228" s="7" t="n">
        <x:v>7</x:v>
      </x:c>
      <x:c r="N228" s="7" t="str">
        <x:v>Outside current general-Life recruiting pool</x:v>
      </x:c>
      <x:c r="O228" s="7" t="str">
        <x:v>Not displayed</x:v>
      </x:c>
      <x:c r="P228" s="7" t="str"/>
      <x:c r="Q228" s="7" t="str"/>
      <x:c r="R228" s="7" t="str"/>
      <x:c r="S228" s="15" t="str"/>
      <x:c r="T228" s="7" t="str">
        <x:v>No public business phone in collected record</x:v>
      </x:c>
      <x:c r="U228" s="7" t="str"/>
      <x:c r="V228" s="7" t="str">
        <x:v>Resident</x:v>
      </x:c>
      <x:c r="W228" s="7" t="str">
        <x:v>CA</x:v>
      </x:c>
      <x:c r="X228" s="7" t="str"/>
      <x:c r="Y228" s="7" t="str"/>
      <x:c r="Z228" s="7" t="str"/>
      <x:c r="AA228" s="7" t="str"/>
      <x:c r="AB228" s="7" t="str"/>
      <x:c r="AC228" s="7" t="str"/>
      <x:c r="AD228" s="7" t="str">
        <x:v>No agency or insurer displayed: onboarding opportunity possible; existing business unknown</x:v>
      </x:c>
      <x:c r="AE228" s="7" t="str">
        <x:v>No public business phone: contact enrichment needed, not proof of poor recruiting fit</x:v>
      </x:c>
      <x:c r="AF228" s="16" t="str"/>
      <x:c r="AG228" s="17" t="str"/>
      <x:c r="AH228" s="7" t="str"/>
      <x:c r="AI228" s="7" t="str"/>
      <x:c r="AJ228" s="7" t="str"/>
      <x:c r="AK228" s="15" t="str"/>
      <x:c r="AL228" s="7" t="str"/>
      <x:c r="AM228" s="7" t="str">
        <x:v>AGUILAR  CELIA</x:v>
      </x:c>
      <x:c r="AN228" s="7" t="str">
        <x:v>https://cdicloud.insurance.ca.gov/cal/LicenseDetail?SearchType=IND&amp;SearchLicNbr=0E89157&amp;SearchIndvId=965157</x:v>
      </x:c>
      <x:c r="AO228" s="7" t="str">
        <x:v>2026-10-08</x:v>
      </x:c>
      <x:c r="AP228" s="7" t="str">
        <x:v>9b8e131903e084e936206c0acd4d6c487b3a46489cc82f33dabb89fe3d93cca8</x:v>
      </x:c>
      <x:c r="AQ228" s="7" t="str">
        <x:v>Accident and Health / Inactive / 01/28/2010 / 08/31/2013 / 08/31/2013
Life-Only / Inactive / 01/28/2010 / 08/31/2013 / 08/31/2013
Motor Club Agent / Inactive / 08/16/2005 / 08/31/2009 / 08/31/2009</x:v>
      </x:c>
      <x:c r="AR228" s="7" t="str">
        <x:v>Inactive</x:v>
      </x:c>
      <x:c r="AS228" s="7" t="str">
        <x:v>Current detail page</x:v>
      </x:c>
    </x:row>
    <x:row r="229" ht="52" customHeight="1">
      <x:c r="A229" s="7" t="str">
        <x:v>AGUILAR CERDA AHTZIRI MONTSERRAT</x:v>
      </x:c>
      <x:c r="B229" s="14" t="str">
        <x:f>"0I59156"</x:f>
        <x:v>0I59156</x:v>
      </x:c>
      <x:c r="C229" s="7" t="str">
        <x:v>Omitted</x:v>
      </x:c>
      <x:c r="D229" s="7" t="str">
        <x:v>FAIL</x:v>
      </x:c>
      <x:c r="E229" s="13" t="str">
        <x:v>Pending</x:v>
      </x:c>
      <x:c r="F229" s="13" t="str"/>
      <x:c r="G229" s="13" t="str"/>
      <x:c r="H229" s="13" t="str"/>
      <x:c r="I229" s="7" t="str">
        <x:v>Was this person reviewed? If rejected, give the actual rule and evidence. If acceptable, correct the omission. Confirm the Life-qualification gate and any record change since selection.</x:v>
      </x:c>
      <x:c r="J229" s="7" t="str">
        <x:v>L1</x:v>
      </x:c>
      <x:c r="K229" s="7" t="str">
        <x:v>Verified qualifications do not include active general Life. Current target-pool mismatch; actual historical omission reason unknown.</x:v>
      </x:c>
      <x:c r="L229" s="7" t="str">
        <x:v>Not supplied; membership is known, motive is not</x:v>
      </x:c>
      <x:c r="M229" s="7" t="n">
        <x:v>7</x:v>
      </x:c>
      <x:c r="N229" s="7" t="str">
        <x:v>Outside current general-Life recruiting pool</x:v>
      </x:c>
      <x:c r="O229" s="7" t="str">
        <x:v>Not displayed</x:v>
      </x:c>
      <x:c r="P229" s="7" t="str"/>
      <x:c r="Q229" s="7" t="str"/>
      <x:c r="R229" s="7" t="str"/>
      <x:c r="S229" s="15" t="str"/>
      <x:c r="T229" s="7" t="str">
        <x:v>No public business phone in collected record</x:v>
      </x:c>
      <x:c r="U229" s="7" t="str"/>
      <x:c r="V229" s="7" t="str">
        <x:v>Resident</x:v>
      </x:c>
      <x:c r="W229" s="7" t="str">
        <x:v>CA</x:v>
      </x:c>
      <x:c r="X229" s="7" t="str"/>
      <x:c r="Y229" s="7" t="str"/>
      <x:c r="Z229" s="7" t="str"/>
      <x:c r="AA229" s="7" t="str"/>
      <x:c r="AB229" s="7" t="str"/>
      <x:c r="AC229" s="7" t="str"/>
      <x:c r="AD229" s="7" t="str">
        <x:v>No agency or insurer displayed: onboarding opportunity possible; existing business unknown</x:v>
      </x:c>
      <x:c r="AE229" s="7" t="str">
        <x:v>No public business phone: contact enrichment needed, not proof of poor recruiting fit</x:v>
      </x:c>
      <x:c r="AF229" s="16" t="str"/>
      <x:c r="AG229" s="17" t="str"/>
      <x:c r="AH229" s="7" t="str"/>
      <x:c r="AI229" s="7" t="str"/>
      <x:c r="AJ229" s="7" t="str"/>
      <x:c r="AK229" s="15" t="str"/>
      <x:c r="AL229" s="7" t="str"/>
      <x:c r="AM229" s="7" t="str">
        <x:v>AGUILAR CERDA MONTSERRAT AHTZIRI | AGUILAR-CERDA  AHTZIRI</x:v>
      </x:c>
      <x:c r="AN229" s="7" t="str">
        <x:v>https://cdicloud.insurance.ca.gov/cal/LicenseDetail?SearchType=IND&amp;SearchLicNbr=0I59156&amp;SearchIndvId=1619717</x:v>
      </x:c>
      <x:c r="AO229" s="7" t="str">
        <x:v>2026-10-08</x:v>
      </x:c>
      <x:c r="AP229" s="7" t="str">
        <x:v>5a42feb1482a783fba279e528405c19f601ca38acc0e3daf02ee82ccd0715ebc</x:v>
      </x:c>
      <x:c r="AQ229" s="7" t="str">
        <x:v>Personal Lines Broker-Agent / Inactive / 10/25/2013 / 10/31/2017 / 10/31/2017</x:v>
      </x:c>
      <x:c r="AR229" s="7" t="str">
        <x:v>Inactive</x:v>
      </x:c>
      <x:c r="AS229" s="7" t="str">
        <x:v>Current detail page</x:v>
      </x:c>
    </x:row>
    <x:row r="230" ht="52" customHeight="1">
      <x:c r="A230" s="7" t="str">
        <x:v>AGUILAR CESAR</x:v>
      </x:c>
      <x:c r="B230" s="14" t="str">
        <x:f>"0K13878"</x:f>
        <x:v>0K13878</x:v>
      </x:c>
      <x:c r="C230" s="7" t="str">
        <x:v>Omitted</x:v>
      </x:c>
      <x:c r="D230" s="7" t="str">
        <x:v>FAIL</x:v>
      </x:c>
      <x:c r="E230" s="13" t="str">
        <x:v>Pending</x:v>
      </x:c>
      <x:c r="F230" s="13" t="str"/>
      <x:c r="G230" s="13" t="str"/>
      <x:c r="H230" s="13" t="str"/>
      <x:c r="I230" s="7" t="str">
        <x:v>Was this person reviewed? If rejected, give the actual rule and evidence. If acceptable, correct the omission. Confirm the Life-qualification gate and any record change since selection.</x:v>
      </x:c>
      <x:c r="J230" s="7" t="str">
        <x:v>L1</x:v>
      </x:c>
      <x:c r="K230" s="7" t="str">
        <x:v>Verified qualifications do not include active general Life. Current target-pool mismatch; actual historical omission reason unknown.</x:v>
      </x:c>
      <x:c r="L230" s="7" t="str">
        <x:v>Not supplied; membership is known, motive is not</x:v>
      </x:c>
      <x:c r="M230" s="7" t="n">
        <x:v>7</x:v>
      </x:c>
      <x:c r="N230" s="7" t="str">
        <x:v>Outside current general-Life recruiting pool</x:v>
      </x:c>
      <x:c r="O230" s="7" t="str">
        <x:v>Not displayed</x:v>
      </x:c>
      <x:c r="P230" s="7" t="str"/>
      <x:c r="Q230" s="7" t="str"/>
      <x:c r="R230" s="7" t="str"/>
      <x:c r="S230" s="15" t="str"/>
      <x:c r="T230" s="7" t="str">
        <x:v>No public business phone in collected record</x:v>
      </x:c>
      <x:c r="U230" s="7" t="str"/>
      <x:c r="V230" s="7" t="str">
        <x:v>Resident</x:v>
      </x:c>
      <x:c r="W230" s="7" t="str">
        <x:v>CA</x:v>
      </x:c>
      <x:c r="X230" s="7" t="str"/>
      <x:c r="Y230" s="7" t="str"/>
      <x:c r="Z230" s="7" t="str"/>
      <x:c r="AA230" s="7" t="str"/>
      <x:c r="AB230" s="7" t="str"/>
      <x:c r="AC230" s="7" t="str"/>
      <x:c r="AD230" s="7" t="str">
        <x:v>No agency or insurer displayed: onboarding opportunity possible; existing business unknown</x:v>
      </x:c>
      <x:c r="AE230" s="7" t="str">
        <x:v>No public business phone: contact enrichment needed, not proof of poor recruiting fit</x:v>
      </x:c>
      <x:c r="AF230" s="16" t="str"/>
      <x:c r="AG230" s="17" t="str"/>
      <x:c r="AH230" s="7" t="str"/>
      <x:c r="AI230" s="7" t="str"/>
      <x:c r="AJ230" s="7" t="str"/>
      <x:c r="AK230" s="15" t="str"/>
      <x:c r="AL230" s="7" t="str"/>
      <x:c r="AM230" s="7" t="str">
        <x:v>AGUILAR  CESAR | AGUILAR ORTIZ A CESAR</x:v>
      </x:c>
      <x:c r="AN230" s="7" t="str">
        <x:v>https://cdicloud.insurance.ca.gov/cal/LicenseDetail?SearchType=IND&amp;SearchLicNbr=0K13878&amp;SearchIndvId=1740462</x:v>
      </x:c>
      <x:c r="AO230" s="7" t="str">
        <x:v>2026-10-08</x:v>
      </x:c>
      <x:c r="AP230" s="7" t="str">
        <x:v>d1cdf9c57b27519241a2076a4afb25e6c84d00d660d18a4a39a96e7b6b6d5841</x:v>
      </x:c>
      <x:c r="AQ230" s="7" t="str">
        <x:v>Life-Only / Inactive / 03/12/2015 / 03/31/2017 / 03/31/2017</x:v>
      </x:c>
      <x:c r="AR230" s="7" t="str">
        <x:v>Inactive</x:v>
      </x:c>
      <x:c r="AS230" s="7" t="str">
        <x:v>Current detail page</x:v>
      </x:c>
    </x:row>
    <x:row r="231" ht="52" customHeight="1">
      <x:c r="A231" s="7" t="str">
        <x:v>AGUILAR CESAR</x:v>
      </x:c>
      <x:c r="B231" s="14" t="str">
        <x:f>"4060812"</x:f>
        <x:v>4060812</x:v>
      </x:c>
      <x:c r="C231" s="7" t="str">
        <x:v>Omitted</x:v>
      </x:c>
      <x:c r="D231" s="7" t="str">
        <x:v>FAIL</x:v>
      </x:c>
      <x:c r="E231" s="13" t="str">
        <x:v>Pending</x:v>
      </x:c>
      <x:c r="F231" s="13" t="str"/>
      <x:c r="G231" s="13" t="str"/>
      <x:c r="H231" s="13" t="str"/>
      <x:c r="I231" s="7" t="str">
        <x:v>Was this person reviewed? If rejected, give the actual rule and evidence. If acceptable, correct the omission. Confirm the Life-qualification gate and any record change since selection.</x:v>
      </x:c>
      <x:c r="J231" s="7" t="str">
        <x:v>L1</x:v>
      </x:c>
      <x:c r="K231" s="7" t="str">
        <x:v>Verified qualifications do not include active general Life. Current target-pool mismatch; actual historical omission reason unknown.</x:v>
      </x:c>
      <x:c r="L231" s="7" t="str">
        <x:v>Not supplied; membership is known, motive is not</x:v>
      </x:c>
      <x:c r="M231" s="7" t="n">
        <x:v>7</x:v>
      </x:c>
      <x:c r="N231" s="7" t="str">
        <x:v>Outside current general-Life recruiting pool</x:v>
      </x:c>
      <x:c r="O231" s="7" t="str">
        <x:v>Inactive</x:v>
      </x:c>
      <x:c r="P231" s="7" t="str">
        <x:v>08/14/2020</x:v>
      </x:c>
      <x:c r="Q231" s="7" t="str">
        <x:v>08/31/2022</x:v>
      </x:c>
      <x:c r="R231" s="7" t="str"/>
      <x:c r="S231" s="15" t="str">
        <x:v>714-337-3015</x:v>
      </x:c>
      <x:c r="T231" s="7" t="str">
        <x:v>Current CDI</x:v>
      </x:c>
      <x:c r="U231" s="7" t="str">
        <x:v>174 W LINCOLN AVE #243 ANAHEIM CA, 92805</x:v>
      </x:c>
      <x:c r="V231" s="7" t="str">
        <x:v>Resident</x:v>
      </x:c>
      <x:c r="W231" s="7" t="str">
        <x:v>CA</x:v>
      </x:c>
      <x:c r="X231" s="7" t="str"/>
      <x:c r="Y231" s="7" t="str"/>
      <x:c r="Z231" s="7" t="str"/>
      <x:c r="AA231" s="7" t="str"/>
      <x:c r="AB231" s="7" t="str"/>
      <x:c r="AC231" s="7" t="str"/>
      <x:c r="AD231" s="7" t="str">
        <x:v>No agency or insurer displayed: onboarding opportunity possible; existing business unknown</x:v>
      </x:c>
      <x:c r="AE231" s="7" t="str"/>
      <x:c r="AF231" s="16" t="str"/>
      <x:c r="AG231" s="17" t="str"/>
      <x:c r="AH231" s="7" t="str"/>
      <x:c r="AI231" s="7" t="str">
        <x:v>English</x:v>
      </x:c>
      <x:c r="AJ231" s="7" t="str"/>
      <x:c r="AK231" s="15" t="str"/>
      <x:c r="AL231" s="7" t="str"/>
      <x:c r="AM231" s="7" t="str">
        <x:v>AGUILAR  CESAR</x:v>
      </x:c>
      <x:c r="AN231" s="7" t="str">
        <x:v>https://cdicloud.insurance.ca.gov/cal/LicenseDetail?SearchType=IND&amp;SearchLicNbr=4060812&amp;SearchIndvId=4060812</x:v>
      </x:c>
      <x:c r="AO231" s="7" t="str">
        <x:v>2026-10-08</x:v>
      </x:c>
      <x:c r="AP231" s="7" t="str">
        <x:v>29efb86b35efd7d6a4d519c09eb70c7a925322dadb8a9809c51faefa61822c7e</x:v>
      </x:c>
      <x:c r="AQ231" s="7" t="str">
        <x:v>Life / Inactive / 08/14/2020 / 08/31/2022 / 08/31/2022</x:v>
      </x:c>
      <x:c r="AR231" s="7" t="str">
        <x:v>Inactive</x:v>
      </x:c>
      <x:c r="AS231" s="7" t="str">
        <x:v>Current detail page</x:v>
      </x:c>
    </x:row>
    <x:row r="232" ht="52" customHeight="1">
      <x:c r="A232" s="7" t="str">
        <x:v>AGUILAR CESAR ANTHONY</x:v>
      </x:c>
      <x:c r="B232" s="14" t="str">
        <x:f>"0G57614"</x:f>
        <x:v>0G57614</x:v>
      </x:c>
      <x:c r="C232" s="7" t="str">
        <x:v>Omitted</x:v>
      </x:c>
      <x:c r="D232" s="7" t="str">
        <x:v>FAIL</x:v>
      </x:c>
      <x:c r="E232" s="13" t="str">
        <x:v>Pending</x:v>
      </x:c>
      <x:c r="F232" s="13" t="str"/>
      <x:c r="G232" s="13" t="str"/>
      <x:c r="H232" s="13" t="str"/>
      <x:c r="I232" s="7" t="str">
        <x:v>Was this person reviewed? If rejected, give the actual rule and evidence. If acceptable, correct the omission. Confirm the Life-qualification gate and any record change since selection.</x:v>
      </x:c>
      <x:c r="J232" s="7" t="str">
        <x:v>L1</x:v>
      </x:c>
      <x:c r="K232" s="7" t="str">
        <x:v>Verified qualifications do not include active general Life. Current target-pool mismatch; actual historical omission reason unknown.</x:v>
      </x:c>
      <x:c r="L232" s="7" t="str">
        <x:v>Not supplied; membership is known, motive is not</x:v>
      </x:c>
      <x:c r="M232" s="7" t="n">
        <x:v>7</x:v>
      </x:c>
      <x:c r="N232" s="7" t="str">
        <x:v>Outside current general-Life recruiting pool</x:v>
      </x:c>
      <x:c r="O232" s="7" t="str">
        <x:v>Not displayed</x:v>
      </x:c>
      <x:c r="P232" s="7" t="str"/>
      <x:c r="Q232" s="7" t="str"/>
      <x:c r="R232" s="7" t="str"/>
      <x:c r="S232" s="15" t="str"/>
      <x:c r="T232" s="7" t="str">
        <x:v>No public business phone in collected record</x:v>
      </x:c>
      <x:c r="U232" s="7" t="str"/>
      <x:c r="V232" s="7" t="str">
        <x:v>Resident</x:v>
      </x:c>
      <x:c r="W232" s="7" t="str">
        <x:v>CA</x:v>
      </x:c>
      <x:c r="X232" s="7" t="str"/>
      <x:c r="Y232" s="7" t="str"/>
      <x:c r="Z232" s="7" t="str"/>
      <x:c r="AA232" s="7" t="str"/>
      <x:c r="AB232" s="7" t="str"/>
      <x:c r="AC232" s="7" t="str"/>
      <x:c r="AD232" s="7" t="str">
        <x:v>No agency or insurer displayed: onboarding opportunity possible; existing business unknown</x:v>
      </x:c>
      <x:c r="AE232" s="7" t="str">
        <x:v>No public business phone: contact enrichment needed, not proof of poor recruiting fit</x:v>
      </x:c>
      <x:c r="AF232" s="16" t="str"/>
      <x:c r="AG232" s="17" t="str"/>
      <x:c r="AH232" s="7" t="str"/>
      <x:c r="AI232" s="7" t="str"/>
      <x:c r="AJ232" s="7" t="str"/>
      <x:c r="AK232" s="15" t="str"/>
      <x:c r="AL232" s="7" t="str"/>
      <x:c r="AM232" s="7" t="str">
        <x:v>AGUILAR ANTHONY CESAR</x:v>
      </x:c>
      <x:c r="AN232" s="7" t="str">
        <x:v>https://cdicloud.insurance.ca.gov/cal/LicenseDetail?SearchType=IND&amp;SearchLicNbr=0G57614&amp;SearchIndvId=1247222</x:v>
      </x:c>
      <x:c r="AO232" s="7" t="str">
        <x:v>2026-10-08</x:v>
      </x:c>
      <x:c r="AP232" s="7" t="str">
        <x:v>d63bec3198dceae9458cc4c8cdb6bccc5f98b4566a88a335321dd043c0141b6c</x:v>
      </x:c>
      <x:c r="AQ232" s="7" t="str">
        <x:v>Life-Only / Inactive / 04/24/2009 / 04/30/2011 / 04/30/2011</x:v>
      </x:c>
      <x:c r="AR232" s="7" t="str">
        <x:v>Inactive</x:v>
      </x:c>
      <x:c r="AS232" s="7" t="str">
        <x:v>Current detail page</x:v>
      </x:c>
    </x:row>
    <x:row r="233" ht="52" customHeight="1">
      <x:c r="A233" s="7" t="str">
        <x:v>AGUILAR CESAR ELY SARABIA</x:v>
      </x:c>
      <x:c r="B233" s="14" t="str">
        <x:f>"0K65924"</x:f>
        <x:v>0K65924</x:v>
      </x:c>
      <x:c r="C233" s="7" t="str">
        <x:v>Omitted</x:v>
      </x:c>
      <x:c r="D233" s="7" t="str">
        <x:v>FAIL</x:v>
      </x:c>
      <x:c r="E233" s="13" t="str">
        <x:v>Pending</x:v>
      </x:c>
      <x:c r="F233" s="13" t="str"/>
      <x:c r="G233" s="13" t="str"/>
      <x:c r="H233" s="13" t="str"/>
      <x:c r="I233" s="7" t="str">
        <x:v>Was this person reviewed? If rejected, give the actual rule and evidence. If acceptable, correct the omission. Confirm the Life-qualification gate and any record change since selection.</x:v>
      </x:c>
      <x:c r="J233" s="7" t="str">
        <x:v>L1</x:v>
      </x:c>
      <x:c r="K233" s="7" t="str">
        <x:v>Verified qualifications do not include active general Life. Current target-pool mismatch; actual historical omission reason unknown.</x:v>
      </x:c>
      <x:c r="L233" s="7" t="str">
        <x:v>Not supplied; membership is known, motive is not</x:v>
      </x:c>
      <x:c r="M233" s="7" t="n">
        <x:v>7</x:v>
      </x:c>
      <x:c r="N233" s="7" t="str">
        <x:v>Outside current general-Life recruiting pool</x:v>
      </x:c>
      <x:c r="O233" s="7" t="str">
        <x:v>Not displayed</x:v>
      </x:c>
      <x:c r="P233" s="7" t="str"/>
      <x:c r="Q233" s="7" t="str"/>
      <x:c r="R233" s="7" t="str"/>
      <x:c r="S233" s="15" t="str"/>
      <x:c r="T233" s="7" t="str">
        <x:v>No public business phone in collected record</x:v>
      </x:c>
      <x:c r="U233" s="7" t="str"/>
      <x:c r="V233" s="7" t="str">
        <x:v>Resident</x:v>
      </x:c>
      <x:c r="W233" s="7" t="str">
        <x:v>CA</x:v>
      </x:c>
      <x:c r="X233" s="7" t="str"/>
      <x:c r="Y233" s="7" t="str"/>
      <x:c r="Z233" s="7" t="str"/>
      <x:c r="AA233" s="7" t="str"/>
      <x:c r="AB233" s="7" t="str"/>
      <x:c r="AC233" s="7" t="str"/>
      <x:c r="AD233" s="7" t="str">
        <x:v>No agency or insurer displayed: onboarding opportunity possible; existing business unknown</x:v>
      </x:c>
      <x:c r="AE233" s="7" t="str">
        <x:v>No public business phone: contact enrichment needed, not proof of poor recruiting fit</x:v>
      </x:c>
      <x:c r="AF233" s="16" t="str"/>
      <x:c r="AG233" s="17" t="str"/>
      <x:c r="AH233" s="7" t="str"/>
      <x:c r="AI233" s="7" t="str"/>
      <x:c r="AJ233" s="7" t="str"/>
      <x:c r="AK233" s="15" t="str"/>
      <x:c r="AL233" s="7" t="str"/>
      <x:c r="AM233" s="7" t="str">
        <x:v>Aguilar E Cesar | AGUILAR ELY SARABIA CESAR</x:v>
      </x:c>
      <x:c r="AN233" s="7" t="str">
        <x:v>https://cdicloud.insurance.ca.gov/cal/LicenseDetail?SearchType=IND&amp;SearchLicNbr=0K65924&amp;SearchIndvId=1809402</x:v>
      </x:c>
      <x:c r="AO233" s="7" t="str">
        <x:v>2026-10-08</x:v>
      </x:c>
      <x:c r="AP233" s="7" t="str">
        <x:v>fd68cc607e72624537fbe3cf479a529c2966246d115c265d9481cff444fee12c</x:v>
      </x:c>
      <x:c r="AQ233" s="7" t="str">
        <x:v>Life-Only / Inactive / 12/22/2015 / 12/31/2017 / 12/31/2017</x:v>
      </x:c>
      <x:c r="AR233" s="7" t="str">
        <x:v>Inactive</x:v>
      </x:c>
      <x:c r="AS233" s="7" t="str">
        <x:v>Current detail page</x:v>
      </x:c>
    </x:row>
    <x:row r="234" ht="52" customHeight="1">
      <x:c r="A234" s="7" t="str">
        <x:v>AGUILAR CESAR NOE</x:v>
      </x:c>
      <x:c r="B234" s="14" t="str">
        <x:f>"4184255"</x:f>
        <x:v>4184255</x:v>
      </x:c>
      <x:c r="C234" s="7" t="str">
        <x:v>Omitted</x:v>
      </x:c>
      <x:c r="D234" s="7" t="str">
        <x:v>FAIL</x:v>
      </x:c>
      <x:c r="E234" s="13" t="str">
        <x:v>Pending</x:v>
      </x:c>
      <x:c r="F234" s="13" t="str"/>
      <x:c r="G234" s="13" t="str"/>
      <x:c r="H234" s="13" t="str"/>
      <x:c r="I234" s="7" t="str">
        <x:v>Was this person reviewed? If rejected, give the actual rule and evidence. If acceptable, correct the omission. Confirm the Life-qualification gate and any record change since selection.</x:v>
      </x:c>
      <x:c r="J234" s="7" t="str">
        <x:v>L1</x:v>
      </x:c>
      <x:c r="K234" s="7" t="str">
        <x:v>Verified qualifications do not include active general Life. Current target-pool mismatch; actual historical omission reason unknown.</x:v>
      </x:c>
      <x:c r="L234" s="7" t="str">
        <x:v>Not supplied; membership is known, motive is not</x:v>
      </x:c>
      <x:c r="M234" s="7" t="n">
        <x:v>7</x:v>
      </x:c>
      <x:c r="N234" s="7" t="str">
        <x:v>Outside current general-Life recruiting pool</x:v>
      </x:c>
      <x:c r="O234" s="7" t="str">
        <x:v>Inactive</x:v>
      </x:c>
      <x:c r="P234" s="7" t="str">
        <x:v>01/04/2022</x:v>
      </x:c>
      <x:c r="Q234" s="7" t="str">
        <x:v>01/31/2024</x:v>
      </x:c>
      <x:c r="R234" s="7" t="str"/>
      <x:c r="S234" s="15" t="str"/>
      <x:c r="T234" s="7" t="str">
        <x:v>No public business phone in collected record</x:v>
      </x:c>
      <x:c r="U234" s="7" t="str">
        <x:v>533 N VICTORY BLVD BURBANK CA, 91502</x:v>
      </x:c>
      <x:c r="V234" s="7" t="str">
        <x:v>Resident</x:v>
      </x:c>
      <x:c r="W234" s="7" t="str">
        <x:v>CA</x:v>
      </x:c>
      <x:c r="X234" s="7" t="str"/>
      <x:c r="Y234" s="7" t="str"/>
      <x:c r="Z234" s="7" t="str"/>
      <x:c r="AA234" s="7" t="str"/>
      <x:c r="AB234" s="7" t="str"/>
      <x:c r="AC234" s="7" t="str"/>
      <x:c r="AD234" s="7" t="str">
        <x:v>No agency or insurer displayed: onboarding opportunity possible; existing business unknown</x:v>
      </x:c>
      <x:c r="AE234" s="7" t="str">
        <x:v>No public business phone: contact enrichment needed, not proof of poor recruiting fit</x:v>
      </x:c>
      <x:c r="AF234" s="16" t="str"/>
      <x:c r="AG234" s="17" t="str"/>
      <x:c r="AH234" s="7" t="str"/>
      <x:c r="AI234" s="7" t="str">
        <x:v>English</x:v>
      </x:c>
      <x:c r="AJ234" s="7" t="str"/>
      <x:c r="AK234" s="15" t="str"/>
      <x:c r="AL234" s="7" t="str"/>
      <x:c r="AM234" s="7" t="str">
        <x:v>AGUILAR NOE CESAR</x:v>
      </x:c>
      <x:c r="AN234" s="7" t="str">
        <x:v>https://cdicloud.insurance.ca.gov/cal/LicenseDetail?SearchType=IND&amp;SearchLicNbr=4184255&amp;SearchIndvId=4184255</x:v>
      </x:c>
      <x:c r="AO234" s="7" t="str">
        <x:v>2026-10-08</x:v>
      </x:c>
      <x:c r="AP234" s="7" t="str">
        <x:v>669e1c8bfa097695e1736dcc9a52ccd5974cac8de16fa8da9ebeb445f9b50c83</x:v>
      </x:c>
      <x:c r="AQ234" s="7" t="str">
        <x:v>Life / Inactive / 01/04/2022 / 01/31/2024 / 01/31/2024</x:v>
      </x:c>
      <x:c r="AR234" s="7" t="str">
        <x:v>Inactive</x:v>
      </x:c>
      <x:c r="AS234" s="7" t="str">
        <x:v>Current detail page</x:v>
      </x:c>
    </x:row>
    <x:row r="235" ht="52" customHeight="1">
      <x:c r="A235" s="7" t="str">
        <x:v>AGUILAR CHANTEL KRISTINE</x:v>
      </x:c>
      <x:c r="B235" s="14" t="str">
        <x:f>"4086628"</x:f>
        <x:v>4086628</x:v>
      </x:c>
      <x:c r="C235" s="7" t="str">
        <x:v>Omitted</x:v>
      </x:c>
      <x:c r="D235" s="7" t="str">
        <x:v>FAIL</x:v>
      </x:c>
      <x:c r="E235" s="13" t="str">
        <x:v>Pending</x:v>
      </x:c>
      <x:c r="F235" s="13" t="str"/>
      <x:c r="G235" s="13" t="str"/>
      <x:c r="H235" s="13" t="str"/>
      <x:c r="I235" s="7" t="str">
        <x:v>Was this person reviewed? If rejected, give the actual rule and evidence. If acceptable, correct the omission. Confirm the Life-qualification gate and any record change since selection.</x:v>
      </x:c>
      <x:c r="J235" s="7" t="str">
        <x:v>L1</x:v>
      </x:c>
      <x:c r="K235" s="7" t="str">
        <x:v>Verified qualifications do not include active general Life. Current target-pool mismatch; actual historical omission reason unknown.</x:v>
      </x:c>
      <x:c r="L235" s="7" t="str">
        <x:v>Not supplied; membership is known, motive is not</x:v>
      </x:c>
      <x:c r="M235" s="7" t="n">
        <x:v>7</x:v>
      </x:c>
      <x:c r="N235" s="7" t="str">
        <x:v>Outside current general-Life recruiting pool</x:v>
      </x:c>
      <x:c r="O235" s="7" t="str">
        <x:v>Inactive</x:v>
      </x:c>
      <x:c r="P235" s="7" t="str">
        <x:v>11/06/2020</x:v>
      </x:c>
      <x:c r="Q235" s="7" t="str">
        <x:v>11/30/2022</x:v>
      </x:c>
      <x:c r="R235" s="7" t="str"/>
      <x:c r="S235" s="15" t="str">
        <x:v>951-379-6340</x:v>
      </x:c>
      <x:c r="T235" s="7" t="str">
        <x:v>Current CDI</x:v>
      </x:c>
      <x:c r="U235" s="7" t="str">
        <x:v>18575 JAMBOREE RD, SUITE 400 IRVINE CA, 92612</x:v>
      </x:c>
      <x:c r="V235" s="7" t="str">
        <x:v>Resident</x:v>
      </x:c>
      <x:c r="W235" s="7" t="str">
        <x:v>CA</x:v>
      </x:c>
      <x:c r="X235" s="7" t="str"/>
      <x:c r="Y235" s="7" t="str"/>
      <x:c r="Z235" s="7" t="str"/>
      <x:c r="AA235" s="7" t="str"/>
      <x:c r="AB235" s="7" t="str"/>
      <x:c r="AC235" s="7" t="str"/>
      <x:c r="AD235" s="7" t="str">
        <x:v>No agency or insurer displayed: onboarding opportunity possible; existing business unknown</x:v>
      </x:c>
      <x:c r="AE235" s="7" t="str"/>
      <x:c r="AF235" s="16" t="str"/>
      <x:c r="AG235" s="17" t="str"/>
      <x:c r="AH235" s="7" t="str"/>
      <x:c r="AI235" s="7" t="str">
        <x:v>English</x:v>
      </x:c>
      <x:c r="AJ235" s="7" t="str"/>
      <x:c r="AK235" s="15" t="str"/>
      <x:c r="AL235" s="7" t="str"/>
      <x:c r="AM235" s="7" t="str">
        <x:v>AGUILAR KRISTINE CHANTEL</x:v>
      </x:c>
      <x:c r="AN235" s="7" t="str">
        <x:v>https://cdicloud.insurance.ca.gov/cal/LicenseDetail?SearchType=IND&amp;SearchLicNbr=4086628&amp;SearchIndvId=4086628</x:v>
      </x:c>
      <x:c r="AO235" s="7" t="str">
        <x:v>2026-10-08</x:v>
      </x:c>
      <x:c r="AP235" s="7" t="str">
        <x:v>6c6ccce591206545a0a9a99e83c624dc980641a78c21941c0958f7c833e0fb8c</x:v>
      </x:c>
      <x:c r="AQ235" s="7" t="str">
        <x:v>Accident &amp; Health or Sickness / Inactive / 11/06/2020 / 11/30/2022 / 11/30/2022
Life / Inactive / 11/06/2020 / 11/30/2022 / 11/30/2022</x:v>
      </x:c>
      <x:c r="AR235" s="7" t="str">
        <x:v>Inactive</x:v>
      </x:c>
      <x:c r="AS235" s="7" t="str">
        <x:v>Current detail page</x:v>
      </x:c>
    </x:row>
    <x:row r="236" ht="52" customHeight="1">
      <x:c r="A236" s="7" t="str">
        <x:v>AGUILAR CHARLES DIAZ</x:v>
      </x:c>
      <x:c r="B236" s="14" t="str">
        <x:f>"0E02167"</x:f>
        <x:v>0E02167</x:v>
      </x:c>
      <x:c r="C236" s="7" t="str">
        <x:v>Omitted</x:v>
      </x:c>
      <x:c r="D236" s="7" t="str">
        <x:v>FAIL</x:v>
      </x:c>
      <x:c r="E236" s="13" t="str">
        <x:v>Pending</x:v>
      </x:c>
      <x:c r="F236" s="13" t="str"/>
      <x:c r="G236" s="13" t="str"/>
      <x:c r="H236" s="13" t="str"/>
      <x:c r="I236" s="7" t="str">
        <x:v>Was this person reviewed? If rejected, give the actual rule and evidence. If acceptable, correct the omission. Confirm the Life-qualification gate and any record change since selection.</x:v>
      </x:c>
      <x:c r="J236" s="7" t="str">
        <x:v>L1</x:v>
      </x:c>
      <x:c r="K236" s="7" t="str">
        <x:v>Verified qualifications do not include active general Life. Current target-pool mismatch; actual historical omission reason unknown.</x:v>
      </x:c>
      <x:c r="L236" s="7" t="str">
        <x:v>Not supplied; membership is known, motive is not</x:v>
      </x:c>
      <x:c r="M236" s="7" t="n">
        <x:v>7</x:v>
      </x:c>
      <x:c r="N236" s="7" t="str">
        <x:v>Outside current general-Life recruiting pool</x:v>
      </x:c>
      <x:c r="O236" s="7" t="str">
        <x:v>Not displayed</x:v>
      </x:c>
      <x:c r="P236" s="7" t="str"/>
      <x:c r="Q236" s="7" t="str"/>
      <x:c r="R236" s="7" t="str"/>
      <x:c r="S236" s="15" t="str"/>
      <x:c r="T236" s="7" t="str">
        <x:v>No public business phone in collected record</x:v>
      </x:c>
      <x:c r="U236" s="7" t="str"/>
      <x:c r="V236" s="7" t="str">
        <x:v>Resident</x:v>
      </x:c>
      <x:c r="W236" s="7" t="str">
        <x:v>CA</x:v>
      </x:c>
      <x:c r="X236" s="7" t="str"/>
      <x:c r="Y236" s="7" t="str"/>
      <x:c r="Z236" s="7" t="str">
        <x:v>ORDER ID: &lt;LBB003199&gt; AP LICENSE AND LICENSING RIGHTS OF RESPONDENT ARE HEREBY REVOKED. / 04/15/2006</x:v>
      </x:c>
      <x:c r="AA236" s="7" t="str"/>
      <x:c r="AB236" s="7" t="str"/>
      <x:c r="AC236" s="7" t="str"/>
      <x:c r="AD236" s="7" t="str">
        <x:v>No agency or insurer displayed: onboarding opportunity possible; existing business unknown</x:v>
      </x:c>
      <x:c r="AE236" s="7" t="str">
        <x:v>Enforcement order requires direct review; latest displayed order is not a removal order | No public business phone: contact enrichment needed, not proof of poor recruiting fit</x:v>
      </x:c>
      <x:c r="AF236" s="16" t="str"/>
      <x:c r="AG236" s="17" t="str"/>
      <x:c r="AH236" s="7" t="str"/>
      <x:c r="AI236" s="7" t="str"/>
      <x:c r="AJ236" s="7" t="str"/>
      <x:c r="AK236" s="15" t="str"/>
      <x:c r="AL236" s="7" t="str"/>
      <x:c r="AM236" s="7" t="str">
        <x:v>AGUILAR DIAZ CHARLES</x:v>
      </x:c>
      <x:c r="AN236" s="7" t="str">
        <x:v>https://cdicloud.insurance.ca.gov/cal/LicenseDetail?SearchType=IND&amp;SearchLicNbr=0E02167&amp;SearchIndvId=843575</x:v>
      </x:c>
      <x:c r="AO236" s="7" t="str">
        <x:v>2026-10-08</x:v>
      </x:c>
      <x:c r="AP236" s="7" t="str">
        <x:v>95e56795a3286a8cf56d1fa36aae4c5734033e3f7d0c97e57c0621f6af41bd9b</x:v>
      </x:c>
      <x:c r="AQ236" s="7" t="str">
        <x:v>Accident and Health / Inactive / 05/10/2003 / 04/15/2006 / 04/15/2006
Life-Only / Inactive / 05/10/2003 / 04/15/2006 / 04/15/2006</x:v>
      </x:c>
      <x:c r="AR236" s="7" t="str">
        <x:v>Inactive</x:v>
      </x:c>
      <x:c r="AS236" s="7" t="str">
        <x:v>Current detail page</x:v>
      </x:c>
    </x:row>
    <x:row r="237" ht="52" customHeight="1">
      <x:c r="A237" s="7" t="str">
        <x:v>AGUILAR CHAVITA YOLANDA</x:v>
      </x:c>
      <x:c r="B237" s="14" t="str">
        <x:f>"0L27455"</x:f>
        <x:v>0L27455</x:v>
      </x:c>
      <x:c r="C237" s="7" t="str">
        <x:v>Omitted</x:v>
      </x:c>
      <x:c r="D237" s="7" t="str">
        <x:v>FAIL</x:v>
      </x:c>
      <x:c r="E237" s="13" t="str">
        <x:v>Pending</x:v>
      </x:c>
      <x:c r="F237" s="13" t="str"/>
      <x:c r="G237" s="13" t="str"/>
      <x:c r="H237" s="13" t="str"/>
      <x:c r="I237" s="7" t="str">
        <x:v>Was this person reviewed? If rejected, give the actual rule and evidence. If acceptable, correct the omission. Confirm the Life-qualification gate and any record change since selection.</x:v>
      </x:c>
      <x:c r="J237" s="7" t="str">
        <x:v>L1</x:v>
      </x:c>
      <x:c r="K237" s="7" t="str">
        <x:v>Verified qualifications do not include active general Life. Current target-pool mismatch; actual historical omission reason unknown.</x:v>
      </x:c>
      <x:c r="L237" s="7" t="str">
        <x:v>Not supplied; membership is known, motive is not</x:v>
      </x:c>
      <x:c r="M237" s="7" t="n">
        <x:v>7</x:v>
      </x:c>
      <x:c r="N237" s="7" t="str">
        <x:v>Outside current general-Life recruiting pool</x:v>
      </x:c>
      <x:c r="O237" s="7" t="str">
        <x:v>Not displayed</x:v>
      </x:c>
      <x:c r="P237" s="7" t="str"/>
      <x:c r="Q237" s="7" t="str"/>
      <x:c r="R237" s="7" t="str">
        <x:v>Personal Lines</x:v>
      </x:c>
      <x:c r="S237" s="15" t="str">
        <x:v>714-462-9080</x:v>
      </x:c>
      <x:c r="T237" s="7" t="str">
        <x:v>Current CDI</x:v>
      </x:c>
      <x:c r="U237" s="7" t="str">
        <x:v>920 1/2 S MAIN ST SANTA ANA CA, 92701</x:v>
      </x:c>
      <x:c r="V237" s="7" t="str">
        <x:v>Resident</x:v>
      </x:c>
      <x:c r="W237" s="7" t="str">
        <x:v>CA</x:v>
      </x:c>
      <x:c r="X237" s="7" t="str"/>
      <x:c r="Y237" s="7" t="str">
        <x:v>FOREMOST INSURANCE COMPANY GRAND RAPIDS, MICHIGAN / Personal Lines / 10/01/2026</x:v>
      </x:c>
      <x:c r="Z237" s="7" t="str"/>
      <x:c r="AA237" s="7" t="str"/>
      <x:c r="AB237" s="7" t="str"/>
      <x:c r="AC237" s="7" t="str"/>
      <x:c r="AD237" s="7" t="str"/>
      <x:c r="AE237" s="7" t="str">
        <x:v>P&amp;C/Personal Lines authority without displayed core Life appointments; mixed profile requires review</x:v>
      </x:c>
      <x:c r="AF237" s="16" t="str"/>
      <x:c r="AG237" s="17" t="str"/>
      <x:c r="AH237" s="7" t="str"/>
      <x:c r="AI237" s="7" t="str">
        <x:v>English</x:v>
      </x:c>
      <x:c r="AJ237" s="7" t="str"/>
      <x:c r="AK237" s="15" t="str"/>
      <x:c r="AL237" s="7" t="str"/>
      <x:c r="AM237" s="7" t="str">
        <x:v>AGUILAR YOLANDA CHAVITA</x:v>
      </x:c>
      <x:c r="AN237" s="7" t="str">
        <x:v>https://cdicloud.insurance.ca.gov/cal/LicenseDetail?SearchType=IND&amp;SearchLicNbr=0L27455&amp;SearchIndvId=1878550</x:v>
      </x:c>
      <x:c r="AO237" s="7" t="str">
        <x:v>2026-10-08</x:v>
      </x:c>
      <x:c r="AP237" s="7" t="str">
        <x:v>4d75b6ffe978336dccdf96d384d08463307d08b3b702dc453d77d5cedbfdf314</x:v>
      </x:c>
      <x:c r="AQ237" s="7" t="str">
        <x:v>Personal Lines / Active / 02/19/2020 / 08/14/2026 / 05/31/2028</x:v>
      </x:c>
      <x:c r="AR237" s="7" t="str">
        <x:v>Active</x:v>
      </x:c>
      <x:c r="AS237" s="7" t="str">
        <x:v>Current detail page</x:v>
      </x:c>
    </x:row>
    <x:row r="238" ht="52" customHeight="1">
      <x:c r="A238" s="7" t="str">
        <x:v>AGUILAR CHERIE</x:v>
      </x:c>
      <x:c r="B238" s="14" t="str">
        <x:f>"0J05814"</x:f>
        <x:v>0J05814</x:v>
      </x:c>
      <x:c r="C238" s="7" t="str">
        <x:v>Omitted</x:v>
      </x:c>
      <x:c r="D238" s="7" t="str">
        <x:v>FAIL</x:v>
      </x:c>
      <x:c r="E238" s="13" t="str">
        <x:v>Pending</x:v>
      </x:c>
      <x:c r="F238" s="13" t="str"/>
      <x:c r="G238" s="13" t="str"/>
      <x:c r="H238" s="13" t="str"/>
      <x:c r="I238" s="7" t="str">
        <x:v>Was this person reviewed? If rejected, give the actual rule and evidence. If acceptable, correct the omission. Confirm the Life-qualification gate and any record change since selection.</x:v>
      </x:c>
      <x:c r="J238" s="7" t="str">
        <x:v>L1</x:v>
      </x:c>
      <x:c r="K238" s="7" t="str">
        <x:v>Verified qualifications do not include active general Life. Current target-pool mismatch; actual historical omission reason unknown.</x:v>
      </x:c>
      <x:c r="L238" s="7" t="str">
        <x:v>Not supplied; membership is known, motive is not</x:v>
      </x:c>
      <x:c r="M238" s="7" t="n">
        <x:v>7</x:v>
      </x:c>
      <x:c r="N238" s="7" t="str">
        <x:v>Outside current general-Life recruiting pool</x:v>
      </x:c>
      <x:c r="O238" s="7" t="str">
        <x:v>Not displayed</x:v>
      </x:c>
      <x:c r="P238" s="7" t="str"/>
      <x:c r="Q238" s="7" t="str"/>
      <x:c r="R238" s="7" t="str"/>
      <x:c r="S238" s="15" t="str"/>
      <x:c r="T238" s="7" t="str">
        <x:v>No public business phone in collected record</x:v>
      </x:c>
      <x:c r="U238" s="7" t="str"/>
      <x:c r="V238" s="7" t="str">
        <x:v>Resident</x:v>
      </x:c>
      <x:c r="W238" s="7" t="str">
        <x:v>CA</x:v>
      </x:c>
      <x:c r="X238" s="7" t="str"/>
      <x:c r="Y238" s="7" t="str"/>
      <x:c r="Z238" s="7" t="str"/>
      <x:c r="AA238" s="7" t="str"/>
      <x:c r="AB238" s="7" t="str"/>
      <x:c r="AC238" s="7" t="str"/>
      <x:c r="AD238" s="7" t="str">
        <x:v>No agency or insurer displayed: onboarding opportunity possible; existing business unknown</x:v>
      </x:c>
      <x:c r="AE238" s="7" t="str">
        <x:v>No public business phone: contact enrichment needed, not proof of poor recruiting fit</x:v>
      </x:c>
      <x:c r="AF238" s="16" t="str"/>
      <x:c r="AG238" s="17" t="str"/>
      <x:c r="AH238" s="7" t="str"/>
      <x:c r="AI238" s="7" t="str"/>
      <x:c r="AJ238" s="7" t="str"/>
      <x:c r="AK238" s="15" t="str"/>
      <x:c r="AL238" s="7" t="str"/>
      <x:c r="AM238" s="7" t="str">
        <x:v>AGUILAR  CHERIE</x:v>
      </x:c>
      <x:c r="AN238" s="7" t="str">
        <x:v>https://cdicloud.insurance.ca.gov/cal/LicenseDetail?SearchType=IND&amp;SearchLicNbr=0J05814&amp;SearchIndvId=1699400</x:v>
      </x:c>
      <x:c r="AO238" s="7" t="str">
        <x:v>2026-10-08</x:v>
      </x:c>
      <x:c r="AP238" s="7" t="str">
        <x:v>dc033de4566ff64122c13b403c7d1af1defa7ac70e235249d8add809ecb40608</x:v>
      </x:c>
      <x:c r="AQ238" s="7" t="str">
        <x:v>Accident and Health / Inactive / 09/19/2014 / 09/30/2016 / 09/30/2016</x:v>
      </x:c>
      <x:c r="AR238" s="7" t="str">
        <x:v>Inactive</x:v>
      </x:c>
      <x:c r="AS238" s="7" t="str">
        <x:v>Current detail page</x:v>
      </x:c>
    </x:row>
    <x:row r="239" ht="52" customHeight="1">
      <x:c r="A239" s="7" t="str">
        <x:v>AGUILAR CHRIS</x:v>
      </x:c>
      <x:c r="B239" s="14" t="str">
        <x:f>"0H74319"</x:f>
        <x:v>0H74319</x:v>
      </x:c>
      <x:c r="C239" s="7" t="str">
        <x:v>Omitted</x:v>
      </x:c>
      <x:c r="D239" s="7" t="str">
        <x:v>FAIL</x:v>
      </x:c>
      <x:c r="E239" s="13" t="str">
        <x:v>Pending</x:v>
      </x:c>
      <x:c r="F239" s="13" t="str"/>
      <x:c r="G239" s="13" t="str"/>
      <x:c r="H239" s="13" t="str"/>
      <x:c r="I239" s="7" t="str">
        <x:v>Was this person reviewed? If rejected, give the actual rule and evidence. If acceptable, correct the omission. Confirm the Life-qualification gate and any record change since selection.</x:v>
      </x:c>
      <x:c r="J239" s="7" t="str">
        <x:v>L1</x:v>
      </x:c>
      <x:c r="K239" s="7" t="str">
        <x:v>Verified qualifications do not include active general Life. Current target-pool mismatch; actual historical omission reason unknown.</x:v>
      </x:c>
      <x:c r="L239" s="7" t="str">
        <x:v>Not supplied; membership is known, motive is not</x:v>
      </x:c>
      <x:c r="M239" s="7" t="n">
        <x:v>7</x:v>
      </x:c>
      <x:c r="N239" s="7" t="str">
        <x:v>Outside current general-Life recruiting pool</x:v>
      </x:c>
      <x:c r="O239" s="7" t="str">
        <x:v>Not displayed</x:v>
      </x:c>
      <x:c r="P239" s="7" t="str"/>
      <x:c r="Q239" s="7" t="str"/>
      <x:c r="R239" s="7" t="str"/>
      <x:c r="S239" s="15" t="str"/>
      <x:c r="T239" s="7" t="str">
        <x:v>No public business phone in collected record</x:v>
      </x:c>
      <x:c r="U239" s="7" t="str"/>
      <x:c r="V239" s="7" t="str">
        <x:v>Non-resident</x:v>
      </x:c>
      <x:c r="W239" s="7" t="str">
        <x:v>TX</x:v>
      </x:c>
      <x:c r="X239" s="7" t="str"/>
      <x:c r="Y239" s="7" t="str"/>
      <x:c r="Z239" s="7" t="str"/>
      <x:c r="AA239" s="7" t="str"/>
      <x:c r="AB239" s="7" t="str"/>
      <x:c r="AC239" s="7" t="str"/>
      <x:c r="AD239" s="7" t="str">
        <x:v>No agency or insurer displayed: onboarding opportunity possible; existing business unknown</x:v>
      </x:c>
      <x:c r="AE239" s="7" t="str">
        <x:v>Nonresident or address state outside CA; confirm geographic recruiting scope | No public business phone: contact enrichment needed, not proof of poor recruiting fit</x:v>
      </x:c>
      <x:c r="AF239" s="16" t="str"/>
      <x:c r="AG239" s="17" t="str"/>
      <x:c r="AH239" s="7" t="str"/>
      <x:c r="AI239" s="7" t="str"/>
      <x:c r="AJ239" s="7" t="str"/>
      <x:c r="AK239" s="15" t="str"/>
      <x:c r="AL239" s="7" t="str"/>
      <x:c r="AM239" s="7" t="str">
        <x:v>AGUILAR  CHRIS</x:v>
      </x:c>
      <x:c r="AN239" s="7" t="str">
        <x:v>https://cdicloud.insurance.ca.gov/cal/LicenseDetail?SearchType=IND&amp;SearchLicNbr=0H74319&amp;SearchIndvId=1496328</x:v>
      </x:c>
      <x:c r="AO239" s="7" t="str">
        <x:v>2026-10-08</x:v>
      </x:c>
      <x:c r="AP239" s="7" t="str">
        <x:v>836e9643381e5a6209c03170881368643a0b6e01d3b71ff9ea434e6262221243</x:v>
      </x:c>
      <x:c r="AQ239" s="7" t="str">
        <x:v>Personal Lines Broker-Agent / Inactive / 01/17/2012 / 01/31/2014 / 01/31/2014</x:v>
      </x:c>
      <x:c r="AR239" s="7" t="str">
        <x:v>Inactive</x:v>
      </x:c>
      <x:c r="AS239" s="7" t="str">
        <x:v>Current detail page</x:v>
      </x:c>
    </x:row>
    <x:row r="240" ht="52" customHeight="1">
      <x:c r="A240" s="7" t="str">
        <x:v>AGUILAR CHRISTI JO</x:v>
      </x:c>
      <x:c r="B240" s="14" t="str">
        <x:f>"0K17769"</x:f>
        <x:v>0K17769</x:v>
      </x:c>
      <x:c r="C240" s="7" t="str">
        <x:v>Omitted</x:v>
      </x:c>
      <x:c r="D240" s="7" t="str">
        <x:v>FAIL</x:v>
      </x:c>
      <x:c r="E240" s="13" t="str">
        <x:v>Pending</x:v>
      </x:c>
      <x:c r="F240" s="13" t="str"/>
      <x:c r="G240" s="13" t="str"/>
      <x:c r="H240" s="13" t="str"/>
      <x:c r="I240" s="7" t="str">
        <x:v>Was this person reviewed? If rejected, give the actual rule and evidence. If acceptable, correct the omission. Confirm the Life-qualification gate and any record change since selection.</x:v>
      </x:c>
      <x:c r="J240" s="7" t="str">
        <x:v>L1</x:v>
      </x:c>
      <x:c r="K240" s="7" t="str">
        <x:v>Verified qualifications do not include active general Life. Current target-pool mismatch; actual historical omission reason unknown.</x:v>
      </x:c>
      <x:c r="L240" s="7" t="str">
        <x:v>Not supplied; membership is known, motive is not</x:v>
      </x:c>
      <x:c r="M240" s="7" t="n">
        <x:v>7</x:v>
      </x:c>
      <x:c r="N240" s="7" t="str">
        <x:v>Outside current general-Life recruiting pool</x:v>
      </x:c>
      <x:c r="O240" s="7" t="str">
        <x:v>Not displayed</x:v>
      </x:c>
      <x:c r="P240" s="7" t="str"/>
      <x:c r="Q240" s="7" t="str"/>
      <x:c r="R240" s="7" t="str"/>
      <x:c r="S240" s="15" t="str"/>
      <x:c r="T240" s="7" t="str">
        <x:v>No public business phone in collected record</x:v>
      </x:c>
      <x:c r="U240" s="7" t="str"/>
      <x:c r="V240" s="7" t="str">
        <x:v>Resident</x:v>
      </x:c>
      <x:c r="W240" s="7" t="str">
        <x:v>CA</x:v>
      </x:c>
      <x:c r="X240" s="7" t="str"/>
      <x:c r="Y240" s="7" t="str"/>
      <x:c r="Z240" s="7" t="str"/>
      <x:c r="AA240" s="7" t="str"/>
      <x:c r="AB240" s="7" t="str"/>
      <x:c r="AC240" s="7" t="str"/>
      <x:c r="AD240" s="7" t="str">
        <x:v>No agency or insurer displayed: onboarding opportunity possible; existing business unknown</x:v>
      </x:c>
      <x:c r="AE240" s="7" t="str">
        <x:v>No public business phone: contact enrichment needed, not proof of poor recruiting fit</x:v>
      </x:c>
      <x:c r="AF240" s="16" t="str"/>
      <x:c r="AG240" s="17" t="str"/>
      <x:c r="AH240" s="7" t="str"/>
      <x:c r="AI240" s="7" t="str"/>
      <x:c r="AJ240" s="7" t="str"/>
      <x:c r="AK240" s="15" t="str"/>
      <x:c r="AL240" s="7" t="str"/>
      <x:c r="AM240" s="7" t="str">
        <x:v>aguilar j christi | AGUILAR JO CHRISTI</x:v>
      </x:c>
      <x:c r="AN240" s="7" t="str">
        <x:v>https://cdicloud.insurance.ca.gov/cal/LicenseDetail?SearchType=IND&amp;SearchLicNbr=0K17769&amp;SearchIndvId=1749184</x:v>
      </x:c>
      <x:c r="AO240" s="7" t="str">
        <x:v>2026-10-08</x:v>
      </x:c>
      <x:c r="AP240" s="7" t="str">
        <x:v>aa4fbb7353a9f32e0d86c1b622b51cc92c1953218717edcd605764aae2178d94</x:v>
      </x:c>
      <x:c r="AQ240" s="7" t="str">
        <x:v>Accident and Health / Inactive / 04/08/2015 / 04/30/2017 / 04/30/2017
Life-Only / Inactive / 04/08/2015 / 04/30/2017 / 04/30/2017</x:v>
      </x:c>
      <x:c r="AR240" s="7" t="str">
        <x:v>Inactive</x:v>
      </x:c>
      <x:c r="AS240" s="7" t="str">
        <x:v>Current detail page</x:v>
      </x:c>
    </x:row>
    <x:row r="241" ht="52" customHeight="1">
      <x:c r="A241" s="7" t="str">
        <x:v>AGUILAR CHRISTIAN</x:v>
      </x:c>
      <x:c r="B241" s="14" t="str">
        <x:f>"0I52211"</x:f>
        <x:v>0I52211</x:v>
      </x:c>
      <x:c r="C241" s="7" t="str">
        <x:v>Omitted</x:v>
      </x:c>
      <x:c r="D241" s="7" t="str">
        <x:v>FAIL</x:v>
      </x:c>
      <x:c r="E241" s="13" t="str">
        <x:v>Pending</x:v>
      </x:c>
      <x:c r="F241" s="13" t="str"/>
      <x:c r="G241" s="13" t="str"/>
      <x:c r="H241" s="13" t="str"/>
      <x:c r="I241" s="7" t="str">
        <x:v>Was this person reviewed? If rejected, give the actual rule and evidence. If acceptable, correct the omission. Confirm the Life-qualification gate and any record change since selection.</x:v>
      </x:c>
      <x:c r="J241" s="7" t="str">
        <x:v>L1</x:v>
      </x:c>
      <x:c r="K241" s="7" t="str">
        <x:v>Verified qualifications do not include active general Life. Current target-pool mismatch; actual historical omission reason unknown.</x:v>
      </x:c>
      <x:c r="L241" s="7" t="str">
        <x:v>Not supplied; membership is known, motive is not</x:v>
      </x:c>
      <x:c r="M241" s="7" t="n">
        <x:v>7</x:v>
      </x:c>
      <x:c r="N241" s="7" t="str">
        <x:v>Outside current general-Life recruiting pool</x:v>
      </x:c>
      <x:c r="O241" s="7" t="str">
        <x:v>Not displayed</x:v>
      </x:c>
      <x:c r="P241" s="7" t="str"/>
      <x:c r="Q241" s="7" t="str"/>
      <x:c r="R241" s="7" t="str">
        <x:v>Casualty; Property</x:v>
      </x:c>
      <x:c r="S241" s="15" t="str">
        <x:v>415-891-0393</x:v>
      </x:c>
      <x:c r="T241" s="7" t="str">
        <x:v>Current CDI</x:v>
      </x:c>
      <x:c r="U241" s="7" t="str">
        <x:v>16040 LEFFINGWELL RD UNIT 60 WHITTIER CA, 90603-3128</x:v>
      </x:c>
      <x:c r="V241" s="7" t="str">
        <x:v>Resident</x:v>
      </x:c>
      <x:c r="W241" s="7" t="str">
        <x:v>CA</x:v>
      </x:c>
      <x:c r="X241" s="7" t="str">
        <x:v>RELATION INSURANCE SERVICES, INC. / Casualty / 10/20/2025
RELATION INSURANCE SERVICES, INC. / Property / 10/20/2025</x:v>
      </x:c>
      <x:c r="Y241" s="7" t="str"/>
      <x:c r="Z241" s="7" t="str"/>
      <x:c r="AA241" s="7" t="str"/>
      <x:c r="AB241" s="7" t="str"/>
      <x:c r="AC241" s="7" t="str"/>
      <x:c r="AD241" s="7" t="str"/>
      <x:c r="AE241" s="7" t="str">
        <x:v>P&amp;C/Personal Lines authority without displayed core Life appointments; mixed profile requires review</x:v>
      </x:c>
      <x:c r="AF241" s="16" t="str"/>
      <x:c r="AG241" s="17" t="str"/>
      <x:c r="AH241" s="7" t="str"/>
      <x:c r="AI241" s="7" t="str">
        <x:v>English</x:v>
      </x:c>
      <x:c r="AJ241" s="7" t="str"/>
      <x:c r="AK241" s="15" t="str"/>
      <x:c r="AL241" s="7" t="str"/>
      <x:c r="AM241" s="7" t="str">
        <x:v>AGUILAR  CHRISTIAN</x:v>
      </x:c>
      <x:c r="AN241" s="7" t="str">
        <x:v>https://cdicloud.insurance.ca.gov/cal/LicenseDetail?SearchType=IND&amp;SearchLicNbr=0I52211&amp;SearchIndvId=1607459</x:v>
      </x:c>
      <x:c r="AO241" s="7" t="str">
        <x:v>2026-10-08</x:v>
      </x:c>
      <x:c r="AP241" s="7" t="str">
        <x:v>0d7a969d26fbe0308331abf6ce681802299f334c372a3a373ed599f0117f1ccd</x:v>
      </x:c>
      <x:c r="AQ241" s="7" t="str">
        <x:v>Casualty / Active / 09/12/2013 / 09/12/2013 / 09/30/2027
Property / Active / 09/12/2013 / 09/12/2013 / 09/30/2027</x:v>
      </x:c>
      <x:c r="AR241" s="7" t="str">
        <x:v>Active</x:v>
      </x:c>
      <x:c r="AS241" s="7" t="str">
        <x:v>Current detail page</x:v>
      </x:c>
    </x:row>
    <x:row r="242" ht="52" customHeight="1">
      <x:c r="A242" s="7" t="str">
        <x:v>AGUILAR CHRISTIAN</x:v>
      </x:c>
      <x:c r="B242" s="14" t="str">
        <x:f>"0L11607"</x:f>
        <x:v>0L11607</x:v>
      </x:c>
      <x:c r="C242" s="7" t="str">
        <x:v>Omitted</x:v>
      </x:c>
      <x:c r="D242" s="7" t="str">
        <x:v>FAIL</x:v>
      </x:c>
      <x:c r="E242" s="13" t="str">
        <x:v>Pending</x:v>
      </x:c>
      <x:c r="F242" s="13" t="str"/>
      <x:c r="G242" s="13" t="str"/>
      <x:c r="H242" s="13" t="str"/>
      <x:c r="I242" s="7" t="str">
        <x:v>Was this person reviewed? If rejected, give the actual rule and evidence. If acceptable, correct the omission. Confirm the Life-qualification gate and any record change since selection.</x:v>
      </x:c>
      <x:c r="J242" s="7" t="str">
        <x:v>L1</x:v>
      </x:c>
      <x:c r="K242" s="7" t="str">
        <x:v>Verified qualifications do not include active general Life. Current target-pool mismatch; actual historical omission reason unknown.</x:v>
      </x:c>
      <x:c r="L242" s="7" t="str">
        <x:v>Not supplied; membership is known, motive is not</x:v>
      </x:c>
      <x:c r="M242" s="7" t="n">
        <x:v>7</x:v>
      </x:c>
      <x:c r="N242" s="7" t="str">
        <x:v>Outside current general-Life recruiting pool</x:v>
      </x:c>
      <x:c r="O242" s="7" t="str">
        <x:v>Not displayed</x:v>
      </x:c>
      <x:c r="P242" s="7" t="str"/>
      <x:c r="Q242" s="7" t="str"/>
      <x:c r="R242" s="7" t="str"/>
      <x:c r="S242" s="15" t="str"/>
      <x:c r="T242" s="7" t="str">
        <x:v>No public business phone in collected record</x:v>
      </x:c>
      <x:c r="U242" s="7" t="str"/>
      <x:c r="V242" s="7" t="str">
        <x:v>Resident</x:v>
      </x:c>
      <x:c r="W242" s="7" t="str">
        <x:v>CA</x:v>
      </x:c>
      <x:c r="X242" s="7" t="str"/>
      <x:c r="Y242" s="7" t="str"/>
      <x:c r="Z242" s="7" t="str"/>
      <x:c r="AA242" s="7" t="str"/>
      <x:c r="AB242" s="7" t="str"/>
      <x:c r="AC242" s="7" t="str"/>
      <x:c r="AD242" s="7" t="str">
        <x:v>No agency or insurer displayed: onboarding opportunity possible; existing business unknown</x:v>
      </x:c>
      <x:c r="AE242" s="7" t="str">
        <x:v>No public business phone: contact enrichment needed, not proof of poor recruiting fit</x:v>
      </x:c>
      <x:c r="AF242" s="16" t="str"/>
      <x:c r="AG242" s="17" t="str"/>
      <x:c r="AH242" s="7" t="str"/>
      <x:c r="AI242" s="7" t="str"/>
      <x:c r="AJ242" s="7" t="str"/>
      <x:c r="AK242" s="15" t="str"/>
      <x:c r="AL242" s="7" t="str"/>
      <x:c r="AM242" s="7" t="str">
        <x:v>AGUILAR  CHRISTIAN</x:v>
      </x:c>
      <x:c r="AN242" s="7" t="str">
        <x:v>https://cdicloud.insurance.ca.gov/cal/LicenseDetail?SearchType=IND&amp;SearchLicNbr=0L11607&amp;SearchIndvId=1865442</x:v>
      </x:c>
      <x:c r="AO242" s="7" t="str">
        <x:v>2026-10-08</x:v>
      </x:c>
      <x:c r="AP242" s="7" t="str">
        <x:v>58b615873bf3f5fb7705258d6d28cf7c8c40955ef829deeaae2a8369515e3665</x:v>
      </x:c>
      <x:c r="AQ242" s="7" t="str">
        <x:v>Accident and Health / Inactive / 09/12/2016 / 09/30/2018 / 09/30/2018
Life-Only / Inactive / 09/12/2016 / 09/30/2018 / 09/30/2018</x:v>
      </x:c>
      <x:c r="AR242" s="7" t="str">
        <x:v>Inactive</x:v>
      </x:c>
      <x:c r="AS242" s="7" t="str">
        <x:v>Current detail page</x:v>
      </x:c>
    </x:row>
    <x:row r="243" ht="52" customHeight="1">
      <x:c r="A243" s="7" t="str">
        <x:v>AGUILAR CHRISTIAN ALEXANDER</x:v>
      </x:c>
      <x:c r="B243" s="14" t="str">
        <x:f>"0F42357"</x:f>
        <x:v>0F42357</x:v>
      </x:c>
      <x:c r="C243" s="7" t="str">
        <x:v>Omitted</x:v>
      </x:c>
      <x:c r="D243" s="7" t="str">
        <x:v>FAIL</x:v>
      </x:c>
      <x:c r="E243" s="13" t="str">
        <x:v>Pending</x:v>
      </x:c>
      <x:c r="F243" s="13" t="str"/>
      <x:c r="G243" s="13" t="str"/>
      <x:c r="H243" s="13" t="str"/>
      <x:c r="I243" s="7" t="str">
        <x:v>Was this person reviewed? If rejected, give the actual rule and evidence. If acceptable, correct the omission. Confirm the Life-qualification gate and any record change since selection.</x:v>
      </x:c>
      <x:c r="J243" s="7" t="str">
        <x:v>L1</x:v>
      </x:c>
      <x:c r="K243" s="7" t="str">
        <x:v>Verified qualifications do not include active general Life. Current target-pool mismatch; actual historical omission reason unknown.</x:v>
      </x:c>
      <x:c r="L243" s="7" t="str">
        <x:v>Not supplied; membership is known, motive is not</x:v>
      </x:c>
      <x:c r="M243" s="7" t="n">
        <x:v>7</x:v>
      </x:c>
      <x:c r="N243" s="7" t="str">
        <x:v>Outside current general-Life recruiting pool</x:v>
      </x:c>
      <x:c r="O243" s="7" t="str">
        <x:v>Not displayed</x:v>
      </x:c>
      <x:c r="P243" s="7" t="str"/>
      <x:c r="Q243" s="7" t="str"/>
      <x:c r="R243" s="7" t="str"/>
      <x:c r="S243" s="15" t="str"/>
      <x:c r="T243" s="7" t="str">
        <x:v>No public business phone in collected record</x:v>
      </x:c>
      <x:c r="U243" s="7" t="str"/>
      <x:c r="V243" s="7" t="str">
        <x:v>Resident</x:v>
      </x:c>
      <x:c r="W243" s="7" t="str">
        <x:v>CA</x:v>
      </x:c>
      <x:c r="X243" s="7" t="str"/>
      <x:c r="Y243" s="7" t="str"/>
      <x:c r="Z243" s="7" t="str"/>
      <x:c r="AA243" s="7" t="str"/>
      <x:c r="AB243" s="7" t="str"/>
      <x:c r="AC243" s="7" t="str"/>
      <x:c r="AD243" s="7" t="str">
        <x:v>No agency or insurer displayed: onboarding opportunity possible; existing business unknown</x:v>
      </x:c>
      <x:c r="AE243" s="7" t="str">
        <x:v>No public business phone: contact enrichment needed, not proof of poor recruiting fit</x:v>
      </x:c>
      <x:c r="AF243" s="16" t="str"/>
      <x:c r="AG243" s="17" t="str"/>
      <x:c r="AH243" s="7" t="str"/>
      <x:c r="AI243" s="7" t="str"/>
      <x:c r="AJ243" s="7" t="str"/>
      <x:c r="AK243" s="15" t="str"/>
      <x:c r="AL243" s="7" t="str"/>
      <x:c r="AM243" s="7" t="str">
        <x:v>AGUILAR ALEXANDER CHRISTIAN</x:v>
      </x:c>
      <x:c r="AN243" s="7" t="str">
        <x:v>https://cdicloud.insurance.ca.gov/cal/LicenseDetail?SearchType=IND&amp;SearchLicNbr=0F42357&amp;SearchIndvId=1053890</x:v>
      </x:c>
      <x:c r="AO243" s="7" t="str">
        <x:v>2026-10-08</x:v>
      </x:c>
      <x:c r="AP243" s="7" t="str">
        <x:v>8cf6f8c896cd585d2279ae347085a65c947ded3686cb08d059080c3a2cf96d7e</x:v>
      </x:c>
      <x:c r="AQ243" s="7" t="str">
        <x:v>Casualty Broker-Agent / Inactive / 11/06/2006 / 11/30/2008 / 11/30/2008
Property Broker-Agent / Inactive / 11/06/2006 / 11/30/2008 / 11/30/2008</x:v>
      </x:c>
      <x:c r="AR243" s="7" t="str">
        <x:v>Inactive</x:v>
      </x:c>
      <x:c r="AS243" s="7" t="str">
        <x:v>Current detail page</x:v>
      </x:c>
    </x:row>
    <x:row r="244" ht="52" customHeight="1">
      <x:c r="A244" s="7" t="str">
        <x:v>AGUILAR CHRISTIAN JONATHAN</x:v>
      </x:c>
      <x:c r="B244" s="14" t="str">
        <x:f>"4406181"</x:f>
        <x:v>4406181</x:v>
      </x:c>
      <x:c r="C244" s="7" t="str">
        <x:v>Omitted</x:v>
      </x:c>
      <x:c r="D244" s="7" t="str">
        <x:v>FAIL</x:v>
      </x:c>
      <x:c r="E244" s="13" t="str">
        <x:v>Pending</x:v>
      </x:c>
      <x:c r="F244" s="13" t="str"/>
      <x:c r="G244" s="13" t="str"/>
      <x:c r="H244" s="13" t="str"/>
      <x:c r="I244" s="7" t="str">
        <x:v>Was this person reviewed? If rejected, give the actual rule and evidence. If acceptable, correct the omission. Confirm the Life-qualification gate and any record change since selection.</x:v>
      </x:c>
      <x:c r="J244" s="7" t="str">
        <x:v>L1</x:v>
      </x:c>
      <x:c r="K244" s="7" t="str">
        <x:v>Verified qualifications do not include active general Life. Current target-pool mismatch; actual historical omission reason unknown.</x:v>
      </x:c>
      <x:c r="L244" s="7" t="str">
        <x:v>Not supplied; membership is known, motive is not</x:v>
      </x:c>
      <x:c r="M244" s="7" t="n">
        <x:v>7</x:v>
      </x:c>
      <x:c r="N244" s="7" t="str">
        <x:v>Outside current general-Life recruiting pool</x:v>
      </x:c>
      <x:c r="O244" s="7" t="str">
        <x:v>Not displayed</x:v>
      </x:c>
      <x:c r="P244" s="7" t="str"/>
      <x:c r="Q244" s="7" t="str"/>
      <x:c r="R244" s="7" t="str">
        <x:v>Casualty; Property</x:v>
      </x:c>
      <x:c r="S244" s="15" t="str">
        <x:v>877-308-9663</x:v>
      </x:c>
      <x:c r="T244" s="7" t="str">
        <x:v>Current CDI</x:v>
      </x:c>
      <x:c r="U244" s="7" t="str">
        <x:v>2721 CITRUS RD STE A RANCHO CORDOVA CA, 95742</x:v>
      </x:c>
      <x:c r="V244" s="7" t="str">
        <x:v>Resident</x:v>
      </x:c>
      <x:c r="W244" s="7" t="str">
        <x:v>CA</x:v>
      </x:c>
      <x:c r="X244" s="7" t="str">
        <x:v>INSZONE INSURANCE SERVICES LLC / Property / 09/01/2024
INSZONE INSURANCE SERVICES LLC / Casualty / 09/01/2024</x:v>
      </x:c>
      <x:c r="Y244" s="7" t="str"/>
      <x:c r="Z244" s="7" t="str"/>
      <x:c r="AA244" s="7" t="str"/>
      <x:c r="AB244" s="7" t="str"/>
      <x:c r="AC244" s="7" t="str"/>
      <x:c r="AD244" s="7" t="str"/>
      <x:c r="AE244" s="7" t="str">
        <x:v>P&amp;C/Personal Lines authority without displayed core Life appointments; mixed profile requires review | Toll-free business number: verify that it reaches the individual rather than a central office</x:v>
      </x:c>
      <x:c r="AF244" s="16" t="str"/>
      <x:c r="AG244" s="17" t="str"/>
      <x:c r="AH244" s="7" t="str"/>
      <x:c r="AI244" s="7" t="str">
        <x:v>English</x:v>
      </x:c>
      <x:c r="AJ244" s="7" t="str"/>
      <x:c r="AK244" s="15" t="str"/>
      <x:c r="AL244" s="7" t="str"/>
      <x:c r="AM244" s="7" t="str">
        <x:v>AGUILAR JONATHAN CHRISTIAN</x:v>
      </x:c>
      <x:c r="AN244" s="7" t="str">
        <x:v>https://cdicloud.insurance.ca.gov/cal/LicenseDetail?SearchType=IND&amp;SearchLicNbr=4406181&amp;SearchIndvId=4406181</x:v>
      </x:c>
      <x:c r="AO244" s="7" t="str">
        <x:v>2026-10-08</x:v>
      </x:c>
      <x:c r="AP244" s="7" t="str">
        <x:v>d139dd8547abc67a3023240fcb4e951fb3eaa5070933c7da444021660ebbdd07</x:v>
      </x:c>
      <x:c r="AQ244" s="7" t="str">
        <x:v>Casualty / Active / 08/30/2024 / 09/02/2026 / 08/31/2028
Property / Active / 08/30/2024 / 09/02/2026 / 08/31/2028</x:v>
      </x:c>
      <x:c r="AR244" s="7" t="str">
        <x:v>Active</x:v>
      </x:c>
      <x:c r="AS244" s="7" t="str">
        <x:v>Current detail page</x:v>
      </x:c>
    </x:row>
    <x:row r="245" ht="52" customHeight="1">
      <x:c r="A245" s="7" t="str">
        <x:v>AGUILAR CHRISTIAN MANUEL</x:v>
      </x:c>
      <x:c r="B245" s="14" t="str">
        <x:f>"0M94954"</x:f>
        <x:v>0M94954</x:v>
      </x:c>
      <x:c r="C245" s="7" t="str">
        <x:v>Omitted</x:v>
      </x:c>
      <x:c r="D245" s="7" t="str">
        <x:v>FAIL</x:v>
      </x:c>
      <x:c r="E245" s="13" t="str">
        <x:v>Pending</x:v>
      </x:c>
      <x:c r="F245" s="13" t="str"/>
      <x:c r="G245" s="13" t="str"/>
      <x:c r="H245" s="13" t="str"/>
      <x:c r="I245" s="7" t="str">
        <x:v>Was this person reviewed? If rejected, give the actual rule and evidence. If acceptable, correct the omission. Confirm the Life-qualification gate and any record change since selection.</x:v>
      </x:c>
      <x:c r="J245" s="7" t="str">
        <x:v>L1</x:v>
      </x:c>
      <x:c r="K245" s="7" t="str">
        <x:v>Verified qualifications do not include active general Life. Current target-pool mismatch; actual historical omission reason unknown.</x:v>
      </x:c>
      <x:c r="L245" s="7" t="str">
        <x:v>Not supplied; membership is known, motive is not</x:v>
      </x:c>
      <x:c r="M245" s="7" t="n">
        <x:v>7</x:v>
      </x:c>
      <x:c r="N245" s="7" t="str">
        <x:v>Outside current general-Life recruiting pool</x:v>
      </x:c>
      <x:c r="O245" s="7" t="str">
        <x:v>Inactive</x:v>
      </x:c>
      <x:c r="P245" s="7" t="str">
        <x:v>11/07/2019</x:v>
      </x:c>
      <x:c r="Q245" s="7" t="str">
        <x:v>04/30/2025</x:v>
      </x:c>
      <x:c r="R245" s="7" t="str">
        <x:v>Casualty; Property; Surplus Lines Broker</x:v>
      </x:c>
      <x:c r="S245" s="15" t="str"/>
      <x:c r="T245" s="7" t="str">
        <x:v>No public business phone in collected record</x:v>
      </x:c>
      <x:c r="U245" s="7" t="str">
        <x:v>7010 MAGNOLIA AVE RIVERSIDE CA, 92506-2803</x:v>
      </x:c>
      <x:c r="V245" s="7" t="str">
        <x:v>Resident</x:v>
      </x:c>
      <x:c r="W245" s="7" t="str">
        <x:v>CA</x:v>
      </x:c>
      <x:c r="X245" s="7" t="str">
        <x:v>CLEARCOVER INSURANCE AGENCY, LLC / Casualty / 06/28/2021
JACKSON SERVICES LLC / Property / 03/29/2022
JACKSON SERVICES LLC / Life / 03/29/2022
CLEARCOVER INSURANCE AGENCY, LLC / Property / 06/28/2021
JACKSON SERVICES LLC / Accident &amp; Health or Sickness / 03/29/2022
JACKSON SERVICES LLC / Casualty / 03/29/2022</x:v>
      </x:c>
      <x:c r="Y245" s="7" t="str">
        <x:v>AMERICAN MODERN PROPERTY AND CASUALTY INSURANCE COMPANY / Casualty / 06/23/2021
AMERICAN MODERN PROPERTY AND CASUALTY INSURANCE COMPANY / Property / 06/23/2021
FOREMOST INSURANCE COMPANY GRAND RAPIDS, MICHIGAN / Casualty / 09/03/2026
FOREMOST INSURANCE COMPANY GRAND RAPIDS, MICHIGAN / Property / 09/03/2026
INFINITY INSURANCE COMPANY / Casualty / 01/11/2024
INFINITY INSURANCE COMPANY / Property / 01/11/2024</x:v>
      </x:c>
      <x:c r="Z245" s="7" t="str"/>
      <x:c r="AA245" s="7" t="str"/>
      <x:c r="AB245" s="7" t="str"/>
      <x:c r="AC245" s="7" t="str"/>
      <x:c r="AD245" s="7" t="str"/>
      <x:c r="AE245" s="7" t="str">
        <x:v>P&amp;C/Personal Lines authority without displayed core Life appointments; mixed profile requires review | No public business phone: contact enrichment needed, not proof of poor recruiting fit</x:v>
      </x:c>
      <x:c r="AF245" s="16" t="str"/>
      <x:c r="AG245" s="17" t="str"/>
      <x:c r="AH245" s="7" t="str"/>
      <x:c r="AI245" s="7" t="str">
        <x:v>English, Spanish, Spanish</x:v>
      </x:c>
      <x:c r="AJ245" s="7" t="str"/>
      <x:c r="AK245" s="15" t="str"/>
      <x:c r="AL245" s="7" t="str"/>
      <x:c r="AM245" s="7" t="str">
        <x:v>AGUILAR  CHRIS | AGUILAR MANUEL CHRISTIAN</x:v>
      </x:c>
      <x:c r="AN245" s="7" t="str">
        <x:v>https://cdicloud.insurance.ca.gov/cal/LicenseDetail?SearchType=IND&amp;SearchLicNbr=0M94954&amp;SearchIndvId=2088873</x:v>
      </x:c>
      <x:c r="AO245" s="7" t="str">
        <x:v>2026-10-08</x:v>
      </x:c>
      <x:c r="AP245" s="7" t="str">
        <x:v>39a21bd2964a337875d1930435b460908fcac625434349bc8c49d0437f21ca69</x:v>
      </x:c>
      <x:c r="AQ245" s="7" t="str">
        <x:v>Casualty / Active / 04/29/2019 / 04/29/2019 / 04/30/2027
Property / Active / 04/29/2019 / 04/29/2019 / 04/30/2027
Surplus Lines Broker / Active / 05/01/2026 / 05/01/2026 / 04/30/2027
Accident &amp; Health or Sickness / Inactive / 11/07/2019 / 04/30/2025 / 04/30/2025
Life / Inactive / 11/07/2019 / 04/30/2025 / 04/30/2025</x:v>
      </x:c>
      <x:c r="AR245" s="7" t="str">
        <x:v>Active</x:v>
      </x:c>
      <x:c r="AS245" s="7" t="str">
        <x:v>Current detail page</x:v>
      </x:c>
    </x:row>
    <x:row r="246" ht="52" customHeight="1">
      <x:c r="A246" s="7" t="str">
        <x:v>AGUILAR CHRISTIANNE E</x:v>
      </x:c>
      <x:c r="B246" s="14" t="str">
        <x:f>"4007271"</x:f>
        <x:v>4007271</x:v>
      </x:c>
      <x:c r="C246" s="7" t="str">
        <x:v>Omitted</x:v>
      </x:c>
      <x:c r="D246" s="7" t="str">
        <x:v>FAIL</x:v>
      </x:c>
      <x:c r="E246" s="13" t="str">
        <x:v>Pending</x:v>
      </x:c>
      <x:c r="F246" s="13" t="str"/>
      <x:c r="G246" s="13" t="str"/>
      <x:c r="H246" s="13" t="str"/>
      <x:c r="I246" s="7" t="str">
        <x:v>Was this person reviewed? If rejected, give the actual rule and evidence. If acceptable, correct the omission. Confirm the Life-qualification gate and any record change since selection.</x:v>
      </x:c>
      <x:c r="J246" s="7" t="str">
        <x:v>L1</x:v>
      </x:c>
      <x:c r="K246" s="7" t="str">
        <x:v>Verified qualifications do not include active general Life. Current target-pool mismatch; actual historical omission reason unknown.</x:v>
      </x:c>
      <x:c r="L246" s="7" t="str">
        <x:v>Not supplied; membership is known, motive is not</x:v>
      </x:c>
      <x:c r="M246" s="7" t="n">
        <x:v>7</x:v>
      </x:c>
      <x:c r="N246" s="7" t="str">
        <x:v>Outside current general-Life recruiting pool</x:v>
      </x:c>
      <x:c r="O246" s="7" t="str">
        <x:v>Inactive</x:v>
      </x:c>
      <x:c r="P246" s="7" t="str">
        <x:v>10/02/2019</x:v>
      </x:c>
      <x:c r="Q246" s="7" t="str">
        <x:v>10/31/2021</x:v>
      </x:c>
      <x:c r="R246" s="7" t="str"/>
      <x:c r="S246" s="15" t="str"/>
      <x:c r="T246" s="7" t="str">
        <x:v>No public business phone in collected record</x:v>
      </x:c>
      <x:c r="U246" s="7" t="str">
        <x:v>3935 W 119TH PL HAWTHORNE CA, 90250</x:v>
      </x:c>
      <x:c r="V246" s="7" t="str">
        <x:v>Resident</x:v>
      </x:c>
      <x:c r="W246" s="7" t="str">
        <x:v>CA</x:v>
      </x:c>
      <x:c r="X246" s="7" t="str"/>
      <x:c r="Y246" s="7" t="str"/>
      <x:c r="Z246" s="7" t="str"/>
      <x:c r="AA246" s="7" t="str"/>
      <x:c r="AB246" s="7" t="str"/>
      <x:c r="AC246" s="7" t="str"/>
      <x:c r="AD246" s="7" t="str">
        <x:v>No agency or insurer displayed: onboarding opportunity possible; existing business unknown</x:v>
      </x:c>
      <x:c r="AE246" s="7" t="str">
        <x:v>No public business phone: contact enrichment needed, not proof of poor recruiting fit</x:v>
      </x:c>
      <x:c r="AF246" s="16" t="str"/>
      <x:c r="AG246" s="17" t="str"/>
      <x:c r="AH246" s="7" t="str"/>
      <x:c r="AI246" s="7" t="str"/>
      <x:c r="AJ246" s="7" t="str"/>
      <x:c r="AK246" s="15" t="str"/>
      <x:c r="AL246" s="7" t="str"/>
      <x:c r="AM246" s="7" t="str">
        <x:v>AGUILAR E CHRISTIANNE</x:v>
      </x:c>
      <x:c r="AN246" s="7" t="str">
        <x:v>https://cdicloud.insurance.ca.gov/cal/LicenseDetail?SearchType=IND&amp;SearchLicNbr=4007271&amp;SearchIndvId=4007271</x:v>
      </x:c>
      <x:c r="AO246" s="7" t="str">
        <x:v>2026-10-08</x:v>
      </x:c>
      <x:c r="AP246" s="7" t="str">
        <x:v>253d300e565b4e318863ed3326414ab1c5b8d5ffe4ea4fdcef47338f7872b088</x:v>
      </x:c>
      <x:c r="AQ246" s="7" t="str">
        <x:v>Life / Inactive / 10/02/2019 / 10/31/2021 / 10/31/2021</x:v>
      </x:c>
      <x:c r="AR246" s="7" t="str">
        <x:v>Inactive</x:v>
      </x:c>
      <x:c r="AS246" s="7" t="str">
        <x:v>Current detail page</x:v>
      </x:c>
    </x:row>
    <x:row r="247" ht="52" customHeight="1">
      <x:c r="A247" s="7" t="str">
        <x:v>AGUILAR CHRISTINA ARCHULETA</x:v>
      </x:c>
      <x:c r="B247" s="14" t="str">
        <x:f>"0I06028"</x:f>
        <x:v>0I06028</x:v>
      </x:c>
      <x:c r="C247" s="7" t="str">
        <x:v>Omitted</x:v>
      </x:c>
      <x:c r="D247" s="7" t="str">
        <x:v>FAIL</x:v>
      </x:c>
      <x:c r="E247" s="13" t="str">
        <x:v>Pending</x:v>
      </x:c>
      <x:c r="F247" s="13" t="str"/>
      <x:c r="G247" s="13" t="str"/>
      <x:c r="H247" s="13" t="str"/>
      <x:c r="I247" s="7" t="str">
        <x:v>Was this person reviewed? If rejected, give the actual rule and evidence. If acceptable, correct the omission. Confirm the Life-qualification gate and any record change since selection.</x:v>
      </x:c>
      <x:c r="J247" s="7" t="str">
        <x:v>L1</x:v>
      </x:c>
      <x:c r="K247" s="7" t="str">
        <x:v>Verified qualifications do not include active general Life. Current target-pool mismatch; actual historical omission reason unknown.</x:v>
      </x:c>
      <x:c r="L247" s="7" t="str">
        <x:v>Not supplied; membership is known, motive is not</x:v>
      </x:c>
      <x:c r="M247" s="7" t="n">
        <x:v>7</x:v>
      </x:c>
      <x:c r="N247" s="7" t="str">
        <x:v>Outside current general-Life recruiting pool</x:v>
      </x:c>
      <x:c r="O247" s="7" t="str">
        <x:v>Not displayed</x:v>
      </x:c>
      <x:c r="P247" s="7" t="str"/>
      <x:c r="Q247" s="7" t="str"/>
      <x:c r="R247" s="7" t="str"/>
      <x:c r="S247" s="15" t="str"/>
      <x:c r="T247" s="7" t="str">
        <x:v>No public business phone in collected record</x:v>
      </x:c>
      <x:c r="U247" s="7" t="str"/>
      <x:c r="V247" s="7" t="str">
        <x:v>Resident</x:v>
      </x:c>
      <x:c r="W247" s="7" t="str">
        <x:v>CA</x:v>
      </x:c>
      <x:c r="X247" s="7" t="str"/>
      <x:c r="Y247" s="7" t="str"/>
      <x:c r="Z247" s="7" t="str"/>
      <x:c r="AA247" s="7" t="str"/>
      <x:c r="AB247" s="7" t="str"/>
      <x:c r="AC247" s="7" t="str"/>
      <x:c r="AD247" s="7" t="str">
        <x:v>No agency or insurer displayed: onboarding opportunity possible; existing business unknown</x:v>
      </x:c>
      <x:c r="AE247" s="7" t="str">
        <x:v>No public business phone: contact enrichment needed, not proof of poor recruiting fit</x:v>
      </x:c>
      <x:c r="AF247" s="16" t="str"/>
      <x:c r="AG247" s="17" t="str"/>
      <x:c r="AH247" s="7" t="str"/>
      <x:c r="AI247" s="7" t="str"/>
      <x:c r="AJ247" s="7" t="str"/>
      <x:c r="AK247" s="15" t="str"/>
      <x:c r="AL247" s="7" t="str"/>
      <x:c r="AM247" s="7" t="str">
        <x:v>AGUILAR ARCHULETA CHRISTINA</x:v>
      </x:c>
      <x:c r="AN247" s="7" t="str">
        <x:v>https://cdicloud.insurance.ca.gov/cal/LicenseDetail?SearchType=IND&amp;SearchLicNbr=0I06028&amp;SearchIndvId=1532700</x:v>
      </x:c>
      <x:c r="AO247" s="7" t="str">
        <x:v>2026-10-08</x:v>
      </x:c>
      <x:c r="AP247" s="7" t="str">
        <x:v>bebd3c2f5eb42d20dbeb365e385f9d3e6a303f42b46ed2187fd57b338af33eba</x:v>
      </x:c>
      <x:c r="AQ247" s="7" t="str">
        <x:v>Life-Only / Inactive / 10/03/2012 / 10/31/2014 / 10/31/2014</x:v>
      </x:c>
      <x:c r="AR247" s="7" t="str">
        <x:v>Inactive</x:v>
      </x:c>
      <x:c r="AS247" s="7" t="str">
        <x:v>Current detail page</x:v>
      </x:c>
    </x:row>
    <x:row r="248" ht="52" customHeight="1">
      <x:c r="A248" s="7" t="str">
        <x:v>AGUILAR CHRISTINA M</x:v>
      </x:c>
      <x:c r="B248" s="14" t="str">
        <x:f>"0M15858"</x:f>
        <x:v>0M15858</x:v>
      </x:c>
      <x:c r="C248" s="7" t="str">
        <x:v>Omitted</x:v>
      </x:c>
      <x:c r="D248" s="7" t="str">
        <x:v>FAIL</x:v>
      </x:c>
      <x:c r="E248" s="13" t="str">
        <x:v>Pending</x:v>
      </x:c>
      <x:c r="F248" s="13" t="str"/>
      <x:c r="G248" s="13" t="str"/>
      <x:c r="H248" s="13" t="str"/>
      <x:c r="I248" s="7" t="str">
        <x:v>Was this person reviewed? If rejected, give the actual rule and evidence. If acceptable, correct the omission. Confirm the Life-qualification gate and any record change since selection.</x:v>
      </x:c>
      <x:c r="J248" s="7" t="str">
        <x:v>L1</x:v>
      </x:c>
      <x:c r="K248" s="7" t="str">
        <x:v>Verified qualifications do not include active general Life. Current target-pool mismatch; actual historical omission reason unknown.</x:v>
      </x:c>
      <x:c r="L248" s="7" t="str">
        <x:v>Not supplied; membership is known, motive is not</x:v>
      </x:c>
      <x:c r="M248" s="7" t="n">
        <x:v>7</x:v>
      </x:c>
      <x:c r="N248" s="7" t="str">
        <x:v>Outside current general-Life recruiting pool</x:v>
      </x:c>
      <x:c r="O248" s="7" t="str">
        <x:v>Not displayed</x:v>
      </x:c>
      <x:c r="P248" s="7" t="str"/>
      <x:c r="Q248" s="7" t="str"/>
      <x:c r="R248" s="7" t="str"/>
      <x:c r="S248" s="15" t="str"/>
      <x:c r="T248" s="7" t="str">
        <x:v>No public business phone in collected record</x:v>
      </x:c>
      <x:c r="U248" s="7" t="str"/>
      <x:c r="V248" s="7" t="str">
        <x:v>Non-resident</x:v>
      </x:c>
      <x:c r="W248" s="7" t="str">
        <x:v>IL</x:v>
      </x:c>
      <x:c r="X248" s="7" t="str"/>
      <x:c r="Y248" s="7" t="str"/>
      <x:c r="Z248" s="7" t="str"/>
      <x:c r="AA248" s="7" t="str"/>
      <x:c r="AB248" s="7" t="str"/>
      <x:c r="AC248" s="7" t="str"/>
      <x:c r="AD248" s="7" t="str">
        <x:v>No agency or insurer displayed: onboarding opportunity possible; existing business unknown</x:v>
      </x:c>
      <x:c r="AE248" s="7" t="str">
        <x:v>Nonresident or address state outside CA; confirm geographic recruiting scope | No public business phone: contact enrichment needed, not proof of poor recruiting fit</x:v>
      </x:c>
      <x:c r="AF248" s="16" t="str"/>
      <x:c r="AG248" s="17" t="str"/>
      <x:c r="AH248" s="7" t="str"/>
      <x:c r="AI248" s="7" t="str"/>
      <x:c r="AJ248" s="7" t="str"/>
      <x:c r="AK248" s="15" t="str"/>
      <x:c r="AL248" s="7" t="str"/>
      <x:c r="AM248" s="7" t="str">
        <x:v>AGUILAR M CHRISTINA</x:v>
      </x:c>
      <x:c r="AN248" s="7" t="str">
        <x:v>https://cdicloud.insurance.ca.gov/cal/LicenseDetail?SearchType=IND&amp;SearchLicNbr=0M15858&amp;SearchIndvId=1987065</x:v>
      </x:c>
      <x:c r="AO248" s="7" t="str">
        <x:v>2026-10-08</x:v>
      </x:c>
      <x:c r="AP248" s="7" t="str">
        <x:v>5156ce90905c625b8e6fef6de94ae99b2755ed50b2db9ce02d9caa48b89532c0</x:v>
      </x:c>
      <x:c r="AQ248" s="7" t="str">
        <x:v>Casualty Broker-Agent / Inactive / 01/17/2018 / 01/31/2020 / 01/31/2020
Property Broker-Agent / Inactive / 01/17/2018 / 01/31/2020 / 01/31/2020</x:v>
      </x:c>
      <x:c r="AR248" s="7" t="str">
        <x:v>Inactive</x:v>
      </x:c>
      <x:c r="AS248" s="7" t="str">
        <x:v>Current detail page</x:v>
      </x:c>
    </x:row>
    <x:row r="249" ht="52" customHeight="1">
      <x:c r="A249" s="7" t="str">
        <x:v>AGUILAR CHRISTINE PADRON</x:v>
      </x:c>
      <x:c r="B249" s="14" t="str">
        <x:f>"0E30758"</x:f>
        <x:v>0E30758</x:v>
      </x:c>
      <x:c r="C249" s="7" t="str">
        <x:v>Omitted</x:v>
      </x:c>
      <x:c r="D249" s="7" t="str">
        <x:v>FAIL</x:v>
      </x:c>
      <x:c r="E249" s="13" t="str">
        <x:v>Pending</x:v>
      </x:c>
      <x:c r="F249" s="13" t="str"/>
      <x:c r="G249" s="13" t="str"/>
      <x:c r="H249" s="13" t="str"/>
      <x:c r="I249" s="7" t="str">
        <x:v>Was this person reviewed? If rejected, give the actual rule and evidence. If acceptable, correct the omission. Confirm the Life-qualification gate and any record change since selection.</x:v>
      </x:c>
      <x:c r="J249" s="7" t="str">
        <x:v>L1</x:v>
      </x:c>
      <x:c r="K249" s="7" t="str">
        <x:v>Verified qualifications do not include active general Life. Current target-pool mismatch; actual historical omission reason unknown.</x:v>
      </x:c>
      <x:c r="L249" s="7" t="str">
        <x:v>Not supplied; membership is known, motive is not</x:v>
      </x:c>
      <x:c r="M249" s="7" t="n">
        <x:v>7</x:v>
      </x:c>
      <x:c r="N249" s="7" t="str">
        <x:v>Outside current general-Life recruiting pool</x:v>
      </x:c>
      <x:c r="O249" s="7" t="str">
        <x:v>Not displayed</x:v>
      </x:c>
      <x:c r="P249" s="7" t="str"/>
      <x:c r="Q249" s="7" t="str"/>
      <x:c r="R249" s="7" t="str"/>
      <x:c r="S249" s="15" t="str"/>
      <x:c r="T249" s="7" t="str">
        <x:v>No public business phone in collected record</x:v>
      </x:c>
      <x:c r="U249" s="7" t="str"/>
      <x:c r="V249" s="7" t="str">
        <x:v>Resident</x:v>
      </x:c>
      <x:c r="W249" s="7" t="str">
        <x:v>CA</x:v>
      </x:c>
      <x:c r="X249" s="7" t="str"/>
      <x:c r="Y249" s="7" t="str"/>
      <x:c r="Z249" s="7" t="str"/>
      <x:c r="AA249" s="7" t="str"/>
      <x:c r="AB249" s="7" t="str"/>
      <x:c r="AC249" s="7" t="str"/>
      <x:c r="AD249" s="7" t="str">
        <x:v>No agency or insurer displayed: onboarding opportunity possible; existing business unknown</x:v>
      </x:c>
      <x:c r="AE249" s="7" t="str">
        <x:v>No public business phone: contact enrichment needed, not proof of poor recruiting fit</x:v>
      </x:c>
      <x:c r="AF249" s="16" t="str"/>
      <x:c r="AG249" s="17" t="str"/>
      <x:c r="AH249" s="7" t="str"/>
      <x:c r="AI249" s="7" t="str"/>
      <x:c r="AJ249" s="7" t="str"/>
      <x:c r="AK249" s="15" t="str"/>
      <x:c r="AL249" s="7" t="str"/>
      <x:c r="AM249" s="7" t="str">
        <x:v>AGUILAR PADRON CHRISTINE</x:v>
      </x:c>
      <x:c r="AN249" s="7" t="str">
        <x:v>https://cdicloud.insurance.ca.gov/cal/LicenseDetail?SearchType=IND&amp;SearchLicNbr=0E30758&amp;SearchIndvId=882771</x:v>
      </x:c>
      <x:c r="AO249" s="7" t="str">
        <x:v>2026-10-08</x:v>
      </x:c>
      <x:c r="AP249" s="7" t="str">
        <x:v>31d199ec9329ead0e44051edbbbdb6a2ee31e7d962124ada95633c4327c5df35</x:v>
      </x:c>
      <x:c r="AQ249" s="7" t="str">
        <x:v>Accident and Health / Inactive / 02/04/2004 / 02/28/2010 / 02/28/2010
Life-Only / Inactive / 02/04/2004 / 02/28/2010 / 02/28/2010</x:v>
      </x:c>
      <x:c r="AR249" s="7" t="str">
        <x:v>Inactive</x:v>
      </x:c>
      <x:c r="AS249" s="7" t="str">
        <x:v>Current detail page</x:v>
      </x:c>
    </x:row>
    <x:row r="250" ht="52" customHeight="1">
      <x:c r="A250" s="7" t="str">
        <x:v>AGUILAR CHRISTOPHER</x:v>
      </x:c>
      <x:c r="B250" s="14" t="str">
        <x:f>"4245620"</x:f>
        <x:v>4245620</x:v>
      </x:c>
      <x:c r="C250" s="7" t="str">
        <x:v>Omitted</x:v>
      </x:c>
      <x:c r="D250" s="7" t="str">
        <x:v>FAIL</x:v>
      </x:c>
      <x:c r="E250" s="13" t="str">
        <x:v>Pending</x:v>
      </x:c>
      <x:c r="F250" s="13" t="str"/>
      <x:c r="G250" s="13" t="str"/>
      <x:c r="H250" s="13" t="str"/>
      <x:c r="I250" s="7" t="str">
        <x:v>Was this person reviewed? If rejected, give the actual rule and evidence. If acceptable, correct the omission. Confirm the Life-qualification gate and any record change since selection.</x:v>
      </x:c>
      <x:c r="J250" s="7" t="str">
        <x:v>L1</x:v>
      </x:c>
      <x:c r="K250" s="7" t="str">
        <x:v>Verified qualifications do not include active general Life. Current target-pool mismatch; actual historical omission reason unknown.</x:v>
      </x:c>
      <x:c r="L250" s="7" t="str">
        <x:v>Not supplied; membership is known, motive is not</x:v>
      </x:c>
      <x:c r="M250" s="7" t="n">
        <x:v>7</x:v>
      </x:c>
      <x:c r="N250" s="7" t="str">
        <x:v>Outside current general-Life recruiting pool</x:v>
      </x:c>
      <x:c r="O250" s="7" t="str">
        <x:v>Inactive</x:v>
      </x:c>
      <x:c r="P250" s="7" t="str">
        <x:v>10/26/2022</x:v>
      </x:c>
      <x:c r="Q250" s="7" t="str">
        <x:v>10/31/2024</x:v>
      </x:c>
      <x:c r="R250" s="7" t="str"/>
      <x:c r="S250" s="15" t="str"/>
      <x:c r="T250" s="7" t="str">
        <x:v>No public business phone in collected record</x:v>
      </x:c>
      <x:c r="U250" s="7" t="str">
        <x:v>2495 E ORANGETHORPE AVE STE 200-201 FULLERTON CA, 92831</x:v>
      </x:c>
      <x:c r="V250" s="7" t="str">
        <x:v>Resident</x:v>
      </x:c>
      <x:c r="W250" s="7" t="str">
        <x:v>CA</x:v>
      </x:c>
      <x:c r="X250" s="7" t="str"/>
      <x:c r="Y250" s="7" t="str"/>
      <x:c r="Z250" s="7" t="str"/>
      <x:c r="AA250" s="7" t="str"/>
      <x:c r="AB250" s="7" t="str"/>
      <x:c r="AC250" s="7" t="str"/>
      <x:c r="AD250" s="7" t="str">
        <x:v>No agency or insurer displayed: onboarding opportunity possible; existing business unknown</x:v>
      </x:c>
      <x:c r="AE250" s="7" t="str">
        <x:v>No public business phone: contact enrichment needed, not proof of poor recruiting fit</x:v>
      </x:c>
      <x:c r="AF250" s="16" t="str"/>
      <x:c r="AG250" s="17" t="str"/>
      <x:c r="AH250" s="7" t="str"/>
      <x:c r="AI250" s="7" t="str"/>
      <x:c r="AJ250" s="7" t="str"/>
      <x:c r="AK250" s="15" t="str"/>
      <x:c r="AL250" s="7" t="str"/>
      <x:c r="AM250" s="7" t="str">
        <x:v>AGUILAR  CHRISTOPHER</x:v>
      </x:c>
      <x:c r="AN250" s="7" t="str">
        <x:v>https://cdicloud.insurance.ca.gov/cal/LicenseDetail?SearchType=IND&amp;SearchLicNbr=4245620&amp;SearchIndvId=4245620</x:v>
      </x:c>
      <x:c r="AO250" s="7" t="str">
        <x:v>2026-10-08</x:v>
      </x:c>
      <x:c r="AP250" s="7" t="str">
        <x:v>ed1620be983d5d1ec844f0d5431b2579e28ace41b6920636925c9b46f9736963</x:v>
      </x:c>
      <x:c r="AQ250" s="7" t="str">
        <x:v>Life / Inactive / 10/26/2022 / 10/31/2024 / 10/31/2024</x:v>
      </x:c>
      <x:c r="AR250" s="7" t="str">
        <x:v>Inactive</x:v>
      </x:c>
      <x:c r="AS250" s="7" t="str">
        <x:v>Current detail page</x:v>
      </x:c>
    </x:row>
    <x:row r="251" ht="52" customHeight="1">
      <x:c r="A251" s="7" t="str">
        <x:v>AGUILAR CHRISTOPHER</x:v>
      </x:c>
      <x:c r="B251" s="14" t="str">
        <x:f>"4247174"</x:f>
        <x:v>4247174</x:v>
      </x:c>
      <x:c r="C251" s="7" t="str">
        <x:v>Omitted</x:v>
      </x:c>
      <x:c r="D251" s="7" t="str">
        <x:v>FAIL</x:v>
      </x:c>
      <x:c r="E251" s="13" t="str">
        <x:v>Pending</x:v>
      </x:c>
      <x:c r="F251" s="13" t="str"/>
      <x:c r="G251" s="13" t="str"/>
      <x:c r="H251" s="13" t="str"/>
      <x:c r="I251" s="7" t="str">
        <x:v>Was this person reviewed? If rejected, give the actual rule and evidence. If acceptable, correct the omission. Confirm the Life-qualification gate and any record change since selection.</x:v>
      </x:c>
      <x:c r="J251" s="7" t="str">
        <x:v>L1</x:v>
      </x:c>
      <x:c r="K251" s="7" t="str">
        <x:v>Verified qualifications do not include active general Life. Current target-pool mismatch; actual historical omission reason unknown.</x:v>
      </x:c>
      <x:c r="L251" s="7" t="str">
        <x:v>Not supplied; membership is known, motive is not</x:v>
      </x:c>
      <x:c r="M251" s="7" t="n">
        <x:v>7</x:v>
      </x:c>
      <x:c r="N251" s="7" t="str">
        <x:v>Outside current general-Life recruiting pool</x:v>
      </x:c>
      <x:c r="O251" s="7" t="str">
        <x:v>Not displayed</x:v>
      </x:c>
      <x:c r="P251" s="7" t="str"/>
      <x:c r="Q251" s="7" t="str"/>
      <x:c r="R251" s="7" t="str"/>
      <x:c r="S251" s="15" t="str"/>
      <x:c r="T251" s="7" t="str">
        <x:v>No public business phone in collected record</x:v>
      </x:c>
      <x:c r="U251" s="7" t="str">
        <x:v>314 REMINGTON CREEK DR HOUSTON TX, 77073</x:v>
      </x:c>
      <x:c r="V251" s="7" t="str">
        <x:v>Non-resident</x:v>
      </x:c>
      <x:c r="W251" s="7" t="str">
        <x:v>TX</x:v>
      </x:c>
      <x:c r="X251" s="7" t="str"/>
      <x:c r="Y251" s="7" t="str"/>
      <x:c r="Z251" s="7" t="str"/>
      <x:c r="AA251" s="7" t="str"/>
      <x:c r="AB251" s="7" t="str"/>
      <x:c r="AC251" s="7" t="str"/>
      <x:c r="AD251" s="7" t="str">
        <x:v>No agency or insurer displayed: onboarding opportunity possible; existing business unknown</x:v>
      </x:c>
      <x:c r="AE251" s="7" t="str">
        <x:v>Nonresident or address state outside CA; confirm geographic recruiting scope | No public business phone: contact enrichment needed, not proof of poor recruiting fit</x:v>
      </x:c>
      <x:c r="AF251" s="16" t="str"/>
      <x:c r="AG251" s="17" t="str"/>
      <x:c r="AH251" s="7" t="str"/>
      <x:c r="AI251" s="7" t="str"/>
      <x:c r="AJ251" s="7" t="str"/>
      <x:c r="AK251" s="15" t="str"/>
      <x:c r="AL251" s="7" t="str"/>
      <x:c r="AM251" s="7" t="str">
        <x:v>AGUILAR  CHRISTOPHER</x:v>
      </x:c>
      <x:c r="AN251" s="7" t="str">
        <x:v>https://cdicloud.insurance.ca.gov/cal/LicenseDetail?SearchType=IND&amp;SearchLicNbr=4247174&amp;SearchIndvId=4247174</x:v>
      </x:c>
      <x:c r="AO251" s="7" t="str">
        <x:v>2026-10-08</x:v>
      </x:c>
      <x:c r="AP251" s="7" t="str">
        <x:v>f8fb378c4140d00c69cde2c58ad70886b0364596bde2121bbffa45e0459cc62f</x:v>
      </x:c>
      <x:c r="AQ251" s="7" t="str">
        <x:v>Accident &amp; Health or Sickness / Inactive / 10/18/2022 / 10/31/2024 / 10/31/2024</x:v>
      </x:c>
      <x:c r="AR251" s="7" t="str">
        <x:v>Inactive</x:v>
      </x:c>
      <x:c r="AS251" s="7" t="str">
        <x:v>Current detail page</x:v>
      </x:c>
    </x:row>
    <x:row r="252" ht="52" customHeight="1">
      <x:c r="A252" s="7" t="str">
        <x:v>AGUILAR CHRISTOPHER ANTHONY</x:v>
      </x:c>
      <x:c r="B252" s="14" t="str">
        <x:f>"0L74535"</x:f>
        <x:v>0L74535</x:v>
      </x:c>
      <x:c r="C252" s="7" t="str">
        <x:v>Omitted</x:v>
      </x:c>
      <x:c r="D252" s="7" t="str">
        <x:v>FAIL</x:v>
      </x:c>
      <x:c r="E252" s="13" t="str">
        <x:v>Pending</x:v>
      </x:c>
      <x:c r="F252" s="13" t="str"/>
      <x:c r="G252" s="13" t="str"/>
      <x:c r="H252" s="13" t="str"/>
      <x:c r="I252" s="7" t="str">
        <x:v>Was this person reviewed? If rejected, give the actual rule and evidence. If acceptable, correct the omission. Confirm the Life-qualification gate and any record change since selection.</x:v>
      </x:c>
      <x:c r="J252" s="7" t="str">
        <x:v>L1</x:v>
      </x:c>
      <x:c r="K252" s="7" t="str">
        <x:v>Verified qualifications do not include active general Life. Current target-pool mismatch; actual historical omission reason unknown.</x:v>
      </x:c>
      <x:c r="L252" s="7" t="str">
        <x:v>Not supplied; membership is known, motive is not</x:v>
      </x:c>
      <x:c r="M252" s="7" t="n">
        <x:v>7</x:v>
      </x:c>
      <x:c r="N252" s="7" t="str">
        <x:v>Outside current general-Life recruiting pool</x:v>
      </x:c>
      <x:c r="O252" s="7" t="str">
        <x:v>Not displayed</x:v>
      </x:c>
      <x:c r="P252" s="7" t="str"/>
      <x:c r="Q252" s="7" t="str"/>
      <x:c r="R252" s="7" t="str"/>
      <x:c r="S252" s="15" t="str"/>
      <x:c r="T252" s="7" t="str">
        <x:v>No public business phone in collected record</x:v>
      </x:c>
      <x:c r="U252" s="7" t="str"/>
      <x:c r="V252" s="7" t="str">
        <x:v>Resident</x:v>
      </x:c>
      <x:c r="W252" s="7" t="str">
        <x:v>CA</x:v>
      </x:c>
      <x:c r="X252" s="7" t="str"/>
      <x:c r="Y252" s="7" t="str"/>
      <x:c r="Z252" s="7" t="str"/>
      <x:c r="AA252" s="7" t="str"/>
      <x:c r="AB252" s="7" t="str"/>
      <x:c r="AC252" s="7" t="str"/>
      <x:c r="AD252" s="7" t="str">
        <x:v>No agency or insurer displayed: onboarding opportunity possible; existing business unknown</x:v>
      </x:c>
      <x:c r="AE252" s="7" t="str">
        <x:v>No public business phone: contact enrichment needed, not proof of poor recruiting fit</x:v>
      </x:c>
      <x:c r="AF252" s="16" t="str"/>
      <x:c r="AG252" s="17" t="str"/>
      <x:c r="AH252" s="7" t="str"/>
      <x:c r="AI252" s="7" t="str"/>
      <x:c r="AJ252" s="7" t="str"/>
      <x:c r="AK252" s="15" t="str"/>
      <x:c r="AL252" s="7" t="str"/>
      <x:c r="AM252" s="7" t="str">
        <x:v>Aguilar A Christopher | AGUILAR ANTHONY CHRISTOPHER</x:v>
      </x:c>
      <x:c r="AN252" s="7" t="str">
        <x:v>https://cdicloud.insurance.ca.gov/cal/LicenseDetail?SearchType=IND&amp;SearchLicNbr=0L74535&amp;SearchIndvId=1938220</x:v>
      </x:c>
      <x:c r="AO252" s="7" t="str">
        <x:v>2026-10-08</x:v>
      </x:c>
      <x:c r="AP252" s="7" t="str">
        <x:v>a22d3325949abd64471ee925f5e18c2a971b50a2ea1c6d877685dd7ff991da62</x:v>
      </x:c>
      <x:c r="AQ252" s="7" t="str">
        <x:v>Accident and Health / Inactive / 05/12/2017 / 05/31/2019 / 05/31/2019
Life-Only / Inactive / 05/12/2017 / 05/31/2019 / 05/31/2019</x:v>
      </x:c>
      <x:c r="AR252" s="7" t="str">
        <x:v>Inactive</x:v>
      </x:c>
      <x:c r="AS252" s="7" t="str">
        <x:v>Current detail page</x:v>
      </x:c>
    </x:row>
    <x:row r="253" ht="52" customHeight="1">
      <x:c r="A253" s="7" t="str">
        <x:v>AGUILAR CHRISTOPHER ISAAC</x:v>
      </x:c>
      <x:c r="B253" s="14" t="str">
        <x:f>"4290194"</x:f>
        <x:v>4290194</x:v>
      </x:c>
      <x:c r="C253" s="7" t="str">
        <x:v>Omitted</x:v>
      </x:c>
      <x:c r="D253" s="7" t="str">
        <x:v>FAIL</x:v>
      </x:c>
      <x:c r="E253" s="13" t="str">
        <x:v>Pending</x:v>
      </x:c>
      <x:c r="F253" s="13" t="str"/>
      <x:c r="G253" s="13" t="str"/>
      <x:c r="H253" s="13" t="str"/>
      <x:c r="I253" s="7" t="str">
        <x:v>Was this person reviewed? If rejected, give the actual rule and evidence. If acceptable, correct the omission. Confirm the Life-qualification gate and any record change since selection.</x:v>
      </x:c>
      <x:c r="J253" s="7" t="str">
        <x:v>L1</x:v>
      </x:c>
      <x:c r="K253" s="7" t="str">
        <x:v>Verified qualifications do not include active general Life. Current target-pool mismatch; actual historical omission reason unknown.</x:v>
      </x:c>
      <x:c r="L253" s="7" t="str">
        <x:v>Not supplied; membership is known, motive is not</x:v>
      </x:c>
      <x:c r="M253" s="7" t="n">
        <x:v>7</x:v>
      </x:c>
      <x:c r="N253" s="7" t="str">
        <x:v>Outside current general-Life recruiting pool</x:v>
      </x:c>
      <x:c r="O253" s="7" t="str">
        <x:v>Inactive</x:v>
      </x:c>
      <x:c r="P253" s="7" t="str">
        <x:v>04/26/2023</x:v>
      </x:c>
      <x:c r="Q253" s="7" t="str">
        <x:v>04/30/2025</x:v>
      </x:c>
      <x:c r="R253" s="7" t="str"/>
      <x:c r="S253" s="15" t="str"/>
      <x:c r="T253" s="7" t="str">
        <x:v>No public business phone in collected record</x:v>
      </x:c>
      <x:c r="U253" s="7" t="str">
        <x:v>511 PLACENTIA AVE PERRIS CA, 92571</x:v>
      </x:c>
      <x:c r="V253" s="7" t="str">
        <x:v>Resident</x:v>
      </x:c>
      <x:c r="W253" s="7" t="str">
        <x:v>CA</x:v>
      </x:c>
      <x:c r="X253" s="7" t="str"/>
      <x:c r="Y253" s="7" t="str"/>
      <x:c r="Z253" s="7" t="str"/>
      <x:c r="AA253" s="7" t="str"/>
      <x:c r="AB253" s="7" t="str"/>
      <x:c r="AC253" s="7" t="str"/>
      <x:c r="AD253" s="7" t="str">
        <x:v>No agency or insurer displayed: onboarding opportunity possible; existing business unknown</x:v>
      </x:c>
      <x:c r="AE253" s="7" t="str">
        <x:v>No public business phone: contact enrichment needed, not proof of poor recruiting fit</x:v>
      </x:c>
      <x:c r="AF253" s="16" t="str"/>
      <x:c r="AG253" s="17" t="str"/>
      <x:c r="AH253" s="7" t="str"/>
      <x:c r="AI253" s="7" t="str"/>
      <x:c r="AJ253" s="7" t="str"/>
      <x:c r="AK253" s="15" t="str"/>
      <x:c r="AL253" s="7" t="str"/>
      <x:c r="AM253" s="7" t="str">
        <x:v>AGUILAR ISAAC CHRISTOPHER</x:v>
      </x:c>
      <x:c r="AN253" s="7" t="str">
        <x:v>https://cdicloud.insurance.ca.gov/cal/LicenseDetail?SearchType=IND&amp;SearchLicNbr=4290194&amp;SearchIndvId=4290194</x:v>
      </x:c>
      <x:c r="AO253" s="7" t="str">
        <x:v>2026-10-08</x:v>
      </x:c>
      <x:c r="AP253" s="7" t="str">
        <x:v>ea6b656924687190852133bf3a9a6e754fbccf37e217dc11b13533f49a646f2e</x:v>
      </x:c>
      <x:c r="AQ253" s="7" t="str">
        <x:v>Accident &amp; Health or Sickness / Inactive / 04/26/2023 / 04/30/2025 / 04/30/2025
Life / Inactive / 04/26/2023 / 04/30/2025 / 04/30/2025</x:v>
      </x:c>
      <x:c r="AR253" s="7" t="str">
        <x:v>Inactive</x:v>
      </x:c>
      <x:c r="AS253" s="7" t="str">
        <x:v>Current detail page</x:v>
      </x:c>
    </x:row>
    <x:row r="254" ht="52" customHeight="1">
      <x:c r="A254" s="7" t="str">
        <x:v>AGUILAR CHRISTOPHER JAMES</x:v>
      </x:c>
      <x:c r="B254" s="14" t="str">
        <x:f>"4175999"</x:f>
        <x:v>4175999</x:v>
      </x:c>
      <x:c r="C254" s="7" t="str">
        <x:v>Omitted</x:v>
      </x:c>
      <x:c r="D254" s="7" t="str">
        <x:v>FAIL</x:v>
      </x:c>
      <x:c r="E254" s="13" t="str">
        <x:v>Pending</x:v>
      </x:c>
      <x:c r="F254" s="13" t="str"/>
      <x:c r="G254" s="13" t="str"/>
      <x:c r="H254" s="13" t="str"/>
      <x:c r="I254" s="7" t="str">
        <x:v>Was this person reviewed? If rejected, give the actual rule and evidence. If acceptable, correct the omission. Confirm the Life-qualification gate and any record change since selection.</x:v>
      </x:c>
      <x:c r="J254" s="7" t="str">
        <x:v>L1</x:v>
      </x:c>
      <x:c r="K254" s="7" t="str">
        <x:v>Verified qualifications do not include active general Life. Current target-pool mismatch; actual historical omission reason unknown.</x:v>
      </x:c>
      <x:c r="L254" s="7" t="str">
        <x:v>Not supplied; membership is known, motive is not</x:v>
      </x:c>
      <x:c r="M254" s="7" t="n">
        <x:v>7</x:v>
      </x:c>
      <x:c r="N254" s="7" t="str">
        <x:v>Outside current general-Life recruiting pool</x:v>
      </x:c>
      <x:c r="O254" s="7" t="str">
        <x:v>Inactive</x:v>
      </x:c>
      <x:c r="P254" s="7" t="str">
        <x:v>12/13/2021</x:v>
      </x:c>
      <x:c r="Q254" s="7" t="str">
        <x:v>12/31/2023</x:v>
      </x:c>
      <x:c r="R254" s="7" t="str"/>
      <x:c r="S254" s="15" t="str">
        <x:v>559-408-4835</x:v>
      </x:c>
      <x:c r="T254" s="7" t="str">
        <x:v>Current CDI</x:v>
      </x:c>
      <x:c r="U254" s="7" t="str">
        <x:v>105 W HERNDON AVE SP. 82 FRESNO CA, 93650</x:v>
      </x:c>
      <x:c r="V254" s="7" t="str">
        <x:v>Resident</x:v>
      </x:c>
      <x:c r="W254" s="7" t="str">
        <x:v>CA</x:v>
      </x:c>
      <x:c r="X254" s="7" t="str"/>
      <x:c r="Y254" s="7" t="str"/>
      <x:c r="Z254" s="7" t="str"/>
      <x:c r="AA254" s="7" t="str"/>
      <x:c r="AB254" s="7" t="str"/>
      <x:c r="AC254" s="7" t="str"/>
      <x:c r="AD254" s="7" t="str">
        <x:v>No agency or insurer displayed: onboarding opportunity possible; existing business unknown</x:v>
      </x:c>
      <x:c r="AE254" s="7" t="str"/>
      <x:c r="AF254" s="16" t="str"/>
      <x:c r="AG254" s="17" t="str"/>
      <x:c r="AH254" s="7" t="str"/>
      <x:c r="AI254" s="7" t="str">
        <x:v>English</x:v>
      </x:c>
      <x:c r="AJ254" s="7" t="str"/>
      <x:c r="AK254" s="15" t="str"/>
      <x:c r="AL254" s="7" t="str"/>
      <x:c r="AM254" s="7" t="str">
        <x:v>AGUILAR James CHRISTOPHER</x:v>
      </x:c>
      <x:c r="AN254" s="7" t="str">
        <x:v>https://cdicloud.insurance.ca.gov/cal/LicenseDetail?SearchType=IND&amp;SearchLicNbr=4175999&amp;SearchIndvId=4175999</x:v>
      </x:c>
      <x:c r="AO254" s="7" t="str">
        <x:v>2026-10-08</x:v>
      </x:c>
      <x:c r="AP254" s="7" t="str">
        <x:v>f43a4898bf3da6541944d7848967fefa359d8a3e2db6cd07afa303467aa95680</x:v>
      </x:c>
      <x:c r="AQ254" s="7" t="str">
        <x:v>Accident &amp; Health or Sickness / Inactive / 12/13/2021 / 12/31/2023 / 12/31/2023
Life / Inactive / 12/13/2021 / 12/31/2023 / 12/31/2023</x:v>
      </x:c>
      <x:c r="AR254" s="7" t="str">
        <x:v>Inactive</x:v>
      </x:c>
      <x:c r="AS254" s="7" t="str">
        <x:v>Current detail page</x:v>
      </x:c>
    </x:row>
    <x:row r="255" ht="52" customHeight="1">
      <x:c r="A255" s="7" t="str">
        <x:v>AGUILAR CHRISTOPHER PAUL</x:v>
      </x:c>
      <x:c r="B255" s="14" t="str">
        <x:f>"0E66525"</x:f>
        <x:v>0E66525</x:v>
      </x:c>
      <x:c r="C255" s="7" t="str">
        <x:v>Omitted</x:v>
      </x:c>
      <x:c r="D255" s="7" t="str">
        <x:v>FAIL</x:v>
      </x:c>
      <x:c r="E255" s="13" t="str">
        <x:v>Pending</x:v>
      </x:c>
      <x:c r="F255" s="13" t="str"/>
      <x:c r="G255" s="13" t="str"/>
      <x:c r="H255" s="13" t="str"/>
      <x:c r="I255" s="7" t="str">
        <x:v>Was this person reviewed? If rejected, give the actual rule and evidence. If acceptable, correct the omission. Confirm the Life-qualification gate and any record change since selection.</x:v>
      </x:c>
      <x:c r="J255" s="7" t="str">
        <x:v>L1</x:v>
      </x:c>
      <x:c r="K255" s="7" t="str">
        <x:v>Verified qualifications do not include active general Life. Current target-pool mismatch; actual historical omission reason unknown.</x:v>
      </x:c>
      <x:c r="L255" s="7" t="str">
        <x:v>Not supplied; membership is known, motive is not</x:v>
      </x:c>
      <x:c r="M255" s="7" t="n">
        <x:v>7</x:v>
      </x:c>
      <x:c r="N255" s="7" t="str">
        <x:v>Outside current general-Life recruiting pool</x:v>
      </x:c>
      <x:c r="O255" s="7" t="str">
        <x:v>Not displayed</x:v>
      </x:c>
      <x:c r="P255" s="7" t="str"/>
      <x:c r="Q255" s="7" t="str"/>
      <x:c r="R255" s="7" t="str"/>
      <x:c r="S255" s="15" t="str"/>
      <x:c r="T255" s="7" t="str">
        <x:v>No public business phone in collected record</x:v>
      </x:c>
      <x:c r="U255" s="7" t="str"/>
      <x:c r="V255" s="7" t="str">
        <x:v>Resident</x:v>
      </x:c>
      <x:c r="W255" s="7" t="str">
        <x:v>CA</x:v>
      </x:c>
      <x:c r="X255" s="7" t="str"/>
      <x:c r="Y255" s="7" t="str"/>
      <x:c r="Z255" s="7" t="str"/>
      <x:c r="AA255" s="7" t="str"/>
      <x:c r="AB255" s="7" t="str"/>
      <x:c r="AC255" s="7" t="str"/>
      <x:c r="AD255" s="7" t="str">
        <x:v>No agency or insurer displayed: onboarding opportunity possible; existing business unknown</x:v>
      </x:c>
      <x:c r="AE255" s="7" t="str">
        <x:v>No public business phone: contact enrichment needed, not proof of poor recruiting fit</x:v>
      </x:c>
      <x:c r="AF255" s="16" t="str"/>
      <x:c r="AG255" s="17" t="str"/>
      <x:c r="AH255" s="7" t="str"/>
      <x:c r="AI255" s="7" t="str"/>
      <x:c r="AJ255" s="7" t="str"/>
      <x:c r="AK255" s="15" t="str"/>
      <x:c r="AL255" s="7" t="str"/>
      <x:c r="AM255" s="7" t="str">
        <x:v>AGUILAR PAUL CHRISTOPHER</x:v>
      </x:c>
      <x:c r="AN255" s="7" t="str">
        <x:v>https://cdicloud.insurance.ca.gov/cal/LicenseDetail?SearchType=IND&amp;SearchLicNbr=0E66525&amp;SearchIndvId=930407</x:v>
      </x:c>
      <x:c r="AO255" s="7" t="str">
        <x:v>2026-10-08</x:v>
      </x:c>
      <x:c r="AP255" s="7" t="str">
        <x:v>c8f336076a6936386a302876378bb62f2adab9da22b054a58452affa6766752c</x:v>
      </x:c>
      <x:c r="AQ255" s="7" t="str">
        <x:v>Accident and Health / Inactive / 12/17/2004 / 12/31/2006 / 12/31/2006
Life-Only / Inactive / 12/17/2004 / 12/31/2006 / 12/31/2006</x:v>
      </x:c>
      <x:c r="AR255" s="7" t="str">
        <x:v>Inactive</x:v>
      </x:c>
      <x:c r="AS255" s="7" t="str">
        <x:v>Current detail page</x:v>
      </x:c>
    </x:row>
    <x:row r="256" ht="52" customHeight="1">
      <x:c r="A256" s="7" t="str">
        <x:v>AGUILAR CHRISTOPHER SCOTT</x:v>
      </x:c>
      <x:c r="B256" s="14" t="str">
        <x:f>"4107500"</x:f>
        <x:v>4107500</x:v>
      </x:c>
      <x:c r="C256" s="7" t="str">
        <x:v>Omitted</x:v>
      </x:c>
      <x:c r="D256" s="7" t="str">
        <x:v>FAIL</x:v>
      </x:c>
      <x:c r="E256" s="13" t="str">
        <x:v>Pending</x:v>
      </x:c>
      <x:c r="F256" s="13" t="str"/>
      <x:c r="G256" s="13" t="str"/>
      <x:c r="H256" s="13" t="str"/>
      <x:c r="I256" s="7" t="str">
        <x:v>Was this person reviewed? If rejected, give the actual rule and evidence. If acceptable, correct the omission. Confirm the Life-qualification gate and any record change since selection.</x:v>
      </x:c>
      <x:c r="J256" s="7" t="str">
        <x:v>L1</x:v>
      </x:c>
      <x:c r="K256" s="7" t="str">
        <x:v>Verified qualifications do not include active general Life. Current target-pool mismatch; actual historical omission reason unknown.</x:v>
      </x:c>
      <x:c r="L256" s="7" t="str">
        <x:v>Not supplied; membership is known, motive is not</x:v>
      </x:c>
      <x:c r="M256" s="7" t="n">
        <x:v>7</x:v>
      </x:c>
      <x:c r="N256" s="7" t="str">
        <x:v>Outside current general-Life recruiting pool</x:v>
      </x:c>
      <x:c r="O256" s="7" t="str">
        <x:v>Not displayed</x:v>
      </x:c>
      <x:c r="P256" s="7" t="str"/>
      <x:c r="Q256" s="7" t="str"/>
      <x:c r="R256" s="7" t="str"/>
      <x:c r="S256" s="15" t="str"/>
      <x:c r="T256" s="7" t="str">
        <x:v>No public business phone in collected record</x:v>
      </x:c>
      <x:c r="U256" s="7" t="str">
        <x:v>3333 FAIRVIEW RD # A124 COSTA MESA CA, 92626-1610</x:v>
      </x:c>
      <x:c r="V256" s="7" t="str">
        <x:v>Resident</x:v>
      </x:c>
      <x:c r="W256" s="7" t="str">
        <x:v>CA</x:v>
      </x:c>
      <x:c r="X256" s="7" t="str"/>
      <x:c r="Y256" s="7" t="str"/>
      <x:c r="Z256" s="7" t="str"/>
      <x:c r="AA256" s="7" t="str"/>
      <x:c r="AB256" s="7" t="str"/>
      <x:c r="AC256" s="7" t="str"/>
      <x:c r="AD256" s="7" t="str">
        <x:v>No agency or insurer displayed: onboarding opportunity possible; existing business unknown</x:v>
      </x:c>
      <x:c r="AE256" s="7" t="str">
        <x:v>No public business phone: contact enrichment needed, not proof of poor recruiting fit</x:v>
      </x:c>
      <x:c r="AF256" s="16" t="str"/>
      <x:c r="AG256" s="17" t="str"/>
      <x:c r="AH256" s="7" t="str"/>
      <x:c r="AI256" s="7" t="str">
        <x:v>English</x:v>
      </x:c>
      <x:c r="AJ256" s="7" t="str"/>
      <x:c r="AK256" s="15" t="str"/>
      <x:c r="AL256" s="7" t="str"/>
      <x:c r="AM256" s="7" t="str">
        <x:v>AGUILAR SCOTT CHRISTOPHER</x:v>
      </x:c>
      <x:c r="AN256" s="7" t="str">
        <x:v>https://cdicloud.insurance.ca.gov/cal/LicenseDetail?SearchType=IND&amp;SearchLicNbr=4107500&amp;SearchIndvId=4107500</x:v>
      </x:c>
      <x:c r="AO256" s="7" t="str">
        <x:v>2026-10-08</x:v>
      </x:c>
      <x:c r="AP256" s="7" t="str">
        <x:v>30f85d32e82044c1a820ad6ccb14251a840a9e044b53ddaad51726cb2f831610</x:v>
      </x:c>
      <x:c r="AQ256" s="7" t="str">
        <x:v>Personal Lines / Inactive / 03/23/2021 / 03/31/2025 / 03/31/2025</x:v>
      </x:c>
      <x:c r="AR256" s="7" t="str">
        <x:v>Inactive</x:v>
      </x:c>
      <x:c r="AS256" s="7" t="str">
        <x:v>Current detail page</x:v>
      </x:c>
    </x:row>
    <x:row r="257" ht="52" customHeight="1">
      <x:c r="A257" s="7" t="str">
        <x:v>AGUILAR CINDY ANN</x:v>
      </x:c>
      <x:c r="B257" s="14" t="str">
        <x:f>"0C98470"</x:f>
        <x:v>0C98470</x:v>
      </x:c>
      <x:c r="C257" s="7" t="str">
        <x:v>Omitted</x:v>
      </x:c>
      <x:c r="D257" s="7" t="str">
        <x:v>FAIL</x:v>
      </x:c>
      <x:c r="E257" s="13" t="str">
        <x:v>Pending</x:v>
      </x:c>
      <x:c r="F257" s="13" t="str"/>
      <x:c r="G257" s="13" t="str"/>
      <x:c r="H257" s="13" t="str"/>
      <x:c r="I257" s="7" t="str">
        <x:v>Was this person reviewed? If rejected, give the actual rule and evidence. If acceptable, correct the omission. Confirm the Life-qualification gate and any record change since selection.</x:v>
      </x:c>
      <x:c r="J257" s="7" t="str">
        <x:v>L1</x:v>
      </x:c>
      <x:c r="K257" s="7" t="str">
        <x:v>Verified qualifications do not include active general Life. Current target-pool mismatch; actual historical omission reason unknown.</x:v>
      </x:c>
      <x:c r="L257" s="7" t="str">
        <x:v>Not supplied; membership is known, motive is not</x:v>
      </x:c>
      <x:c r="M257" s="7" t="n">
        <x:v>7</x:v>
      </x:c>
      <x:c r="N257" s="7" t="str">
        <x:v>Outside current general-Life recruiting pool</x:v>
      </x:c>
      <x:c r="O257" s="7" t="str">
        <x:v>Not displayed</x:v>
      </x:c>
      <x:c r="P257" s="7" t="str"/>
      <x:c r="Q257" s="7" t="str"/>
      <x:c r="R257" s="7" t="str"/>
      <x:c r="S257" s="15" t="str"/>
      <x:c r="T257" s="7" t="str">
        <x:v>No public business phone in collected record</x:v>
      </x:c>
      <x:c r="U257" s="7" t="str"/>
      <x:c r="V257" s="7" t="str">
        <x:v>Resident</x:v>
      </x:c>
      <x:c r="W257" s="7" t="str">
        <x:v>CA</x:v>
      </x:c>
      <x:c r="X257" s="7" t="str"/>
      <x:c r="Y257" s="7" t="str"/>
      <x:c r="Z257" s="7" t="str"/>
      <x:c r="AA257" s="7" t="str"/>
      <x:c r="AB257" s="7" t="str"/>
      <x:c r="AC257" s="7" t="str"/>
      <x:c r="AD257" s="7" t="str">
        <x:v>No agency or insurer displayed: onboarding opportunity possible; existing business unknown</x:v>
      </x:c>
      <x:c r="AE257" s="7" t="str">
        <x:v>No public business phone: contact enrichment needed, not proof of poor recruiting fit</x:v>
      </x:c>
      <x:c r="AF257" s="16" t="str"/>
      <x:c r="AG257" s="17" t="str"/>
      <x:c r="AH257" s="7" t="str"/>
      <x:c r="AI257" s="7" t="str"/>
      <x:c r="AJ257" s="7" t="str"/>
      <x:c r="AK257" s="15" t="str"/>
      <x:c r="AL257" s="7" t="str"/>
      <x:c r="AM257" s="7" t="str">
        <x:v>AGUILAR ANN CINDY</x:v>
      </x:c>
      <x:c r="AN257" s="7" t="str">
        <x:v>https://cdicloud.insurance.ca.gov/cal/LicenseDetail?SearchType=IND&amp;SearchLicNbr=0C98470&amp;SearchIndvId=455961</x:v>
      </x:c>
      <x:c r="AO257" s="7" t="str">
        <x:v>2026-10-08</x:v>
      </x:c>
      <x:c r="AP257" s="7" t="str">
        <x:v>89dddc870990646715be344f23eb007382636ec965ddd9308ddb9547ee7ee433</x:v>
      </x:c>
      <x:c r="AQ257" s="7" t="str">
        <x:v>Accident and Health / Inactive / 06/20/2000 / 06/30/2004 / 06/30/2004
Life-Only / Inactive / 06/20/2000 / 06/30/2004 / 06/30/2004</x:v>
      </x:c>
      <x:c r="AR257" s="7" t="str">
        <x:v>Inactive</x:v>
      </x:c>
      <x:c r="AS257" s="7" t="str">
        <x:v>Current detail page</x:v>
      </x:c>
    </x:row>
    <x:row r="258" ht="52" customHeight="1">
      <x:c r="A258" s="7" t="str">
        <x:v>AGUILAR CINDY YSABEL</x:v>
      </x:c>
      <x:c r="B258" s="14" t="str">
        <x:f>"0H65575"</x:f>
        <x:v>0H65575</x:v>
      </x:c>
      <x:c r="C258" s="7" t="str">
        <x:v>Omitted</x:v>
      </x:c>
      <x:c r="D258" s="7" t="str">
        <x:v>FAIL</x:v>
      </x:c>
      <x:c r="E258" s="13" t="str">
        <x:v>Pending</x:v>
      </x:c>
      <x:c r="F258" s="13" t="str"/>
      <x:c r="G258" s="13" t="str"/>
      <x:c r="H258" s="13" t="str"/>
      <x:c r="I258" s="7" t="str">
        <x:v>Was this person reviewed? If rejected, give the actual rule and evidence. If acceptable, correct the omission. Confirm the Life-qualification gate and any record change since selection.</x:v>
      </x:c>
      <x:c r="J258" s="7" t="str">
        <x:v>L1</x:v>
      </x:c>
      <x:c r="K258" s="7" t="str">
        <x:v>Verified qualifications do not include active general Life. Current target-pool mismatch; actual historical omission reason unknown.</x:v>
      </x:c>
      <x:c r="L258" s="7" t="str">
        <x:v>Not supplied; membership is known, motive is not</x:v>
      </x:c>
      <x:c r="M258" s="7" t="n">
        <x:v>7</x:v>
      </x:c>
      <x:c r="N258" s="7" t="str">
        <x:v>Outside current general-Life recruiting pool</x:v>
      </x:c>
      <x:c r="O258" s="7" t="str">
        <x:v>Not displayed</x:v>
      </x:c>
      <x:c r="P258" s="7" t="str"/>
      <x:c r="Q258" s="7" t="str"/>
      <x:c r="R258" s="7" t="str"/>
      <x:c r="S258" s="15" t="str"/>
      <x:c r="T258" s="7" t="str">
        <x:v>No public business phone in collected record</x:v>
      </x:c>
      <x:c r="U258" s="7" t="str"/>
      <x:c r="V258" s="7" t="str">
        <x:v>Resident</x:v>
      </x:c>
      <x:c r="W258" s="7" t="str">
        <x:v>CA</x:v>
      </x:c>
      <x:c r="X258" s="7" t="str"/>
      <x:c r="Y258" s="7" t="str"/>
      <x:c r="Z258" s="7" t="str"/>
      <x:c r="AA258" s="7" t="str"/>
      <x:c r="AB258" s="7" t="str"/>
      <x:c r="AC258" s="7" t="str"/>
      <x:c r="AD258" s="7" t="str">
        <x:v>No agency or insurer displayed: onboarding opportunity possible; existing business unknown</x:v>
      </x:c>
      <x:c r="AE258" s="7" t="str">
        <x:v>No public business phone: contact enrichment needed, not proof of poor recruiting fit</x:v>
      </x:c>
      <x:c r="AF258" s="16" t="str"/>
      <x:c r="AG258" s="17" t="str"/>
      <x:c r="AH258" s="7" t="str"/>
      <x:c r="AI258" s="7" t="str"/>
      <x:c r="AJ258" s="7" t="str"/>
      <x:c r="AK258" s="15" t="str"/>
      <x:c r="AL258" s="7" t="str"/>
      <x:c r="AM258" s="7" t="str">
        <x:v>AGUILAR YSABEL CINDY</x:v>
      </x:c>
      <x:c r="AN258" s="7" t="str">
        <x:v>https://cdicloud.insurance.ca.gov/cal/LicenseDetail?SearchType=IND&amp;SearchLicNbr=0H65575&amp;SearchIndvId=1487942</x:v>
      </x:c>
      <x:c r="AO258" s="7" t="str">
        <x:v>2026-10-08</x:v>
      </x:c>
      <x:c r="AP258" s="7" t="str">
        <x:v>3f38c8fd0538a8d720a0096a44f533853deefa19461abc121ae3d1127a105bb1</x:v>
      </x:c>
      <x:c r="AQ258" s="7" t="str">
        <x:v>Casualty Broker-Agent / Inactive / 11/14/2011 / 11/30/2013 / 11/30/2013
Property Broker-Agent / Inactive / 11/14/2011 / 11/30/2013 / 11/30/2013</x:v>
      </x:c>
      <x:c r="AR258" s="7" t="str">
        <x:v>Inactive</x:v>
      </x:c>
      <x:c r="AS258" s="7" t="str">
        <x:v>Current detail page</x:v>
      </x:c>
    </x:row>
    <x:row r="259" ht="52" customHeight="1">
      <x:c r="A259" s="7" t="str">
        <x:v>AGUILAR CLARISSA ANIK</x:v>
      </x:c>
      <x:c r="B259" s="14" t="str">
        <x:f>"0F21596"</x:f>
        <x:v>0F21596</x:v>
      </x:c>
      <x:c r="C259" s="7" t="str">
        <x:v>Omitted</x:v>
      </x:c>
      <x:c r="D259" s="7" t="str">
        <x:v>FAIL</x:v>
      </x:c>
      <x:c r="E259" s="13" t="str">
        <x:v>Pending</x:v>
      </x:c>
      <x:c r="F259" s="13" t="str"/>
      <x:c r="G259" s="13" t="str"/>
      <x:c r="H259" s="13" t="str"/>
      <x:c r="I259" s="7" t="str">
        <x:v>Was this person reviewed? If rejected, give the actual rule and evidence. If acceptable, correct the omission. Confirm the Life-qualification gate and any record change since selection.</x:v>
      </x:c>
      <x:c r="J259" s="7" t="str">
        <x:v>L1</x:v>
      </x:c>
      <x:c r="K259" s="7" t="str">
        <x:v>Verified qualifications do not include active general Life. Current target-pool mismatch; actual historical omission reason unknown.</x:v>
      </x:c>
      <x:c r="L259" s="7" t="str">
        <x:v>Not supplied; membership is known, motive is not</x:v>
      </x:c>
      <x:c r="M259" s="7" t="n">
        <x:v>7</x:v>
      </x:c>
      <x:c r="N259" s="7" t="str">
        <x:v>Outside current general-Life recruiting pool</x:v>
      </x:c>
      <x:c r="O259" s="7" t="str">
        <x:v>Not displayed</x:v>
      </x:c>
      <x:c r="P259" s="7" t="str"/>
      <x:c r="Q259" s="7" t="str"/>
      <x:c r="R259" s="7" t="str"/>
      <x:c r="S259" s="15" t="str"/>
      <x:c r="T259" s="7" t="str">
        <x:v>No public business phone in collected record</x:v>
      </x:c>
      <x:c r="U259" s="7" t="str"/>
      <x:c r="V259" s="7" t="str">
        <x:v>Resident</x:v>
      </x:c>
      <x:c r="W259" s="7" t="str">
        <x:v>CA</x:v>
      </x:c>
      <x:c r="X259" s="7" t="str"/>
      <x:c r="Y259" s="7" t="str"/>
      <x:c r="Z259" s="7" t="str"/>
      <x:c r="AA259" s="7" t="str"/>
      <x:c r="AB259" s="7" t="str"/>
      <x:c r="AC259" s="7" t="str"/>
      <x:c r="AD259" s="7" t="str">
        <x:v>No agency or insurer displayed: onboarding opportunity possible; existing business unknown</x:v>
      </x:c>
      <x:c r="AE259" s="7" t="str">
        <x:v>No public business phone: contact enrichment needed, not proof of poor recruiting fit</x:v>
      </x:c>
      <x:c r="AF259" s="16" t="str"/>
      <x:c r="AG259" s="17" t="str"/>
      <x:c r="AH259" s="7" t="str"/>
      <x:c r="AI259" s="7" t="str"/>
      <x:c r="AJ259" s="7" t="str"/>
      <x:c r="AK259" s="15" t="str"/>
      <x:c r="AL259" s="7" t="str"/>
      <x:c r="AM259" s="7" t="str">
        <x:v>AGUILAR ANIK CLARISSA</x:v>
      </x:c>
      <x:c r="AN259" s="7" t="str">
        <x:v>https://cdicloud.insurance.ca.gov/cal/LicenseDetail?SearchType=IND&amp;SearchLicNbr=0F21596&amp;SearchIndvId=1029953</x:v>
      </x:c>
      <x:c r="AO259" s="7" t="str">
        <x:v>2026-10-08</x:v>
      </x:c>
      <x:c r="AP259" s="7" t="str">
        <x:v>5a3e97253935449cf2cb80f62f816d9626f237c37efcbf20cc9dca5cbcbb3741</x:v>
      </x:c>
      <x:c r="AQ259" s="7" t="str">
        <x:v>Casualty Broker-Agent / Inactive / 06/08/2006 / 06/30/2008 / 06/30/2008
Property Broker-Agent / Inactive / 06/08/2006 / 06/30/2008 / 06/30/2008</x:v>
      </x:c>
      <x:c r="AR259" s="7" t="str">
        <x:v>Inactive</x:v>
      </x:c>
      <x:c r="AS259" s="7" t="str">
        <x:v>Current detail page</x:v>
      </x:c>
    </x:row>
    <x:row r="260" ht="52" customHeight="1">
      <x:c r="A260" s="7" t="str">
        <x:v>AGUILAR CLARISSA ANN SAGPAO</x:v>
      </x:c>
      <x:c r="B260" s="14" t="str">
        <x:f>"0C68253"</x:f>
        <x:v>0C68253</x:v>
      </x:c>
      <x:c r="C260" s="7" t="str">
        <x:v>Omitted</x:v>
      </x:c>
      <x:c r="D260" s="7" t="str">
        <x:v>FAIL</x:v>
      </x:c>
      <x:c r="E260" s="13" t="str">
        <x:v>Pending</x:v>
      </x:c>
      <x:c r="F260" s="13" t="str"/>
      <x:c r="G260" s="13" t="str"/>
      <x:c r="H260" s="13" t="str"/>
      <x:c r="I260" s="7" t="str">
        <x:v>Was this person reviewed? If rejected, give the actual rule and evidence. If acceptable, correct the omission. Confirm the Life-qualification gate and any record change since selection.</x:v>
      </x:c>
      <x:c r="J260" s="7" t="str">
        <x:v>L1</x:v>
      </x:c>
      <x:c r="K260" s="7" t="str">
        <x:v>Verified qualifications do not include active general Life. Current target-pool mismatch; actual historical omission reason unknown.</x:v>
      </x:c>
      <x:c r="L260" s="7" t="str">
        <x:v>Not supplied; membership is known, motive is not</x:v>
      </x:c>
      <x:c r="M260" s="7" t="n">
        <x:v>7</x:v>
      </x:c>
      <x:c r="N260" s="7" t="str">
        <x:v>Outside current general-Life recruiting pool</x:v>
      </x:c>
      <x:c r="O260" s="7" t="str">
        <x:v>Not displayed</x:v>
      </x:c>
      <x:c r="P260" s="7" t="str"/>
      <x:c r="Q260" s="7" t="str"/>
      <x:c r="R260" s="7" t="str"/>
      <x:c r="S260" s="15" t="str"/>
      <x:c r="T260" s="7" t="str">
        <x:v>No public business phone in collected record</x:v>
      </x:c>
      <x:c r="U260" s="7" t="str"/>
      <x:c r="V260" s="7" t="str">
        <x:v>Resident</x:v>
      </x:c>
      <x:c r="W260" s="7" t="str">
        <x:v>CA</x:v>
      </x:c>
      <x:c r="X260" s="7" t="str"/>
      <x:c r="Y260" s="7" t="str"/>
      <x:c r="Z260" s="7" t="str"/>
      <x:c r="AA260" s="7" t="str"/>
      <x:c r="AB260" s="7" t="str"/>
      <x:c r="AC260" s="7" t="str"/>
      <x:c r="AD260" s="7" t="str">
        <x:v>No agency or insurer displayed: onboarding opportunity possible; existing business unknown</x:v>
      </x:c>
      <x:c r="AE260" s="7" t="str">
        <x:v>No public business phone: contact enrichment needed, not proof of poor recruiting fit</x:v>
      </x:c>
      <x:c r="AF260" s="16" t="str"/>
      <x:c r="AG260" s="17" t="str"/>
      <x:c r="AH260" s="7" t="str"/>
      <x:c r="AI260" s="7" t="str"/>
      <x:c r="AJ260" s="7" t="str"/>
      <x:c r="AK260" s="15" t="str"/>
      <x:c r="AL260" s="7" t="str"/>
      <x:c r="AM260" s="7" t="str">
        <x:v>AGUILAR SAGPAO CLARISSA ANN</x:v>
      </x:c>
      <x:c r="AN260" s="7" t="str">
        <x:v>https://cdicloud.insurance.ca.gov/cal/LicenseDetail?SearchType=IND&amp;SearchLicNbr=0C68253&amp;SearchIndvId=449965</x:v>
      </x:c>
      <x:c r="AO260" s="7" t="str">
        <x:v>2026-10-08</x:v>
      </x:c>
      <x:c r="AP260" s="7" t="str">
        <x:v>376bc769d03592539f2b6525baf0b2e1b0607cc51331b7dcc7305ba00a397cf1</x:v>
      </x:c>
      <x:c r="AQ260" s="7" t="str">
        <x:v>Accident and Health / Inactive / 08/09/1999 / 08/31/2001 / 08/31/2001
Life-Only / Inactive / 08/09/1999 / 08/31/2001 / 08/31/2001</x:v>
      </x:c>
      <x:c r="AR260" s="7" t="str">
        <x:v>Inactive</x:v>
      </x:c>
      <x:c r="AS260" s="7" t="str">
        <x:v>Current detail page</x:v>
      </x:c>
    </x:row>
    <x:row r="261" ht="52" customHeight="1">
      <x:c r="A261" s="7" t="str">
        <x:v>AGUILAR CLARISSA JOANNA</x:v>
      </x:c>
      <x:c r="B261" s="14" t="str">
        <x:f>"0L11653"</x:f>
        <x:v>0L11653</x:v>
      </x:c>
      <x:c r="C261" s="7" t="str">
        <x:v>Omitted</x:v>
      </x:c>
      <x:c r="D261" s="7" t="str">
        <x:v>FAIL</x:v>
      </x:c>
      <x:c r="E261" s="13" t="str">
        <x:v>Pending</x:v>
      </x:c>
      <x:c r="F261" s="13" t="str"/>
      <x:c r="G261" s="13" t="str"/>
      <x:c r="H261" s="13" t="str"/>
      <x:c r="I261" s="7" t="str">
        <x:v>Was this person reviewed? If rejected, give the actual rule and evidence. If acceptable, correct the omission. Confirm the Life-qualification gate and any record change since selection.</x:v>
      </x:c>
      <x:c r="J261" s="7" t="str">
        <x:v>L1</x:v>
      </x:c>
      <x:c r="K261" s="7" t="str">
        <x:v>Verified qualifications do not include active general Life. Current target-pool mismatch; actual historical omission reason unknown.</x:v>
      </x:c>
      <x:c r="L261" s="7" t="str">
        <x:v>Not supplied; membership is known, motive is not</x:v>
      </x:c>
      <x:c r="M261" s="7" t="n">
        <x:v>7</x:v>
      </x:c>
      <x:c r="N261" s="7" t="str">
        <x:v>Outside current general-Life recruiting pool</x:v>
      </x:c>
      <x:c r="O261" s="7" t="str">
        <x:v>Not displayed</x:v>
      </x:c>
      <x:c r="P261" s="7" t="str"/>
      <x:c r="Q261" s="7" t="str"/>
      <x:c r="R261" s="7" t="str"/>
      <x:c r="S261" s="15" t="str"/>
      <x:c r="T261" s="7" t="str">
        <x:v>No public business phone in collected record</x:v>
      </x:c>
      <x:c r="U261" s="7" t="str"/>
      <x:c r="V261" s="7" t="str">
        <x:v>Non-resident</x:v>
      </x:c>
      <x:c r="W261" s="7" t="str">
        <x:v>TX</x:v>
      </x:c>
      <x:c r="X261" s="7" t="str"/>
      <x:c r="Y261" s="7" t="str"/>
      <x:c r="Z261" s="7" t="str"/>
      <x:c r="AA261" s="7" t="str"/>
      <x:c r="AB261" s="7" t="str"/>
      <x:c r="AC261" s="7" t="str"/>
      <x:c r="AD261" s="7" t="str">
        <x:v>No agency or insurer displayed: onboarding opportunity possible; existing business unknown</x:v>
      </x:c>
      <x:c r="AE261" s="7" t="str">
        <x:v>Nonresident or address state outside CA; confirm geographic recruiting scope | No public business phone: contact enrichment needed, not proof of poor recruiting fit</x:v>
      </x:c>
      <x:c r="AF261" s="16" t="str"/>
      <x:c r="AG261" s="17" t="str"/>
      <x:c r="AH261" s="7" t="str"/>
      <x:c r="AI261" s="7" t="str"/>
      <x:c r="AJ261" s="7" t="str"/>
      <x:c r="AK261" s="15" t="str"/>
      <x:c r="AL261" s="7" t="str"/>
      <x:c r="AM261" s="7" t="str">
        <x:v>AGUILAR JOANNA CLARISSA</x:v>
      </x:c>
      <x:c r="AN261" s="7" t="str">
        <x:v>https://cdicloud.insurance.ca.gov/cal/LicenseDetail?SearchType=IND&amp;SearchLicNbr=0L11653&amp;SearchIndvId=1866335</x:v>
      </x:c>
      <x:c r="AO261" s="7" t="str">
        <x:v>2026-10-08</x:v>
      </x:c>
      <x:c r="AP261" s="7" t="str">
        <x:v>b7a1d7c4b397e00168fa49fd598e2d8d0746d8020161d115bde13d2d6fca4842</x:v>
      </x:c>
      <x:c r="AQ261" s="7" t="str">
        <x:v>Accident and Health / Inactive / 09/12/2016 / 09/30/2018 / 09/30/2018</x:v>
      </x:c>
      <x:c r="AR261" s="7" t="str">
        <x:v>Inactive</x:v>
      </x:c>
      <x:c r="AS261" s="7" t="str">
        <x:v>Current detail page</x:v>
      </x:c>
    </x:row>
    <x:row r="262" ht="52" customHeight="1">
      <x:c r="A262" s="7" t="str">
        <x:v>AGUILAR CLAUDIA REGINA</x:v>
      </x:c>
      <x:c r="B262" s="14" t="str">
        <x:f>"0K02192"</x:f>
        <x:v>0K02192</x:v>
      </x:c>
      <x:c r="C262" s="7" t="str">
        <x:v>Omitted</x:v>
      </x:c>
      <x:c r="D262" s="7" t="str">
        <x:v>FAIL</x:v>
      </x:c>
      <x:c r="E262" s="13" t="str">
        <x:v>Pending</x:v>
      </x:c>
      <x:c r="F262" s="13" t="str"/>
      <x:c r="G262" s="13" t="str"/>
      <x:c r="H262" s="13" t="str"/>
      <x:c r="I262" s="7" t="str">
        <x:v>Was this person reviewed? If rejected, give the actual rule and evidence. If acceptable, correct the omission. Confirm the Life-qualification gate and any record change since selection.</x:v>
      </x:c>
      <x:c r="J262" s="7" t="str">
        <x:v>L1</x:v>
      </x:c>
      <x:c r="K262" s="7" t="str">
        <x:v>Verified qualifications do not include active general Life. Current target-pool mismatch; actual historical omission reason unknown.</x:v>
      </x:c>
      <x:c r="L262" s="7" t="str">
        <x:v>Not supplied; membership is known, motive is not</x:v>
      </x:c>
      <x:c r="M262" s="7" t="n">
        <x:v>7</x:v>
      </x:c>
      <x:c r="N262" s="7" t="str">
        <x:v>Outside current general-Life recruiting pool</x:v>
      </x:c>
      <x:c r="O262" s="7" t="str">
        <x:v>Not displayed</x:v>
      </x:c>
      <x:c r="P262" s="7" t="str"/>
      <x:c r="Q262" s="7" t="str"/>
      <x:c r="R262" s="7" t="str"/>
      <x:c r="S262" s="15" t="str"/>
      <x:c r="T262" s="7" t="str">
        <x:v>No public business phone in collected record</x:v>
      </x:c>
      <x:c r="U262" s="7" t="str"/>
      <x:c r="V262" s="7" t="str">
        <x:v>Resident</x:v>
      </x:c>
      <x:c r="W262" s="7" t="str">
        <x:v>CA</x:v>
      </x:c>
      <x:c r="X262" s="7" t="str"/>
      <x:c r="Y262" s="7" t="str"/>
      <x:c r="Z262" s="7" t="str"/>
      <x:c r="AA262" s="7" t="str"/>
      <x:c r="AB262" s="7" t="str"/>
      <x:c r="AC262" s="7" t="str"/>
      <x:c r="AD262" s="7" t="str">
        <x:v>No agency or insurer displayed: onboarding opportunity possible; existing business unknown</x:v>
      </x:c>
      <x:c r="AE262" s="7" t="str">
        <x:v>No public business phone: contact enrichment needed, not proof of poor recruiting fit</x:v>
      </x:c>
      <x:c r="AF262" s="16" t="str"/>
      <x:c r="AG262" s="17" t="str"/>
      <x:c r="AH262" s="7" t="str"/>
      <x:c r="AI262" s="7" t="str"/>
      <x:c r="AJ262" s="7" t="str"/>
      <x:c r="AK262" s="15" t="str"/>
      <x:c r="AL262" s="7" t="str"/>
      <x:c r="AM262" s="7" t="str">
        <x:v>AGUILAR REGINA CLAUDIA</x:v>
      </x:c>
      <x:c r="AN262" s="7" t="str">
        <x:v>https://cdicloud.insurance.ca.gov/cal/LicenseDetail?SearchType=IND&amp;SearchLicNbr=0K02192&amp;SearchIndvId=1708740</x:v>
      </x:c>
      <x:c r="AO262" s="7" t="str">
        <x:v>2026-10-08</x:v>
      </x:c>
      <x:c r="AP262" s="7" t="str">
        <x:v>f5c9dbe8c3e54afafc41fd210989a08d3e673d46f92fab149bfdcc6d38313722</x:v>
      </x:c>
      <x:c r="AQ262" s="7" t="str">
        <x:v>Accident and Health / Inactive / 12/26/2014 / 12/31/2016 / 12/31/2016</x:v>
      </x:c>
      <x:c r="AR262" s="7" t="str">
        <x:v>Inactive</x:v>
      </x:c>
      <x:c r="AS262" s="7" t="str">
        <x:v>Current detail page</x:v>
      </x:c>
    </x:row>
    <x:row r="263" ht="52" customHeight="1">
      <x:c r="A263" s="7" t="str">
        <x:v>AGUILAR COLE</x:v>
      </x:c>
      <x:c r="B263" s="14" t="str">
        <x:f>"4485192"</x:f>
        <x:v>4485192</x:v>
      </x:c>
      <x:c r="C263" s="7" t="str">
        <x:v>Omitted</x:v>
      </x:c>
      <x:c r="D263" s="7" t="str">
        <x:v>FAIL</x:v>
      </x:c>
      <x:c r="E263" s="13" t="str">
        <x:v>Pending</x:v>
      </x:c>
      <x:c r="F263" s="13" t="str"/>
      <x:c r="G263" s="13" t="str"/>
      <x:c r="H263" s="13" t="str"/>
      <x:c r="I263" s="7" t="str">
        <x:v>Was this person reviewed? If rejected, give the actual rule and evidence. If acceptable, correct the omission. Confirm the Life-qualification gate and any record change since selection.</x:v>
      </x:c>
      <x:c r="J263" s="7" t="str">
        <x:v>L1</x:v>
      </x:c>
      <x:c r="K263" s="7" t="str">
        <x:v>Verified qualifications do not include active general Life. Current target-pool mismatch; actual historical omission reason unknown.</x:v>
      </x:c>
      <x:c r="L263" s="7" t="str">
        <x:v>Not supplied; membership is known, motive is not</x:v>
      </x:c>
      <x:c r="M263" s="7" t="n">
        <x:v>7</x:v>
      </x:c>
      <x:c r="N263" s="7" t="str">
        <x:v>Outside current general-Life recruiting pool</x:v>
      </x:c>
      <x:c r="O263" s="7" t="str">
        <x:v>Not displayed</x:v>
      </x:c>
      <x:c r="P263" s="7" t="str"/>
      <x:c r="Q263" s="7" t="str"/>
      <x:c r="R263" s="7" t="str">
        <x:v>Casualty; Property</x:v>
      </x:c>
      <x:c r="S263" s="15" t="str"/>
      <x:c r="T263" s="7" t="str">
        <x:v>No public business phone in collected record</x:v>
      </x:c>
      <x:c r="U263" s="7" t="str">
        <x:v>2550 N HOLLYWOOD WAY BURBANK CA, 91501</x:v>
      </x:c>
      <x:c r="V263" s="7" t="str">
        <x:v>Resident</x:v>
      </x:c>
      <x:c r="W263" s="7" t="str">
        <x:v>CA</x:v>
      </x:c>
      <x:c r="X263" s="7" t="str"/>
      <x:c r="Y263" s="7" t="str"/>
      <x:c r="Z263" s="7" t="str"/>
      <x:c r="AA263" s="7" t="str"/>
      <x:c r="AB263" s="7" t="str"/>
      <x:c r="AC263" s="7" t="str"/>
      <x:c r="AD263" s="7" t="str">
        <x:v>No agency or insurer displayed: onboarding opportunity possible; existing business unknown</x:v>
      </x:c>
      <x:c r="AE263" s="7" t="str">
        <x:v>P&amp;C/Personal Lines authority without displayed core Life appointments; mixed profile requires review | No public business phone: contact enrichment needed, not proof of poor recruiting fit</x:v>
      </x:c>
      <x:c r="AF263" s="16" t="str"/>
      <x:c r="AG263" s="17" t="str"/>
      <x:c r="AH263" s="7" t="str"/>
      <x:c r="AI263" s="7" t="str">
        <x:v>English</x:v>
      </x:c>
      <x:c r="AJ263" s="7" t="str"/>
      <x:c r="AK263" s="15" t="str"/>
      <x:c r="AL263" s="7" t="str"/>
      <x:c r="AM263" s="7" t="str">
        <x:v>AGUILAR  COLE</x:v>
      </x:c>
      <x:c r="AN263" s="7" t="str">
        <x:v>https://cdicloud.insurance.ca.gov/cal/LicenseDetail?SearchType=IND&amp;SearchLicNbr=4485192&amp;SearchIndvId=4485192</x:v>
      </x:c>
      <x:c r="AO263" s="7" t="str">
        <x:v>2026-10-08</x:v>
      </x:c>
      <x:c r="AP263" s="7" t="str">
        <x:v>3ebfb9666e8b090d73e9ba7746350066df2ce863c4f0c82b7d6e4683ac2c6d7c</x:v>
      </x:c>
      <x:c r="AQ263" s="7" t="str">
        <x:v>Casualty / Active / 09/05/2025 / 09/05/2025 / 09/30/2027
Property / Active / 09/05/2025 / 09/05/2025 / 09/30/2027</x:v>
      </x:c>
      <x:c r="AR263" s="7" t="str">
        <x:v>Active</x:v>
      </x:c>
      <x:c r="AS263" s="7" t="str">
        <x:v>Current detail page</x:v>
      </x:c>
    </x:row>
    <x:row r="264" ht="52" customHeight="1">
      <x:c r="A264" s="7" t="str">
        <x:v>AGUILAR CONCEPCION</x:v>
      </x:c>
      <x:c r="B264" s="14" t="str">
        <x:f>"4141752"</x:f>
        <x:v>4141752</x:v>
      </x:c>
      <x:c r="C264" s="7" t="str">
        <x:v>Omitted</x:v>
      </x:c>
      <x:c r="D264" s="7" t="str">
        <x:v>FAIL</x:v>
      </x:c>
      <x:c r="E264" s="13" t="str">
        <x:v>Pending</x:v>
      </x:c>
      <x:c r="F264" s="13" t="str"/>
      <x:c r="G264" s="13" t="str"/>
      <x:c r="H264" s="13" t="str"/>
      <x:c r="I264" s="7" t="str">
        <x:v>Was this person reviewed? If rejected, give the actual rule and evidence. If acceptable, correct the omission. Confirm the Life-qualification gate and any record change since selection.</x:v>
      </x:c>
      <x:c r="J264" s="7" t="str">
        <x:v>L1</x:v>
      </x:c>
      <x:c r="K264" s="7" t="str">
        <x:v>Verified qualifications do not include active general Life. Current target-pool mismatch; actual historical omission reason unknown.</x:v>
      </x:c>
      <x:c r="L264" s="7" t="str">
        <x:v>Not supplied; membership is known, motive is not</x:v>
      </x:c>
      <x:c r="M264" s="7" t="n">
        <x:v>7</x:v>
      </x:c>
      <x:c r="N264" s="7" t="str">
        <x:v>Outside current general-Life recruiting pool</x:v>
      </x:c>
      <x:c r="O264" s="7" t="str">
        <x:v>Inactive</x:v>
      </x:c>
      <x:c r="P264" s="7" t="str">
        <x:v>08/10/2021</x:v>
      </x:c>
      <x:c r="Q264" s="7" t="str">
        <x:v>08/31/2023</x:v>
      </x:c>
      <x:c r="R264" s="7" t="str"/>
      <x:c r="S264" s="15" t="str">
        <x:v>951-786-0003</x:v>
      </x:c>
      <x:c r="T264" s="7" t="str">
        <x:v>Current CDI</x:v>
      </x:c>
      <x:c r="U264" s="7" t="str">
        <x:v>1855 CHICAGO AVE RIVERSIDE CA, 92507</x:v>
      </x:c>
      <x:c r="V264" s="7" t="str">
        <x:v>Resident</x:v>
      </x:c>
      <x:c r="W264" s="7" t="str">
        <x:v>CA</x:v>
      </x:c>
      <x:c r="X264" s="7" t="str"/>
      <x:c r="Y264" s="7" t="str"/>
      <x:c r="Z264" s="7" t="str"/>
      <x:c r="AA264" s="7" t="str"/>
      <x:c r="AB264" s="7" t="str"/>
      <x:c r="AC264" s="7" t="str"/>
      <x:c r="AD264" s="7" t="str">
        <x:v>No agency or insurer displayed: onboarding opportunity possible; existing business unknown</x:v>
      </x:c>
      <x:c r="AE264" s="7" t="str"/>
      <x:c r="AF264" s="16" t="str"/>
      <x:c r="AG264" s="17" t="str"/>
      <x:c r="AH264" s="7" t="str"/>
      <x:c r="AI264" s="7" t="str">
        <x:v>English</x:v>
      </x:c>
      <x:c r="AJ264" s="7" t="str"/>
      <x:c r="AK264" s="15" t="str"/>
      <x:c r="AL264" s="7" t="str"/>
      <x:c r="AM264" s="7" t="str">
        <x:v>AGUILAR  CONCEPCION</x:v>
      </x:c>
      <x:c r="AN264" s="7" t="str">
        <x:v>https://cdicloud.insurance.ca.gov/cal/LicenseDetail?SearchType=IND&amp;SearchLicNbr=4141752&amp;SearchIndvId=4141752</x:v>
      </x:c>
      <x:c r="AO264" s="7" t="str">
        <x:v>2026-10-08</x:v>
      </x:c>
      <x:c r="AP264" s="7" t="str">
        <x:v>7dc80769fd3706f581e2e6b8029378cf0187db04d2764e351f8f21f9ca947bc6</x:v>
      </x:c>
      <x:c r="AQ264" s="7" t="str">
        <x:v>Life / Inactive / 08/10/2021 / 08/31/2023 / 08/31/2023</x:v>
      </x:c>
      <x:c r="AR264" s="7" t="str">
        <x:v>Inactive</x:v>
      </x:c>
      <x:c r="AS264" s="7" t="str">
        <x:v>Current detail page</x:v>
      </x:c>
    </x:row>
    <x:row r="265" ht="52" customHeight="1">
      <x:c r="A265" s="7" t="str">
        <x:v>AGUILAR CONNIE RAE</x:v>
      </x:c>
      <x:c r="B265" s="14" t="str">
        <x:f>"0D28812"</x:f>
        <x:v>0D28812</x:v>
      </x:c>
      <x:c r="C265" s="7" t="str">
        <x:v>Omitted</x:v>
      </x:c>
      <x:c r="D265" s="7" t="str">
        <x:v>FAIL</x:v>
      </x:c>
      <x:c r="E265" s="13" t="str">
        <x:v>Pending</x:v>
      </x:c>
      <x:c r="F265" s="13" t="str"/>
      <x:c r="G265" s="13" t="str"/>
      <x:c r="H265" s="13" t="str"/>
      <x:c r="I265" s="7" t="str">
        <x:v>Was this person reviewed? If rejected, give the actual rule and evidence. If acceptable, correct the omission. Confirm the Life-qualification gate and any record change since selection.</x:v>
      </x:c>
      <x:c r="J265" s="7" t="str">
        <x:v>L1</x:v>
      </x:c>
      <x:c r="K265" s="7" t="str">
        <x:v>Verified qualifications do not include active general Life. Current target-pool mismatch; actual historical omission reason unknown.</x:v>
      </x:c>
      <x:c r="L265" s="7" t="str">
        <x:v>Not supplied; membership is known, motive is not</x:v>
      </x:c>
      <x:c r="M265" s="7" t="n">
        <x:v>7</x:v>
      </x:c>
      <x:c r="N265" s="7" t="str">
        <x:v>Outside current general-Life recruiting pool</x:v>
      </x:c>
      <x:c r="O265" s="7" t="str">
        <x:v>Not displayed</x:v>
      </x:c>
      <x:c r="P265" s="7" t="str"/>
      <x:c r="Q265" s="7" t="str"/>
      <x:c r="R265" s="7" t="str"/>
      <x:c r="S265" s="15" t="str"/>
      <x:c r="T265" s="7" t="str">
        <x:v>No public business phone in collected record</x:v>
      </x:c>
      <x:c r="U265" s="7" t="str"/>
      <x:c r="V265" s="7" t="str">
        <x:v>Resident</x:v>
      </x:c>
      <x:c r="W265" s="7" t="str">
        <x:v>CA</x:v>
      </x:c>
      <x:c r="X265" s="7" t="str"/>
      <x:c r="Y265" s="7" t="str"/>
      <x:c r="Z265" s="7" t="str"/>
      <x:c r="AA265" s="7" t="str"/>
      <x:c r="AB265" s="7" t="str"/>
      <x:c r="AC265" s="7" t="str"/>
      <x:c r="AD265" s="7" t="str">
        <x:v>No agency or insurer displayed: onboarding opportunity possible; existing business unknown</x:v>
      </x:c>
      <x:c r="AE265" s="7" t="str">
        <x:v>No public business phone: contact enrichment needed, not proof of poor recruiting fit</x:v>
      </x:c>
      <x:c r="AF265" s="16" t="str"/>
      <x:c r="AG265" s="17" t="str"/>
      <x:c r="AH265" s="7" t="str"/>
      <x:c r="AI265" s="7" t="str"/>
      <x:c r="AJ265" s="7" t="str"/>
      <x:c r="AK265" s="15" t="str"/>
      <x:c r="AL265" s="7" t="str"/>
      <x:c r="AM265" s="7" t="str">
        <x:v>AGUILAR RAE CONNIE</x:v>
      </x:c>
      <x:c r="AN265" s="7" t="str">
        <x:v>https://cdicloud.insurance.ca.gov/cal/LicenseDetail?SearchType=IND&amp;SearchLicNbr=0D28812&amp;SearchIndvId=555059</x:v>
      </x:c>
      <x:c r="AO265" s="7" t="str">
        <x:v>2026-10-08</x:v>
      </x:c>
      <x:c r="AP265" s="7" t="str">
        <x:v>4167ec21442a5cd8dc122d4bbbf20716aa56a590b2be962708bf5f3ee5caea5a</x:v>
      </x:c>
      <x:c r="AQ265" s="7" t="str">
        <x:v>Accident and Health / Inactive / 05/07/2001 / 05/31/2013 / 05/31/2013
Life-Only / Inactive / 05/07/2001 / 05/31/2013 / 05/31/2013</x:v>
      </x:c>
      <x:c r="AR265" s="7" t="str">
        <x:v>Inactive</x:v>
      </x:c>
      <x:c r="AS265" s="7" t="str">
        <x:v>Current detail page</x:v>
      </x:c>
    </x:row>
    <x:row r="266" ht="52" customHeight="1">
      <x:c r="A266" s="7" t="str">
        <x:v>AGUILAR CONNIE TAVI</x:v>
      </x:c>
      <x:c r="B266" s="14" t="str">
        <x:f>"0I85071"</x:f>
        <x:v>0I85071</x:v>
      </x:c>
      <x:c r="C266" s="7" t="str">
        <x:v>Omitted</x:v>
      </x:c>
      <x:c r="D266" s="7" t="str">
        <x:v>FAIL</x:v>
      </x:c>
      <x:c r="E266" s="13" t="str">
        <x:v>Pending</x:v>
      </x:c>
      <x:c r="F266" s="13" t="str"/>
      <x:c r="G266" s="13" t="str"/>
      <x:c r="H266" s="13" t="str"/>
      <x:c r="I266" s="7" t="str">
        <x:v>Was this person reviewed? If rejected, give the actual rule and evidence. If acceptable, correct the omission. Confirm the Life-qualification gate and any record change since selection.</x:v>
      </x:c>
      <x:c r="J266" s="7" t="str">
        <x:v>L1</x:v>
      </x:c>
      <x:c r="K266" s="7" t="str">
        <x:v>Verified qualifications do not include active general Life. Current target-pool mismatch; actual historical omission reason unknown.</x:v>
      </x:c>
      <x:c r="L266" s="7" t="str">
        <x:v>Not supplied; membership is known, motive is not</x:v>
      </x:c>
      <x:c r="M266" s="7" t="n">
        <x:v>7</x:v>
      </x:c>
      <x:c r="N266" s="7" t="str">
        <x:v>Outside current general-Life recruiting pool</x:v>
      </x:c>
      <x:c r="O266" s="7" t="str">
        <x:v>Not displayed</x:v>
      </x:c>
      <x:c r="P266" s="7" t="str"/>
      <x:c r="Q266" s="7" t="str"/>
      <x:c r="R266" s="7" t="str"/>
      <x:c r="S266" s="15" t="str"/>
      <x:c r="T266" s="7" t="str">
        <x:v>No public business phone in collected record</x:v>
      </x:c>
      <x:c r="U266" s="7" t="str"/>
      <x:c r="V266" s="7" t="str">
        <x:v>Resident</x:v>
      </x:c>
      <x:c r="W266" s="7" t="str">
        <x:v>CA</x:v>
      </x:c>
      <x:c r="X266" s="7" t="str"/>
      <x:c r="Y266" s="7" t="str"/>
      <x:c r="Z266" s="7" t="str"/>
      <x:c r="AA266" s="7" t="str"/>
      <x:c r="AB266" s="7" t="str"/>
      <x:c r="AC266" s="7" t="str"/>
      <x:c r="AD266" s="7" t="str">
        <x:v>No agency or insurer displayed: onboarding opportunity possible; existing business unknown</x:v>
      </x:c>
      <x:c r="AE266" s="7" t="str">
        <x:v>No public business phone: contact enrichment needed, not proof of poor recruiting fit</x:v>
      </x:c>
      <x:c r="AF266" s="16" t="str"/>
      <x:c r="AG266" s="17" t="str"/>
      <x:c r="AH266" s="7" t="str"/>
      <x:c r="AI266" s="7" t="str"/>
      <x:c r="AJ266" s="7" t="str"/>
      <x:c r="AK266" s="15" t="str"/>
      <x:c r="AL266" s="7" t="str"/>
      <x:c r="AM266" s="7" t="str">
        <x:v>aguilar t Connie | AGUILAR TAVI CONNIE</x:v>
      </x:c>
      <x:c r="AN266" s="7" t="str">
        <x:v>https://cdicloud.insurance.ca.gov/cal/LicenseDetail?SearchType=IND&amp;SearchLicNbr=0I85071&amp;SearchIndvId=1666719</x:v>
      </x:c>
      <x:c r="AO266" s="7" t="str">
        <x:v>2026-10-08</x:v>
      </x:c>
      <x:c r="AP266" s="7" t="str">
        <x:v>eca1b28864208519a8afd5fbfc59a22a49ade67dd0c9ddf8557c94792e52f257</x:v>
      </x:c>
      <x:c r="AQ266" s="7" t="str">
        <x:v>Life-Only / Inactive / 04/22/2014 / 04/30/2016 / 04/30/2016</x:v>
      </x:c>
      <x:c r="AR266" s="7" t="str">
        <x:v>Inactive</x:v>
      </x:c>
      <x:c r="AS266" s="7" t="str">
        <x:v>Current detail page</x:v>
      </x:c>
    </x:row>
    <x:row r="267" ht="52" customHeight="1">
      <x:c r="A267" s="7" t="str">
        <x:v>AGUILAR CONTRERAS JONATHAN J</x:v>
      </x:c>
      <x:c r="B267" s="14" t="str">
        <x:f>"4245324"</x:f>
        <x:v>4245324</x:v>
      </x:c>
      <x:c r="C267" s="7" t="str">
        <x:v>Omitted</x:v>
      </x:c>
      <x:c r="D267" s="7" t="str">
        <x:v>FAIL</x:v>
      </x:c>
      <x:c r="E267" s="13" t="str">
        <x:v>Pending</x:v>
      </x:c>
      <x:c r="F267" s="13" t="str"/>
      <x:c r="G267" s="13" t="str"/>
      <x:c r="H267" s="13" t="str"/>
      <x:c r="I267" s="7" t="str">
        <x:v>Was this person reviewed? If rejected, give the actual rule and evidence. If acceptable, correct the omission. Confirm the Life-qualification gate and any record change since selection.</x:v>
      </x:c>
      <x:c r="J267" s="7" t="str">
        <x:v>L1</x:v>
      </x:c>
      <x:c r="K267" s="7" t="str">
        <x:v>Verified qualifications do not include active general Life. Current target-pool mismatch; actual historical omission reason unknown.</x:v>
      </x:c>
      <x:c r="L267" s="7" t="str">
        <x:v>Not supplied; membership is known, motive is not</x:v>
      </x:c>
      <x:c r="M267" s="7" t="n">
        <x:v>7</x:v>
      </x:c>
      <x:c r="N267" s="7" t="str">
        <x:v>Outside current general-Life recruiting pool</x:v>
      </x:c>
      <x:c r="O267" s="7" t="str">
        <x:v>Inactive</x:v>
      </x:c>
      <x:c r="P267" s="7" t="str">
        <x:v>11/01/2022</x:v>
      </x:c>
      <x:c r="Q267" s="7" t="str">
        <x:v>11/30/2024</x:v>
      </x:c>
      <x:c r="R267" s="7" t="str"/>
      <x:c r="S267" s="15" t="str"/>
      <x:c r="T267" s="7" t="str">
        <x:v>No public business phone in collected record</x:v>
      </x:c>
      <x:c r="U267" s="7" t="str">
        <x:v>5405 ARROW HWY STE 112 MONTCLAIR CA, 91763</x:v>
      </x:c>
      <x:c r="V267" s="7" t="str">
        <x:v>Resident</x:v>
      </x:c>
      <x:c r="W267" s="7" t="str">
        <x:v>CA</x:v>
      </x:c>
      <x:c r="X267" s="7" t="str"/>
      <x:c r="Y267" s="7" t="str"/>
      <x:c r="Z267" s="7" t="str"/>
      <x:c r="AA267" s="7" t="str"/>
      <x:c r="AB267" s="7" t="str"/>
      <x:c r="AC267" s="7" t="str"/>
      <x:c r="AD267" s="7" t="str">
        <x:v>No agency or insurer displayed: onboarding opportunity possible; existing business unknown</x:v>
      </x:c>
      <x:c r="AE267" s="7" t="str">
        <x:v>No public business phone: contact enrichment needed, not proof of poor recruiting fit</x:v>
      </x:c>
      <x:c r="AF267" s="16" t="str"/>
      <x:c r="AG267" s="17" t="str"/>
      <x:c r="AH267" s="7" t="str"/>
      <x:c r="AI267" s="7" t="str"/>
      <x:c r="AJ267" s="7" t="str"/>
      <x:c r="AK267" s="15" t="str"/>
      <x:c r="AL267" s="7" t="str"/>
      <x:c r="AM267" s="7" t="str">
        <x:v>AGUILAR CONTRERAS J JONATHAN | AGUILAR CONTRERAS JOSUE JONATHAN</x:v>
      </x:c>
      <x:c r="AN267" s="7" t="str">
        <x:v>https://cdicloud.insurance.ca.gov/cal/LicenseDetail?SearchType=IND&amp;SearchLicNbr=4245324&amp;SearchIndvId=4245324</x:v>
      </x:c>
      <x:c r="AO267" s="7" t="str">
        <x:v>2026-10-08</x:v>
      </x:c>
      <x:c r="AP267" s="7" t="str">
        <x:v>eb64546fa667651a5911b6a813404978ddc7de97e758c12f67fd0dbfee344af4</x:v>
      </x:c>
      <x:c r="AQ267" s="7" t="str">
        <x:v>Life / Inactive / 11/01/2022 / 11/30/2024 / 11/30/2024</x:v>
      </x:c>
      <x:c r="AR267" s="7" t="str">
        <x:v>Inactive</x:v>
      </x:c>
      <x:c r="AS267" s="7" t="str">
        <x:v>Current detail page</x:v>
      </x:c>
    </x:row>
    <x:row r="268" ht="52" customHeight="1">
      <x:c r="A268" s="7" t="str">
        <x:v>AGUILAR CONTRERAS LUIS MANUEL</x:v>
      </x:c>
      <x:c r="B268" s="14" t="str">
        <x:f>"4173941"</x:f>
        <x:v>4173941</x:v>
      </x:c>
      <x:c r="C268" s="7" t="str">
        <x:v>Omitted</x:v>
      </x:c>
      <x:c r="D268" s="7" t="str">
        <x:v>FAIL</x:v>
      </x:c>
      <x:c r="E268" s="13" t="str">
        <x:v>Pending</x:v>
      </x:c>
      <x:c r="F268" s="13" t="str"/>
      <x:c r="G268" s="13" t="str"/>
      <x:c r="H268" s="13" t="str"/>
      <x:c r="I268" s="7" t="str">
        <x:v>Was this person reviewed? If rejected, give the actual rule and evidence. If acceptable, correct the omission. Confirm the Life-qualification gate and any record change since selection.</x:v>
      </x:c>
      <x:c r="J268" s="7" t="str">
        <x:v>L1</x:v>
      </x:c>
      <x:c r="K268" s="7" t="str">
        <x:v>Verified qualifications do not include active general Life. Current target-pool mismatch; actual historical omission reason unknown.</x:v>
      </x:c>
      <x:c r="L268" s="7" t="str">
        <x:v>Not supplied; membership is known, motive is not</x:v>
      </x:c>
      <x:c r="M268" s="7" t="n">
        <x:v>7</x:v>
      </x:c>
      <x:c r="N268" s="7" t="str">
        <x:v>Outside current general-Life recruiting pool</x:v>
      </x:c>
      <x:c r="O268" s="7" t="str">
        <x:v>Not displayed</x:v>
      </x:c>
      <x:c r="P268" s="7" t="str"/>
      <x:c r="Q268" s="7" t="str"/>
      <x:c r="R268" s="7" t="str"/>
      <x:c r="S268" s="15" t="str">
        <x:v>805-636-1894</x:v>
      </x:c>
      <x:c r="T268" s="7" t="str">
        <x:v>Current CDI</x:v>
      </x:c>
      <x:c r="U268" s="7" t="str">
        <x:v>9477 GREENBACK LN STE 507 FOLSOM CA, 95630</x:v>
      </x:c>
      <x:c r="V268" s="7" t="str">
        <x:v>Resident</x:v>
      </x:c>
      <x:c r="W268" s="7" t="str">
        <x:v>CA</x:v>
      </x:c>
      <x:c r="X268" s="7" t="str"/>
      <x:c r="Y268" s="7" t="str"/>
      <x:c r="Z268" s="7" t="str"/>
      <x:c r="AA268" s="7" t="str"/>
      <x:c r="AB268" s="7" t="str"/>
      <x:c r="AC268" s="7" t="str"/>
      <x:c r="AD268" s="7" t="str">
        <x:v>No agency or insurer displayed: onboarding opportunity possible; existing business unknown</x:v>
      </x:c>
      <x:c r="AE268" s="7" t="str"/>
      <x:c r="AF268" s="16" t="str"/>
      <x:c r="AG268" s="17" t="str"/>
      <x:c r="AH268" s="7" t="str"/>
      <x:c r="AI268" s="7" t="str">
        <x:v>English</x:v>
      </x:c>
      <x:c r="AJ268" s="7" t="str"/>
      <x:c r="AK268" s="15" t="str"/>
      <x:c r="AL268" s="7" t="str"/>
      <x:c r="AM268" s="7" t="str">
        <x:v>AGUILAR CONTRERAS MANUEL LUIS</x:v>
      </x:c>
      <x:c r="AN268" s="7" t="str">
        <x:v>https://cdicloud.insurance.ca.gov/cal/LicenseDetail?SearchType=IND&amp;SearchLicNbr=4173941&amp;SearchIndvId=4173941</x:v>
      </x:c>
      <x:c r="AO268" s="7" t="str">
        <x:v>2026-10-08</x:v>
      </x:c>
      <x:c r="AP268" s="7" t="str">
        <x:v>75b76c4845c68057321921ba8010eef3f7b01ce0248a70b76af735d5710ed1dd</x:v>
      </x:c>
      <x:c r="AQ268" s="7" t="str">
        <x:v>Casualty / Inactive / 11/19/2021 / 11/30/2023 / 11/30/2023
Property / Inactive / 11/19/2021 / 11/30/2023 / 11/30/2023</x:v>
      </x:c>
      <x:c r="AR268" s="7" t="str">
        <x:v>Inactive</x:v>
      </x:c>
      <x:c r="AS268" s="7" t="str">
        <x:v>Current detail page</x:v>
      </x:c>
    </x:row>
    <x:row r="269" ht="52" customHeight="1">
      <x:c r="A269" s="7" t="str">
        <x:v>AGUILAR CORI-REGIDOR DOLATRE</x:v>
      </x:c>
      <x:c r="B269" s="14" t="str">
        <x:f>"0I13549"</x:f>
        <x:v>0I13549</x:v>
      </x:c>
      <x:c r="C269" s="7" t="str">
        <x:v>Omitted</x:v>
      </x:c>
      <x:c r="D269" s="7" t="str">
        <x:v>FAIL</x:v>
      </x:c>
      <x:c r="E269" s="13" t="str">
        <x:v>Pending</x:v>
      </x:c>
      <x:c r="F269" s="13" t="str"/>
      <x:c r="G269" s="13" t="str"/>
      <x:c r="H269" s="13" t="str"/>
      <x:c r="I269" s="7" t="str">
        <x:v>Was this person reviewed? If rejected, give the actual rule and evidence. If acceptable, correct the omission. Confirm the Life-qualification gate and any record change since selection.</x:v>
      </x:c>
      <x:c r="J269" s="7" t="str">
        <x:v>L1</x:v>
      </x:c>
      <x:c r="K269" s="7" t="str">
        <x:v>Verified qualifications do not include active general Life. Current target-pool mismatch; actual historical omission reason unknown.</x:v>
      </x:c>
      <x:c r="L269" s="7" t="str">
        <x:v>Not supplied; membership is known, motive is not</x:v>
      </x:c>
      <x:c r="M269" s="7" t="n">
        <x:v>7</x:v>
      </x:c>
      <x:c r="N269" s="7" t="str">
        <x:v>Outside current general-Life recruiting pool</x:v>
      </x:c>
      <x:c r="O269" s="7" t="str">
        <x:v>Not displayed</x:v>
      </x:c>
      <x:c r="P269" s="7" t="str"/>
      <x:c r="Q269" s="7" t="str"/>
      <x:c r="R269" s="7" t="str"/>
      <x:c r="S269" s="15" t="str"/>
      <x:c r="T269" s="7" t="str">
        <x:v>No public business phone in collected record</x:v>
      </x:c>
      <x:c r="U269" s="7" t="str"/>
      <x:c r="V269" s="7" t="str">
        <x:v>Non-resident</x:v>
      </x:c>
      <x:c r="W269" s="7" t="str">
        <x:v>NV</x:v>
      </x:c>
      <x:c r="X269" s="7" t="str"/>
      <x:c r="Y269" s="7" t="str"/>
      <x:c r="Z269" s="7" t="str"/>
      <x:c r="AA269" s="7" t="str"/>
      <x:c r="AB269" s="7" t="str"/>
      <x:c r="AC269" s="7" t="str"/>
      <x:c r="AD269" s="7" t="str">
        <x:v>No agency or insurer displayed: onboarding opportunity possible; existing business unknown</x:v>
      </x:c>
      <x:c r="AE269" s="7" t="str">
        <x:v>Nonresident or address state outside CA; confirm geographic recruiting scope | No public business phone: contact enrichment needed, not proof of poor recruiting fit</x:v>
      </x:c>
      <x:c r="AF269" s="16" t="str"/>
      <x:c r="AG269" s="17" t="str"/>
      <x:c r="AH269" s="7" t="str"/>
      <x:c r="AI269" s="7" t="str"/>
      <x:c r="AJ269" s="7" t="str"/>
      <x:c r="AK269" s="15" t="str"/>
      <x:c r="AL269" s="7" t="str"/>
      <x:c r="AM269" s="7" t="str">
        <x:v>AGUILAR DOLATRE CORI-REGIDOR</x:v>
      </x:c>
      <x:c r="AN269" s="7" t="str">
        <x:v>https://cdicloud.insurance.ca.gov/cal/LicenseDetail?SearchType=IND&amp;SearchLicNbr=0I13549&amp;SearchIndvId=1546736</x:v>
      </x:c>
      <x:c r="AO269" s="7" t="str">
        <x:v>2026-10-08</x:v>
      </x:c>
      <x:c r="AP269" s="7" t="str">
        <x:v>51a268a8a73e16cb5f2ca54e72fb6e861e8e551735293eca579d4e57e1772c23</x:v>
      </x:c>
      <x:c r="AQ269" s="7" t="str">
        <x:v>Life-Only / Inactive / 11/15/2012 / 11/30/2014 / 11/30/2014</x:v>
      </x:c>
      <x:c r="AR269" s="7" t="str">
        <x:v>Inactive</x:v>
      </x:c>
      <x:c r="AS269" s="7" t="str">
        <x:v>Current detail page</x:v>
      </x:c>
    </x:row>
    <x:row r="270" ht="52" customHeight="1">
      <x:c r="A270" s="7" t="str">
        <x:v>AGUILAR CORONA EVA</x:v>
      </x:c>
      <x:c r="B270" s="14" t="str">
        <x:f>"4200021"</x:f>
        <x:v>4200021</x:v>
      </x:c>
      <x:c r="C270" s="7" t="str">
        <x:v>Omitted</x:v>
      </x:c>
      <x:c r="D270" s="7" t="str">
        <x:v>FAIL</x:v>
      </x:c>
      <x:c r="E270" s="13" t="str">
        <x:v>Pending</x:v>
      </x:c>
      <x:c r="F270" s="13" t="str"/>
      <x:c r="G270" s="13" t="str"/>
      <x:c r="H270" s="13" t="str"/>
      <x:c r="I270" s="7" t="str">
        <x:v>Was this person reviewed? If rejected, give the actual rule and evidence. If acceptable, correct the omission. Confirm the Life-qualification gate and any record change since selection.</x:v>
      </x:c>
      <x:c r="J270" s="7" t="str">
        <x:v>L1</x:v>
      </x:c>
      <x:c r="K270" s="7" t="str">
        <x:v>Verified qualifications do not include active general Life. Current target-pool mismatch; actual historical omission reason unknown.</x:v>
      </x:c>
      <x:c r="L270" s="7" t="str">
        <x:v>Not supplied; membership is known, motive is not</x:v>
      </x:c>
      <x:c r="M270" s="7" t="n">
        <x:v>7</x:v>
      </x:c>
      <x:c r="N270" s="7" t="str">
        <x:v>Outside current general-Life recruiting pool</x:v>
      </x:c>
      <x:c r="O270" s="7" t="str">
        <x:v>Inactive</x:v>
      </x:c>
      <x:c r="P270" s="7" t="str">
        <x:v>04/01/2022</x:v>
      </x:c>
      <x:c r="Q270" s="7" t="str">
        <x:v>04/30/2024</x:v>
      </x:c>
      <x:c r="R270" s="7" t="str"/>
      <x:c r="S270" s="15" t="str"/>
      <x:c r="T270" s="7" t="str">
        <x:v>No public business phone in collected record</x:v>
      </x:c>
      <x:c r="U270" s="7" t="str">
        <x:v>16554 WING LN LA PUENTE CA, 91744</x:v>
      </x:c>
      <x:c r="V270" s="7" t="str">
        <x:v>Resident</x:v>
      </x:c>
      <x:c r="W270" s="7" t="str">
        <x:v>CA</x:v>
      </x:c>
      <x:c r="X270" s="7" t="str"/>
      <x:c r="Y270" s="7" t="str"/>
      <x:c r="Z270" s="7" t="str"/>
      <x:c r="AA270" s="7" t="str"/>
      <x:c r="AB270" s="7" t="str"/>
      <x:c r="AC270" s="7" t="str"/>
      <x:c r="AD270" s="7" t="str">
        <x:v>No agency or insurer displayed: onboarding opportunity possible; existing business unknown</x:v>
      </x:c>
      <x:c r="AE270" s="7" t="str">
        <x:v>No public business phone: contact enrichment needed, not proof of poor recruiting fit</x:v>
      </x:c>
      <x:c r="AF270" s="16" t="str"/>
      <x:c r="AG270" s="17" t="str"/>
      <x:c r="AH270" s="7" t="str"/>
      <x:c r="AI270" s="7" t="str"/>
      <x:c r="AJ270" s="7" t="str"/>
      <x:c r="AK270" s="15" t="str"/>
      <x:c r="AL270" s="7" t="str"/>
      <x:c r="AM270" s="7" t="str">
        <x:v>AGUILAR CORONA  EVA</x:v>
      </x:c>
      <x:c r="AN270" s="7" t="str">
        <x:v>https://cdicloud.insurance.ca.gov/cal/LicenseDetail?SearchType=IND&amp;SearchLicNbr=4200021&amp;SearchIndvId=4200021</x:v>
      </x:c>
      <x:c r="AO270" s="7" t="str">
        <x:v>2026-10-08</x:v>
      </x:c>
      <x:c r="AP270" s="7" t="str">
        <x:v>fe14ca2af8804249a2e59c575df88587f87ababd007f260277f0a26ad0ba0660</x:v>
      </x:c>
      <x:c r="AQ270" s="7" t="str">
        <x:v>Life / Inactive / 04/01/2022 / 04/30/2024 / 04/30/2024</x:v>
      </x:c>
      <x:c r="AR270" s="7" t="str">
        <x:v>Inactive</x:v>
      </x:c>
      <x:c r="AS270" s="7" t="str">
        <x:v>Current detail page</x:v>
      </x:c>
    </x:row>
    <x:row r="271" ht="52" customHeight="1">
      <x:c r="A271" s="7" t="str">
        <x:v>AGUILAR CORTNEY T</x:v>
      </x:c>
      <x:c r="B271" s="14" t="str">
        <x:f>"4558567"</x:f>
        <x:v>4558567</x:v>
      </x:c>
      <x:c r="C271" s="7" t="str">
        <x:v>Omitted</x:v>
      </x:c>
      <x:c r="D271" s="7" t="str">
        <x:v>FAIL</x:v>
      </x:c>
      <x:c r="E271" s="13" t="str">
        <x:v>Pending</x:v>
      </x:c>
      <x:c r="F271" s="13" t="str"/>
      <x:c r="G271" s="13" t="str"/>
      <x:c r="H271" s="13" t="str"/>
      <x:c r="I271" s="7" t="str">
        <x:v>Was this person reviewed? If rejected, give the actual rule and evidence. If acceptable, correct the omission. Confirm the Life-qualification gate and any record change since selection.</x:v>
      </x:c>
      <x:c r="J271" s="7" t="str">
        <x:v>L1</x:v>
      </x:c>
      <x:c r="K271" s="7" t="str">
        <x:v>Verified qualifications do not include active general Life. Current target-pool mismatch; actual historical omission reason unknown.</x:v>
      </x:c>
      <x:c r="L271" s="7" t="str">
        <x:v>Not supplied; membership is known, motive is not</x:v>
      </x:c>
      <x:c r="M271" s="7" t="n">
        <x:v>7</x:v>
      </x:c>
      <x:c r="N271" s="7" t="str">
        <x:v>Outside current general-Life recruiting pool</x:v>
      </x:c>
      <x:c r="O271" s="7" t="str">
        <x:v>Not displayed</x:v>
      </x:c>
      <x:c r="P271" s="7" t="str"/>
      <x:c r="Q271" s="7" t="str"/>
      <x:c r="R271" s="7" t="str">
        <x:v>Life Limited-Funeral &amp; Burial</x:v>
      </x:c>
      <x:c r="S271" s="15" t="str">
        <x:v>408-896-0037</x:v>
      </x:c>
      <x:c r="T271" s="7" t="str">
        <x:v>Current CDI</x:v>
      </x:c>
      <x:c r="U271" s="7" t="str">
        <x:v>300 CURTNER AVE SAN JOSE CA, 95125</x:v>
      </x:c>
      <x:c r="V271" s="7" t="str">
        <x:v>Resident</x:v>
      </x:c>
      <x:c r="W271" s="7" t="str">
        <x:v>CA</x:v>
      </x:c>
      <x:c r="X271" s="7" t="str"/>
      <x:c r="Y271" s="7" t="str">
        <x:v>FORETHOUGHT LIFE INSURANCE COMPANY / Life Only (Limited) / 06/30/2026</x:v>
      </x:c>
      <x:c r="Z271" s="7" t="str"/>
      <x:c r="AA271" s="7" t="str"/>
      <x:c r="AB271" s="7" t="str"/>
      <x:c r="AC271" s="7" t="str"/>
      <x:c r="AD271" s="7" t="str"/>
      <x:c r="AE271" s="7" t="str"/>
      <x:c r="AF271" s="16" t="str"/>
      <x:c r="AG271" s="17" t="str"/>
      <x:c r="AH271" s="7" t="str"/>
      <x:c r="AI271" s="7" t="str">
        <x:v>English</x:v>
      </x:c>
      <x:c r="AJ271" s="7" t="str"/>
      <x:c r="AK271" s="15" t="str"/>
      <x:c r="AL271" s="7" t="str"/>
      <x:c r="AM271" s="7" t="str">
        <x:v>AGUILAR T CORTNEY | Aguilar Troy Cortney</x:v>
      </x:c>
      <x:c r="AN271" s="7" t="str">
        <x:v>https://cdicloud.insurance.ca.gov/cal/LicenseDetail?SearchType=IND&amp;SearchLicNbr=4558567&amp;SearchIndvId=4558567</x:v>
      </x:c>
      <x:c r="AO271" s="7" t="str">
        <x:v>2026-10-08</x:v>
      </x:c>
      <x:c r="AP271" s="7" t="str">
        <x:v>5b9281a90676074c2c56d9a6b215f1ab46d32a2839a30011eb3eaa754e400dca</x:v>
      </x:c>
      <x:c r="AQ271" s="7" t="str">
        <x:v>Life Limited-Funeral &amp; Burial / Active / 06/26/2026 / 06/26/2026 / 06/30/2028</x:v>
      </x:c>
      <x:c r="AR271" s="7" t="str">
        <x:v>Active</x:v>
      </x:c>
      <x:c r="AS271" s="7" t="str">
        <x:v>Current detail page</x:v>
      </x:c>
    </x:row>
    <x:row r="272" ht="52" customHeight="1">
      <x:c r="A272" s="7" t="str">
        <x:v>AGUILAR CRISOFORO</x:v>
      </x:c>
      <x:c r="B272" s="14" t="str">
        <x:f>"0B84638"</x:f>
        <x:v>0B84638</x:v>
      </x:c>
      <x:c r="C272" s="7" t="str">
        <x:v>Omitted</x:v>
      </x:c>
      <x:c r="D272" s="7" t="str">
        <x:v>FAIL</x:v>
      </x:c>
      <x:c r="E272" s="13" t="str">
        <x:v>Pending</x:v>
      </x:c>
      <x:c r="F272" s="13" t="str"/>
      <x:c r="G272" s="13" t="str"/>
      <x:c r="H272" s="13" t="str"/>
      <x:c r="I272" s="7" t="str">
        <x:v>Was this person reviewed? If rejected, give the actual rule and evidence. If acceptable, correct the omission. Confirm the Life-qualification gate and any record change since selection.</x:v>
      </x:c>
      <x:c r="J272" s="7" t="str">
        <x:v>L1</x:v>
      </x:c>
      <x:c r="K272" s="7" t="str">
        <x:v>Verified qualifications do not include active general Life. Current target-pool mismatch; actual historical omission reason unknown.</x:v>
      </x:c>
      <x:c r="L272" s="7" t="str">
        <x:v>Not supplied; membership is known, motive is not</x:v>
      </x:c>
      <x:c r="M272" s="7" t="n">
        <x:v>7</x:v>
      </x:c>
      <x:c r="N272" s="7" t="str">
        <x:v>Outside current general-Life recruiting pool</x:v>
      </x:c>
      <x:c r="O272" s="7" t="str">
        <x:v>Not displayed</x:v>
      </x:c>
      <x:c r="P272" s="7" t="str"/>
      <x:c r="Q272" s="7" t="str"/>
      <x:c r="R272" s="7" t="str"/>
      <x:c r="S272" s="15" t="str"/>
      <x:c r="T272" s="7" t="str">
        <x:v>No public business phone in collected record</x:v>
      </x:c>
      <x:c r="U272" s="7" t="str"/>
      <x:c r="V272" s="7" t="str">
        <x:v>Resident</x:v>
      </x:c>
      <x:c r="W272" s="7" t="str">
        <x:v>CA</x:v>
      </x:c>
      <x:c r="X272" s="7" t="str"/>
      <x:c r="Y272" s="7" t="str"/>
      <x:c r="Z272" s="7" t="str"/>
      <x:c r="AA272" s="7" t="str"/>
      <x:c r="AB272" s="7" t="str"/>
      <x:c r="AC272" s="7" t="str"/>
      <x:c r="AD272" s="7" t="str">
        <x:v>No agency or insurer displayed: onboarding opportunity possible; existing business unknown</x:v>
      </x:c>
      <x:c r="AE272" s="7" t="str">
        <x:v>No public business phone: contact enrichment needed, not proof of poor recruiting fit</x:v>
      </x:c>
      <x:c r="AF272" s="16" t="str"/>
      <x:c r="AG272" s="17" t="str"/>
      <x:c r="AH272" s="7" t="str"/>
      <x:c r="AI272" s="7" t="str"/>
      <x:c r="AJ272" s="7" t="str"/>
      <x:c r="AK272" s="15" t="str"/>
      <x:c r="AL272" s="7" t="str"/>
      <x:c r="AM272" s="7" t="str">
        <x:v>AGUILAR  CRISOFORO</x:v>
      </x:c>
      <x:c r="AN272" s="7" t="str">
        <x:v>https://cdicloud.insurance.ca.gov/cal/LicenseDetail?SearchType=IND&amp;SearchLicNbr=0B84638&amp;SearchIndvId=262108</x:v>
      </x:c>
      <x:c r="AO272" s="7" t="str">
        <x:v>2026-10-08</x:v>
      </x:c>
      <x:c r="AP272" s="7" t="str">
        <x:v>ae4856fa12f02672bc5e00cc3a9887c376f6062f1c571df910e8b890c9082d2a</x:v>
      </x:c>
      <x:c r="AQ272" s="7" t="str">
        <x:v>Casualty Broker-Agent / Inactive / 07/19/1996 / 07/31/1998 / 07/31/1998
Property Broker-Agent / Inactive / 07/19/1996 / 07/31/1998 / 07/31/1998</x:v>
      </x:c>
      <x:c r="AR272" s="7" t="str">
        <x:v>Inactive</x:v>
      </x:c>
      <x:c r="AS272" s="7" t="str">
        <x:v>Current detail page</x:v>
      </x:c>
    </x:row>
    <x:row r="273" ht="52" customHeight="1">
      <x:c r="A273" s="7" t="str">
        <x:v>AGUILAR CRISTAL DIAZ</x:v>
      </x:c>
      <x:c r="B273" s="14" t="str">
        <x:f>"0H66654"</x:f>
        <x:v>0H66654</x:v>
      </x:c>
      <x:c r="C273" s="7" t="str">
        <x:v>Omitted</x:v>
      </x:c>
      <x:c r="D273" s="7" t="str">
        <x:v>FAIL</x:v>
      </x:c>
      <x:c r="E273" s="13" t="str">
        <x:v>Pending</x:v>
      </x:c>
      <x:c r="F273" s="13" t="str"/>
      <x:c r="G273" s="13" t="str"/>
      <x:c r="H273" s="13" t="str"/>
      <x:c r="I273" s="7" t="str">
        <x:v>Was this person reviewed? If rejected, give the actual rule and evidence. If acceptable, correct the omission. Confirm the Life-qualification gate and any record change since selection.</x:v>
      </x:c>
      <x:c r="J273" s="7" t="str">
        <x:v>L1</x:v>
      </x:c>
      <x:c r="K273" s="7" t="str">
        <x:v>Verified qualifications do not include active general Life. Current target-pool mismatch; actual historical omission reason unknown.</x:v>
      </x:c>
      <x:c r="L273" s="7" t="str">
        <x:v>Not supplied; membership is known, motive is not</x:v>
      </x:c>
      <x:c r="M273" s="7" t="n">
        <x:v>7</x:v>
      </x:c>
      <x:c r="N273" s="7" t="str">
        <x:v>Outside current general-Life recruiting pool</x:v>
      </x:c>
      <x:c r="O273" s="7" t="str">
        <x:v>Not displayed</x:v>
      </x:c>
      <x:c r="P273" s="7" t="str"/>
      <x:c r="Q273" s="7" t="str"/>
      <x:c r="R273" s="7" t="str"/>
      <x:c r="S273" s="15" t="str"/>
      <x:c r="T273" s="7" t="str">
        <x:v>No public business phone in collected record</x:v>
      </x:c>
      <x:c r="U273" s="7" t="str"/>
      <x:c r="V273" s="7" t="str">
        <x:v>Resident</x:v>
      </x:c>
      <x:c r="W273" s="7" t="str">
        <x:v>CA</x:v>
      </x:c>
      <x:c r="X273" s="7" t="str"/>
      <x:c r="Y273" s="7" t="str"/>
      <x:c r="Z273" s="7" t="str"/>
      <x:c r="AA273" s="7" t="str"/>
      <x:c r="AB273" s="7" t="str"/>
      <x:c r="AC273" s="7" t="str"/>
      <x:c r="AD273" s="7" t="str">
        <x:v>No agency or insurer displayed: onboarding opportunity possible; existing business unknown</x:v>
      </x:c>
      <x:c r="AE273" s="7" t="str">
        <x:v>No public business phone: contact enrichment needed, not proof of poor recruiting fit</x:v>
      </x:c>
      <x:c r="AF273" s="16" t="str"/>
      <x:c r="AG273" s="17" t="str"/>
      <x:c r="AH273" s="7" t="str"/>
      <x:c r="AI273" s="7" t="str"/>
      <x:c r="AJ273" s="7" t="str"/>
      <x:c r="AK273" s="15" t="str"/>
      <x:c r="AL273" s="7" t="str"/>
      <x:c r="AM273" s="7" t="str">
        <x:v>AGUILAR DIAZ CRISTAL</x:v>
      </x:c>
      <x:c r="AN273" s="7" t="str">
        <x:v>https://cdicloud.insurance.ca.gov/cal/LicenseDetail?SearchType=IND&amp;SearchLicNbr=0H66654&amp;SearchIndvId=1488607</x:v>
      </x:c>
      <x:c r="AO273" s="7" t="str">
        <x:v>2026-10-08</x:v>
      </x:c>
      <x:c r="AP273" s="7" t="str">
        <x:v>a870156129c5e49bb98678ae2108338357447fed593a8dd21ecf374977962a77</x:v>
      </x:c>
      <x:c r="AQ273" s="7" t="str">
        <x:v>Limited Lines Automobile / Inactive / 11/17/2011 / 11/30/2013 / 11/30/2013</x:v>
      </x:c>
      <x:c r="AR273" s="7" t="str">
        <x:v>Inactive</x:v>
      </x:c>
      <x:c r="AS273" s="7" t="str">
        <x:v>Current detail page</x:v>
      </x:c>
    </x:row>
    <x:row r="274" ht="52" customHeight="1">
      <x:c r="A274" s="7" t="str">
        <x:v>AGUILAR CRISTAL VIANEY</x:v>
      </x:c>
      <x:c r="B274" s="14" t="str">
        <x:f>"0G48585"</x:f>
        <x:v>0G48585</x:v>
      </x:c>
      <x:c r="C274" s="7" t="str">
        <x:v>Omitted</x:v>
      </x:c>
      <x:c r="D274" s="7" t="str">
        <x:v>FAIL</x:v>
      </x:c>
      <x:c r="E274" s="13" t="str">
        <x:v>Pending</x:v>
      </x:c>
      <x:c r="F274" s="13" t="str"/>
      <x:c r="G274" s="13" t="str"/>
      <x:c r="H274" s="13" t="str"/>
      <x:c r="I274" s="7" t="str">
        <x:v>Was this person reviewed? If rejected, give the actual rule and evidence. If acceptable, correct the omission. Confirm the Life-qualification gate and any record change since selection.</x:v>
      </x:c>
      <x:c r="J274" s="7" t="str">
        <x:v>L1</x:v>
      </x:c>
      <x:c r="K274" s="7" t="str">
        <x:v>Verified qualifications do not include active general Life. Current target-pool mismatch; actual historical omission reason unknown.</x:v>
      </x:c>
      <x:c r="L274" s="7" t="str">
        <x:v>Not supplied; membership is known, motive is not</x:v>
      </x:c>
      <x:c r="M274" s="7" t="n">
        <x:v>7</x:v>
      </x:c>
      <x:c r="N274" s="7" t="str">
        <x:v>Outside current general-Life recruiting pool</x:v>
      </x:c>
      <x:c r="O274" s="7" t="str">
        <x:v>Not displayed</x:v>
      </x:c>
      <x:c r="P274" s="7" t="str"/>
      <x:c r="Q274" s="7" t="str"/>
      <x:c r="R274" s="7" t="str"/>
      <x:c r="S274" s="15" t="str"/>
      <x:c r="T274" s="7" t="str">
        <x:v>No public business phone in collected record</x:v>
      </x:c>
      <x:c r="U274" s="7" t="str"/>
      <x:c r="V274" s="7" t="str">
        <x:v>Resident</x:v>
      </x:c>
      <x:c r="W274" s="7" t="str">
        <x:v>CA</x:v>
      </x:c>
      <x:c r="X274" s="7" t="str"/>
      <x:c r="Y274" s="7" t="str"/>
      <x:c r="Z274" s="7" t="str"/>
      <x:c r="AA274" s="7" t="str"/>
      <x:c r="AB274" s="7" t="str"/>
      <x:c r="AC274" s="7" t="str"/>
      <x:c r="AD274" s="7" t="str">
        <x:v>No agency or insurer displayed: onboarding opportunity possible; existing business unknown</x:v>
      </x:c>
      <x:c r="AE274" s="7" t="str">
        <x:v>No public business phone: contact enrichment needed, not proof of poor recruiting fit</x:v>
      </x:c>
      <x:c r="AF274" s="16" t="str"/>
      <x:c r="AG274" s="17" t="str"/>
      <x:c r="AH274" s="7" t="str"/>
      <x:c r="AI274" s="7" t="str"/>
      <x:c r="AJ274" s="7" t="str"/>
      <x:c r="AK274" s="15" t="str"/>
      <x:c r="AL274" s="7" t="str"/>
      <x:c r="AM274" s="7" t="str">
        <x:v>AGUILAR VIANEY CRISTAL</x:v>
      </x:c>
      <x:c r="AN274" s="7" t="str">
        <x:v>https://cdicloud.insurance.ca.gov/cal/LicenseDetail?SearchType=IND&amp;SearchLicNbr=0G48585&amp;SearchIndvId=1225181</x:v>
      </x:c>
      <x:c r="AO274" s="7" t="str">
        <x:v>2026-10-08</x:v>
      </x:c>
      <x:c r="AP274" s="7" t="str">
        <x:v>0b0944579e200170c7a4220d7275d0c63e30215336dc5c5c2ea68e5983d63b78</x:v>
      </x:c>
      <x:c r="AQ274" s="7" t="str">
        <x:v>Casualty Broker-Agent / Inactive / 02/06/2009 / 02/28/2011 / 02/28/2011
Property Broker-Agent / Inactive / 02/06/2009 / 02/28/2011 / 02/28/2011</x:v>
      </x:c>
      <x:c r="AR274" s="7" t="str">
        <x:v>Inactive</x:v>
      </x:c>
      <x:c r="AS274" s="7" t="str">
        <x:v>Current detail page</x:v>
      </x:c>
    </x:row>
    <x:row r="275" ht="52" customHeight="1">
      <x:c r="A275" s="7" t="str">
        <x:v>AGUILAR CRISTHIAN JOSE</x:v>
      </x:c>
      <x:c r="B275" s="14" t="str">
        <x:f>"0H36133"</x:f>
        <x:v>0H36133</x:v>
      </x:c>
      <x:c r="C275" s="7" t="str">
        <x:v>Omitted</x:v>
      </x:c>
      <x:c r="D275" s="7" t="str">
        <x:v>FAIL</x:v>
      </x:c>
      <x:c r="E275" s="13" t="str">
        <x:v>Pending</x:v>
      </x:c>
      <x:c r="F275" s="13" t="str"/>
      <x:c r="G275" s="13" t="str"/>
      <x:c r="H275" s="13" t="str"/>
      <x:c r="I275" s="7" t="str">
        <x:v>Was this person reviewed? If rejected, give the actual rule and evidence. If acceptable, correct the omission. Confirm the Life-qualification gate and any record change since selection.</x:v>
      </x:c>
      <x:c r="J275" s="7" t="str">
        <x:v>L1</x:v>
      </x:c>
      <x:c r="K275" s="7" t="str">
        <x:v>Verified qualifications do not include active general Life. Current target-pool mismatch; actual historical omission reason unknown.</x:v>
      </x:c>
      <x:c r="L275" s="7" t="str">
        <x:v>Not supplied; membership is known, motive is not</x:v>
      </x:c>
      <x:c r="M275" s="7" t="n">
        <x:v>7</x:v>
      </x:c>
      <x:c r="N275" s="7" t="str">
        <x:v>Outside current general-Life recruiting pool</x:v>
      </x:c>
      <x:c r="O275" s="7" t="str">
        <x:v>Not displayed</x:v>
      </x:c>
      <x:c r="P275" s="7" t="str"/>
      <x:c r="Q275" s="7" t="str"/>
      <x:c r="R275" s="7" t="str"/>
      <x:c r="S275" s="15" t="str"/>
      <x:c r="T275" s="7" t="str">
        <x:v>No public business phone in collected record</x:v>
      </x:c>
      <x:c r="U275" s="7" t="str"/>
      <x:c r="V275" s="7" t="str">
        <x:v>Resident</x:v>
      </x:c>
      <x:c r="W275" s="7" t="str">
        <x:v>CA</x:v>
      </x:c>
      <x:c r="X275" s="7" t="str"/>
      <x:c r="Y275" s="7" t="str"/>
      <x:c r="Z275" s="7" t="str"/>
      <x:c r="AA275" s="7" t="str"/>
      <x:c r="AB275" s="7" t="str"/>
      <x:c r="AC275" s="7" t="str"/>
      <x:c r="AD275" s="7" t="str">
        <x:v>No agency or insurer displayed: onboarding opportunity possible; existing business unknown</x:v>
      </x:c>
      <x:c r="AE275" s="7" t="str">
        <x:v>No public business phone: contact enrichment needed, not proof of poor recruiting fit</x:v>
      </x:c>
      <x:c r="AF275" s="16" t="str"/>
      <x:c r="AG275" s="17" t="str"/>
      <x:c r="AH275" s="7" t="str"/>
      <x:c r="AI275" s="7" t="str"/>
      <x:c r="AJ275" s="7" t="str"/>
      <x:c r="AK275" s="15" t="str"/>
      <x:c r="AL275" s="7" t="str"/>
      <x:c r="AM275" s="7" t="str">
        <x:v>AGUILAR JOSE CRISTHIAN</x:v>
      </x:c>
      <x:c r="AN275" s="7" t="str">
        <x:v>https://cdicloud.insurance.ca.gov/cal/LicenseDetail?SearchType=IND&amp;SearchLicNbr=0H36133&amp;SearchIndvId=1425471</x:v>
      </x:c>
      <x:c r="AO275" s="7" t="str">
        <x:v>2026-10-08</x:v>
      </x:c>
      <x:c r="AP275" s="7" t="str">
        <x:v>fb57fb9392509b2b279262f9db8241d49efb9a1aba5acf508435e9a6e3d00531</x:v>
      </x:c>
      <x:c r="AQ275" s="7" t="str">
        <x:v>Life-Only / Inactive / 03/16/2011 / 03/31/2013 / 03/31/2013
Variable Contracts / Inactive / 04/19/2011 / 03/31/2013 / 03/31/2013</x:v>
      </x:c>
      <x:c r="AR275" s="7" t="str">
        <x:v>Inactive</x:v>
      </x:c>
      <x:c r="AS275" s="7" t="str">
        <x:v>Current detail page</x:v>
      </x:c>
    </x:row>
    <x:row r="276" ht="52" customHeight="1">
      <x:c r="A276" s="7" t="str">
        <x:v>AGUILAR CRISTINA</x:v>
      </x:c>
      <x:c r="B276" s="14" t="str">
        <x:f>"0E87483"</x:f>
        <x:v>0E87483</x:v>
      </x:c>
      <x:c r="C276" s="7" t="str">
        <x:v>Omitted</x:v>
      </x:c>
      <x:c r="D276" s="7" t="str">
        <x:v>FAIL</x:v>
      </x:c>
      <x:c r="E276" s="13" t="str">
        <x:v>Pending</x:v>
      </x:c>
      <x:c r="F276" s="13" t="str"/>
      <x:c r="G276" s="13" t="str"/>
      <x:c r="H276" s="13" t="str"/>
      <x:c r="I276" s="7" t="str">
        <x:v>Was this person reviewed? If rejected, give the actual rule and evidence. If acceptable, correct the omission. Confirm the Life-qualification gate and any record change since selection.</x:v>
      </x:c>
      <x:c r="J276" s="7" t="str">
        <x:v>L1</x:v>
      </x:c>
      <x:c r="K276" s="7" t="str">
        <x:v>Verified qualifications do not include active general Life. Current target-pool mismatch; actual historical omission reason unknown.</x:v>
      </x:c>
      <x:c r="L276" s="7" t="str">
        <x:v>Not supplied; membership is known, motive is not</x:v>
      </x:c>
      <x:c r="M276" s="7" t="n">
        <x:v>7</x:v>
      </x:c>
      <x:c r="N276" s="7" t="str">
        <x:v>Outside current general-Life recruiting pool</x:v>
      </x:c>
      <x:c r="O276" s="7" t="str">
        <x:v>Not displayed</x:v>
      </x:c>
      <x:c r="P276" s="7" t="str"/>
      <x:c r="Q276" s="7" t="str"/>
      <x:c r="R276" s="7" t="str"/>
      <x:c r="S276" s="15" t="str"/>
      <x:c r="T276" s="7" t="str">
        <x:v>No public business phone in collected record</x:v>
      </x:c>
      <x:c r="U276" s="7" t="str"/>
      <x:c r="V276" s="7" t="str">
        <x:v>Resident</x:v>
      </x:c>
      <x:c r="W276" s="7" t="str">
        <x:v>CA</x:v>
      </x:c>
      <x:c r="X276" s="7" t="str"/>
      <x:c r="Y276" s="7" t="str"/>
      <x:c r="Z276" s="7" t="str"/>
      <x:c r="AA276" s="7" t="str"/>
      <x:c r="AB276" s="7" t="str"/>
      <x:c r="AC276" s="7" t="str"/>
      <x:c r="AD276" s="7" t="str">
        <x:v>No agency or insurer displayed: onboarding opportunity possible; existing business unknown</x:v>
      </x:c>
      <x:c r="AE276" s="7" t="str">
        <x:v>No public business phone: contact enrichment needed, not proof of poor recruiting fit</x:v>
      </x:c>
      <x:c r="AF276" s="16" t="str"/>
      <x:c r="AG276" s="17" t="str"/>
      <x:c r="AH276" s="7" t="str"/>
      <x:c r="AI276" s="7" t="str"/>
      <x:c r="AJ276" s="7" t="str"/>
      <x:c r="AK276" s="15" t="str"/>
      <x:c r="AL276" s="7" t="str"/>
      <x:c r="AM276" s="7" t="str">
        <x:v>AGUILAR  CRISTINA</x:v>
      </x:c>
      <x:c r="AN276" s="7" t="str">
        <x:v>https://cdicloud.insurance.ca.gov/cal/LicenseDetail?SearchType=IND&amp;SearchLicNbr=0E87483&amp;SearchIndvId=963065</x:v>
      </x:c>
      <x:c r="AO276" s="7" t="str">
        <x:v>2026-10-08</x:v>
      </x:c>
      <x:c r="AP276" s="7" t="str">
        <x:v>4f99748cc9f7d634abadf368ea7495bee9024716f2740290a023f8a03e5b2ab3</x:v>
      </x:c>
      <x:c r="AQ276" s="7" t="str">
        <x:v>Accident and Health / Inactive / 08/02/2005 / 08/31/2009 / 08/31/2009
Life-Only / Inactive / 08/02/2005 / 08/31/2009 / 08/31/2009</x:v>
      </x:c>
      <x:c r="AR276" s="7" t="str">
        <x:v>Inactive</x:v>
      </x:c>
      <x:c r="AS276" s="7" t="str">
        <x:v>Current detail page</x:v>
      </x:c>
    </x:row>
    <x:row r="277" ht="52" customHeight="1">
      <x:c r="A277" s="7" t="str">
        <x:v>AGUILAR CRISTINA</x:v>
      </x:c>
      <x:c r="B277" s="14" t="str">
        <x:f>"0L41185"</x:f>
        <x:v>0L41185</x:v>
      </x:c>
      <x:c r="C277" s="7" t="str">
        <x:v>Omitted</x:v>
      </x:c>
      <x:c r="D277" s="7" t="str">
        <x:v>FAIL</x:v>
      </x:c>
      <x:c r="E277" s="13" t="str">
        <x:v>Pending</x:v>
      </x:c>
      <x:c r="F277" s="13" t="str"/>
      <x:c r="G277" s="13" t="str"/>
      <x:c r="H277" s="13" t="str"/>
      <x:c r="I277" s="7" t="str">
        <x:v>Was this person reviewed? If rejected, give the actual rule and evidence. If acceptable, correct the omission. Confirm the Life-qualification gate and any record change since selection.</x:v>
      </x:c>
      <x:c r="J277" s="7" t="str">
        <x:v>L1</x:v>
      </x:c>
      <x:c r="K277" s="7" t="str">
        <x:v>Verified qualifications do not include active general Life. Current target-pool mismatch; actual historical omission reason unknown.</x:v>
      </x:c>
      <x:c r="L277" s="7" t="str">
        <x:v>Not supplied; membership is known, motive is not</x:v>
      </x:c>
      <x:c r="M277" s="7" t="n">
        <x:v>7</x:v>
      </x:c>
      <x:c r="N277" s="7" t="str">
        <x:v>Outside current general-Life recruiting pool</x:v>
      </x:c>
      <x:c r="O277" s="7" t="str">
        <x:v>Not displayed</x:v>
      </x:c>
      <x:c r="P277" s="7" t="str"/>
      <x:c r="Q277" s="7" t="str"/>
      <x:c r="R277" s="7" t="str"/>
      <x:c r="S277" s="15" t="str">
        <x:v>909-455-2843</x:v>
      </x:c>
      <x:c r="T277" s="7" t="str">
        <x:v>Current CDI</x:v>
      </x:c>
      <x:c r="U277" s="7" t="str">
        <x:v>15115 MOJAVE ST HESPERIA CA, 92345</x:v>
      </x:c>
      <x:c r="V277" s="7" t="str">
        <x:v>Resident</x:v>
      </x:c>
      <x:c r="W277" s="7" t="str">
        <x:v>CA</x:v>
      </x:c>
      <x:c r="X277" s="7" t="str"/>
      <x:c r="Y277" s="7" t="str"/>
      <x:c r="Z277" s="7" t="str">
        <x:v>ORDER ID: &lt;LIC2400232&gt; A: LICENSE AND LICENSING RIGHTS OF RESPONDENT ARE HEREBY REVOKED. / 09/28/2024</x:v>
      </x:c>
      <x:c r="AA277" s="7" t="str"/>
      <x:c r="AB277" s="7" t="str"/>
      <x:c r="AC277" s="7" t="str"/>
      <x:c r="AD277" s="7" t="str">
        <x:v>No agency or insurer displayed: onboarding opportunity possible; existing business unknown</x:v>
      </x:c>
      <x:c r="AE277" s="7" t="str">
        <x:v>Enforcement order requires direct review; latest displayed order is not a removal order</x:v>
      </x:c>
      <x:c r="AF277" s="16" t="str"/>
      <x:c r="AG277" s="17" t="str"/>
      <x:c r="AH277" s="7" t="str"/>
      <x:c r="AI277" s="7" t="str">
        <x:v>English</x:v>
      </x:c>
      <x:c r="AJ277" s="7" t="str"/>
      <x:c r="AK277" s="15" t="str"/>
      <x:c r="AL277" s="7" t="str"/>
      <x:c r="AM277" s="7" t="str">
        <x:v>AGUILAR  CRISTINA</x:v>
      </x:c>
      <x:c r="AN277" s="7" t="str">
        <x:v>https://cdicloud.insurance.ca.gov/cal/LicenseDetail?SearchType=IND&amp;SearchLicNbr=0L41185&amp;SearchIndvId=1889522</x:v>
      </x:c>
      <x:c r="AO277" s="7" t="str">
        <x:v>2026-10-08</x:v>
      </x:c>
      <x:c r="AP277" s="7" t="str">
        <x:v>f0ba43a12da7e90f886fca1392b33d71d098a26a6aeae7430dc6a0a2be3a8222</x:v>
      </x:c>
      <x:c r="AQ277" s="7" t="str">
        <x:v>Accident &amp; Health or Sickness / Inactive / 05/07/2019 / 09/28/2024 / 09/28/2024</x:v>
      </x:c>
      <x:c r="AR277" s="7" t="str">
        <x:v>Inactive</x:v>
      </x:c>
      <x:c r="AS277" s="7" t="str">
        <x:v>Current detail page</x:v>
      </x:c>
    </x:row>
    <x:row r="278" ht="52" customHeight="1">
      <x:c r="A278" s="7" t="str">
        <x:v>AGUILAR CRISTINA</x:v>
      </x:c>
      <x:c r="B278" s="14" t="str">
        <x:f>"0M38845"</x:f>
        <x:v>0M38845</x:v>
      </x:c>
      <x:c r="C278" s="7" t="str">
        <x:v>Omitted</x:v>
      </x:c>
      <x:c r="D278" s="7" t="str">
        <x:v>FAIL</x:v>
      </x:c>
      <x:c r="E278" s="13" t="str">
        <x:v>Pending</x:v>
      </x:c>
      <x:c r="F278" s="13" t="str"/>
      <x:c r="G278" s="13" t="str"/>
      <x:c r="H278" s="13" t="str"/>
      <x:c r="I278" s="7" t="str">
        <x:v>Was this person reviewed? If rejected, give the actual rule and evidence. If acceptable, correct the omission. Confirm the Life-qualification gate and any record change since selection.</x:v>
      </x:c>
      <x:c r="J278" s="7" t="str">
        <x:v>L1</x:v>
      </x:c>
      <x:c r="K278" s="7" t="str">
        <x:v>Verified qualifications do not include active general Life. Current target-pool mismatch; actual historical omission reason unknown.</x:v>
      </x:c>
      <x:c r="L278" s="7" t="str">
        <x:v>Not supplied; membership is known, motive is not</x:v>
      </x:c>
      <x:c r="M278" s="7" t="n">
        <x:v>7</x:v>
      </x:c>
      <x:c r="N278" s="7" t="str">
        <x:v>Outside current general-Life recruiting pool</x:v>
      </x:c>
      <x:c r="O278" s="7" t="str">
        <x:v>Not displayed</x:v>
      </x:c>
      <x:c r="P278" s="7" t="str"/>
      <x:c r="Q278" s="7" t="str"/>
      <x:c r="R278" s="7" t="str">
        <x:v>Casualty; Property</x:v>
      </x:c>
      <x:c r="S278" s="15" t="str">
        <x:v>650-898-2838</x:v>
      </x:c>
      <x:c r="T278" s="7" t="str">
        <x:v>Current CDI</x:v>
      </x:c>
      <x:c r="U278" s="7" t="str">
        <x:v>38069 MARTHA AVE SUITE FREMONT CA, 94536</x:v>
      </x:c>
      <x:c r="V278" s="7" t="str">
        <x:v>Resident</x:v>
      </x:c>
      <x:c r="W278" s="7" t="str">
        <x:v>CA</x:v>
      </x:c>
      <x:c r="X278" s="7" t="str">
        <x:v>GLEETOPIA INSURANCE SERVICES / Casualty / 02/13/2025
GLEETOPIA INSURANCE SERVICES / Property / 02/13/2025</x:v>
      </x:c>
      <x:c r="Y278" s="7" t="str">
        <x:v>FOREMOST INSURANCE COMPANY GRAND RAPIDS, MICHIGAN / Casualty / 04/29/2025
FOREMOST INSURANCE COMPANY GRAND RAPIDS, MICHIGAN / Property / 04/29/2025</x:v>
      </x:c>
      <x:c r="Z278" s="7" t="str"/>
      <x:c r="AA278" s="7" t="str"/>
      <x:c r="AB278" s="7" t="str"/>
      <x:c r="AC278" s="7" t="str"/>
      <x:c r="AD278" s="7" t="str"/>
      <x:c r="AE278" s="7" t="str">
        <x:v>P&amp;C/Personal Lines authority without displayed core Life appointments; mixed profile requires review</x:v>
      </x:c>
      <x:c r="AF278" s="16" t="str"/>
      <x:c r="AG278" s="17" t="str"/>
      <x:c r="AH278" s="7" t="str"/>
      <x:c r="AI278" s="7" t="str">
        <x:v>English</x:v>
      </x:c>
      <x:c r="AJ278" s="7" t="str"/>
      <x:c r="AK278" s="15" t="str"/>
      <x:c r="AL278" s="7" t="str"/>
      <x:c r="AM278" s="7" t="str">
        <x:v>AGUILAR  CRISTINA</x:v>
      </x:c>
      <x:c r="AN278" s="7" t="str">
        <x:v>https://cdicloud.insurance.ca.gov/cal/LicenseDetail?SearchType=IND&amp;SearchLicNbr=0M38845&amp;SearchIndvId=1974464</x:v>
      </x:c>
      <x:c r="AO278" s="7" t="str">
        <x:v>2026-10-08</x:v>
      </x:c>
      <x:c r="AP278" s="7" t="str">
        <x:v>d5c8e95ba37c07fb49a0b3a195db9b97380294b9de596f82d3c1436cc1cdaf03</x:v>
      </x:c>
      <x:c r="AQ278" s="7" t="str">
        <x:v>Casualty / Active / 06/08/2018 / 07/01/2024 / 06/30/2028
Property / Active / 06/08/2018 / 07/01/2024 / 06/30/2028</x:v>
      </x:c>
      <x:c r="AR278" s="7" t="str">
        <x:v>Active</x:v>
      </x:c>
      <x:c r="AS278" s="7" t="str">
        <x:v>Current detail page</x:v>
      </x:c>
    </x:row>
    <x:row r="279" ht="52" customHeight="1">
      <x:c r="A279" s="7" t="str">
        <x:v>AGUILAR CRISTINO</x:v>
      </x:c>
      <x:c r="B279" s="14" t="str">
        <x:f>"0C29851"</x:f>
        <x:v>0C29851</x:v>
      </x:c>
      <x:c r="C279" s="7" t="str">
        <x:v>Omitted</x:v>
      </x:c>
      <x:c r="D279" s="7" t="str">
        <x:v>FAIL</x:v>
      </x:c>
      <x:c r="E279" s="13" t="str">
        <x:v>Pending</x:v>
      </x:c>
      <x:c r="F279" s="13" t="str"/>
      <x:c r="G279" s="13" t="str"/>
      <x:c r="H279" s="13" t="str"/>
      <x:c r="I279" s="7" t="str">
        <x:v>Was this person reviewed? If rejected, give the actual rule and evidence. If acceptable, correct the omission. Confirm the Life-qualification gate and any record change since selection.</x:v>
      </x:c>
      <x:c r="J279" s="7" t="str">
        <x:v>L1</x:v>
      </x:c>
      <x:c r="K279" s="7" t="str">
        <x:v>Verified qualifications do not include active general Life. Current target-pool mismatch; actual historical omission reason unknown.</x:v>
      </x:c>
      <x:c r="L279" s="7" t="str">
        <x:v>Not supplied; membership is known, motive is not</x:v>
      </x:c>
      <x:c r="M279" s="7" t="n">
        <x:v>7</x:v>
      </x:c>
      <x:c r="N279" s="7" t="str">
        <x:v>Outside current general-Life recruiting pool</x:v>
      </x:c>
      <x:c r="O279" s="7" t="str">
        <x:v>Not displayed</x:v>
      </x:c>
      <x:c r="P279" s="7" t="str"/>
      <x:c r="Q279" s="7" t="str"/>
      <x:c r="R279" s="7" t="str"/>
      <x:c r="S279" s="15" t="str"/>
      <x:c r="T279" s="7" t="str">
        <x:v>No public business phone in collected record</x:v>
      </x:c>
      <x:c r="U279" s="7" t="str"/>
      <x:c r="V279" s="7" t="str">
        <x:v>Resident</x:v>
      </x:c>
      <x:c r="W279" s="7" t="str">
        <x:v>CA</x:v>
      </x:c>
      <x:c r="X279" s="7" t="str"/>
      <x:c r="Y279" s="7" t="str"/>
      <x:c r="Z279" s="7" t="str"/>
      <x:c r="AA279" s="7" t="str"/>
      <x:c r="AB279" s="7" t="str"/>
      <x:c r="AC279" s="7" t="str"/>
      <x:c r="AD279" s="7" t="str">
        <x:v>No agency or insurer displayed: onboarding opportunity possible; existing business unknown</x:v>
      </x:c>
      <x:c r="AE279" s="7" t="str">
        <x:v>No public business phone: contact enrichment needed, not proof of poor recruiting fit</x:v>
      </x:c>
      <x:c r="AF279" s="16" t="str"/>
      <x:c r="AG279" s="17" t="str"/>
      <x:c r="AH279" s="7" t="str"/>
      <x:c r="AI279" s="7" t="str"/>
      <x:c r="AJ279" s="7" t="str"/>
      <x:c r="AK279" s="15" t="str"/>
      <x:c r="AL279" s="7" t="str"/>
      <x:c r="AM279" s="7" t="str">
        <x:v>AGUILAR  CRISTINO</x:v>
      </x:c>
      <x:c r="AN279" s="7" t="str">
        <x:v>https://cdicloud.insurance.ca.gov/cal/LicenseDetail?SearchType=IND&amp;SearchLicNbr=0C29851&amp;SearchIndvId=304965</x:v>
      </x:c>
      <x:c r="AO279" s="7" t="str">
        <x:v>2026-10-08</x:v>
      </x:c>
      <x:c r="AP279" s="7" t="str">
        <x:v>059e26f93c5100dbfa5c330305a86593260f6c37594a6a4b19ed762afabb228e</x:v>
      </x:c>
      <x:c r="AQ279" s="7" t="str">
        <x:v>Travel Agent / Inactive / 05/16/1998 / 05/31/2000 / 05/31/2000</x:v>
      </x:c>
      <x:c r="AR279" s="7" t="str">
        <x:v>Inactive</x:v>
      </x:c>
      <x:c r="AS279" s="7" t="str">
        <x:v>Current detail page</x:v>
      </x:c>
    </x:row>
    <x:row r="280" ht="52" customHeight="1">
      <x:c r="A280" s="7" t="str">
        <x:v>AGUILAR CRUZ SAUL E</x:v>
      </x:c>
      <x:c r="B280" s="14" t="str">
        <x:f>"4262509"</x:f>
        <x:v>4262509</x:v>
      </x:c>
      <x:c r="C280" s="7" t="str">
        <x:v>Omitted</x:v>
      </x:c>
      <x:c r="D280" s="7" t="str">
        <x:v>FAIL</x:v>
      </x:c>
      <x:c r="E280" s="13" t="str">
        <x:v>Pending</x:v>
      </x:c>
      <x:c r="F280" s="13" t="str"/>
      <x:c r="G280" s="13" t="str"/>
      <x:c r="H280" s="13" t="str"/>
      <x:c r="I280" s="7" t="str">
        <x:v>Was this person reviewed? If rejected, give the actual rule and evidence. If acceptable, correct the omission. Confirm the Life-qualification gate and any record change since selection.</x:v>
      </x:c>
      <x:c r="J280" s="7" t="str">
        <x:v>L1</x:v>
      </x:c>
      <x:c r="K280" s="7" t="str">
        <x:v>Verified qualifications do not include active general Life. Current target-pool mismatch; actual historical omission reason unknown.</x:v>
      </x:c>
      <x:c r="L280" s="7" t="str">
        <x:v>Not supplied; membership is known, motive is not</x:v>
      </x:c>
      <x:c r="M280" s="7" t="n">
        <x:v>7</x:v>
      </x:c>
      <x:c r="N280" s="7" t="str">
        <x:v>Outside current general-Life recruiting pool</x:v>
      </x:c>
      <x:c r="O280" s="7" t="str">
        <x:v>Inactive</x:v>
      </x:c>
      <x:c r="P280" s="7" t="str">
        <x:v>12/30/2022</x:v>
      </x:c>
      <x:c r="Q280" s="7" t="str">
        <x:v>12/31/2024</x:v>
      </x:c>
      <x:c r="R280" s="7" t="str"/>
      <x:c r="S280" s="15" t="str"/>
      <x:c r="T280" s="7" t="str">
        <x:v>No public business phone in collected record</x:v>
      </x:c>
      <x:c r="U280" s="7" t="str">
        <x:v>3914 MURPHY CANYON RD STE A256 SAN DIEGO CA, 92123</x:v>
      </x:c>
      <x:c r="V280" s="7" t="str">
        <x:v>Resident</x:v>
      </x:c>
      <x:c r="W280" s="7" t="str">
        <x:v>CA</x:v>
      </x:c>
      <x:c r="X280" s="7" t="str"/>
      <x:c r="Y280" s="7" t="str"/>
      <x:c r="Z280" s="7" t="str"/>
      <x:c r="AA280" s="7" t="str"/>
      <x:c r="AB280" s="7" t="str"/>
      <x:c r="AC280" s="7" t="str"/>
      <x:c r="AD280" s="7" t="str">
        <x:v>No agency or insurer displayed: onboarding opportunity possible; existing business unknown</x:v>
      </x:c>
      <x:c r="AE280" s="7" t="str">
        <x:v>No public business phone: contact enrichment needed, not proof of poor recruiting fit</x:v>
      </x:c>
      <x:c r="AF280" s="16" t="str"/>
      <x:c r="AG280" s="17" t="str"/>
      <x:c r="AH280" s="7" t="str"/>
      <x:c r="AI280" s="7" t="str"/>
      <x:c r="AJ280" s="7" t="str"/>
      <x:c r="AK280" s="15" t="str"/>
      <x:c r="AL280" s="7" t="str"/>
      <x:c r="AM280" s="7" t="str">
        <x:v>AGUILAR CRUZ E SAUL</x:v>
      </x:c>
      <x:c r="AN280" s="7" t="str">
        <x:v>https://cdicloud.insurance.ca.gov/cal/LicenseDetail?SearchType=IND&amp;SearchLicNbr=4262509&amp;SearchIndvId=4262509</x:v>
      </x:c>
      <x:c r="AO280" s="7" t="str">
        <x:v>2026-10-08</x:v>
      </x:c>
      <x:c r="AP280" s="7" t="str">
        <x:v>cfd933b8c9a97ceb4a026907ce5116f679f7ac00a11941c2664e1e294cf88cf8</x:v>
      </x:c>
      <x:c r="AQ280" s="7" t="str">
        <x:v>Life / Inactive / 12/30/2022 / 12/31/2024 / 12/31/2024</x:v>
      </x:c>
      <x:c r="AR280" s="7" t="str">
        <x:v>Inactive</x:v>
      </x:c>
      <x:c r="AS280" s="7" t="str">
        <x:v>Current detail page</x:v>
      </x:c>
    </x:row>
    <x:row r="281" ht="52" customHeight="1">
      <x:c r="A281" s="7" t="str">
        <x:v>AGUILAR CRYSTAL</x:v>
      </x:c>
      <x:c r="B281" s="14" t="str">
        <x:f>"4196337"</x:f>
        <x:v>4196337</x:v>
      </x:c>
      <x:c r="C281" s="7" t="str">
        <x:v>Omitted</x:v>
      </x:c>
      <x:c r="D281" s="7" t="str">
        <x:v>FAIL</x:v>
      </x:c>
      <x:c r="E281" s="13" t="str">
        <x:v>Pending</x:v>
      </x:c>
      <x:c r="F281" s="13" t="str"/>
      <x:c r="G281" s="13" t="str"/>
      <x:c r="H281" s="13" t="str"/>
      <x:c r="I281" s="7" t="str">
        <x:v>Was this person reviewed? If rejected, give the actual rule and evidence. If acceptable, correct the omission. Confirm the Life-qualification gate and any record change since selection.</x:v>
      </x:c>
      <x:c r="J281" s="7" t="str">
        <x:v>L1</x:v>
      </x:c>
      <x:c r="K281" s="7" t="str">
        <x:v>Verified qualifications do not include active general Life. Current target-pool mismatch; actual historical omission reason unknown.</x:v>
      </x:c>
      <x:c r="L281" s="7" t="str">
        <x:v>Not supplied; membership is known, motive is not</x:v>
      </x:c>
      <x:c r="M281" s="7" t="n">
        <x:v>7</x:v>
      </x:c>
      <x:c r="N281" s="7" t="str">
        <x:v>Outside current general-Life recruiting pool</x:v>
      </x:c>
      <x:c r="O281" s="7" t="str">
        <x:v>Not displayed</x:v>
      </x:c>
      <x:c r="P281" s="7" t="str"/>
      <x:c r="Q281" s="7" t="str"/>
      <x:c r="R281" s="7" t="str">
        <x:v>Casualty; Property</x:v>
      </x:c>
      <x:c r="S281" s="15" t="str"/>
      <x:c r="T281" s="7" t="str">
        <x:v>No public business phone in collected record</x:v>
      </x:c>
      <x:c r="U281" s="7" t="str">
        <x:v>500 COHASSET RD, STE 34 CHICO CA, 95926</x:v>
      </x:c>
      <x:c r="V281" s="7" t="str">
        <x:v>Resident</x:v>
      </x:c>
      <x:c r="W281" s="7" t="str">
        <x:v>CA</x:v>
      </x:c>
      <x:c r="X281" s="7" t="str"/>
      <x:c r="Y281" s="7" t="str">
        <x:v>NEXT INSURANCE US COMPANY / Casualty / 08/12/2025
NEXT INSURANCE US COMPANY / Property / 08/12/2025</x:v>
      </x:c>
      <x:c r="Z281" s="7" t="str"/>
      <x:c r="AA281" s="7" t="str"/>
      <x:c r="AB281" s="7" t="str"/>
      <x:c r="AC281" s="7" t="str"/>
      <x:c r="AD281" s="7" t="str"/>
      <x:c r="AE281" s="7" t="str">
        <x:v>P&amp;C/Personal Lines authority without displayed core Life appointments; mixed profile requires review | No public business phone: contact enrichment needed, not proof of poor recruiting fit</x:v>
      </x:c>
      <x:c r="AF281" s="16" t="str"/>
      <x:c r="AG281" s="17" t="str"/>
      <x:c r="AH281" s="7" t="str"/>
      <x:c r="AI281" s="7" t="str">
        <x:v>English</x:v>
      </x:c>
      <x:c r="AJ281" s="7" t="str"/>
      <x:c r="AK281" s="15" t="str"/>
      <x:c r="AL281" s="7" t="str"/>
      <x:c r="AM281" s="7" t="str">
        <x:v>AGUILAR  CRYSTAL</x:v>
      </x:c>
      <x:c r="AN281" s="7" t="str">
        <x:v>https://cdicloud.insurance.ca.gov/cal/LicenseDetail?SearchType=IND&amp;SearchLicNbr=4196337&amp;SearchIndvId=4196337</x:v>
      </x:c>
      <x:c r="AO281" s="7" t="str">
        <x:v>2026-10-08</x:v>
      </x:c>
      <x:c r="AP281" s="7" t="str">
        <x:v>b884490faccb23eaa699d77dfeb26529bfdd90f1c56cea308cbaa7738c29e76b</x:v>
      </x:c>
      <x:c r="AQ281" s="7" t="str">
        <x:v>Casualty / Active / 03/09/2022 / 03/09/2022 / 03/31/2028
Property / Active / 03/09/2022 / 03/09/2022 / 03/31/2028</x:v>
      </x:c>
      <x:c r="AR281" s="7" t="str">
        <x:v>Active</x:v>
      </x:c>
      <x:c r="AS281" s="7" t="str">
        <x:v>Current detail page</x:v>
      </x:c>
    </x:row>
    <x:row r="282" ht="52" customHeight="1">
      <x:c r="A282" s="7" t="str">
        <x:v>AGUILAR CRYSTAL MARIE</x:v>
      </x:c>
      <x:c r="B282" s="14" t="str">
        <x:f>"0F34793"</x:f>
        <x:v>0F34793</x:v>
      </x:c>
      <x:c r="C282" s="7" t="str">
        <x:v>Omitted</x:v>
      </x:c>
      <x:c r="D282" s="7" t="str">
        <x:v>FAIL</x:v>
      </x:c>
      <x:c r="E282" s="13" t="str">
        <x:v>Pending</x:v>
      </x:c>
      <x:c r="F282" s="13" t="str"/>
      <x:c r="G282" s="13" t="str"/>
      <x:c r="H282" s="13" t="str"/>
      <x:c r="I282" s="7" t="str">
        <x:v>Was this person reviewed? If rejected, give the actual rule and evidence. If acceptable, correct the omission. Confirm the Life-qualification gate and any record change since selection.</x:v>
      </x:c>
      <x:c r="J282" s="7" t="str">
        <x:v>L1</x:v>
      </x:c>
      <x:c r="K282" s="7" t="str">
        <x:v>Verified qualifications do not include active general Life. Current target-pool mismatch; actual historical omission reason unknown.</x:v>
      </x:c>
      <x:c r="L282" s="7" t="str">
        <x:v>Not supplied; membership is known, motive is not</x:v>
      </x:c>
      <x:c r="M282" s="7" t="n">
        <x:v>7</x:v>
      </x:c>
      <x:c r="N282" s="7" t="str">
        <x:v>Outside current general-Life recruiting pool</x:v>
      </x:c>
      <x:c r="O282" s="7" t="str">
        <x:v>Not displayed</x:v>
      </x:c>
      <x:c r="P282" s="7" t="str"/>
      <x:c r="Q282" s="7" t="str"/>
      <x:c r="R282" s="7" t="str"/>
      <x:c r="S282" s="15" t="str"/>
      <x:c r="T282" s="7" t="str">
        <x:v>No public business phone in collected record</x:v>
      </x:c>
      <x:c r="U282" s="7" t="str"/>
      <x:c r="V282" s="7" t="str">
        <x:v>Resident</x:v>
      </x:c>
      <x:c r="W282" s="7" t="str">
        <x:v>CA</x:v>
      </x:c>
      <x:c r="X282" s="7" t="str"/>
      <x:c r="Y282" s="7" t="str"/>
      <x:c r="Z282" s="7" t="str"/>
      <x:c r="AA282" s="7" t="str"/>
      <x:c r="AB282" s="7" t="str"/>
      <x:c r="AC282" s="7" t="str"/>
      <x:c r="AD282" s="7" t="str">
        <x:v>No agency or insurer displayed: onboarding opportunity possible; existing business unknown</x:v>
      </x:c>
      <x:c r="AE282" s="7" t="str">
        <x:v>No public business phone: contact enrichment needed, not proof of poor recruiting fit</x:v>
      </x:c>
      <x:c r="AF282" s="16" t="str"/>
      <x:c r="AG282" s="17" t="str"/>
      <x:c r="AH282" s="7" t="str"/>
      <x:c r="AI282" s="7" t="str"/>
      <x:c r="AJ282" s="7" t="str"/>
      <x:c r="AK282" s="15" t="str"/>
      <x:c r="AL282" s="7" t="str"/>
      <x:c r="AM282" s="7" t="str">
        <x:v>AGUILAR MARIE CRYSTAL</x:v>
      </x:c>
      <x:c r="AN282" s="7" t="str">
        <x:v>https://cdicloud.insurance.ca.gov/cal/LicenseDetail?SearchType=IND&amp;SearchLicNbr=0F34793&amp;SearchIndvId=1046102</x:v>
      </x:c>
      <x:c r="AO282" s="7" t="str">
        <x:v>2026-10-08</x:v>
      </x:c>
      <x:c r="AP282" s="7" t="str">
        <x:v>3601dc453a9728060a7cc9f031756ff9e08192676cd867d32fa6615b231a2136</x:v>
      </x:c>
      <x:c r="AQ282" s="7" t="str">
        <x:v>Accident and Health / Inactive / 09/20/2006 / 09/30/2008 / 09/30/2008
Life-Only / Inactive / 09/20/2006 / 09/30/2008 / 09/30/2008</x:v>
      </x:c>
      <x:c r="AR282" s="7" t="str">
        <x:v>Inactive</x:v>
      </x:c>
      <x:c r="AS282" s="7" t="str">
        <x:v>Current detail page</x:v>
      </x:c>
    </x:row>
    <x:row r="283" ht="52" customHeight="1">
      <x:c r="A283" s="7" t="str">
        <x:v>AGUILAR CRYSTAL MARIE</x:v>
      </x:c>
      <x:c r="B283" s="14" t="str">
        <x:f>"0H01822"</x:f>
        <x:v>0H01822</x:v>
      </x:c>
      <x:c r="C283" s="7" t="str">
        <x:v>Omitted</x:v>
      </x:c>
      <x:c r="D283" s="7" t="str">
        <x:v>FAIL</x:v>
      </x:c>
      <x:c r="E283" s="13" t="str">
        <x:v>Pending</x:v>
      </x:c>
      <x:c r="F283" s="13" t="str"/>
      <x:c r="G283" s="13" t="str"/>
      <x:c r="H283" s="13" t="str"/>
      <x:c r="I283" s="7" t="str">
        <x:v>Was this person reviewed? If rejected, give the actual rule and evidence. If acceptable, correct the omission. Confirm the Life-qualification gate and any record change since selection.</x:v>
      </x:c>
      <x:c r="J283" s="7" t="str">
        <x:v>L1</x:v>
      </x:c>
      <x:c r="K283" s="7" t="str">
        <x:v>Verified qualifications do not include active general Life. Current target-pool mismatch; actual historical omission reason unknown.</x:v>
      </x:c>
      <x:c r="L283" s="7" t="str">
        <x:v>Not supplied; membership is known, motive is not</x:v>
      </x:c>
      <x:c r="M283" s="7" t="n">
        <x:v>7</x:v>
      </x:c>
      <x:c r="N283" s="7" t="str">
        <x:v>Outside current general-Life recruiting pool</x:v>
      </x:c>
      <x:c r="O283" s="7" t="str">
        <x:v>Not displayed</x:v>
      </x:c>
      <x:c r="P283" s="7" t="str"/>
      <x:c r="Q283" s="7" t="str"/>
      <x:c r="R283" s="7" t="str"/>
      <x:c r="S283" s="15" t="str"/>
      <x:c r="T283" s="7" t="str">
        <x:v>No public business phone in collected record</x:v>
      </x:c>
      <x:c r="U283" s="7" t="str"/>
      <x:c r="V283" s="7" t="str">
        <x:v>Resident</x:v>
      </x:c>
      <x:c r="W283" s="7" t="str">
        <x:v>CA</x:v>
      </x:c>
      <x:c r="X283" s="7" t="str"/>
      <x:c r="Y283" s="7" t="str"/>
      <x:c r="Z283" s="7" t="str"/>
      <x:c r="AA283" s="7" t="str"/>
      <x:c r="AB283" s="7" t="str"/>
      <x:c r="AC283" s="7" t="str"/>
      <x:c r="AD283" s="7" t="str">
        <x:v>No agency or insurer displayed: onboarding opportunity possible; existing business unknown</x:v>
      </x:c>
      <x:c r="AE283" s="7" t="str">
        <x:v>No public business phone: contact enrichment needed, not proof of poor recruiting fit</x:v>
      </x:c>
      <x:c r="AF283" s="16" t="str"/>
      <x:c r="AG283" s="17" t="str"/>
      <x:c r="AH283" s="7" t="str"/>
      <x:c r="AI283" s="7" t="str"/>
      <x:c r="AJ283" s="7" t="str"/>
      <x:c r="AK283" s="15" t="str"/>
      <x:c r="AL283" s="7" t="str"/>
      <x:c r="AM283" s="7" t="str">
        <x:v>AGUILAR MARIE CRYSTAL</x:v>
      </x:c>
      <x:c r="AN283" s="7" t="str">
        <x:v>https://cdicloud.insurance.ca.gov/cal/LicenseDetail?SearchType=IND&amp;SearchLicNbr=0H01822&amp;SearchIndvId=1333942</x:v>
      </x:c>
      <x:c r="AO283" s="7" t="str">
        <x:v>2026-10-08</x:v>
      </x:c>
      <x:c r="AP283" s="7" t="str">
        <x:v>b87ebe483a51da9f35d15281ca0b45e854182b25b7b93d8554a702f8d6f1cb85</x:v>
      </x:c>
      <x:c r="AQ283" s="7" t="str">
        <x:v>Life-Only / Inactive / 05/24/2010 / 05/31/2012 / 05/31/2012</x:v>
      </x:c>
      <x:c r="AR283" s="7" t="str">
        <x:v>Inactive</x:v>
      </x:c>
      <x:c r="AS283" s="7" t="str">
        <x:v>Current detail page</x:v>
      </x:c>
    </x:row>
    <x:row r="284" ht="52" customHeight="1">
      <x:c r="A284" s="7" t="str">
        <x:v>AGUILAR CRYSTAL MICHELLE</x:v>
      </x:c>
      <x:c r="B284" s="14" t="str">
        <x:f>"0D28117"</x:f>
        <x:v>0D28117</x:v>
      </x:c>
      <x:c r="C284" s="7" t="str">
        <x:v>Omitted</x:v>
      </x:c>
      <x:c r="D284" s="7" t="str">
        <x:v>FAIL</x:v>
      </x:c>
      <x:c r="E284" s="13" t="str">
        <x:v>Pending</x:v>
      </x:c>
      <x:c r="F284" s="13" t="str"/>
      <x:c r="G284" s="13" t="str"/>
      <x:c r="H284" s="13" t="str"/>
      <x:c r="I284" s="7" t="str">
        <x:v>Was this person reviewed? If rejected, give the actual rule and evidence. If acceptable, correct the omission. Confirm the Life-qualification gate and any record change since selection.</x:v>
      </x:c>
      <x:c r="J284" s="7" t="str">
        <x:v>L1</x:v>
      </x:c>
      <x:c r="K284" s="7" t="str">
        <x:v>Verified qualifications do not include active general Life. Current target-pool mismatch; actual historical omission reason unknown.</x:v>
      </x:c>
      <x:c r="L284" s="7" t="str">
        <x:v>Not supplied; membership is known, motive is not</x:v>
      </x:c>
      <x:c r="M284" s="7" t="n">
        <x:v>7</x:v>
      </x:c>
      <x:c r="N284" s="7" t="str">
        <x:v>Outside current general-Life recruiting pool</x:v>
      </x:c>
      <x:c r="O284" s="7" t="str">
        <x:v>Not displayed</x:v>
      </x:c>
      <x:c r="P284" s="7" t="str"/>
      <x:c r="Q284" s="7" t="str"/>
      <x:c r="R284" s="7" t="str"/>
      <x:c r="S284" s="15" t="str"/>
      <x:c r="T284" s="7" t="str">
        <x:v>No public business phone in collected record</x:v>
      </x:c>
      <x:c r="U284" s="7" t="str"/>
      <x:c r="V284" s="7" t="str">
        <x:v>Resident</x:v>
      </x:c>
      <x:c r="W284" s="7" t="str">
        <x:v>CA</x:v>
      </x:c>
      <x:c r="X284" s="7" t="str"/>
      <x:c r="Y284" s="7" t="str"/>
      <x:c r="Z284" s="7" t="str"/>
      <x:c r="AA284" s="7" t="str"/>
      <x:c r="AB284" s="7" t="str"/>
      <x:c r="AC284" s="7" t="str"/>
      <x:c r="AD284" s="7" t="str">
        <x:v>No agency or insurer displayed: onboarding opportunity possible; existing business unknown</x:v>
      </x:c>
      <x:c r="AE284" s="7" t="str">
        <x:v>No public business phone: contact enrichment needed, not proof of poor recruiting fit</x:v>
      </x:c>
      <x:c r="AF284" s="16" t="str"/>
      <x:c r="AG284" s="17" t="str"/>
      <x:c r="AH284" s="7" t="str"/>
      <x:c r="AI284" s="7" t="str"/>
      <x:c r="AJ284" s="7" t="str"/>
      <x:c r="AK284" s="15" t="str"/>
      <x:c r="AL284" s="7" t="str"/>
      <x:c r="AM284" s="7" t="str">
        <x:v>AGUILAR MICHELLE CRYSTAL</x:v>
      </x:c>
      <x:c r="AN284" s="7" t="str">
        <x:v>https://cdicloud.insurance.ca.gov/cal/LicenseDetail?SearchType=IND&amp;SearchLicNbr=0D28117&amp;SearchIndvId=553219</x:v>
      </x:c>
      <x:c r="AO284" s="7" t="str">
        <x:v>2026-10-08</x:v>
      </x:c>
      <x:c r="AP284" s="7" t="str">
        <x:v>b188d3466079ebf54652d847f4662a1a1cd228703533fe8553dbc51f97dc1bf1</x:v>
      </x:c>
      <x:c r="AQ284" s="7" t="str">
        <x:v>Casualty Broker-Agent / Inactive / 04/30/2001 / 04/30/2003 / 04/30/2003
Property Broker-Agent / Inactive / 04/30/2001 / 04/30/2003 / 04/30/2003</x:v>
      </x:c>
      <x:c r="AR284" s="7" t="str">
        <x:v>Inactive</x:v>
      </x:c>
      <x:c r="AS284" s="7" t="str">
        <x:v>Current detail page</x:v>
      </x:c>
    </x:row>
    <x:row r="285" ht="52" customHeight="1">
      <x:c r="A285" s="7" t="str">
        <x:v>AGUILAR CYNTHIA</x:v>
      </x:c>
      <x:c r="B285" s="14" t="str">
        <x:f>"0E12845"</x:f>
        <x:v>0E12845</x:v>
      </x:c>
      <x:c r="C285" s="7" t="str">
        <x:v>Omitted</x:v>
      </x:c>
      <x:c r="D285" s="7" t="str">
        <x:v>FAIL</x:v>
      </x:c>
      <x:c r="E285" s="13" t="str">
        <x:v>Pending</x:v>
      </x:c>
      <x:c r="F285" s="13" t="str"/>
      <x:c r="G285" s="13" t="str"/>
      <x:c r="H285" s="13" t="str"/>
      <x:c r="I285" s="7" t="str">
        <x:v>Was this person reviewed? If rejected, give the actual rule and evidence. If acceptable, correct the omission. Confirm the Life-qualification gate and any record change since selection.</x:v>
      </x:c>
      <x:c r="J285" s="7" t="str">
        <x:v>L1</x:v>
      </x:c>
      <x:c r="K285" s="7" t="str">
        <x:v>Verified qualifications do not include active general Life. Current target-pool mismatch; actual historical omission reason unknown.</x:v>
      </x:c>
      <x:c r="L285" s="7" t="str">
        <x:v>Not supplied; membership is known, motive is not</x:v>
      </x:c>
      <x:c r="M285" s="7" t="n">
        <x:v>7</x:v>
      </x:c>
      <x:c r="N285" s="7" t="str">
        <x:v>Outside current general-Life recruiting pool</x:v>
      </x:c>
      <x:c r="O285" s="7" t="str">
        <x:v>Not displayed</x:v>
      </x:c>
      <x:c r="P285" s="7" t="str"/>
      <x:c r="Q285" s="7" t="str"/>
      <x:c r="R285" s="7" t="str"/>
      <x:c r="S285" s="15" t="str"/>
      <x:c r="T285" s="7" t="str">
        <x:v>No public business phone in collected record</x:v>
      </x:c>
      <x:c r="U285" s="7" t="str"/>
      <x:c r="V285" s="7" t="str">
        <x:v>Resident</x:v>
      </x:c>
      <x:c r="W285" s="7" t="str">
        <x:v>CA</x:v>
      </x:c>
      <x:c r="X285" s="7" t="str"/>
      <x:c r="Y285" s="7" t="str"/>
      <x:c r="Z285" s="7" t="str"/>
      <x:c r="AA285" s="7" t="str"/>
      <x:c r="AB285" s="7" t="str"/>
      <x:c r="AC285" s="7" t="str"/>
      <x:c r="AD285" s="7" t="str">
        <x:v>No agency or insurer displayed: onboarding opportunity possible; existing business unknown</x:v>
      </x:c>
      <x:c r="AE285" s="7" t="str">
        <x:v>No public business phone: contact enrichment needed, not proof of poor recruiting fit</x:v>
      </x:c>
      <x:c r="AF285" s="16" t="str"/>
      <x:c r="AG285" s="17" t="str"/>
      <x:c r="AH285" s="7" t="str"/>
      <x:c r="AI285" s="7" t="str"/>
      <x:c r="AJ285" s="7" t="str"/>
      <x:c r="AK285" s="15" t="str"/>
      <x:c r="AL285" s="7" t="str"/>
      <x:c r="AM285" s="7" t="str">
        <x:v>AGUILAR  CYNTHIA</x:v>
      </x:c>
      <x:c r="AN285" s="7" t="str">
        <x:v>https://cdicloud.insurance.ca.gov/cal/LicenseDetail?SearchType=IND&amp;SearchLicNbr=0E12845&amp;SearchIndvId=861117</x:v>
      </x:c>
      <x:c r="AO285" s="7" t="str">
        <x:v>2026-10-08</x:v>
      </x:c>
      <x:c r="AP285" s="7" t="str">
        <x:v>a89b694ebc32613b3a987a0c79d0920b7cf7e2cc94bd594d3a65f5ea05aad8d5</x:v>
      </x:c>
      <x:c r="AQ285" s="7" t="str">
        <x:v>Accident and Health / Inactive / 09/04/2003 / 09/30/2013 / 09/30/2013
Life-Only / Inactive / 09/04/2003 / 09/30/2013 / 09/30/2013
Variable Contracts / Inactive / 03/08/2004 / 09/30/2013 / 09/30/2013</x:v>
      </x:c>
      <x:c r="AR285" s="7" t="str">
        <x:v>Inactive</x:v>
      </x:c>
      <x:c r="AS285" s="7" t="str">
        <x:v>Current detail page</x:v>
      </x:c>
    </x:row>
    <x:row r="286" ht="52" customHeight="1">
      <x:c r="A286" s="7" t="str">
        <x:v>AGUILAR CYNTHIA</x:v>
      </x:c>
      <x:c r="B286" s="14" t="str">
        <x:f>"0I79452"</x:f>
        <x:v>0I79452</x:v>
      </x:c>
      <x:c r="C286" s="7" t="str">
        <x:v>Omitted</x:v>
      </x:c>
      <x:c r="D286" s="7" t="str">
        <x:v>FAIL</x:v>
      </x:c>
      <x:c r="E286" s="13" t="str">
        <x:v>Pending</x:v>
      </x:c>
      <x:c r="F286" s="13" t="str"/>
      <x:c r="G286" s="13" t="str"/>
      <x:c r="H286" s="13" t="str"/>
      <x:c r="I286" s="7" t="str">
        <x:v>Was this person reviewed? If rejected, give the actual rule and evidence. If acceptable, correct the omission. Confirm the Life-qualification gate and any record change since selection.</x:v>
      </x:c>
      <x:c r="J286" s="7" t="str">
        <x:v>L1</x:v>
      </x:c>
      <x:c r="K286" s="7" t="str">
        <x:v>Verified qualifications do not include active general Life. Current target-pool mismatch; actual historical omission reason unknown.</x:v>
      </x:c>
      <x:c r="L286" s="7" t="str">
        <x:v>Not supplied; membership is known, motive is not</x:v>
      </x:c>
      <x:c r="M286" s="7" t="n">
        <x:v>7</x:v>
      </x:c>
      <x:c r="N286" s="7" t="str">
        <x:v>Outside current general-Life recruiting pool</x:v>
      </x:c>
      <x:c r="O286" s="7" t="str">
        <x:v>Not displayed</x:v>
      </x:c>
      <x:c r="P286" s="7" t="str"/>
      <x:c r="Q286" s="7" t="str"/>
      <x:c r="R286" s="7" t="str"/>
      <x:c r="S286" s="15" t="str"/>
      <x:c r="T286" s="7" t="str">
        <x:v>No public business phone in collected record</x:v>
      </x:c>
      <x:c r="U286" s="7" t="str"/>
      <x:c r="V286" s="7" t="str">
        <x:v>Non-resident</x:v>
      </x:c>
      <x:c r="W286" s="7" t="str">
        <x:v>TX</x:v>
      </x:c>
      <x:c r="X286" s="7" t="str"/>
      <x:c r="Y286" s="7" t="str"/>
      <x:c r="Z286" s="7" t="str"/>
      <x:c r="AA286" s="7" t="str"/>
      <x:c r="AB286" s="7" t="str"/>
      <x:c r="AC286" s="7" t="str"/>
      <x:c r="AD286" s="7" t="str">
        <x:v>No agency or insurer displayed: onboarding opportunity possible; existing business unknown</x:v>
      </x:c>
      <x:c r="AE286" s="7" t="str">
        <x:v>Nonresident or address state outside CA; confirm geographic recruiting scope | No public business phone: contact enrichment needed, not proof of poor recruiting fit</x:v>
      </x:c>
      <x:c r="AF286" s="16" t="str"/>
      <x:c r="AG286" s="17" t="str"/>
      <x:c r="AH286" s="7" t="str"/>
      <x:c r="AI286" s="7" t="str"/>
      <x:c r="AJ286" s="7" t="str"/>
      <x:c r="AK286" s="15" t="str"/>
      <x:c r="AL286" s="7" t="str"/>
      <x:c r="AM286" s="7" t="str">
        <x:v>AGUILAR  CYNTHIA</x:v>
      </x:c>
      <x:c r="AN286" s="7" t="str">
        <x:v>https://cdicloud.insurance.ca.gov/cal/LicenseDetail?SearchType=IND&amp;SearchLicNbr=0I79452&amp;SearchIndvId=1657726</x:v>
      </x:c>
      <x:c r="AO286" s="7" t="str">
        <x:v>2026-10-08</x:v>
      </x:c>
      <x:c r="AP286" s="7" t="str">
        <x:v>522d48542696aee954c09ae02752430970d2b6aec2b6d486ecf0840a57d7535d</x:v>
      </x:c>
      <x:c r="AQ286" s="7" t="str">
        <x:v>Personal Lines Broker-Agent / Inactive / 02/28/2014 / 06/29/2016 / 06/29/2016</x:v>
      </x:c>
      <x:c r="AR286" s="7" t="str">
        <x:v>Inactive</x:v>
      </x:c>
      <x:c r="AS286" s="7" t="str">
        <x:v>Current detail page</x:v>
      </x:c>
    </x:row>
    <x:row r="287" ht="52" customHeight="1">
      <x:c r="A287" s="7" t="str">
        <x:v>AGUILAR CYNTHIA</x:v>
      </x:c>
      <x:c r="B287" s="14" t="str">
        <x:f>"4031093"</x:f>
        <x:v>4031093</x:v>
      </x:c>
      <x:c r="C287" s="7" t="str">
        <x:v>Omitted</x:v>
      </x:c>
      <x:c r="D287" s="7" t="str">
        <x:v>FAIL</x:v>
      </x:c>
      <x:c r="E287" s="13" t="str">
        <x:v>Pending</x:v>
      </x:c>
      <x:c r="F287" s="13" t="str"/>
      <x:c r="G287" s="13" t="str"/>
      <x:c r="H287" s="13" t="str"/>
      <x:c r="I287" s="7" t="str">
        <x:v>Was this person reviewed? If rejected, give the actual rule and evidence. If acceptable, correct the omission. Confirm the Life-qualification gate and any record change since selection.</x:v>
      </x:c>
      <x:c r="J287" s="7" t="str">
        <x:v>L1</x:v>
      </x:c>
      <x:c r="K287" s="7" t="str">
        <x:v>Verified qualifications do not include active general Life. Current target-pool mismatch; actual historical omission reason unknown.</x:v>
      </x:c>
      <x:c r="L287" s="7" t="str">
        <x:v>Not supplied; membership is known, motive is not</x:v>
      </x:c>
      <x:c r="M287" s="7" t="n">
        <x:v>7</x:v>
      </x:c>
      <x:c r="N287" s="7" t="str">
        <x:v>Outside current general-Life recruiting pool</x:v>
      </x:c>
      <x:c r="O287" s="7" t="str">
        <x:v>Not displayed</x:v>
      </x:c>
      <x:c r="P287" s="7" t="str"/>
      <x:c r="Q287" s="7" t="str"/>
      <x:c r="R287" s="7" t="str"/>
      <x:c r="S287" s="15" t="str"/>
      <x:c r="T287" s="7" t="str">
        <x:v>No public business phone in collected record</x:v>
      </x:c>
      <x:c r="U287" s="7" t="str">
        <x:v>700 N SAINT MARYS ST SUITE 1400 SAN ANTONIO TX, 78205</x:v>
      </x:c>
      <x:c r="V287" s="7" t="str">
        <x:v>Non-resident</x:v>
      </x:c>
      <x:c r="W287" s="7" t="str">
        <x:v>TX</x:v>
      </x:c>
      <x:c r="X287" s="7" t="str"/>
      <x:c r="Y287" s="7" t="str"/>
      <x:c r="Z287" s="7" t="str"/>
      <x:c r="AA287" s="7" t="str"/>
      <x:c r="AB287" s="7" t="str"/>
      <x:c r="AC287" s="7" t="str"/>
      <x:c r="AD287" s="7" t="str">
        <x:v>No agency or insurer displayed: onboarding opportunity possible; existing business unknown</x:v>
      </x:c>
      <x:c r="AE287" s="7" t="str">
        <x:v>Nonresident or address state outside CA; confirm geographic recruiting scope | No public business phone: contact enrichment needed, not proof of poor recruiting fit</x:v>
      </x:c>
      <x:c r="AF287" s="16" t="str"/>
      <x:c r="AG287" s="17" t="str"/>
      <x:c r="AH287" s="7" t="str"/>
      <x:c r="AI287" s="7" t="str"/>
      <x:c r="AJ287" s="7" t="str"/>
      <x:c r="AK287" s="15" t="str"/>
      <x:c r="AL287" s="7" t="str"/>
      <x:c r="AM287" s="7" t="str">
        <x:v>AGUILAR  CYNTHIA</x:v>
      </x:c>
      <x:c r="AN287" s="7" t="str">
        <x:v>https://cdicloud.insurance.ca.gov/cal/LicenseDetail?SearchType=IND&amp;SearchLicNbr=4031093&amp;SearchIndvId=4031093</x:v>
      </x:c>
      <x:c r="AO287" s="7" t="str">
        <x:v>2026-10-08</x:v>
      </x:c>
      <x:c r="AP287" s="7" t="str">
        <x:v>ba4612f5014a21342ffec2a8c49f2b199da9685e10947236c8c64cc2bdd02c44</x:v>
      </x:c>
      <x:c r="AQ287" s="7" t="str">
        <x:v>Accident &amp; Health or Sickness / Inactive / 01/24/2020 / 01/31/2026 / 01/31/2026</x:v>
      </x:c>
      <x:c r="AR287" s="7" t="str">
        <x:v>Inactive</x:v>
      </x:c>
      <x:c r="AS287" s="7" t="str">
        <x:v>Current detail page</x:v>
      </x:c>
    </x:row>
    <x:row r="288" ht="52" customHeight="1">
      <x:c r="A288" s="7" t="str">
        <x:v>AGUILAR CYNTHIA ANN</x:v>
      </x:c>
      <x:c r="B288" s="14" t="str">
        <x:f>"0H85954"</x:f>
        <x:v>0H85954</x:v>
      </x:c>
      <x:c r="C288" s="7" t="str">
        <x:v>Omitted</x:v>
      </x:c>
      <x:c r="D288" s="7" t="str">
        <x:v>FAIL</x:v>
      </x:c>
      <x:c r="E288" s="13" t="str">
        <x:v>Pending</x:v>
      </x:c>
      <x:c r="F288" s="13" t="str"/>
      <x:c r="G288" s="13" t="str"/>
      <x:c r="H288" s="13" t="str"/>
      <x:c r="I288" s="7" t="str">
        <x:v>Was this person reviewed? If rejected, give the actual rule and evidence. If acceptable, correct the omission. Confirm the Life-qualification gate and any record change since selection.</x:v>
      </x:c>
      <x:c r="J288" s="7" t="str">
        <x:v>L1</x:v>
      </x:c>
      <x:c r="K288" s="7" t="str">
        <x:v>Verified qualifications do not include active general Life. Current target-pool mismatch; actual historical omission reason unknown.</x:v>
      </x:c>
      <x:c r="L288" s="7" t="str">
        <x:v>Not supplied; membership is known, motive is not</x:v>
      </x:c>
      <x:c r="M288" s="7" t="n">
        <x:v>7</x:v>
      </x:c>
      <x:c r="N288" s="7" t="str">
        <x:v>Outside current general-Life recruiting pool</x:v>
      </x:c>
      <x:c r="O288" s="7" t="str">
        <x:v>Not displayed</x:v>
      </x:c>
      <x:c r="P288" s="7" t="str"/>
      <x:c r="Q288" s="7" t="str"/>
      <x:c r="R288" s="7" t="str"/>
      <x:c r="S288" s="15" t="str"/>
      <x:c r="T288" s="7" t="str">
        <x:v>No public business phone in collected record</x:v>
      </x:c>
      <x:c r="U288" s="7" t="str"/>
      <x:c r="V288" s="7" t="str">
        <x:v>Resident</x:v>
      </x:c>
      <x:c r="W288" s="7" t="str">
        <x:v>CA</x:v>
      </x:c>
      <x:c r="X288" s="7" t="str"/>
      <x:c r="Y288" s="7" t="str"/>
      <x:c r="Z288" s="7" t="str"/>
      <x:c r="AA288" s="7" t="str"/>
      <x:c r="AB288" s="7" t="str"/>
      <x:c r="AC288" s="7" t="str"/>
      <x:c r="AD288" s="7" t="str">
        <x:v>No agency or insurer displayed: onboarding opportunity possible; existing business unknown</x:v>
      </x:c>
      <x:c r="AE288" s="7" t="str">
        <x:v>No public business phone: contact enrichment needed, not proof of poor recruiting fit</x:v>
      </x:c>
      <x:c r="AF288" s="16" t="str"/>
      <x:c r="AG288" s="17" t="str"/>
      <x:c r="AH288" s="7" t="str"/>
      <x:c r="AI288" s="7" t="str"/>
      <x:c r="AJ288" s="7" t="str"/>
      <x:c r="AK288" s="15" t="str"/>
      <x:c r="AL288" s="7" t="str"/>
      <x:c r="AM288" s="7" t="str">
        <x:v>AGUILAR ANN CYNTHIA</x:v>
      </x:c>
      <x:c r="AN288" s="7" t="str">
        <x:v>https://cdicloud.insurance.ca.gov/cal/LicenseDetail?SearchType=IND&amp;SearchLicNbr=0H85954&amp;SearchIndvId=1510302</x:v>
      </x:c>
      <x:c r="AO288" s="7" t="str">
        <x:v>2026-10-08</x:v>
      </x:c>
      <x:c r="AP288" s="7" t="str">
        <x:v>941bf84a9b4df0d1b836ed53eb370851ac875ae47d5c4812a9e7cf35708303d6</x:v>
      </x:c>
      <x:c r="AQ288" s="7" t="str">
        <x:v>Life-Only / Inactive / 05/02/2012 / 05/31/2014 / 05/31/2014</x:v>
      </x:c>
      <x:c r="AR288" s="7" t="str">
        <x:v>Inactive</x:v>
      </x:c>
      <x:c r="AS288" s="7" t="str">
        <x:v>Current detail page</x:v>
      </x:c>
    </x:row>
    <x:row r="289" ht="52" customHeight="1">
      <x:c r="A289" s="7" t="str">
        <x:v>AGUILAR CYNTHIA DONELLA</x:v>
      </x:c>
      <x:c r="B289" s="14" t="str">
        <x:f>"0D72988"</x:f>
        <x:v>0D72988</x:v>
      </x:c>
      <x:c r="C289" s="7" t="str">
        <x:v>Omitted</x:v>
      </x:c>
      <x:c r="D289" s="7" t="str">
        <x:v>FAIL</x:v>
      </x:c>
      <x:c r="E289" s="13" t="str">
        <x:v>Pending</x:v>
      </x:c>
      <x:c r="F289" s="13" t="str"/>
      <x:c r="G289" s="13" t="str"/>
      <x:c r="H289" s="13" t="str"/>
      <x:c r="I289" s="7" t="str">
        <x:v>Was this person reviewed? If rejected, give the actual rule and evidence. If acceptable, correct the omission. Confirm the Life-qualification gate and any record change since selection.</x:v>
      </x:c>
      <x:c r="J289" s="7" t="str">
        <x:v>L1</x:v>
      </x:c>
      <x:c r="K289" s="7" t="str">
        <x:v>Verified qualifications do not include active general Life. Current target-pool mismatch; actual historical omission reason unknown.</x:v>
      </x:c>
      <x:c r="L289" s="7" t="str">
        <x:v>Not supplied; membership is known, motive is not</x:v>
      </x:c>
      <x:c r="M289" s="7" t="n">
        <x:v>7</x:v>
      </x:c>
      <x:c r="N289" s="7" t="str">
        <x:v>Outside current general-Life recruiting pool</x:v>
      </x:c>
      <x:c r="O289" s="7" t="str">
        <x:v>Not displayed</x:v>
      </x:c>
      <x:c r="P289" s="7" t="str"/>
      <x:c r="Q289" s="7" t="str"/>
      <x:c r="R289" s="7" t="str"/>
      <x:c r="S289" s="15" t="str"/>
      <x:c r="T289" s="7" t="str">
        <x:v>No public business phone in collected record</x:v>
      </x:c>
      <x:c r="U289" s="7" t="str"/>
      <x:c r="V289" s="7" t="str">
        <x:v>Resident</x:v>
      </x:c>
      <x:c r="W289" s="7" t="str">
        <x:v>CA</x:v>
      </x:c>
      <x:c r="X289" s="7" t="str"/>
      <x:c r="Y289" s="7" t="str"/>
      <x:c r="Z289" s="7" t="str"/>
      <x:c r="AA289" s="7" t="str"/>
      <x:c r="AB289" s="7" t="str"/>
      <x:c r="AC289" s="7" t="str"/>
      <x:c r="AD289" s="7" t="str">
        <x:v>No agency or insurer displayed: onboarding opportunity possible; existing business unknown</x:v>
      </x:c>
      <x:c r="AE289" s="7" t="str">
        <x:v>No public business phone: contact enrichment needed, not proof of poor recruiting fit</x:v>
      </x:c>
      <x:c r="AF289" s="16" t="str"/>
      <x:c r="AG289" s="17" t="str"/>
      <x:c r="AH289" s="7" t="str"/>
      <x:c r="AI289" s="7" t="str"/>
      <x:c r="AJ289" s="7" t="str"/>
      <x:c r="AK289" s="15" t="str"/>
      <x:c r="AL289" s="7" t="str"/>
      <x:c r="AM289" s="7" t="str">
        <x:v>AGUILAR DONELLA CYNTHIA</x:v>
      </x:c>
      <x:c r="AN289" s="7" t="str">
        <x:v>https://cdicloud.insurance.ca.gov/cal/LicenseDetail?SearchType=IND&amp;SearchLicNbr=0D72988&amp;SearchIndvId=796087</x:v>
      </x:c>
      <x:c r="AO289" s="7" t="str">
        <x:v>2026-10-08</x:v>
      </x:c>
      <x:c r="AP289" s="7" t="str">
        <x:v>eeb56947ee9e1c16f54cb16cd199c3747e8f47ad3376756e82ffb2098c030f24</x:v>
      </x:c>
      <x:c r="AQ289" s="7" t="str">
        <x:v>Accident and Health / Inactive / 08/09/2002 / 08/31/2004 / 08/31/2004
Life-Only / Inactive / 08/09/2002 / 08/31/2004 / 08/31/2004</x:v>
      </x:c>
      <x:c r="AR289" s="7" t="str">
        <x:v>Inactive</x:v>
      </x:c>
      <x:c r="AS289" s="7" t="str">
        <x:v>Current detail page</x:v>
      </x:c>
    </x:row>
    <x:row r="290" ht="52" customHeight="1">
      <x:c r="A290" s="7" t="str">
        <x:v>AGUILAR CYNTHIA SANDRA</x:v>
      </x:c>
      <x:c r="B290" s="14" t="str">
        <x:f>"0F38794"</x:f>
        <x:v>0F38794</x:v>
      </x:c>
      <x:c r="C290" s="7" t="str">
        <x:v>Omitted</x:v>
      </x:c>
      <x:c r="D290" s="7" t="str">
        <x:v>FAIL</x:v>
      </x:c>
      <x:c r="E290" s="13" t="str">
        <x:v>Pending</x:v>
      </x:c>
      <x:c r="F290" s="13" t="str"/>
      <x:c r="G290" s="13" t="str"/>
      <x:c r="H290" s="13" t="str"/>
      <x:c r="I290" s="7" t="str">
        <x:v>Was this person reviewed? If rejected, give the actual rule and evidence. If acceptable, correct the omission. Confirm the Life-qualification gate and any record change since selection.</x:v>
      </x:c>
      <x:c r="J290" s="7" t="str">
        <x:v>L1</x:v>
      </x:c>
      <x:c r="K290" s="7" t="str">
        <x:v>Verified qualifications do not include active general Life. Current target-pool mismatch; actual historical omission reason unknown.</x:v>
      </x:c>
      <x:c r="L290" s="7" t="str">
        <x:v>Not supplied; membership is known, motive is not</x:v>
      </x:c>
      <x:c r="M290" s="7" t="n">
        <x:v>7</x:v>
      </x:c>
      <x:c r="N290" s="7" t="str">
        <x:v>Outside current general-Life recruiting pool</x:v>
      </x:c>
      <x:c r="O290" s="7" t="str">
        <x:v>Not displayed</x:v>
      </x:c>
      <x:c r="P290" s="7" t="str"/>
      <x:c r="Q290" s="7" t="str"/>
      <x:c r="R290" s="7" t="str"/>
      <x:c r="S290" s="15" t="str"/>
      <x:c r="T290" s="7" t="str">
        <x:v>No public business phone in collected record</x:v>
      </x:c>
      <x:c r="U290" s="7" t="str"/>
      <x:c r="V290" s="7" t="str">
        <x:v>Resident</x:v>
      </x:c>
      <x:c r="W290" s="7" t="str">
        <x:v>CA</x:v>
      </x:c>
      <x:c r="X290" s="7" t="str"/>
      <x:c r="Y290" s="7" t="str"/>
      <x:c r="Z290" s="7" t="str"/>
      <x:c r="AA290" s="7" t="str"/>
      <x:c r="AB290" s="7" t="str"/>
      <x:c r="AC290" s="7" t="str"/>
      <x:c r="AD290" s="7" t="str">
        <x:v>No agency or insurer displayed: onboarding opportunity possible; existing business unknown</x:v>
      </x:c>
      <x:c r="AE290" s="7" t="str">
        <x:v>No public business phone: contact enrichment needed, not proof of poor recruiting fit</x:v>
      </x:c>
      <x:c r="AF290" s="16" t="str"/>
      <x:c r="AG290" s="17" t="str"/>
      <x:c r="AH290" s="7" t="str"/>
      <x:c r="AI290" s="7" t="str"/>
      <x:c r="AJ290" s="7" t="str"/>
      <x:c r="AK290" s="15" t="str"/>
      <x:c r="AL290" s="7" t="str"/>
      <x:c r="AM290" s="7" t="str">
        <x:v>AGUILAR SANDRA CYNTHIA</x:v>
      </x:c>
      <x:c r="AN290" s="7" t="str">
        <x:v>https://cdicloud.insurance.ca.gov/cal/LicenseDetail?SearchType=IND&amp;SearchLicNbr=0F38794&amp;SearchIndvId=1049682</x:v>
      </x:c>
      <x:c r="AO290" s="7" t="str">
        <x:v>2026-10-08</x:v>
      </x:c>
      <x:c r="AP290" s="7" t="str">
        <x:v>29df487257bbc94c1d16424662212930aa90df00655431d056ca43257073e0a5</x:v>
      </x:c>
      <x:c r="AQ290" s="7" t="str">
        <x:v>Casualty Broker-Agent / Inactive / 10/13/2006 / 10/31/2008 / 10/31/2008
Property Broker-Agent / Inactive / 10/13/2006 / 10/31/2008 / 10/31/2008</x:v>
      </x:c>
      <x:c r="AR290" s="7" t="str">
        <x:v>Inactive</x:v>
      </x:c>
      <x:c r="AS290" s="7" t="str">
        <x:v>Current detail page</x:v>
      </x:c>
    </x:row>
    <x:row r="291" ht="52" customHeight="1">
      <x:c r="A291" s="7" t="str">
        <x:v>AGUILAR DAISY</x:v>
      </x:c>
      <x:c r="B291" s="14" t="str">
        <x:f>"0M85688"</x:f>
        <x:v>0M85688</x:v>
      </x:c>
      <x:c r="C291" s="7" t="str">
        <x:v>Omitted</x:v>
      </x:c>
      <x:c r="D291" s="7" t="str">
        <x:v>FAIL</x:v>
      </x:c>
      <x:c r="E291" s="13" t="str">
        <x:v>Pending</x:v>
      </x:c>
      <x:c r="F291" s="13" t="str"/>
      <x:c r="G291" s="13" t="str"/>
      <x:c r="H291" s="13" t="str"/>
      <x:c r="I291" s="7" t="str">
        <x:v>Was this person reviewed? If rejected, give the actual rule and evidence. If acceptable, correct the omission. Confirm the Life-qualification gate and any record change since selection.</x:v>
      </x:c>
      <x:c r="J291" s="7" t="str">
        <x:v>L1</x:v>
      </x:c>
      <x:c r="K291" s="7" t="str">
        <x:v>Verified qualifications do not include active general Life. Current target-pool mismatch; actual historical omission reason unknown.</x:v>
      </x:c>
      <x:c r="L291" s="7" t="str">
        <x:v>Not supplied; membership is known, motive is not</x:v>
      </x:c>
      <x:c r="M291" s="7" t="n">
        <x:v>7</x:v>
      </x:c>
      <x:c r="N291" s="7" t="str">
        <x:v>Outside current general-Life recruiting pool</x:v>
      </x:c>
      <x:c r="O291" s="7" t="str">
        <x:v>Not displayed</x:v>
      </x:c>
      <x:c r="P291" s="7" t="str"/>
      <x:c r="Q291" s="7" t="str"/>
      <x:c r="R291" s="7" t="str"/>
      <x:c r="S291" s="15" t="str"/>
      <x:c r="T291" s="7" t="str">
        <x:v>No public business phone in collected record</x:v>
      </x:c>
      <x:c r="U291" s="7" t="str"/>
      <x:c r="V291" s="7" t="str">
        <x:v>Resident</x:v>
      </x:c>
      <x:c r="W291" s="7" t="str">
        <x:v>CA</x:v>
      </x:c>
      <x:c r="X291" s="7" t="str"/>
      <x:c r="Y291" s="7" t="str"/>
      <x:c r="Z291" s="7" t="str"/>
      <x:c r="AA291" s="7" t="str"/>
      <x:c r="AB291" s="7" t="str"/>
      <x:c r="AC291" s="7" t="str"/>
      <x:c r="AD291" s="7" t="str">
        <x:v>No agency or insurer displayed: onboarding opportunity possible; existing business unknown</x:v>
      </x:c>
      <x:c r="AE291" s="7" t="str">
        <x:v>No public business phone: contact enrichment needed, not proof of poor recruiting fit</x:v>
      </x:c>
      <x:c r="AF291" s="16" t="str"/>
      <x:c r="AG291" s="17" t="str"/>
      <x:c r="AH291" s="7" t="str"/>
      <x:c r="AI291" s="7" t="str"/>
      <x:c r="AJ291" s="7" t="str"/>
      <x:c r="AK291" s="15" t="str"/>
      <x:c r="AL291" s="7" t="str"/>
      <x:c r="AM291" s="7" t="str">
        <x:v>AGUILAR  DAISY</x:v>
      </x:c>
      <x:c r="AN291" s="7" t="str">
        <x:v>https://cdicloud.insurance.ca.gov/cal/LicenseDetail?SearchType=IND&amp;SearchLicNbr=0M85688&amp;SearchIndvId=2089767</x:v>
      </x:c>
      <x:c r="AO291" s="7" t="str">
        <x:v>2026-10-08</x:v>
      </x:c>
      <x:c r="AP291" s="7" t="str">
        <x:v>882f1324b1de1594eb3c32515d2d6f7ac8345db452742a43dab2e7546f5a1f5e</x:v>
      </x:c>
      <x:c r="AQ291" s="7" t="str">
        <x:v>Life-Only / Inactive / 03/06/2019 / 03/31/2021 / 03/31/2021</x:v>
      </x:c>
      <x:c r="AR291" s="7" t="str">
        <x:v>Inactive</x:v>
      </x:c>
      <x:c r="AS291" s="7" t="str">
        <x:v>Current detail page</x:v>
      </x:c>
    </x:row>
    <x:row r="292" ht="52" customHeight="1">
      <x:c r="A292" s="7" t="str">
        <x:v>AGUILAR DALE VINCENT</x:v>
      </x:c>
      <x:c r="B292" s="14" t="str">
        <x:f>"0C83967"</x:f>
        <x:v>0C83967</x:v>
      </x:c>
      <x:c r="C292" s="7" t="str">
        <x:v>Omitted</x:v>
      </x:c>
      <x:c r="D292" s="7" t="str">
        <x:v>FAIL</x:v>
      </x:c>
      <x:c r="E292" s="13" t="str">
        <x:v>Pending</x:v>
      </x:c>
      <x:c r="F292" s="13" t="str"/>
      <x:c r="G292" s="13" t="str"/>
      <x:c r="H292" s="13" t="str"/>
      <x:c r="I292" s="7" t="str">
        <x:v>Was this person reviewed? If rejected, give the actual rule and evidence. If acceptable, correct the omission. Confirm the Life-qualification gate and any record change since selection.</x:v>
      </x:c>
      <x:c r="J292" s="7" t="str">
        <x:v>L1</x:v>
      </x:c>
      <x:c r="K292" s="7" t="str">
        <x:v>Verified qualifications do not include active general Life. Current target-pool mismatch; actual historical omission reason unknown.</x:v>
      </x:c>
      <x:c r="L292" s="7" t="str">
        <x:v>Not supplied; membership is known, motive is not</x:v>
      </x:c>
      <x:c r="M292" s="7" t="n">
        <x:v>7</x:v>
      </x:c>
      <x:c r="N292" s="7" t="str">
        <x:v>Outside current general-Life recruiting pool</x:v>
      </x:c>
      <x:c r="O292" s="7" t="str">
        <x:v>Not displayed</x:v>
      </x:c>
      <x:c r="P292" s="7" t="str"/>
      <x:c r="Q292" s="7" t="str"/>
      <x:c r="R292" s="7" t="str"/>
      <x:c r="S292" s="15" t="str"/>
      <x:c r="T292" s="7" t="str">
        <x:v>No public business phone in collected record</x:v>
      </x:c>
      <x:c r="U292" s="7" t="str"/>
      <x:c r="V292" s="7" t="str">
        <x:v>Resident</x:v>
      </x:c>
      <x:c r="W292" s="7" t="str">
        <x:v>CA</x:v>
      </x:c>
      <x:c r="X292" s="7" t="str"/>
      <x:c r="Y292" s="7" t="str"/>
      <x:c r="Z292" s="7" t="str"/>
      <x:c r="AA292" s="7" t="str"/>
      <x:c r="AB292" s="7" t="str"/>
      <x:c r="AC292" s="7" t="str"/>
      <x:c r="AD292" s="7" t="str">
        <x:v>No agency or insurer displayed: onboarding opportunity possible; existing business unknown</x:v>
      </x:c>
      <x:c r="AE292" s="7" t="str">
        <x:v>No public business phone: contact enrichment needed, not proof of poor recruiting fit</x:v>
      </x:c>
      <x:c r="AF292" s="16" t="str"/>
      <x:c r="AG292" s="17" t="str"/>
      <x:c r="AH292" s="7" t="str"/>
      <x:c r="AI292" s="7" t="str"/>
      <x:c r="AJ292" s="7" t="str"/>
      <x:c r="AK292" s="15" t="str"/>
      <x:c r="AL292" s="7" t="str"/>
      <x:c r="AM292" s="7" t="str">
        <x:v>AGUILAR VINCENT DALE</x:v>
      </x:c>
      <x:c r="AN292" s="7" t="str">
        <x:v>https://cdicloud.insurance.ca.gov/cal/LicenseDetail?SearchType=IND&amp;SearchLicNbr=0C83967&amp;SearchIndvId=490024</x:v>
      </x:c>
      <x:c r="AO292" s="7" t="str">
        <x:v>2026-10-08</x:v>
      </x:c>
      <x:c r="AP292" s="7" t="str">
        <x:v>479a0fc7233e654fb9ada489ae893f84f76dea1cfba24093c4834b4640c1aa3a</x:v>
      </x:c>
      <x:c r="AQ292" s="7" t="str">
        <x:v>Accident and Health / Inactive / 05/15/2000 / 05/31/2002 / 05/31/2002
Life-Only / Inactive / 05/15/2000 / 05/31/2002 / 05/31/2002
Variable Contracts / Inactive / 05/15/2000 / 05/31/2002 / 05/31/2002</x:v>
      </x:c>
      <x:c r="AR292" s="7" t="str">
        <x:v>Inactive</x:v>
      </x:c>
      <x:c r="AS292" s="7" t="str">
        <x:v>Current detail page</x:v>
      </x:c>
    </x:row>
    <x:row r="293" ht="52" customHeight="1">
      <x:c r="A293" s="7" t="str">
        <x:v>AGUILAR DALIA LETICIA</x:v>
      </x:c>
      <x:c r="B293" s="14" t="str">
        <x:f>"0G36230"</x:f>
        <x:v>0G36230</x:v>
      </x:c>
      <x:c r="C293" s="7" t="str">
        <x:v>Omitted</x:v>
      </x:c>
      <x:c r="D293" s="7" t="str">
        <x:v>FAIL</x:v>
      </x:c>
      <x:c r="E293" s="13" t="str">
        <x:v>Pending</x:v>
      </x:c>
      <x:c r="F293" s="13" t="str"/>
      <x:c r="G293" s="13" t="str"/>
      <x:c r="H293" s="13" t="str"/>
      <x:c r="I293" s="7" t="str">
        <x:v>Was this person reviewed? If rejected, give the actual rule and evidence. If acceptable, correct the omission. Confirm the Life-qualification gate and any record change since selection.</x:v>
      </x:c>
      <x:c r="J293" s="7" t="str">
        <x:v>L1</x:v>
      </x:c>
      <x:c r="K293" s="7" t="str">
        <x:v>Verified qualifications do not include active general Life. Current target-pool mismatch; actual historical omission reason unknown.</x:v>
      </x:c>
      <x:c r="L293" s="7" t="str">
        <x:v>Not supplied; membership is known, motive is not</x:v>
      </x:c>
      <x:c r="M293" s="7" t="n">
        <x:v>7</x:v>
      </x:c>
      <x:c r="N293" s="7" t="str">
        <x:v>Outside current general-Life recruiting pool</x:v>
      </x:c>
      <x:c r="O293" s="7" t="str">
        <x:v>Not displayed</x:v>
      </x:c>
      <x:c r="P293" s="7" t="str"/>
      <x:c r="Q293" s="7" t="str"/>
      <x:c r="R293" s="7" t="str">
        <x:v>Casualty; Property</x:v>
      </x:c>
      <x:c r="S293" s="15" t="str"/>
      <x:c r="T293" s="7" t="str">
        <x:v>No public business phone in collected record</x:v>
      </x:c>
      <x:c r="U293" s="7" t="str">
        <x:v>3501 CARAWAY CT BAKERSFIELD CA, 93309</x:v>
      </x:c>
      <x:c r="V293" s="7" t="str">
        <x:v>Resident</x:v>
      </x:c>
      <x:c r="W293" s="7" t="str">
        <x:v>CA</x:v>
      </x:c>
      <x:c r="X293" s="7" t="str"/>
      <x:c r="Y293" s="7" t="str"/>
      <x:c r="Z293" s="7" t="str"/>
      <x:c r="AA293" s="7" t="str"/>
      <x:c r="AB293" s="7" t="str"/>
      <x:c r="AC293" s="7" t="str"/>
      <x:c r="AD293" s="7" t="str">
        <x:v>No agency or insurer displayed: onboarding opportunity possible; existing business unknown</x:v>
      </x:c>
      <x:c r="AE293" s="7" t="str">
        <x:v>P&amp;C/Personal Lines authority without displayed core Life appointments; mixed profile requires review | No public business phone: contact enrichment needed, not proof of poor recruiting fit</x:v>
      </x:c>
      <x:c r="AF293" s="16" t="str"/>
      <x:c r="AG293" s="17" t="str"/>
      <x:c r="AH293" s="7" t="str"/>
      <x:c r="AI293" s="7" t="str">
        <x:v>English</x:v>
      </x:c>
      <x:c r="AJ293" s="7" t="str"/>
      <x:c r="AK293" s="15" t="str"/>
      <x:c r="AL293" s="7" t="str"/>
      <x:c r="AM293" s="7" t="str">
        <x:v>AGUILAR LETICIA DALIA</x:v>
      </x:c>
      <x:c r="AN293" s="7" t="str">
        <x:v>https://cdicloud.insurance.ca.gov/cal/LicenseDetail?SearchType=IND&amp;SearchLicNbr=0G36230&amp;SearchIndvId=1196891</x:v>
      </x:c>
      <x:c r="AO293" s="7" t="str">
        <x:v>2026-10-08</x:v>
      </x:c>
      <x:c r="AP293" s="7" t="str">
        <x:v>b4121ddad401d7037b21119b87120e2c53fc6d1c009c3b384877dfff823fa438</x:v>
      </x:c>
      <x:c r="AQ293" s="7" t="str">
        <x:v>Casualty / Active / 10/03/2022 / 10/03/2022 / 10/31/2028
Property / Active / 10/03/2022 / 10/03/2022 / 10/31/2028</x:v>
      </x:c>
      <x:c r="AR293" s="7" t="str">
        <x:v>Active</x:v>
      </x:c>
      <x:c r="AS293" s="7" t="str">
        <x:v>Current detail page</x:v>
      </x:c>
    </x:row>
    <x:row r="294" ht="52" customHeight="1">
      <x:c r="A294" s="7" t="str">
        <x:v>AGUILAR DAMARIS NICOLE</x:v>
      </x:c>
      <x:c r="B294" s="14" t="str">
        <x:f>"4537361"</x:f>
        <x:v>4537361</x:v>
      </x:c>
      <x:c r="C294" s="7" t="str">
        <x:v>Omitted</x:v>
      </x:c>
      <x:c r="D294" s="7" t="str">
        <x:v>FAIL</x:v>
      </x:c>
      <x:c r="E294" s="13" t="str">
        <x:v>Pending</x:v>
      </x:c>
      <x:c r="F294" s="13" t="str"/>
      <x:c r="G294" s="13" t="str"/>
      <x:c r="H294" s="13" t="str"/>
      <x:c r="I294" s="7" t="str">
        <x:v>Was this person reviewed? If rejected, give the actual rule and evidence. If acceptable, correct the omission. Confirm the Life-qualification gate and any record change since selection.</x:v>
      </x:c>
      <x:c r="J294" s="7" t="str">
        <x:v>L1</x:v>
      </x:c>
      <x:c r="K294" s="7" t="str">
        <x:v>Verified qualifications do not include active general Life. Current target-pool mismatch; actual historical omission reason unknown.</x:v>
      </x:c>
      <x:c r="L294" s="7" t="str">
        <x:v>Not supplied; membership is known, motive is not</x:v>
      </x:c>
      <x:c r="M294" s="7" t="n">
        <x:v>7</x:v>
      </x:c>
      <x:c r="N294" s="7" t="str">
        <x:v>Outside current general-Life recruiting pool</x:v>
      </x:c>
      <x:c r="O294" s="7" t="str">
        <x:v>Not displayed</x:v>
      </x:c>
      <x:c r="P294" s="7" t="str"/>
      <x:c r="Q294" s="7" t="str"/>
      <x:c r="R294" s="7" t="str">
        <x:v>Limited Lines Automobile</x:v>
      </x:c>
      <x:c r="S294" s="15" t="str">
        <x:v>559-935-8853</x:v>
      </x:c>
      <x:c r="T294" s="7" t="str">
        <x:v>Current CDI</x:v>
      </x:c>
      <x:c r="U294" s="7" t="str">
        <x:v>195 W. ELM AVE COALINGA CA, 93210</x:v>
      </x:c>
      <x:c r="V294" s="7" t="str">
        <x:v>Resident</x:v>
      </x:c>
      <x:c r="W294" s="7" t="str">
        <x:v>CA</x:v>
      </x:c>
      <x:c r="X294" s="7" t="str"/>
      <x:c r="Y294" s="7" t="str"/>
      <x:c r="Z294" s="7" t="str"/>
      <x:c r="AA294" s="7" t="str"/>
      <x:c r="AB294" s="7" t="str"/>
      <x:c r="AC294" s="7" t="str"/>
      <x:c r="AD294" s="7" t="str">
        <x:v>No agency or insurer displayed: onboarding opportunity possible; existing business unknown</x:v>
      </x:c>
      <x:c r="AE294" s="7" t="str"/>
      <x:c r="AF294" s="16" t="str"/>
      <x:c r="AG294" s="17" t="str"/>
      <x:c r="AH294" s="7" t="str"/>
      <x:c r="AI294" s="7" t="str">
        <x:v>English</x:v>
      </x:c>
      <x:c r="AJ294" s="7" t="str"/>
      <x:c r="AK294" s="15" t="str"/>
      <x:c r="AL294" s="7" t="str"/>
      <x:c r="AM294" s="7" t="str">
        <x:v>AGUILAR NICOLE DAMARIS</x:v>
      </x:c>
      <x:c r="AN294" s="7" t="str">
        <x:v>https://cdicloud.insurance.ca.gov/cal/LicenseDetail?SearchType=IND&amp;SearchLicNbr=4537361&amp;SearchIndvId=4537361</x:v>
      </x:c>
      <x:c r="AO294" s="7" t="str">
        <x:v>2026-10-08</x:v>
      </x:c>
      <x:c r="AP294" s="7" t="str">
        <x:v>6d25745d85ce0e7e9205150222faa58550b3234e06d9305ddc66b6d5156cd7e3</x:v>
      </x:c>
      <x:c r="AQ294" s="7" t="str">
        <x:v>Limited Lines Automobile / Active / 03/24/2026 / 03/24/2026 / 03/31/2028</x:v>
      </x:c>
      <x:c r="AR294" s="7" t="str">
        <x:v>Active</x:v>
      </x:c>
      <x:c r="AS294" s="7" t="str">
        <x:v>Current detail page</x:v>
      </x:c>
    </x:row>
    <x:row r="295" ht="52" customHeight="1">
      <x:c r="A295" s="7" t="str">
        <x:v>AGUILAR DAMIAN</x:v>
      </x:c>
      <x:c r="B295" s="14" t="str">
        <x:f>"4389679"</x:f>
        <x:v>4389679</x:v>
      </x:c>
      <x:c r="C295" s="7" t="str">
        <x:v>Omitted</x:v>
      </x:c>
      <x:c r="D295" s="7" t="str">
        <x:v>FAIL</x:v>
      </x:c>
      <x:c r="E295" s="13" t="str">
        <x:v>Pending</x:v>
      </x:c>
      <x:c r="F295" s="13" t="str"/>
      <x:c r="G295" s="13" t="str"/>
      <x:c r="H295" s="13" t="str"/>
      <x:c r="I295" s="7" t="str">
        <x:v>Was this person reviewed? If rejected, give the actual rule and evidence. If acceptable, correct the omission. Confirm the Life-qualification gate and any record change since selection.</x:v>
      </x:c>
      <x:c r="J295" s="7" t="str">
        <x:v>L1</x:v>
      </x:c>
      <x:c r="K295" s="7" t="str">
        <x:v>Verified qualifications do not include active general Life. Current target-pool mismatch; actual historical omission reason unknown.</x:v>
      </x:c>
      <x:c r="L295" s="7" t="str">
        <x:v>Not supplied; membership is known, motive is not</x:v>
      </x:c>
      <x:c r="M295" s="7" t="n">
        <x:v>7</x:v>
      </x:c>
      <x:c r="N295" s="7" t="str">
        <x:v>Outside current general-Life recruiting pool</x:v>
      </x:c>
      <x:c r="O295" s="7" t="str">
        <x:v>Not displayed</x:v>
      </x:c>
      <x:c r="P295" s="7" t="str"/>
      <x:c r="Q295" s="7" t="str"/>
      <x:c r="R295" s="7" t="str"/>
      <x:c r="S295" s="15" t="str"/>
      <x:c r="T295" s="7" t="str">
        <x:v>No public business phone in collected record</x:v>
      </x:c>
      <x:c r="U295" s="7" t="str">
        <x:v>3050 S M L KING JR WAY TUCSON AZ, 85713</x:v>
      </x:c>
      <x:c r="V295" s="7" t="str">
        <x:v>Non-resident</x:v>
      </x:c>
      <x:c r="W295" s="7" t="str">
        <x:v>AZ</x:v>
      </x:c>
      <x:c r="X295" s="7" t="str"/>
      <x:c r="Y295" s="7" t="str"/>
      <x:c r="Z295" s="7" t="str"/>
      <x:c r="AA295" s="7" t="str"/>
      <x:c r="AB295" s="7" t="str"/>
      <x:c r="AC295" s="7" t="str"/>
      <x:c r="AD295" s="7" t="str">
        <x:v>No agency or insurer displayed: onboarding opportunity possible; existing business unknown</x:v>
      </x:c>
      <x:c r="AE295" s="7" t="str">
        <x:v>Nonresident or address state outside CA; confirm geographic recruiting scope | No public business phone: contact enrichment needed, not proof of poor recruiting fit</x:v>
      </x:c>
      <x:c r="AF295" s="16" t="str"/>
      <x:c r="AG295" s="17" t="str"/>
      <x:c r="AH295" s="7" t="str"/>
      <x:c r="AI295" s="7" t="str"/>
      <x:c r="AJ295" s="7" t="str"/>
      <x:c r="AK295" s="15" t="str"/>
      <x:c r="AL295" s="7" t="str"/>
      <x:c r="AM295" s="7" t="str">
        <x:v>AGUILAR  DAMIAN</x:v>
      </x:c>
      <x:c r="AN295" s="7" t="str">
        <x:v>https://cdicloud.insurance.ca.gov/cal/LicenseDetail?SearchType=IND&amp;SearchLicNbr=4389679&amp;SearchIndvId=4389679</x:v>
      </x:c>
      <x:c r="AO295" s="7" t="str">
        <x:v>2026-10-08</x:v>
      </x:c>
      <x:c r="AP295" s="7" t="str">
        <x:v>79b56795b18ada27e92f987c8fcd1a0f1c2fb3f5fc9465e260fbf1de933a0ef0</x:v>
      </x:c>
      <x:c r="AQ295" s="7" t="str">
        <x:v>Personal Lines / Inactive / 06/24/2024 / 06/30/2026 / 06/30/2026</x:v>
      </x:c>
      <x:c r="AR295" s="7" t="str">
        <x:v>Inactive</x:v>
      </x:c>
      <x:c r="AS295" s="7" t="str">
        <x:v>Current detail page</x:v>
      </x:c>
    </x:row>
    <x:row r="296" ht="52" customHeight="1">
      <x:c r="A296" s="7" t="str">
        <x:v>AGUILAR DANIEL</x:v>
      </x:c>
      <x:c r="B296" s="14" t="str">
        <x:f>"0C77300"</x:f>
        <x:v>0C77300</x:v>
      </x:c>
      <x:c r="C296" s="7" t="str">
        <x:v>Omitted</x:v>
      </x:c>
      <x:c r="D296" s="7" t="str">
        <x:v>FAIL</x:v>
      </x:c>
      <x:c r="E296" s="13" t="str">
        <x:v>Pending</x:v>
      </x:c>
      <x:c r="F296" s="13" t="str"/>
      <x:c r="G296" s="13" t="str"/>
      <x:c r="H296" s="13" t="str"/>
      <x:c r="I296" s="7" t="str">
        <x:v>Was this person reviewed? If rejected, give the actual rule and evidence. If acceptable, correct the omission. Confirm the Life-qualification gate and any record change since selection.</x:v>
      </x:c>
      <x:c r="J296" s="7" t="str">
        <x:v>L1</x:v>
      </x:c>
      <x:c r="K296" s="7" t="str">
        <x:v>Verified qualifications do not include active general Life. Current target-pool mismatch; actual historical omission reason unknown.</x:v>
      </x:c>
      <x:c r="L296" s="7" t="str">
        <x:v>Not supplied; membership is known, motive is not</x:v>
      </x:c>
      <x:c r="M296" s="7" t="n">
        <x:v>7</x:v>
      </x:c>
      <x:c r="N296" s="7" t="str">
        <x:v>Outside current general-Life recruiting pool</x:v>
      </x:c>
      <x:c r="O296" s="7" t="str">
        <x:v>Not displayed</x:v>
      </x:c>
      <x:c r="P296" s="7" t="str"/>
      <x:c r="Q296" s="7" t="str"/>
      <x:c r="R296" s="7" t="str"/>
      <x:c r="S296" s="15" t="str"/>
      <x:c r="T296" s="7" t="str">
        <x:v>No public business phone in collected record</x:v>
      </x:c>
      <x:c r="U296" s="7" t="str"/>
      <x:c r="V296" s="7" t="str">
        <x:v>Resident</x:v>
      </x:c>
      <x:c r="W296" s="7" t="str">
        <x:v>CA</x:v>
      </x:c>
      <x:c r="X296" s="7" t="str"/>
      <x:c r="Y296" s="7" t="str"/>
      <x:c r="Z296" s="7" t="str"/>
      <x:c r="AA296" s="7" t="str"/>
      <x:c r="AB296" s="7" t="str"/>
      <x:c r="AC296" s="7" t="str"/>
      <x:c r="AD296" s="7" t="str">
        <x:v>No agency or insurer displayed: onboarding opportunity possible; existing business unknown</x:v>
      </x:c>
      <x:c r="AE296" s="7" t="str">
        <x:v>No public business phone: contact enrichment needed, not proof of poor recruiting fit</x:v>
      </x:c>
      <x:c r="AF296" s="16" t="str"/>
      <x:c r="AG296" s="17" t="str"/>
      <x:c r="AH296" s="7" t="str"/>
      <x:c r="AI296" s="7" t="str">
        <x:v>Spanish, Spanish</x:v>
      </x:c>
      <x:c r="AJ296" s="7" t="str"/>
      <x:c r="AK296" s="15" t="str"/>
      <x:c r="AL296" s="7" t="str"/>
      <x:c r="AM296" s="7" t="str">
        <x:v>AGUILAR  DANIEL</x:v>
      </x:c>
      <x:c r="AN296" s="7" t="str">
        <x:v>https://cdicloud.insurance.ca.gov/cal/LicenseDetail?SearchType=IND&amp;SearchLicNbr=0C77300&amp;SearchIndvId=456757</x:v>
      </x:c>
      <x:c r="AO296" s="7" t="str">
        <x:v>2026-10-08</x:v>
      </x:c>
      <x:c r="AP296" s="7" t="str">
        <x:v>0174cfe91657689bbb5c7c0ba7804f521338ce43f093f4b4cb4b28cfebab9e7b</x:v>
      </x:c>
      <x:c r="AQ296" s="7" t="str">
        <x:v>Accident and Health / Inactive / 11/15/1999 / 11/30/2001 / 11/30/2001
Life-Only / Inactive / 11/15/1999 / 11/30/2001 / 11/30/2001</x:v>
      </x:c>
      <x:c r="AR296" s="7" t="str">
        <x:v>Inactive</x:v>
      </x:c>
      <x:c r="AS296" s="7" t="str">
        <x:v>Current detail page</x:v>
      </x:c>
    </x:row>
    <x:row r="297" ht="52" customHeight="1">
      <x:c r="A297" s="7" t="str">
        <x:v>AGUILAR DANIEL</x:v>
      </x:c>
      <x:c r="B297" s="14" t="str">
        <x:f>"4001333"</x:f>
        <x:v>4001333</x:v>
      </x:c>
      <x:c r="C297" s="7" t="str">
        <x:v>Omitted</x:v>
      </x:c>
      <x:c r="D297" s="7" t="str">
        <x:v>FAIL</x:v>
      </x:c>
      <x:c r="E297" s="13" t="str">
        <x:v>Pending</x:v>
      </x:c>
      <x:c r="F297" s="13" t="str"/>
      <x:c r="G297" s="13" t="str"/>
      <x:c r="H297" s="13" t="str"/>
      <x:c r="I297" s="7" t="str">
        <x:v>Was this person reviewed? If rejected, give the actual rule and evidence. If acceptable, correct the omission. Confirm the Life-qualification gate and any record change since selection.</x:v>
      </x:c>
      <x:c r="J297" s="7" t="str">
        <x:v>L1</x:v>
      </x:c>
      <x:c r="K297" s="7" t="str">
        <x:v>Verified qualifications do not include active general Life. Current target-pool mismatch; actual historical omission reason unknown.</x:v>
      </x:c>
      <x:c r="L297" s="7" t="str">
        <x:v>Not supplied; membership is known, motive is not</x:v>
      </x:c>
      <x:c r="M297" s="7" t="n">
        <x:v>7</x:v>
      </x:c>
      <x:c r="N297" s="7" t="str">
        <x:v>Outside current general-Life recruiting pool</x:v>
      </x:c>
      <x:c r="O297" s="7" t="str">
        <x:v>Not displayed</x:v>
      </x:c>
      <x:c r="P297" s="7" t="str"/>
      <x:c r="Q297" s="7" t="str"/>
      <x:c r="R297" s="7" t="str">
        <x:v>Accident &amp; Health or Sickness</x:v>
      </x:c>
      <x:c r="S297" s="15" t="str"/>
      <x:c r="T297" s="7" t="str">
        <x:v>No public business phone in collected record</x:v>
      </x:c>
      <x:c r="U297" s="7" t="str">
        <x:v>1025 CALLE DEL SOL LAS CRUCES NM, 88005-3035</x:v>
      </x:c>
      <x:c r="V297" s="7" t="str">
        <x:v>Non-resident</x:v>
      </x:c>
      <x:c r="W297" s="7" t="str">
        <x:v>NM</x:v>
      </x:c>
      <x:c r="X297" s="7" t="str"/>
      <x:c r="Y297" s="7" t="str">
        <x:v>AETNA LIFE INSURANCE COMPANY / Accident &amp; Health or Sickness / 07/14/2025
HEALTH NET LIFE INSURANCE COMPANY / Accident &amp; Health or Sickness / 08/01/2025</x:v>
      </x:c>
      <x:c r="Z297" s="7" t="str"/>
      <x:c r="AA297" s="7" t="str"/>
      <x:c r="AB297" s="7" t="str"/>
      <x:c r="AC297" s="7" t="str"/>
      <x:c r="AD297" s="7" t="str">
        <x:v>Active A&amp;H supports optional cross-selling; not necessary for target products</x:v>
      </x:c>
      <x:c r="AE297" s="7" t="str">
        <x:v>Displayed insurer appointments are A&amp;H/disability only despite active Life authority | Nonresident or address state outside CA; confirm geographic recruiting scope | No public business phone: contact enrichment needed, not proof of poor recruiting fit</x:v>
      </x:c>
      <x:c r="AF297" s="16" t="str"/>
      <x:c r="AG297" s="17" t="str"/>
      <x:c r="AH297" s="7" t="str"/>
      <x:c r="AI297" s="7" t="str"/>
      <x:c r="AJ297" s="7" t="str"/>
      <x:c r="AK297" s="15" t="str"/>
      <x:c r="AL297" s="7" t="str"/>
      <x:c r="AM297" s="7" t="str">
        <x:v>AGUILAR  DANIEL</x:v>
      </x:c>
      <x:c r="AN297" s="7" t="str">
        <x:v>https://cdicloud.insurance.ca.gov/cal/LicenseDetail?SearchType=IND&amp;SearchLicNbr=4001333&amp;SearchIndvId=4001333</x:v>
      </x:c>
      <x:c r="AO297" s="7" t="str">
        <x:v>2026-10-08</x:v>
      </x:c>
      <x:c r="AP297" s="7" t="str">
        <x:v>0c56182a41e4873322363ae473fefcc3f68abe9e25090cc28f543f031b5441a6</x:v>
      </x:c>
      <x:c r="AQ297" s="7" t="str">
        <x:v>Accident &amp; Health or Sickness / Active / 09/04/2019 / 03/08/2024 / 09/30/2027</x:v>
      </x:c>
      <x:c r="AR297" s="7" t="str">
        <x:v>Active</x:v>
      </x:c>
      <x:c r="AS297" s="7" t="str">
        <x:v>Current detail page</x:v>
      </x:c>
    </x:row>
    <x:row r="298" ht="52" customHeight="1">
      <x:c r="A298" s="7" t="str">
        <x:v>AGUILAR DANIEL ANTONIO JR</x:v>
      </x:c>
      <x:c r="B298" s="14" t="str">
        <x:f>"2119265"</x:f>
        <x:v>2119265</x:v>
      </x:c>
      <x:c r="C298" s="7" t="str">
        <x:v>Omitted</x:v>
      </x:c>
      <x:c r="D298" s="7" t="str">
        <x:v>FAIL</x:v>
      </x:c>
      <x:c r="E298" s="13" t="str">
        <x:v>Pending</x:v>
      </x:c>
      <x:c r="F298" s="13" t="str"/>
      <x:c r="G298" s="13" t="str"/>
      <x:c r="H298" s="13" t="str"/>
      <x:c r="I298" s="7" t="str">
        <x:v>Was this person reviewed? If rejected, give the actual rule and evidence. If acceptable, correct the omission. Confirm the Life-qualification gate and any record change since selection.</x:v>
      </x:c>
      <x:c r="J298" s="7" t="str">
        <x:v>L1</x:v>
      </x:c>
      <x:c r="K298" s="7" t="str">
        <x:v>Verified qualifications do not include active general Life. Current target-pool mismatch; actual historical omission reason unknown.</x:v>
      </x:c>
      <x:c r="L298" s="7" t="str">
        <x:v>Not supplied; membership is known, motive is not</x:v>
      </x:c>
      <x:c r="M298" s="7" t="n">
        <x:v>7</x:v>
      </x:c>
      <x:c r="N298" s="7" t="str">
        <x:v>Outside current general-Life recruiting pool</x:v>
      </x:c>
      <x:c r="O298" s="7" t="str">
        <x:v>Inactive</x:v>
      </x:c>
      <x:c r="P298" s="7" t="str">
        <x:v>10/04/2019</x:v>
      </x:c>
      <x:c r="Q298" s="7" t="str">
        <x:v>10/31/2023</x:v>
      </x:c>
      <x:c r="R298" s="7" t="str"/>
      <x:c r="S298" s="15" t="str">
        <x:v>818-518-5373</x:v>
      </x:c>
      <x:c r="T298" s="7" t="str">
        <x:v>Current CDI</x:v>
      </x:c>
      <x:c r="U298" s="7" t="str">
        <x:v>1315 S MEADOW LANE, 232 COLTON CA, 92324</x:v>
      </x:c>
      <x:c r="V298" s="7" t="str">
        <x:v>Resident</x:v>
      </x:c>
      <x:c r="W298" s="7" t="str">
        <x:v>CA</x:v>
      </x:c>
      <x:c r="X298" s="7" t="str"/>
      <x:c r="Y298" s="7" t="str"/>
      <x:c r="Z298" s="7" t="str"/>
      <x:c r="AA298" s="7" t="str"/>
      <x:c r="AB298" s="7" t="str"/>
      <x:c r="AC298" s="7" t="str"/>
      <x:c r="AD298" s="7" t="str">
        <x:v>No agency or insurer displayed: onboarding opportunity possible; existing business unknown</x:v>
      </x:c>
      <x:c r="AE298" s="7" t="str"/>
      <x:c r="AF298" s="16" t="str"/>
      <x:c r="AG298" s="17" t="str"/>
      <x:c r="AH298" s="7" t="str"/>
      <x:c r="AI298" s="7" t="str">
        <x:v>English</x:v>
      </x:c>
      <x:c r="AJ298" s="7" t="str"/>
      <x:c r="AK298" s="15" t="str"/>
      <x:c r="AL298" s="7" t="str"/>
      <x:c r="AM298" s="7" t="str">
        <x:v>Aguilar A Daniel | AGUILAR ANTONIO DANIEL</x:v>
      </x:c>
      <x:c r="AN298" s="7" t="str">
        <x:v>https://cdicloud.insurance.ca.gov/cal/LicenseDetail?SearchType=IND&amp;SearchLicNbr=2119265&amp;SearchIndvId=2119265</x:v>
      </x:c>
      <x:c r="AO298" s="7" t="str">
        <x:v>2026-10-08</x:v>
      </x:c>
      <x:c r="AP298" s="7" t="str">
        <x:v>3943912b6c26dce80050ded00978f8d29b2ea9eca6f63985b927eff240803d9d</x:v>
      </x:c>
      <x:c r="AQ298" s="7" t="str">
        <x:v>Life / Inactive / 10/04/2019 / 10/31/2023 / 10/31/2023</x:v>
      </x:c>
      <x:c r="AR298" s="7" t="str">
        <x:v>Inactive</x:v>
      </x:c>
      <x:c r="AS298" s="7" t="str">
        <x:v>Current detail page</x:v>
      </x:c>
    </x:row>
    <x:row r="299" ht="52" customHeight="1">
      <x:c r="A299" s="7" t="str">
        <x:v>AGUILAR DANIEL ASARIAS</x:v>
      </x:c>
      <x:c r="B299" s="14" t="str">
        <x:f>"4348358"</x:f>
        <x:v>4348358</x:v>
      </x:c>
      <x:c r="C299" s="7" t="str">
        <x:v>Omitted</x:v>
      </x:c>
      <x:c r="D299" s="7" t="str">
        <x:v>FAIL</x:v>
      </x:c>
      <x:c r="E299" s="13" t="str">
        <x:v>Pending</x:v>
      </x:c>
      <x:c r="F299" s="13" t="str"/>
      <x:c r="G299" s="13" t="str"/>
      <x:c r="H299" s="13" t="str"/>
      <x:c r="I299" s="7" t="str">
        <x:v>Was this person reviewed? If rejected, give the actual rule and evidence. If acceptable, correct the omission. Confirm the Life-qualification gate and any record change since selection.</x:v>
      </x:c>
      <x:c r="J299" s="7" t="str">
        <x:v>L1</x:v>
      </x:c>
      <x:c r="K299" s="7" t="str">
        <x:v>Verified qualifications do not include active general Life. Current target-pool mismatch; actual historical omission reason unknown.</x:v>
      </x:c>
      <x:c r="L299" s="7" t="str">
        <x:v>Not supplied; membership is known, motive is not</x:v>
      </x:c>
      <x:c r="M299" s="7" t="n">
        <x:v>7</x:v>
      </x:c>
      <x:c r="N299" s="7" t="str">
        <x:v>Outside current general-Life recruiting pool</x:v>
      </x:c>
      <x:c r="O299" s="7" t="str">
        <x:v>Inactive</x:v>
      </x:c>
      <x:c r="P299" s="7" t="str">
        <x:v>01/12/2024</x:v>
      </x:c>
      <x:c r="Q299" s="7" t="str">
        <x:v>01/31/2026</x:v>
      </x:c>
      <x:c r="R299" s="7" t="str"/>
      <x:c r="S299" s="15" t="str">
        <x:v>323-536-5002</x:v>
      </x:c>
      <x:c r="T299" s="7" t="str">
        <x:v>Current CDI</x:v>
      </x:c>
      <x:c r="U299" s="7" t="str">
        <x:v>5220 CLARK AVE STE 202 LAKEWOOD CA, 90712</x:v>
      </x:c>
      <x:c r="V299" s="7" t="str">
        <x:v>Resident</x:v>
      </x:c>
      <x:c r="W299" s="7" t="str">
        <x:v>CA</x:v>
      </x:c>
      <x:c r="X299" s="7" t="str"/>
      <x:c r="Y299" s="7" t="str"/>
      <x:c r="Z299" s="7" t="str"/>
      <x:c r="AA299" s="7" t="str"/>
      <x:c r="AB299" s="7" t="str"/>
      <x:c r="AC299" s="7" t="str"/>
      <x:c r="AD299" s="7" t="str">
        <x:v>No agency or insurer displayed: onboarding opportunity possible; existing business unknown</x:v>
      </x:c>
      <x:c r="AE299" s="7" t="str"/>
      <x:c r="AF299" s="16" t="str"/>
      <x:c r="AG299" s="17" t="str"/>
      <x:c r="AH299" s="7" t="str"/>
      <x:c r="AI299" s="7" t="str">
        <x:v>English</x:v>
      </x:c>
      <x:c r="AJ299" s="7" t="str"/>
      <x:c r="AK299" s="15" t="str"/>
      <x:c r="AL299" s="7" t="str"/>
      <x:c r="AM299" s="7" t="str">
        <x:v>AGUILAR ASARIAS DANIEL</x:v>
      </x:c>
      <x:c r="AN299" s="7" t="str">
        <x:v>https://cdicloud.insurance.ca.gov/cal/LicenseDetail?SearchType=IND&amp;SearchLicNbr=4348358&amp;SearchIndvId=4348358</x:v>
      </x:c>
      <x:c r="AO299" s="7" t="str">
        <x:v>2026-10-08</x:v>
      </x:c>
      <x:c r="AP299" s="7" t="str">
        <x:v>95dcbcfa3455dd4fdde9d53a7ead9ba64b3fd306abd1194f8716ba59f554b368</x:v>
      </x:c>
      <x:c r="AQ299" s="7" t="str">
        <x:v>Life / Inactive / 01/12/2024 / 01/31/2026 / 01/31/2026</x:v>
      </x:c>
      <x:c r="AR299" s="7" t="str">
        <x:v>Inactive</x:v>
      </x:c>
      <x:c r="AS299" s="7" t="str">
        <x:v>Current detail page</x:v>
      </x:c>
    </x:row>
    <x:row r="300" ht="52" customHeight="1">
      <x:c r="A300" s="7" t="str">
        <x:v>AGUILAR DANIEL ENRIQUE</x:v>
      </x:c>
      <x:c r="B300" s="14" t="str">
        <x:f>"0M33655"</x:f>
        <x:v>0M33655</x:v>
      </x:c>
      <x:c r="C300" s="7" t="str">
        <x:v>Omitted</x:v>
      </x:c>
      <x:c r="D300" s="7" t="str">
        <x:v>FAIL</x:v>
      </x:c>
      <x:c r="E300" s="13" t="str">
        <x:v>Pending</x:v>
      </x:c>
      <x:c r="F300" s="13" t="str"/>
      <x:c r="G300" s="13" t="str"/>
      <x:c r="H300" s="13" t="str"/>
      <x:c r="I300" s="7" t="str">
        <x:v>Was this person reviewed? If rejected, give the actual rule and evidence. If acceptable, correct the omission. Confirm the Life-qualification gate and any record change since selection.</x:v>
      </x:c>
      <x:c r="J300" s="7" t="str">
        <x:v>L1</x:v>
      </x:c>
      <x:c r="K300" s="7" t="str">
        <x:v>Verified qualifications do not include active general Life. Current target-pool mismatch; actual historical omission reason unknown.</x:v>
      </x:c>
      <x:c r="L300" s="7" t="str">
        <x:v>Not supplied; membership is known, motive is not</x:v>
      </x:c>
      <x:c r="M300" s="7" t="n">
        <x:v>7</x:v>
      </x:c>
      <x:c r="N300" s="7" t="str">
        <x:v>Outside current general-Life recruiting pool</x:v>
      </x:c>
      <x:c r="O300" s="7" t="str">
        <x:v>Not displayed</x:v>
      </x:c>
      <x:c r="P300" s="7" t="str"/>
      <x:c r="Q300" s="7" t="str"/>
      <x:c r="R300" s="7" t="str"/>
      <x:c r="S300" s="15" t="str"/>
      <x:c r="T300" s="7" t="str">
        <x:v>No public business phone in collected record</x:v>
      </x:c>
      <x:c r="U300" s="7" t="str"/>
      <x:c r="V300" s="7" t="str">
        <x:v>Resident</x:v>
      </x:c>
      <x:c r="W300" s="7" t="str">
        <x:v>CA</x:v>
      </x:c>
      <x:c r="X300" s="7" t="str"/>
      <x:c r="Y300" s="7" t="str"/>
      <x:c r="Z300" s="7" t="str"/>
      <x:c r="AA300" s="7" t="str"/>
      <x:c r="AB300" s="7" t="str"/>
      <x:c r="AC300" s="7" t="str"/>
      <x:c r="AD300" s="7" t="str">
        <x:v>No agency or insurer displayed: onboarding opportunity possible; existing business unknown</x:v>
      </x:c>
      <x:c r="AE300" s="7" t="str">
        <x:v>No public business phone: contact enrichment needed, not proof of poor recruiting fit</x:v>
      </x:c>
      <x:c r="AF300" s="16" t="str"/>
      <x:c r="AG300" s="17" t="str"/>
      <x:c r="AH300" s="7" t="str"/>
      <x:c r="AI300" s="7" t="str">
        <x:v>English</x:v>
      </x:c>
      <x:c r="AJ300" s="7" t="str"/>
      <x:c r="AK300" s="15" t="str"/>
      <x:c r="AL300" s="7" t="str"/>
      <x:c r="AM300" s="7" t="str">
        <x:v>Aguilar E Daniel | AGUILAR ENRIQUE DANIEL</x:v>
      </x:c>
      <x:c r="AN300" s="7" t="str">
        <x:v>https://cdicloud.insurance.ca.gov/cal/LicenseDetail?SearchType=IND&amp;SearchLicNbr=0M33655&amp;SearchIndvId=2019428</x:v>
      </x:c>
      <x:c r="AO300" s="7" t="str">
        <x:v>2026-10-08</x:v>
      </x:c>
      <x:c r="AP300" s="7" t="str">
        <x:v>2e4afbd03a122405b65a2d47371a2b945cbf32e13d67b963e47a0ea330b53443</x:v>
      </x:c>
      <x:c r="AQ300" s="7" t="str">
        <x:v>Life-Only / Inactive / 05/07/2018 / 05/31/2020 / 05/31/2020</x:v>
      </x:c>
      <x:c r="AR300" s="7" t="str">
        <x:v>Inactive</x:v>
      </x:c>
      <x:c r="AS300" s="7" t="str">
        <x:v>Current detail page</x:v>
      </x:c>
    </x:row>
    <x:row r="301" ht="52" customHeight="1">
      <x:c r="A301" s="7" t="str">
        <x:v>AGUILAR DANIEL FRANCISCO</x:v>
      </x:c>
      <x:c r="B301" s="14" t="str">
        <x:f>"4426314"</x:f>
        <x:v>4426314</x:v>
      </x:c>
      <x:c r="C301" s="7" t="str">
        <x:v>Omitted</x:v>
      </x:c>
      <x:c r="D301" s="7" t="str">
        <x:v>FAIL</x:v>
      </x:c>
      <x:c r="E301" s="13" t="str">
        <x:v>Pending</x:v>
      </x:c>
      <x:c r="F301" s="13" t="str"/>
      <x:c r="G301" s="13" t="str"/>
      <x:c r="H301" s="13" t="str"/>
      <x:c r="I301" s="7" t="str">
        <x:v>Was this person reviewed? If rejected, give the actual rule and evidence. If acceptable, correct the omission. Confirm the Life-qualification gate and any record change since selection.</x:v>
      </x:c>
      <x:c r="J301" s="7" t="str">
        <x:v>L1</x:v>
      </x:c>
      <x:c r="K301" s="7" t="str">
        <x:v>Verified qualifications do not include active general Life. Current target-pool mismatch; actual historical omission reason unknown.</x:v>
      </x:c>
      <x:c r="L301" s="7" t="str">
        <x:v>Not supplied; membership is known, motive is not</x:v>
      </x:c>
      <x:c r="M301" s="7" t="n">
        <x:v>7</x:v>
      </x:c>
      <x:c r="N301" s="7" t="str">
        <x:v>Outside current general-Life recruiting pool</x:v>
      </x:c>
      <x:c r="O301" s="7" t="str">
        <x:v>Not displayed</x:v>
      </x:c>
      <x:c r="P301" s="7" t="str"/>
      <x:c r="Q301" s="7" t="str"/>
      <x:c r="R301" s="7" t="str">
        <x:v>Accident &amp; Health or Sickness</x:v>
      </x:c>
      <x:c r="S301" s="15" t="str"/>
      <x:c r="T301" s="7" t="str">
        <x:v>No public business phone in collected record</x:v>
      </x:c>
      <x:c r="U301" s="7" t="str">
        <x:v>5959 SIXTA DR EL PASO TX, 79932-2314</x:v>
      </x:c>
      <x:c r="V301" s="7" t="str">
        <x:v>Non-resident</x:v>
      </x:c>
      <x:c r="W301" s="7" t="str">
        <x:v>TX</x:v>
      </x:c>
      <x:c r="X301" s="7" t="str"/>
      <x:c r="Y301" s="7" t="str"/>
      <x:c r="Z301" s="7" t="str"/>
      <x:c r="AA301" s="7" t="str"/>
      <x:c r="AB301" s="7" t="str"/>
      <x:c r="AC301" s="7" t="str"/>
      <x:c r="AD301" s="7" t="str">
        <x:v>No agency or insurer displayed: onboarding opportunity possible; existing business unknown | Active A&amp;H supports optional cross-selling; not necessary for target products</x:v>
      </x:c>
      <x:c r="AE301" s="7" t="str">
        <x:v>Nonresident or address state outside CA; confirm geographic recruiting scope | No public business phone: contact enrichment needed, not proof of poor recruiting fit</x:v>
      </x:c>
      <x:c r="AF301" s="16" t="str"/>
      <x:c r="AG301" s="17" t="str"/>
      <x:c r="AH301" s="7" t="str"/>
      <x:c r="AI301" s="7" t="str"/>
      <x:c r="AJ301" s="7" t="str"/>
      <x:c r="AK301" s="15" t="str"/>
      <x:c r="AL301" s="7" t="str"/>
      <x:c r="AM301" s="7" t="str">
        <x:v>AGUILAR FRANCISCO DANIEL</x:v>
      </x:c>
      <x:c r="AN301" s="7" t="str">
        <x:v>https://cdicloud.insurance.ca.gov/cal/LicenseDetail?SearchType=IND&amp;SearchLicNbr=4426314&amp;SearchIndvId=4426314</x:v>
      </x:c>
      <x:c r="AO301" s="7" t="str">
        <x:v>2026-10-08</x:v>
      </x:c>
      <x:c r="AP301" s="7" t="str">
        <x:v>dfa2e8439ac94065fe26b9500aea767291a012fba04401a678b5d26f07581b34</x:v>
      </x:c>
      <x:c r="AQ301" s="7" t="str">
        <x:v>Accident &amp; Health or Sickness / Active / 11/19/2024 / 11/19/2024 / 11/30/2026</x:v>
      </x:c>
      <x:c r="AR301" s="7" t="str">
        <x:v>Active</x:v>
      </x:c>
      <x:c r="AS301" s="7" t="str">
        <x:v>Current detail page</x:v>
      </x:c>
    </x:row>
    <x:row r="302" ht="52" customHeight="1">
      <x:c r="A302" s="7" t="str">
        <x:v>AGUILAR DANIEL JESUS</x:v>
      </x:c>
      <x:c r="B302" s="14" t="str">
        <x:f>"0G59810"</x:f>
        <x:v>0G59810</x:v>
      </x:c>
      <x:c r="C302" s="7" t="str">
        <x:v>Omitted</x:v>
      </x:c>
      <x:c r="D302" s="7" t="str">
        <x:v>FAIL</x:v>
      </x:c>
      <x:c r="E302" s="13" t="str">
        <x:v>Pending</x:v>
      </x:c>
      <x:c r="F302" s="13" t="str"/>
      <x:c r="G302" s="13" t="str"/>
      <x:c r="H302" s="13" t="str"/>
      <x:c r="I302" s="7" t="str">
        <x:v>Was this person reviewed? If rejected, give the actual rule and evidence. If acceptable, correct the omission. Confirm the Life-qualification gate and any record change since selection.</x:v>
      </x:c>
      <x:c r="J302" s="7" t="str">
        <x:v>L1</x:v>
      </x:c>
      <x:c r="K302" s="7" t="str">
        <x:v>Verified qualifications do not include active general Life. Current target-pool mismatch; actual historical omission reason unknown.</x:v>
      </x:c>
      <x:c r="L302" s="7" t="str">
        <x:v>Not supplied; membership is known, motive is not</x:v>
      </x:c>
      <x:c r="M302" s="7" t="n">
        <x:v>7</x:v>
      </x:c>
      <x:c r="N302" s="7" t="str">
        <x:v>Outside current general-Life recruiting pool</x:v>
      </x:c>
      <x:c r="O302" s="7" t="str">
        <x:v>Not displayed</x:v>
      </x:c>
      <x:c r="P302" s="7" t="str"/>
      <x:c r="Q302" s="7" t="str"/>
      <x:c r="R302" s="7" t="str"/>
      <x:c r="S302" s="15" t="str"/>
      <x:c r="T302" s="7" t="str">
        <x:v>No public business phone in collected record</x:v>
      </x:c>
      <x:c r="U302" s="7" t="str"/>
      <x:c r="V302" s="7" t="str">
        <x:v>Resident</x:v>
      </x:c>
      <x:c r="W302" s="7" t="str">
        <x:v>CA</x:v>
      </x:c>
      <x:c r="X302" s="7" t="str"/>
      <x:c r="Y302" s="7" t="str"/>
      <x:c r="Z302" s="7" t="str"/>
      <x:c r="AA302" s="7" t="str"/>
      <x:c r="AB302" s="7" t="str"/>
      <x:c r="AC302" s="7" t="str"/>
      <x:c r="AD302" s="7" t="str">
        <x:v>No agency or insurer displayed: onboarding opportunity possible; existing business unknown</x:v>
      </x:c>
      <x:c r="AE302" s="7" t="str">
        <x:v>No public business phone: contact enrichment needed, not proof of poor recruiting fit</x:v>
      </x:c>
      <x:c r="AF302" s="16" t="str"/>
      <x:c r="AG302" s="17" t="str"/>
      <x:c r="AH302" s="7" t="str"/>
      <x:c r="AI302" s="7" t="str"/>
      <x:c r="AJ302" s="7" t="str"/>
      <x:c r="AK302" s="15" t="str"/>
      <x:c r="AL302" s="7" t="str"/>
      <x:c r="AM302" s="7" t="str">
        <x:v>AGUILAR JESUS DANIEL</x:v>
      </x:c>
      <x:c r="AN302" s="7" t="str">
        <x:v>https://cdicloud.insurance.ca.gov/cal/LicenseDetail?SearchType=IND&amp;SearchLicNbr=0G59810&amp;SearchIndvId=1248449</x:v>
      </x:c>
      <x:c r="AO302" s="7" t="str">
        <x:v>2026-10-08</x:v>
      </x:c>
      <x:c r="AP302" s="7" t="str">
        <x:v>a94594087798ca911ff4cd6d688cd9b96304b747c5ba1782e5ac2f0732edffb0</x:v>
      </x:c>
      <x:c r="AQ302" s="7" t="str">
        <x:v>Limited Lines Automobile / Inactive / 05/01/2009 / 05/31/2013 / 05/31/2013</x:v>
      </x:c>
      <x:c r="AR302" s="7" t="str">
        <x:v>Inactive</x:v>
      </x:c>
      <x:c r="AS302" s="7" t="str">
        <x:v>Current detail page</x:v>
      </x:c>
    </x:row>
    <x:row r="303" ht="52" customHeight="1">
      <x:c r="A303" s="7" t="str">
        <x:v>AGUILAR DANIEL JR</x:v>
      </x:c>
      <x:c r="B303" s="14" t="str">
        <x:f>"0K10224"</x:f>
        <x:v>0K10224</x:v>
      </x:c>
      <x:c r="C303" s="7" t="str">
        <x:v>Omitted</x:v>
      </x:c>
      <x:c r="D303" s="7" t="str">
        <x:v>FAIL</x:v>
      </x:c>
      <x:c r="E303" s="13" t="str">
        <x:v>Pending</x:v>
      </x:c>
      <x:c r="F303" s="13" t="str"/>
      <x:c r="G303" s="13" t="str"/>
      <x:c r="H303" s="13" t="str"/>
      <x:c r="I303" s="7" t="str">
        <x:v>Was this person reviewed? If rejected, give the actual rule and evidence. If acceptable, correct the omission. Confirm the Life-qualification gate and any record change since selection.</x:v>
      </x:c>
      <x:c r="J303" s="7" t="str">
        <x:v>L1</x:v>
      </x:c>
      <x:c r="K303" s="7" t="str">
        <x:v>Verified qualifications do not include active general Life. Current target-pool mismatch; actual historical omission reason unknown.</x:v>
      </x:c>
      <x:c r="L303" s="7" t="str">
        <x:v>Not supplied; membership is known, motive is not</x:v>
      </x:c>
      <x:c r="M303" s="7" t="n">
        <x:v>7</x:v>
      </x:c>
      <x:c r="N303" s="7" t="str">
        <x:v>Outside current general-Life recruiting pool</x:v>
      </x:c>
      <x:c r="O303" s="7" t="str">
        <x:v>Not displayed</x:v>
      </x:c>
      <x:c r="P303" s="7" t="str"/>
      <x:c r="Q303" s="7" t="str"/>
      <x:c r="R303" s="7" t="str"/>
      <x:c r="S303" s="15" t="str"/>
      <x:c r="T303" s="7" t="str">
        <x:v>No public business phone in collected record</x:v>
      </x:c>
      <x:c r="U303" s="7" t="str"/>
      <x:c r="V303" s="7" t="str">
        <x:v>Resident</x:v>
      </x:c>
      <x:c r="W303" s="7" t="str">
        <x:v>CA</x:v>
      </x:c>
      <x:c r="X303" s="7" t="str"/>
      <x:c r="Y303" s="7" t="str"/>
      <x:c r="Z303" s="7" t="str"/>
      <x:c r="AA303" s="7" t="str"/>
      <x:c r="AB303" s="7" t="str"/>
      <x:c r="AC303" s="7" t="str"/>
      <x:c r="AD303" s="7" t="str">
        <x:v>No agency or insurer displayed: onboarding opportunity possible; existing business unknown</x:v>
      </x:c>
      <x:c r="AE303" s="7" t="str">
        <x:v>No public business phone: contact enrichment needed, not proof of poor recruiting fit</x:v>
      </x:c>
      <x:c r="AF303" s="16" t="str"/>
      <x:c r="AG303" s="17" t="str"/>
      <x:c r="AH303" s="7" t="str"/>
      <x:c r="AI303" s="7" t="str"/>
      <x:c r="AJ303" s="7" t="str"/>
      <x:c r="AK303" s="15" t="str"/>
      <x:c r="AL303" s="7" t="str"/>
      <x:c r="AM303" s="7" t="str">
        <x:v>AGUILAR  DANIEL</x:v>
      </x:c>
      <x:c r="AN303" s="7" t="str">
        <x:v>https://cdicloud.insurance.ca.gov/cal/LicenseDetail?SearchType=IND&amp;SearchLicNbr=0K10224&amp;SearchIndvId=1738002</x:v>
      </x:c>
      <x:c r="AO303" s="7" t="str">
        <x:v>2026-10-08</x:v>
      </x:c>
      <x:c r="AP303" s="7" t="str">
        <x:v>de2448ddedfb30d570f4fc6f61a0d108f79373c6e21bb7ff7d18e1c00bc789b1</x:v>
      </x:c>
      <x:c r="AQ303" s="7" t="str">
        <x:v>Life-Only / Inactive / 02/13/2015 / 02/28/2021 / 02/28/2021</x:v>
      </x:c>
      <x:c r="AR303" s="7" t="str">
        <x:v>Inactive</x:v>
      </x:c>
      <x:c r="AS303" s="7" t="str">
        <x:v>Current detail page</x:v>
      </x:c>
    </x:row>
    <x:row r="304" ht="52" customHeight="1">
      <x:c r="A304" s="7" t="str">
        <x:v>AGUILAR DANIELLE</x:v>
      </x:c>
      <x:c r="B304" s="14" t="str">
        <x:f>"4419868"</x:f>
        <x:v>4419868</x:v>
      </x:c>
      <x:c r="C304" s="7" t="str">
        <x:v>Omitted</x:v>
      </x:c>
      <x:c r="D304" s="7" t="str">
        <x:v>FAIL</x:v>
      </x:c>
      <x:c r="E304" s="13" t="str">
        <x:v>Pending</x:v>
      </x:c>
      <x:c r="F304" s="13" t="str"/>
      <x:c r="G304" s="13" t="str"/>
      <x:c r="H304" s="13" t="str"/>
      <x:c r="I304" s="7" t="str">
        <x:v>Was this person reviewed? If rejected, give the actual rule and evidence. If acceptable, correct the omission. Confirm the Life-qualification gate and any record change since selection.</x:v>
      </x:c>
      <x:c r="J304" s="7" t="str">
        <x:v>L1</x:v>
      </x:c>
      <x:c r="K304" s="7" t="str">
        <x:v>Verified qualifications do not include active general Life. Current target-pool mismatch; actual historical omission reason unknown.</x:v>
      </x:c>
      <x:c r="L304" s="7" t="str">
        <x:v>Not supplied; membership is known, motive is not</x:v>
      </x:c>
      <x:c r="M304" s="7" t="n">
        <x:v>7</x:v>
      </x:c>
      <x:c r="N304" s="7" t="str">
        <x:v>Outside current general-Life recruiting pool</x:v>
      </x:c>
      <x:c r="O304" s="7" t="str">
        <x:v>Not displayed</x:v>
      </x:c>
      <x:c r="P304" s="7" t="str"/>
      <x:c r="Q304" s="7" t="str"/>
      <x:c r="R304" s="7" t="str">
        <x:v>Personal Lines</x:v>
      </x:c>
      <x:c r="S304" s="15" t="str">
        <x:v>478-621-1670</x:v>
      </x:c>
      <x:c r="T304" s="7" t="str">
        <x:v>Current CDI</x:v>
      </x:c>
      <x:c r="U304" s="7" t="str">
        <x:v>GEICO LICENSING DEPT. 14111 DANIELSON ST. POWAY CA, 92064</x:v>
      </x:c>
      <x:c r="V304" s="7" t="str">
        <x:v>Resident</x:v>
      </x:c>
      <x:c r="W304" s="7" t="str">
        <x:v>CA</x:v>
      </x:c>
      <x:c r="X304" s="7" t="str"/>
      <x:c r="Y304" s="7" t="str">
        <x:v>GEICO CASUALTY COMPANY / Personal Lines / 12/19/2024
GEICO GENERAL INSURANCE COMPANY / Personal Lines / 12/19/2024
GEICO INDEMNITY COMPANY / Personal Lines / 12/19/2024
GEICO MARINE INSURANCE COMPANY / Personal Lines / 12/22/2025
GEICO PROTECTION INSURANCE COMPANY / Personal Lines / 03/22/2025
GOVERNMENT EMPLOYEES INSURANCE COMPANY / Personal Lines / 12/19/2024</x:v>
      </x:c>
      <x:c r="Z304" s="7" t="str"/>
      <x:c r="AA304" s="7" t="str"/>
      <x:c r="AB304" s="7" t="str"/>
      <x:c r="AC304" s="7" t="str"/>
      <x:c r="AD304" s="7" t="str"/>
      <x:c r="AE304" s="7" t="str">
        <x:v>P&amp;C/Personal Lines authority without displayed core Life appointments; mixed profile requires review</x:v>
      </x:c>
      <x:c r="AF304" s="16" t="str"/>
      <x:c r="AG304" s="17" t="str"/>
      <x:c r="AH304" s="7" t="str"/>
      <x:c r="AI304" s="7" t="str">
        <x:v>English</x:v>
      </x:c>
      <x:c r="AJ304" s="7" t="str"/>
      <x:c r="AK304" s="15" t="str"/>
      <x:c r="AL304" s="7" t="str"/>
      <x:c r="AM304" s="7" t="str">
        <x:v>Aguilar  Danielle</x:v>
      </x:c>
      <x:c r="AN304" s="7" t="str">
        <x:v>https://cdicloud.insurance.ca.gov/cal/LicenseDetail?SearchType=IND&amp;SearchLicNbr=4419868&amp;SearchIndvId=4419868</x:v>
      </x:c>
      <x:c r="AO304" s="7" t="str">
        <x:v>2026-10-08</x:v>
      </x:c>
      <x:c r="AP304" s="7" t="str">
        <x:v>3ad5fbc23a2ad5f2dfbc24892fee2cb95d9bebc79dc439f0914066dfdb5efcfe</x:v>
      </x:c>
      <x:c r="AQ304" s="7" t="str">
        <x:v>Personal Lines / Active / 11/04/2024 / 11/04/2024 / 11/30/2026</x:v>
      </x:c>
      <x:c r="AR304" s="7" t="str">
        <x:v>Active</x:v>
      </x:c>
      <x:c r="AS304" s="7" t="str">
        <x:v>Current detail page</x:v>
      </x:c>
    </x:row>
    <x:row r="305" ht="52" customHeight="1">
      <x:c r="A305" s="7" t="str">
        <x:v>AGUILAR DANIELLE LIZETH</x:v>
      </x:c>
      <x:c r="B305" s="14" t="str">
        <x:f>"4112174"</x:f>
        <x:v>4112174</x:v>
      </x:c>
      <x:c r="C305" s="7" t="str">
        <x:v>Omitted</x:v>
      </x:c>
      <x:c r="D305" s="7" t="str">
        <x:v>FAIL</x:v>
      </x:c>
      <x:c r="E305" s="13" t="str">
        <x:v>Pending</x:v>
      </x:c>
      <x:c r="F305" s="13" t="str"/>
      <x:c r="G305" s="13" t="str"/>
      <x:c r="H305" s="13" t="str"/>
      <x:c r="I305" s="7" t="str">
        <x:v>Was this person reviewed? If rejected, give the actual rule and evidence. If acceptable, correct the omission. Confirm the Life-qualification gate and any record change since selection.</x:v>
      </x:c>
      <x:c r="J305" s="7" t="str">
        <x:v>L1</x:v>
      </x:c>
      <x:c r="K305" s="7" t="str">
        <x:v>Verified qualifications do not include active general Life. Current target-pool mismatch; actual historical omission reason unknown.</x:v>
      </x:c>
      <x:c r="L305" s="7" t="str">
        <x:v>Not supplied; membership is known, motive is not</x:v>
      </x:c>
      <x:c r="M305" s="7" t="n">
        <x:v>7</x:v>
      </x:c>
      <x:c r="N305" s="7" t="str">
        <x:v>Outside current general-Life recruiting pool</x:v>
      </x:c>
      <x:c r="O305" s="7" t="str">
        <x:v>Not displayed</x:v>
      </x:c>
      <x:c r="P305" s="7" t="str"/>
      <x:c r="Q305" s="7" t="str"/>
      <x:c r="R305" s="7" t="str"/>
      <x:c r="S305" s="15" t="str">
        <x:v>619-279-3269</x:v>
      </x:c>
      <x:c r="T305" s="7" t="str">
        <x:v>Current CDI</x:v>
      </x:c>
      <x:c r="U305" s="7" t="str">
        <x:v>3806 FAIRMOUNT AVE APT103 SAN DIEGO CA, 92105</x:v>
      </x:c>
      <x:c r="V305" s="7" t="str">
        <x:v>Resident</x:v>
      </x:c>
      <x:c r="W305" s="7" t="str">
        <x:v>CA</x:v>
      </x:c>
      <x:c r="X305" s="7" t="str"/>
      <x:c r="Y305" s="7" t="str"/>
      <x:c r="Z305" s="7" t="str"/>
      <x:c r="AA305" s="7" t="str"/>
      <x:c r="AB305" s="7" t="str"/>
      <x:c r="AC305" s="7" t="str"/>
      <x:c r="AD305" s="7" t="str">
        <x:v>No agency or insurer displayed: onboarding opportunity possible; existing business unknown</x:v>
      </x:c>
      <x:c r="AE305" s="7" t="str"/>
      <x:c r="AF305" s="16" t="str"/>
      <x:c r="AG305" s="17" t="str"/>
      <x:c r="AH305" s="7" t="str"/>
      <x:c r="AI305" s="7" t="str">
        <x:v>English</x:v>
      </x:c>
      <x:c r="AJ305" s="7" t="str"/>
      <x:c r="AK305" s="15" t="str"/>
      <x:c r="AL305" s="7" t="str"/>
      <x:c r="AM305" s="7" t="str">
        <x:v>AGUILAR LIZETH DANIELLE</x:v>
      </x:c>
      <x:c r="AN305" s="7" t="str">
        <x:v>https://cdicloud.insurance.ca.gov/cal/LicenseDetail?SearchType=IND&amp;SearchLicNbr=4112174&amp;SearchIndvId=4112174</x:v>
      </x:c>
      <x:c r="AO305" s="7" t="str">
        <x:v>2026-10-08</x:v>
      </x:c>
      <x:c r="AP305" s="7" t="str">
        <x:v>2c888d5bf713c159402d6453e917cb5e387ed3e35b492c1ef849669fa4202c92</x:v>
      </x:c>
      <x:c r="AQ305" s="7" t="str">
        <x:v>Limited Lines Automobile / Inactive / 04/21/2021 / 04/30/2023 / 04/30/2023</x:v>
      </x:c>
      <x:c r="AR305" s="7" t="str">
        <x:v>Inactive</x:v>
      </x:c>
      <x:c r="AS305" s="7" t="str">
        <x:v>Current detail page</x:v>
      </x:c>
    </x:row>
    <x:row r="306" ht="52" customHeight="1">
      <x:c r="A306" s="7" t="str">
        <x:v>AGUILAR DANIELLE M</x:v>
      </x:c>
      <x:c r="B306" s="14" t="str">
        <x:f>"17027502"</x:f>
        <x:v>17027502</x:v>
      </x:c>
      <x:c r="C306" s="7" t="str">
        <x:v>Omitted</x:v>
      </x:c>
      <x:c r="D306" s="7" t="str">
        <x:v>FAIL</x:v>
      </x:c>
      <x:c r="E306" s="13" t="str">
        <x:v>Pending</x:v>
      </x:c>
      <x:c r="F306" s="13" t="str"/>
      <x:c r="G306" s="13" t="str"/>
      <x:c r="H306" s="13" t="str"/>
      <x:c r="I306" s="7" t="str">
        <x:v>Was this person reviewed? If rejected, give the actual rule and evidence. If acceptable, correct the omission. Confirm the Life-qualification gate and any record change since selection.</x:v>
      </x:c>
      <x:c r="J306" s="7" t="str">
        <x:v>L1</x:v>
      </x:c>
      <x:c r="K306" s="7" t="str">
        <x:v>Verified qualifications do not include active general Life. Current target-pool mismatch; actual historical omission reason unknown.</x:v>
      </x:c>
      <x:c r="L306" s="7" t="str">
        <x:v>Not supplied; membership is known, motive is not</x:v>
      </x:c>
      <x:c r="M306" s="7" t="n">
        <x:v>7</x:v>
      </x:c>
      <x:c r="N306" s="7" t="str">
        <x:v>Outside current general-Life recruiting pool</x:v>
      </x:c>
      <x:c r="O306" s="7" t="str">
        <x:v>Not displayed</x:v>
      </x:c>
      <x:c r="P306" s="7" t="str"/>
      <x:c r="Q306" s="7" t="str"/>
      <x:c r="R306" s="7" t="str"/>
      <x:c r="S306" s="15" t="str"/>
      <x:c r="T306" s="7" t="str">
        <x:v>No public business phone in collected record</x:v>
      </x:c>
      <x:c r="U306" s="7" t="str"/>
      <x:c r="V306" s="7" t="str">
        <x:v>Resident</x:v>
      </x:c>
      <x:c r="W306" s="7" t="str">
        <x:v>CA</x:v>
      </x:c>
      <x:c r="X306" s="7" t="str"/>
      <x:c r="Y306" s="7" t="str"/>
      <x:c r="Z306" s="7" t="str"/>
      <x:c r="AA306" s="7" t="str"/>
      <x:c r="AB306" s="7" t="str"/>
      <x:c r="AC306" s="7" t="str">
        <x:v>EMPLOYER - SEAN J. PLOTKIN; BA #1840864; EFF: 08/01/2013</x:v>
      </x:c>
      <x:c r="AD306" s="7" t="str">
        <x:v>No agency or insurer displayed: onboarding opportunity possible; existing business unknown</x:v>
      </x:c>
      <x:c r="AE306" s="7" t="str">
        <x:v>No public business phone: contact enrichment needed, not proof of poor recruiting fit</x:v>
      </x:c>
      <x:c r="AF306" s="16" t="str"/>
      <x:c r="AG306" s="17" t="str"/>
      <x:c r="AH306" s="7" t="str"/>
      <x:c r="AI306" s="7" t="str"/>
      <x:c r="AJ306" s="7" t="str"/>
      <x:c r="AK306" s="15" t="str"/>
      <x:c r="AL306" s="7" t="str"/>
      <x:c r="AM306" s="7" t="str">
        <x:v>AGUILAR M DANIELLE</x:v>
      </x:c>
      <x:c r="AN306" s="7" t="str">
        <x:v>https://cdicloud.insurance.ca.gov/cal/LicenseDetail?SearchType=IND&amp;SearchLicNbr=17027502&amp;SearchIndvId=1592962</x:v>
      </x:c>
      <x:c r="AO306" s="7" t="str">
        <x:v>2026-10-08</x:v>
      </x:c>
      <x:c r="AP306" s="7" t="str">
        <x:v>ceb3a68d80576021b85da86d5b2e20e751b7364551cc940ffd0b836fb3a50f8a</x:v>
      </x:c>
      <x:c r="AQ306" s="7" t="str">
        <x:v>Bail Agent / Inactive / 08/01/2013 / 08/31/2015 / 08/31/2015</x:v>
      </x:c>
      <x:c r="AR306" s="7" t="str">
        <x:v>Inactive</x:v>
      </x:c>
      <x:c r="AS306" s="7" t="str">
        <x:v>Current detail page</x:v>
      </x:c>
    </x:row>
    <x:row r="307" ht="52" customHeight="1">
      <x:c r="A307" s="7" t="str">
        <x:v>AGUILAR DARIO</x:v>
      </x:c>
      <x:c r="B307" s="14" t="str">
        <x:f>"0M43421"</x:f>
        <x:v>0M43421</x:v>
      </x:c>
      <x:c r="C307" s="7" t="str">
        <x:v>Omitted</x:v>
      </x:c>
      <x:c r="D307" s="7" t="str">
        <x:v>FAIL</x:v>
      </x:c>
      <x:c r="E307" s="13" t="str">
        <x:v>Pending</x:v>
      </x:c>
      <x:c r="F307" s="13" t="str"/>
      <x:c r="G307" s="13" t="str"/>
      <x:c r="H307" s="13" t="str"/>
      <x:c r="I307" s="7" t="str">
        <x:v>Was this person reviewed? If rejected, give the actual rule and evidence. If acceptable, correct the omission. Confirm the Life-qualification gate and any record change since selection.</x:v>
      </x:c>
      <x:c r="J307" s="7" t="str">
        <x:v>L1</x:v>
      </x:c>
      <x:c r="K307" s="7" t="str">
        <x:v>Verified qualifications do not include active general Life. Current target-pool mismatch; actual historical omission reason unknown.</x:v>
      </x:c>
      <x:c r="L307" s="7" t="str">
        <x:v>Not supplied; membership is known, motive is not</x:v>
      </x:c>
      <x:c r="M307" s="7" t="n">
        <x:v>7</x:v>
      </x:c>
      <x:c r="N307" s="7" t="str">
        <x:v>Outside current general-Life recruiting pool</x:v>
      </x:c>
      <x:c r="O307" s="7" t="str">
        <x:v>Not displayed</x:v>
      </x:c>
      <x:c r="P307" s="7" t="str"/>
      <x:c r="Q307" s="7" t="str"/>
      <x:c r="R307" s="7" t="str"/>
      <x:c r="S307" s="15" t="str"/>
      <x:c r="T307" s="7" t="str">
        <x:v>No public business phone in collected record</x:v>
      </x:c>
      <x:c r="U307" s="7" t="str"/>
      <x:c r="V307" s="7" t="str">
        <x:v>Non-resident</x:v>
      </x:c>
      <x:c r="W307" s="7" t="str">
        <x:v>TX</x:v>
      </x:c>
      <x:c r="X307" s="7" t="str"/>
      <x:c r="Y307" s="7" t="str"/>
      <x:c r="Z307" s="7" t="str"/>
      <x:c r="AA307" s="7" t="str"/>
      <x:c r="AB307" s="7" t="str"/>
      <x:c r="AC307" s="7" t="str"/>
      <x:c r="AD307" s="7" t="str">
        <x:v>No agency or insurer displayed: onboarding opportunity possible; existing business unknown</x:v>
      </x:c>
      <x:c r="AE307" s="7" t="str">
        <x:v>Nonresident or address state outside CA; confirm geographic recruiting scope | No public business phone: contact enrichment needed, not proof of poor recruiting fit</x:v>
      </x:c>
      <x:c r="AF307" s="16" t="str"/>
      <x:c r="AG307" s="17" t="str"/>
      <x:c r="AH307" s="7" t="str"/>
      <x:c r="AI307" s="7" t="str">
        <x:v>English</x:v>
      </x:c>
      <x:c r="AJ307" s="7" t="str"/>
      <x:c r="AK307" s="15" t="str"/>
      <x:c r="AL307" s="7" t="str"/>
      <x:c r="AM307" s="7" t="str">
        <x:v>AGUILAR  DARIO</x:v>
      </x:c>
      <x:c r="AN307" s="7" t="str">
        <x:v>https://cdicloud.insurance.ca.gov/cal/LicenseDetail?SearchType=IND&amp;SearchLicNbr=0M43421&amp;SearchIndvId=2034093</x:v>
      </x:c>
      <x:c r="AO307" s="7" t="str">
        <x:v>2026-10-08</x:v>
      </x:c>
      <x:c r="AP307" s="7" t="str">
        <x:v>2df48fe080ae45e9918bdcd32464eb2705f3b0b016a662d62c0db458b04debd3</x:v>
      </x:c>
      <x:c r="AQ307" s="7" t="str">
        <x:v>Accident and Health / Inactive / 07/05/2018 / 07/31/2020 / 07/31/2020
Life-Only / Inactive / 07/05/2018 / 07/31/2020 / 07/31/2020
Variable Contracts / Inactive / 07/05/2018 / 07/31/2020 / 07/31/2020</x:v>
      </x:c>
      <x:c r="AR307" s="7" t="str">
        <x:v>Inactive</x:v>
      </x:c>
      <x:c r="AS307" s="7" t="str">
        <x:v>Current detail page</x:v>
      </x:c>
    </x:row>
    <x:row r="308" ht="52" customHeight="1">
      <x:c r="A308" s="7" t="str">
        <x:v>AGUILAR DARIO</x:v>
      </x:c>
      <x:c r="B308" s="14" t="str">
        <x:f>"4208281"</x:f>
        <x:v>4208281</x:v>
      </x:c>
      <x:c r="C308" s="7" t="str">
        <x:v>Omitted</x:v>
      </x:c>
      <x:c r="D308" s="7" t="str">
        <x:v>FAIL</x:v>
      </x:c>
      <x:c r="E308" s="13" t="str">
        <x:v>Pending</x:v>
      </x:c>
      <x:c r="F308" s="13" t="str"/>
      <x:c r="G308" s="13" t="str"/>
      <x:c r="H308" s="13" t="str"/>
      <x:c r="I308" s="7" t="str">
        <x:v>Was this person reviewed? If rejected, give the actual rule and evidence. If acceptable, correct the omission. Confirm the Life-qualification gate and any record change since selection.</x:v>
      </x:c>
      <x:c r="J308" s="7" t="str">
        <x:v>L1</x:v>
      </x:c>
      <x:c r="K308" s="7" t="str">
        <x:v>Verified qualifications do not include active general Life. Current target-pool mismatch; actual historical omission reason unknown.</x:v>
      </x:c>
      <x:c r="L308" s="7" t="str">
        <x:v>Not supplied; membership is known, motive is not</x:v>
      </x:c>
      <x:c r="M308" s="7" t="n">
        <x:v>7</x:v>
      </x:c>
      <x:c r="N308" s="7" t="str">
        <x:v>Outside current general-Life recruiting pool</x:v>
      </x:c>
      <x:c r="O308" s="7" t="str">
        <x:v>Inactive</x:v>
      </x:c>
      <x:c r="P308" s="7" t="str">
        <x:v>05/05/2022</x:v>
      </x:c>
      <x:c r="Q308" s="7" t="str">
        <x:v>05/31/2024</x:v>
      </x:c>
      <x:c r="R308" s="7" t="str"/>
      <x:c r="S308" s="15" t="str"/>
      <x:c r="T308" s="7" t="str">
        <x:v>No public business phone in collected record</x:v>
      </x:c>
      <x:c r="U308" s="7" t="str">
        <x:v>1120 SYCAMORE AVE STE 1D VISTA CA, 92081</x:v>
      </x:c>
      <x:c r="V308" s="7" t="str">
        <x:v>Resident</x:v>
      </x:c>
      <x:c r="W308" s="7" t="str">
        <x:v>CA</x:v>
      </x:c>
      <x:c r="X308" s="7" t="str"/>
      <x:c r="Y308" s="7" t="str"/>
      <x:c r="Z308" s="7" t="str"/>
      <x:c r="AA308" s="7" t="str"/>
      <x:c r="AB308" s="7" t="str"/>
      <x:c r="AC308" s="7" t="str"/>
      <x:c r="AD308" s="7" t="str">
        <x:v>No agency or insurer displayed: onboarding opportunity possible; existing business unknown</x:v>
      </x:c>
      <x:c r="AE308" s="7" t="str">
        <x:v>No public business phone: contact enrichment needed, not proof of poor recruiting fit</x:v>
      </x:c>
      <x:c r="AF308" s="16" t="str"/>
      <x:c r="AG308" s="17" t="str"/>
      <x:c r="AH308" s="7" t="str"/>
      <x:c r="AI308" s="7" t="str"/>
      <x:c r="AJ308" s="7" t="str"/>
      <x:c r="AK308" s="15" t="str"/>
      <x:c r="AL308" s="7" t="str"/>
      <x:c r="AM308" s="7" t="str">
        <x:v>AGUILAR  DARIO</x:v>
      </x:c>
      <x:c r="AN308" s="7" t="str">
        <x:v>https://cdicloud.insurance.ca.gov/cal/LicenseDetail?SearchType=IND&amp;SearchLicNbr=4208281&amp;SearchIndvId=4208281</x:v>
      </x:c>
      <x:c r="AO308" s="7" t="str">
        <x:v>2026-10-08</x:v>
      </x:c>
      <x:c r="AP308" s="7" t="str">
        <x:v>b836ef8fb7ae18d6f7cf4a32e1c93ba06802690f6099d9171a31f6e6b342c1bf</x:v>
      </x:c>
      <x:c r="AQ308" s="7" t="str">
        <x:v>Life / Inactive / 05/05/2022 / 05/31/2024 / 05/31/2024</x:v>
      </x:c>
      <x:c r="AR308" s="7" t="str">
        <x:v>Inactive</x:v>
      </x:c>
      <x:c r="AS308" s="7" t="str">
        <x:v>Current detail page</x:v>
      </x:c>
    </x:row>
    <x:row r="309" ht="52" customHeight="1">
      <x:c r="A309" s="7" t="str">
        <x:v>AGUILAR DARWIN</x:v>
      </x:c>
      <x:c r="B309" s="14" t="str">
        <x:f>"0F97646"</x:f>
        <x:v>0F97646</x:v>
      </x:c>
      <x:c r="C309" s="7" t="str">
        <x:v>Omitted</x:v>
      </x:c>
      <x:c r="D309" s="7" t="str">
        <x:v>FAIL</x:v>
      </x:c>
      <x:c r="E309" s="13" t="str">
        <x:v>Pending</x:v>
      </x:c>
      <x:c r="F309" s="13" t="str"/>
      <x:c r="G309" s="13" t="str"/>
      <x:c r="H309" s="13" t="str"/>
      <x:c r="I309" s="7" t="str">
        <x:v>Was this person reviewed? If rejected, give the actual rule and evidence. If acceptable, correct the omission. Confirm the Life-qualification gate and any record change since selection.</x:v>
      </x:c>
      <x:c r="J309" s="7" t="str">
        <x:v>L1</x:v>
      </x:c>
      <x:c r="K309" s="7" t="str">
        <x:v>Verified qualifications do not include active general Life. Current target-pool mismatch; actual historical omission reason unknown.</x:v>
      </x:c>
      <x:c r="L309" s="7" t="str">
        <x:v>Not supplied; membership is known, motive is not</x:v>
      </x:c>
      <x:c r="M309" s="7" t="n">
        <x:v>7</x:v>
      </x:c>
      <x:c r="N309" s="7" t="str">
        <x:v>Outside current general-Life recruiting pool</x:v>
      </x:c>
      <x:c r="O309" s="7" t="str">
        <x:v>Not displayed</x:v>
      </x:c>
      <x:c r="P309" s="7" t="str"/>
      <x:c r="Q309" s="7" t="str"/>
      <x:c r="R309" s="7" t="str"/>
      <x:c r="S309" s="15" t="str"/>
      <x:c r="T309" s="7" t="str">
        <x:v>No public business phone in collected record</x:v>
      </x:c>
      <x:c r="U309" s="7" t="str"/>
      <x:c r="V309" s="7" t="str">
        <x:v>Resident</x:v>
      </x:c>
      <x:c r="W309" s="7" t="str">
        <x:v>CA</x:v>
      </x:c>
      <x:c r="X309" s="7" t="str"/>
      <x:c r="Y309" s="7" t="str"/>
      <x:c r="Z309" s="7" t="str"/>
      <x:c r="AA309" s="7" t="str"/>
      <x:c r="AB309" s="7" t="str"/>
      <x:c r="AC309" s="7" t="str"/>
      <x:c r="AD309" s="7" t="str">
        <x:v>No agency or insurer displayed: onboarding opportunity possible; existing business unknown</x:v>
      </x:c>
      <x:c r="AE309" s="7" t="str">
        <x:v>No public business phone: contact enrichment needed, not proof of poor recruiting fit</x:v>
      </x:c>
      <x:c r="AF309" s="16" t="str"/>
      <x:c r="AG309" s="17" t="str"/>
      <x:c r="AH309" s="7" t="str"/>
      <x:c r="AI309" s="7" t="str"/>
      <x:c r="AJ309" s="7" t="str"/>
      <x:c r="AK309" s="15" t="str"/>
      <x:c r="AL309" s="7" t="str"/>
      <x:c r="AM309" s="7" t="str">
        <x:v>AGUILAR  DARWIN</x:v>
      </x:c>
      <x:c r="AN309" s="7" t="str">
        <x:v>https://cdicloud.insurance.ca.gov/cal/LicenseDetail?SearchType=IND&amp;SearchLicNbr=0F97646&amp;SearchIndvId=1120441</x:v>
      </x:c>
      <x:c r="AO309" s="7" t="str">
        <x:v>2026-10-08</x:v>
      </x:c>
      <x:c r="AP309" s="7" t="str">
        <x:v>076bfebc8f5e5738ec6d7a889ab5bb4712232269b6cb9859617dc29b28f8c0e0</x:v>
      </x:c>
      <x:c r="AQ309" s="7" t="str">
        <x:v>Accident and Health / Inactive / 01/24/2008 / 01/31/2010 / 01/31/2010
Life-Only / Inactive / 01/24/2008 / 01/31/2010 / 01/31/2010</x:v>
      </x:c>
      <x:c r="AR309" s="7" t="str">
        <x:v>Inactive</x:v>
      </x:c>
      <x:c r="AS309" s="7" t="str">
        <x:v>Current detail page</x:v>
      </x:c>
    </x:row>
    <x:row r="310" ht="52" customHeight="1">
      <x:c r="A310" s="7" t="str">
        <x:v>AGUILAR DAVID</x:v>
      </x:c>
      <x:c r="B310" s="14" t="str">
        <x:f>"4031483"</x:f>
        <x:v>4031483</x:v>
      </x:c>
      <x:c r="C310" s="7" t="str">
        <x:v>Omitted</x:v>
      </x:c>
      <x:c r="D310" s="7" t="str">
        <x:v>FAIL</x:v>
      </x:c>
      <x:c r="E310" s="13" t="str">
        <x:v>Pending</x:v>
      </x:c>
      <x:c r="F310" s="13" t="str"/>
      <x:c r="G310" s="13" t="str"/>
      <x:c r="H310" s="13" t="str"/>
      <x:c r="I310" s="7" t="str">
        <x:v>Was this person reviewed? If rejected, give the actual rule and evidence. If acceptable, correct the omission. Confirm the Life-qualification gate and any record change since selection.</x:v>
      </x:c>
      <x:c r="J310" s="7" t="str">
        <x:v>L1</x:v>
      </x:c>
      <x:c r="K310" s="7" t="str">
        <x:v>Verified qualifications do not include active general Life. Current target-pool mismatch; actual historical omission reason unknown.</x:v>
      </x:c>
      <x:c r="L310" s="7" t="str">
        <x:v>Not supplied; membership is known, motive is not</x:v>
      </x:c>
      <x:c r="M310" s="7" t="n">
        <x:v>7</x:v>
      </x:c>
      <x:c r="N310" s="7" t="str">
        <x:v>Outside current general-Life recruiting pool</x:v>
      </x:c>
      <x:c r="O310" s="7" t="str">
        <x:v>Inactive</x:v>
      </x:c>
      <x:c r="P310" s="7" t="str">
        <x:v>02/25/2020</x:v>
      </x:c>
      <x:c r="Q310" s="7" t="str">
        <x:v>02/28/2022</x:v>
      </x:c>
      <x:c r="R310" s="7" t="str"/>
      <x:c r="S310" s="15" t="str">
        <x:v>323-439-0459</x:v>
      </x:c>
      <x:c r="T310" s="7" t="str">
        <x:v>Current CDI</x:v>
      </x:c>
      <x:c r="U310" s="7" t="str">
        <x:v>3109 W BEVERLY BLVD MONTEBELLO CA, 90640</x:v>
      </x:c>
      <x:c r="V310" s="7" t="str">
        <x:v>Resident</x:v>
      </x:c>
      <x:c r="W310" s="7" t="str">
        <x:v>CA</x:v>
      </x:c>
      <x:c r="X310" s="7" t="str"/>
      <x:c r="Y310" s="7" t="str"/>
      <x:c r="Z310" s="7" t="str"/>
      <x:c r="AA310" s="7" t="str"/>
      <x:c r="AB310" s="7" t="str"/>
      <x:c r="AC310" s="7" t="str"/>
      <x:c r="AD310" s="7" t="str">
        <x:v>No agency or insurer displayed: onboarding opportunity possible; existing business unknown</x:v>
      </x:c>
      <x:c r="AE310" s="7" t="str"/>
      <x:c r="AF310" s="16" t="str"/>
      <x:c r="AG310" s="17" t="str"/>
      <x:c r="AH310" s="7" t="str"/>
      <x:c r="AI310" s="7" t="str">
        <x:v>English</x:v>
      </x:c>
      <x:c r="AJ310" s="7" t="str"/>
      <x:c r="AK310" s="15" t="str"/>
      <x:c r="AL310" s="7" t="str"/>
      <x:c r="AM310" s="7" t="str">
        <x:v>AGUILAR  DAVID</x:v>
      </x:c>
      <x:c r="AN310" s="7" t="str">
        <x:v>https://cdicloud.insurance.ca.gov/cal/LicenseDetail?SearchType=IND&amp;SearchLicNbr=4031483&amp;SearchIndvId=4031483</x:v>
      </x:c>
      <x:c r="AO310" s="7" t="str">
        <x:v>2026-10-08</x:v>
      </x:c>
      <x:c r="AP310" s="7" t="str">
        <x:v>389be1579e48cdc9dc37152af48405137c6d59426f2462678f2ac82df836f430</x:v>
      </x:c>
      <x:c r="AQ310" s="7" t="str">
        <x:v>Life / Inactive / 02/25/2020 / 02/28/2022 / 02/28/2022</x:v>
      </x:c>
      <x:c r="AR310" s="7" t="str">
        <x:v>Inactive</x:v>
      </x:c>
      <x:c r="AS310" s="7" t="str">
        <x:v>Current detail page</x:v>
      </x:c>
    </x:row>
    <x:row r="311" ht="52" customHeight="1">
      <x:c r="A311" s="7" t="str">
        <x:v>AGUILAR DAVID</x:v>
      </x:c>
      <x:c r="B311" s="14" t="str">
        <x:f>"4033832"</x:f>
        <x:v>4033832</x:v>
      </x:c>
      <x:c r="C311" s="7" t="str">
        <x:v>Omitted</x:v>
      </x:c>
      <x:c r="D311" s="7" t="str">
        <x:v>FAIL</x:v>
      </x:c>
      <x:c r="E311" s="13" t="str">
        <x:v>Pending</x:v>
      </x:c>
      <x:c r="F311" s="13" t="str"/>
      <x:c r="G311" s="13" t="str"/>
      <x:c r="H311" s="13" t="str"/>
      <x:c r="I311" s="7" t="str">
        <x:v>Was this person reviewed? If rejected, give the actual rule and evidence. If acceptable, correct the omission. Confirm the Life-qualification gate and any record change since selection.</x:v>
      </x:c>
      <x:c r="J311" s="7" t="str">
        <x:v>L1</x:v>
      </x:c>
      <x:c r="K311" s="7" t="str">
        <x:v>Verified qualifications do not include active general Life. Current target-pool mismatch; actual historical omission reason unknown.</x:v>
      </x:c>
      <x:c r="L311" s="7" t="str">
        <x:v>Not supplied; membership is known, motive is not</x:v>
      </x:c>
      <x:c r="M311" s="7" t="n">
        <x:v>7</x:v>
      </x:c>
      <x:c r="N311" s="7" t="str">
        <x:v>Outside current general-Life recruiting pool</x:v>
      </x:c>
      <x:c r="O311" s="7" t="str">
        <x:v>Inactive</x:v>
      </x:c>
      <x:c r="P311" s="7" t="str">
        <x:v>02/20/2020</x:v>
      </x:c>
      <x:c r="Q311" s="7" t="str">
        <x:v>02/28/2022</x:v>
      </x:c>
      <x:c r="R311" s="7" t="str"/>
      <x:c r="S311" s="15" t="str">
        <x:v>310-212-6900</x:v>
      </x:c>
      <x:c r="T311" s="7" t="str">
        <x:v>Current CDI</x:v>
      </x:c>
      <x:c r="U311" s="7" t="str">
        <x:v>1327 POST AVE SUITE F TORRANCE CA, 90501</x:v>
      </x:c>
      <x:c r="V311" s="7" t="str">
        <x:v>Resident</x:v>
      </x:c>
      <x:c r="W311" s="7" t="str">
        <x:v>CA</x:v>
      </x:c>
      <x:c r="X311" s="7" t="str"/>
      <x:c r="Y311" s="7" t="str"/>
      <x:c r="Z311" s="7" t="str"/>
      <x:c r="AA311" s="7" t="str"/>
      <x:c r="AB311" s="7" t="str"/>
      <x:c r="AC311" s="7" t="str"/>
      <x:c r="AD311" s="7" t="str">
        <x:v>No agency or insurer displayed: onboarding opportunity possible; existing business unknown</x:v>
      </x:c>
      <x:c r="AE311" s="7" t="str"/>
      <x:c r="AF311" s="16" t="str"/>
      <x:c r="AG311" s="17" t="str"/>
      <x:c r="AH311" s="7" t="str"/>
      <x:c r="AI311" s="7" t="str">
        <x:v>English</x:v>
      </x:c>
      <x:c r="AJ311" s="7" t="str"/>
      <x:c r="AK311" s="15" t="str"/>
      <x:c r="AL311" s="7" t="str"/>
      <x:c r="AM311" s="7" t="str">
        <x:v>AGUILAR  DAVID</x:v>
      </x:c>
      <x:c r="AN311" s="7" t="str">
        <x:v>https://cdicloud.insurance.ca.gov/cal/LicenseDetail?SearchType=IND&amp;SearchLicNbr=4033832&amp;SearchIndvId=4033832</x:v>
      </x:c>
      <x:c r="AO311" s="7" t="str">
        <x:v>2026-10-08</x:v>
      </x:c>
      <x:c r="AP311" s="7" t="str">
        <x:v>2d570547188d7473531c1355a924ba90956f012123105c7212079530046c7167</x:v>
      </x:c>
      <x:c r="AQ311" s="7" t="str">
        <x:v>Life / Inactive / 02/20/2020 / 02/28/2022 / 02/28/2022</x:v>
      </x:c>
      <x:c r="AR311" s="7" t="str">
        <x:v>Inactive</x:v>
      </x:c>
      <x:c r="AS311" s="7" t="str">
        <x:v>Current detail page</x:v>
      </x:c>
    </x:row>
    <x:row r="312" ht="52" customHeight="1">
      <x:c r="A312" s="7" t="str">
        <x:v>AGUILAR DAVID</x:v>
      </x:c>
      <x:c r="B312" s="14" t="str">
        <x:f>"4078057"</x:f>
        <x:v>4078057</x:v>
      </x:c>
      <x:c r="C312" s="7" t="str">
        <x:v>Omitted</x:v>
      </x:c>
      <x:c r="D312" s="7" t="str">
        <x:v>FAIL</x:v>
      </x:c>
      <x:c r="E312" s="13" t="str">
        <x:v>Pending</x:v>
      </x:c>
      <x:c r="F312" s="13" t="str"/>
      <x:c r="G312" s="13" t="str"/>
      <x:c r="H312" s="13" t="str"/>
      <x:c r="I312" s="7" t="str">
        <x:v>Was this person reviewed? If rejected, give the actual rule and evidence. If acceptable, correct the omission. Confirm the Life-qualification gate and any record change since selection.</x:v>
      </x:c>
      <x:c r="J312" s="7" t="str">
        <x:v>L1</x:v>
      </x:c>
      <x:c r="K312" s="7" t="str">
        <x:v>Verified qualifications do not include active general Life. Current target-pool mismatch; actual historical omission reason unknown.</x:v>
      </x:c>
      <x:c r="L312" s="7" t="str">
        <x:v>Not supplied; membership is known, motive is not</x:v>
      </x:c>
      <x:c r="M312" s="7" t="n">
        <x:v>7</x:v>
      </x:c>
      <x:c r="N312" s="7" t="str">
        <x:v>Outside current general-Life recruiting pool</x:v>
      </x:c>
      <x:c r="O312" s="7" t="str">
        <x:v>Not displayed</x:v>
      </x:c>
      <x:c r="P312" s="7" t="str"/>
      <x:c r="Q312" s="7" t="str"/>
      <x:c r="R312" s="7" t="str"/>
      <x:c r="S312" s="15" t="str"/>
      <x:c r="T312" s="7" t="str">
        <x:v>No public business phone in collected record</x:v>
      </x:c>
      <x:c r="U312" s="7" t="str">
        <x:v>6641 MAPLE MESA ST NORTH LAS VEGAS NV, 89084-1220</x:v>
      </x:c>
      <x:c r="V312" s="7" t="str">
        <x:v>Non-resident</x:v>
      </x:c>
      <x:c r="W312" s="7" t="str">
        <x:v>NV</x:v>
      </x:c>
      <x:c r="X312" s="7" t="str"/>
      <x:c r="Y312" s="7" t="str"/>
      <x:c r="Z312" s="7" t="str"/>
      <x:c r="AA312" s="7" t="str"/>
      <x:c r="AB312" s="7" t="str"/>
      <x:c r="AC312" s="7" t="str"/>
      <x:c r="AD312" s="7" t="str">
        <x:v>No agency or insurer displayed: onboarding opportunity possible; existing business unknown</x:v>
      </x:c>
      <x:c r="AE312" s="7" t="str">
        <x:v>Nonresident or address state outside CA; confirm geographic recruiting scope | No public business phone: contact enrichment needed, not proof of poor recruiting fit</x:v>
      </x:c>
      <x:c r="AF312" s="16" t="str"/>
      <x:c r="AG312" s="17" t="str"/>
      <x:c r="AH312" s="7" t="str"/>
      <x:c r="AI312" s="7" t="str"/>
      <x:c r="AJ312" s="7" t="str"/>
      <x:c r="AK312" s="15" t="str"/>
      <x:c r="AL312" s="7" t="str"/>
      <x:c r="AM312" s="7" t="str">
        <x:v>AGUILAR  DAVID</x:v>
      </x:c>
      <x:c r="AN312" s="7" t="str">
        <x:v>https://cdicloud.insurance.ca.gov/cal/LicenseDetail?SearchType=IND&amp;SearchLicNbr=4078057&amp;SearchIndvId=4078057</x:v>
      </x:c>
      <x:c r="AO312" s="7" t="str">
        <x:v>2026-10-08</x:v>
      </x:c>
      <x:c r="AP312" s="7" t="str">
        <x:v>4f55996ea0e33848846259378798311703fd3dfa06eaa7e558b144712bb04119</x:v>
      </x:c>
      <x:c r="AQ312" s="7" t="str">
        <x:v>Accident &amp; Health or Sickness / Inactive / 10/15/2020 / 10/31/2024 / 10/31/2024</x:v>
      </x:c>
      <x:c r="AR312" s="7" t="str">
        <x:v>Inactive</x:v>
      </x:c>
      <x:c r="AS312" s="7" t="str">
        <x:v>Current detail page</x:v>
      </x:c>
    </x:row>
    <x:row r="313" ht="52" customHeight="1">
      <x:c r="A313" s="7" t="str">
        <x:v>AGUILAR DAVID ANTONIO</x:v>
      </x:c>
      <x:c r="B313" s="14" t="str">
        <x:f>"0G90498"</x:f>
        <x:v>0G90498</x:v>
      </x:c>
      <x:c r="C313" s="7" t="str">
        <x:v>Omitted</x:v>
      </x:c>
      <x:c r="D313" s="7" t="str">
        <x:v>FAIL</x:v>
      </x:c>
      <x:c r="E313" s="13" t="str">
        <x:v>Pending</x:v>
      </x:c>
      <x:c r="F313" s="13" t="str"/>
      <x:c r="G313" s="13" t="str"/>
      <x:c r="H313" s="13" t="str"/>
      <x:c r="I313" s="7" t="str">
        <x:v>Was this person reviewed? If rejected, give the actual rule and evidence. If acceptable, correct the omission. Confirm the Life-qualification gate and any record change since selection.</x:v>
      </x:c>
      <x:c r="J313" s="7" t="str">
        <x:v>L1</x:v>
      </x:c>
      <x:c r="K313" s="7" t="str">
        <x:v>Verified qualifications do not include active general Life. Current target-pool mismatch; actual historical omission reason unknown.</x:v>
      </x:c>
      <x:c r="L313" s="7" t="str">
        <x:v>Not supplied; membership is known, motive is not</x:v>
      </x:c>
      <x:c r="M313" s="7" t="n">
        <x:v>7</x:v>
      </x:c>
      <x:c r="N313" s="7" t="str">
        <x:v>Outside current general-Life recruiting pool</x:v>
      </x:c>
      <x:c r="O313" s="7" t="str">
        <x:v>Not displayed</x:v>
      </x:c>
      <x:c r="P313" s="7" t="str"/>
      <x:c r="Q313" s="7" t="str"/>
      <x:c r="R313" s="7" t="str">
        <x:v>Casualty; Property; Special Lines SL Broker; Surplus Lines Broker</x:v>
      </x:c>
      <x:c r="S313" s="15" t="str">
        <x:v>818-621-1087</x:v>
      </x:c>
      <x:c r="T313" s="7" t="str">
        <x:v>Current CDI</x:v>
      </x:c>
      <x:c r="U313" s="7" t="str">
        <x:v>13382 RAVEN ST SYLMAR CA, 91342-2417</x:v>
      </x:c>
      <x:c r="V313" s="7" t="str">
        <x:v>Resident</x:v>
      </x:c>
      <x:c r="W313" s="7" t="str">
        <x:v>CA</x:v>
      </x:c>
      <x:c r="X313" s="7" t="str">
        <x:v>RSG SPECIALTY, LLC / Property / 10/04/2023
RSG SPECIALTY, LLC / Surplus Lines Broker / 10/04/2023
RSG SPECIALTY, LLC / Casualty / 10/04/2023
RSG SPECIALTY, LLC / Special Lines SL Broker / 10/04/2023</x:v>
      </x:c>
      <x:c r="Y313" s="7" t="str"/>
      <x:c r="Z313" s="7" t="str"/>
      <x:c r="AA313" s="7" t="str"/>
      <x:c r="AB313" s="7" t="str"/>
      <x:c r="AC313" s="7" t="str"/>
      <x:c r="AD313" s="7" t="str"/>
      <x:c r="AE313" s="7" t="str">
        <x:v>P&amp;C/Personal Lines authority without displayed core Life appointments; mixed profile requires review</x:v>
      </x:c>
      <x:c r="AF313" s="16" t="str"/>
      <x:c r="AG313" s="17" t="str"/>
      <x:c r="AH313" s="7" t="str"/>
      <x:c r="AI313" s="7" t="str">
        <x:v>English</x:v>
      </x:c>
      <x:c r="AJ313" s="7" t="str"/>
      <x:c r="AK313" s="15" t="str"/>
      <x:c r="AL313" s="7" t="str"/>
      <x:c r="AM313" s="7" t="str">
        <x:v>AGUILAR ANTONIO DAVID</x:v>
      </x:c>
      <x:c r="AN313" s="7" t="str">
        <x:v>https://cdicloud.insurance.ca.gov/cal/LicenseDetail?SearchType=IND&amp;SearchLicNbr=0G90498&amp;SearchIndvId=1321259</x:v>
      </x:c>
      <x:c r="AO313" s="7" t="str">
        <x:v>2026-10-08</x:v>
      </x:c>
      <x:c r="AP313" s="7" t="str">
        <x:v>77e82773a79b00c58dc1a17ae05913c7ce4113bedf90f75d2a22d67aaea297da</x:v>
      </x:c>
      <x:c r="AQ313" s="7" t="str">
        <x:v>Casualty / Active / 02/16/2010 / 02/16/2010 / 02/29/2028
Property / Active / 02/16/2010 / 02/16/2010 / 02/29/2028
Special Lines SL Broker / Active / 03/16/2012 / 03/16/2012 / 02/29/2028
Surplus Lines Broker / Active / 03/16/2012 / 03/16/2012 / 02/29/2028</x:v>
      </x:c>
      <x:c r="AR313" s="7" t="str">
        <x:v>Active</x:v>
      </x:c>
      <x:c r="AS313" s="7" t="str">
        <x:v>Current detail page</x:v>
      </x:c>
    </x:row>
    <x:row r="314" ht="52" customHeight="1">
      <x:c r="A314" s="7" t="str">
        <x:v>AGUILAR DAVID ERNESTO</x:v>
      </x:c>
      <x:c r="B314" s="14" t="str">
        <x:f>"0M11485"</x:f>
        <x:v>0M11485</x:v>
      </x:c>
      <x:c r="C314" s="7" t="str">
        <x:v>Omitted</x:v>
      </x:c>
      <x:c r="D314" s="7" t="str">
        <x:v>FAIL</x:v>
      </x:c>
      <x:c r="E314" s="13" t="str">
        <x:v>Pending</x:v>
      </x:c>
      <x:c r="F314" s="13" t="str"/>
      <x:c r="G314" s="13" t="str"/>
      <x:c r="H314" s="13" t="str"/>
      <x:c r="I314" s="7" t="str">
        <x:v>Was this person reviewed? If rejected, give the actual rule and evidence. If acceptable, correct the omission. Confirm the Life-qualification gate and any record change since selection.</x:v>
      </x:c>
      <x:c r="J314" s="7" t="str">
        <x:v>L1</x:v>
      </x:c>
      <x:c r="K314" s="7" t="str">
        <x:v>Verified qualifications do not include active general Life. Current target-pool mismatch; actual historical omission reason unknown.</x:v>
      </x:c>
      <x:c r="L314" s="7" t="str">
        <x:v>Not supplied; membership is known, motive is not</x:v>
      </x:c>
      <x:c r="M314" s="7" t="n">
        <x:v>7</x:v>
      </x:c>
      <x:c r="N314" s="7" t="str">
        <x:v>Outside current general-Life recruiting pool</x:v>
      </x:c>
      <x:c r="O314" s="7" t="str">
        <x:v>Not displayed</x:v>
      </x:c>
      <x:c r="P314" s="7" t="str"/>
      <x:c r="Q314" s="7" t="str"/>
      <x:c r="R314" s="7" t="str"/>
      <x:c r="S314" s="15" t="str"/>
      <x:c r="T314" s="7" t="str">
        <x:v>No public business phone in collected record</x:v>
      </x:c>
      <x:c r="U314" s="7" t="str"/>
      <x:c r="V314" s="7" t="str">
        <x:v>Resident</x:v>
      </x:c>
      <x:c r="W314" s="7" t="str">
        <x:v>CA</x:v>
      </x:c>
      <x:c r="X314" s="7" t="str"/>
      <x:c r="Y314" s="7" t="str"/>
      <x:c r="Z314" s="7" t="str"/>
      <x:c r="AA314" s="7" t="str"/>
      <x:c r="AB314" s="7" t="str"/>
      <x:c r="AC314" s="7" t="str"/>
      <x:c r="AD314" s="7" t="str">
        <x:v>No agency or insurer displayed: onboarding opportunity possible; existing business unknown</x:v>
      </x:c>
      <x:c r="AE314" s="7" t="str">
        <x:v>No public business phone: contact enrichment needed, not proof of poor recruiting fit</x:v>
      </x:c>
      <x:c r="AF314" s="16" t="str"/>
      <x:c r="AG314" s="17" t="str"/>
      <x:c r="AH314" s="7" t="str"/>
      <x:c r="AI314" s="7" t="str"/>
      <x:c r="AJ314" s="7" t="str"/>
      <x:c r="AK314" s="15" t="str"/>
      <x:c r="AL314" s="7" t="str"/>
      <x:c r="AM314" s="7" t="str">
        <x:v>Aguilar E David | AGUILAR ERNESTO DAVID</x:v>
      </x:c>
      <x:c r="AN314" s="7" t="str">
        <x:v>https://cdicloud.insurance.ca.gov/cal/LicenseDetail?SearchType=IND&amp;SearchLicNbr=0M11485&amp;SearchIndvId=1986803</x:v>
      </x:c>
      <x:c r="AO314" s="7" t="str">
        <x:v>2026-10-08</x:v>
      </x:c>
      <x:c r="AP314" s="7" t="str">
        <x:v>fe54c966aea4ceee6c9558ff11573ffb2fac76dca8ad5cc4fbf6b12dc173bde0</x:v>
      </x:c>
      <x:c r="AQ314" s="7" t="str">
        <x:v>Life-Only / Inactive / 12/15/2017 / 12/31/2019 / 12/31/2019</x:v>
      </x:c>
      <x:c r="AR314" s="7" t="str">
        <x:v>Inactive</x:v>
      </x:c>
      <x:c r="AS314" s="7" t="str">
        <x:v>Current detail page</x:v>
      </x:c>
    </x:row>
    <x:row r="315" ht="52" customHeight="1">
      <x:c r="A315" s="7" t="str">
        <x:v>AGUILAR DAVID HUMBERTO</x:v>
      </x:c>
      <x:c r="B315" s="14" t="str">
        <x:f>"0E79964"</x:f>
        <x:v>0E79964</x:v>
      </x:c>
      <x:c r="C315" s="7" t="str">
        <x:v>Omitted</x:v>
      </x:c>
      <x:c r="D315" s="7" t="str">
        <x:v>FAIL</x:v>
      </x:c>
      <x:c r="E315" s="13" t="str">
        <x:v>Pending</x:v>
      </x:c>
      <x:c r="F315" s="13" t="str"/>
      <x:c r="G315" s="13" t="str"/>
      <x:c r="H315" s="13" t="str"/>
      <x:c r="I315" s="7" t="str">
        <x:v>Was this person reviewed? If rejected, give the actual rule and evidence. If acceptable, correct the omission. Confirm the Life-qualification gate and any record change since selection.</x:v>
      </x:c>
      <x:c r="J315" s="7" t="str">
        <x:v>L1</x:v>
      </x:c>
      <x:c r="K315" s="7" t="str">
        <x:v>Verified qualifications do not include active general Life. Current target-pool mismatch; actual historical omission reason unknown.</x:v>
      </x:c>
      <x:c r="L315" s="7" t="str">
        <x:v>Not supplied; membership is known, motive is not</x:v>
      </x:c>
      <x:c r="M315" s="7" t="n">
        <x:v>7</x:v>
      </x:c>
      <x:c r="N315" s="7" t="str">
        <x:v>Outside current general-Life recruiting pool</x:v>
      </x:c>
      <x:c r="O315" s="7" t="str">
        <x:v>Not displayed</x:v>
      </x:c>
      <x:c r="P315" s="7" t="str"/>
      <x:c r="Q315" s="7" t="str"/>
      <x:c r="R315" s="7" t="str"/>
      <x:c r="S315" s="15" t="str"/>
      <x:c r="T315" s="7" t="str">
        <x:v>No public business phone in collected record</x:v>
      </x:c>
      <x:c r="U315" s="7" t="str"/>
      <x:c r="V315" s="7" t="str">
        <x:v>Resident</x:v>
      </x:c>
      <x:c r="W315" s="7" t="str">
        <x:v>CA</x:v>
      </x:c>
      <x:c r="X315" s="7" t="str"/>
      <x:c r="Y315" s="7" t="str"/>
      <x:c r="Z315" s="7" t="str"/>
      <x:c r="AA315" s="7" t="str"/>
      <x:c r="AB315" s="7" t="str"/>
      <x:c r="AC315" s="7" t="str"/>
      <x:c r="AD315" s="7" t="str">
        <x:v>No agency or insurer displayed: onboarding opportunity possible; existing business unknown</x:v>
      </x:c>
      <x:c r="AE315" s="7" t="str">
        <x:v>No public business phone: contact enrichment needed, not proof of poor recruiting fit</x:v>
      </x:c>
      <x:c r="AF315" s="16" t="str"/>
      <x:c r="AG315" s="17" t="str"/>
      <x:c r="AH315" s="7" t="str"/>
      <x:c r="AI315" s="7" t="str"/>
      <x:c r="AJ315" s="7" t="str"/>
      <x:c r="AK315" s="15" t="str"/>
      <x:c r="AL315" s="7" t="str"/>
      <x:c r="AM315" s="7" t="str">
        <x:v>AGUILAR HUMBERTO DAVID</x:v>
      </x:c>
      <x:c r="AN315" s="7" t="str">
        <x:v>https://cdicloud.insurance.ca.gov/cal/LicenseDetail?SearchType=IND&amp;SearchLicNbr=0E79964&amp;SearchIndvId=952898</x:v>
      </x:c>
      <x:c r="AO315" s="7" t="str">
        <x:v>2026-10-08</x:v>
      </x:c>
      <x:c r="AP315" s="7" t="str">
        <x:v>41ae5b959d69ae458cc9c9f453887746490e1dd743bddf0a41c7b08f80008951</x:v>
      </x:c>
      <x:c r="AQ315" s="7" t="str">
        <x:v>Casualty Broker-Agent / Inactive / 05/26/2005 / 05/31/2007 / 05/31/2007
Property Broker-Agent / Inactive / 05/26/2005 / 05/31/2007 / 05/31/2007</x:v>
      </x:c>
      <x:c r="AR315" s="7" t="str">
        <x:v>Inactive</x:v>
      </x:c>
      <x:c r="AS315" s="7" t="str">
        <x:v>Current detail page</x:v>
      </x:c>
    </x:row>
    <x:row r="316" ht="52" customHeight="1">
      <x:c r="A316" s="7" t="str">
        <x:v>AGUILAR DAVID MICHAEL</x:v>
      </x:c>
      <x:c r="B316" s="14" t="str">
        <x:f>"0F42046"</x:f>
        <x:v>0F42046</x:v>
      </x:c>
      <x:c r="C316" s="7" t="str">
        <x:v>Omitted</x:v>
      </x:c>
      <x:c r="D316" s="7" t="str">
        <x:v>FAIL</x:v>
      </x:c>
      <x:c r="E316" s="13" t="str">
        <x:v>Pending</x:v>
      </x:c>
      <x:c r="F316" s="13" t="str"/>
      <x:c r="G316" s="13" t="str"/>
      <x:c r="H316" s="13" t="str"/>
      <x:c r="I316" s="7" t="str">
        <x:v>Was this person reviewed? If rejected, give the actual rule and evidence. If acceptable, correct the omission. Confirm the Life-qualification gate and any record change since selection.</x:v>
      </x:c>
      <x:c r="J316" s="7" t="str">
        <x:v>L1</x:v>
      </x:c>
      <x:c r="K316" s="7" t="str">
        <x:v>Verified qualifications do not include active general Life. Current target-pool mismatch; actual historical omission reason unknown.</x:v>
      </x:c>
      <x:c r="L316" s="7" t="str">
        <x:v>Not supplied; membership is known, motive is not</x:v>
      </x:c>
      <x:c r="M316" s="7" t="n">
        <x:v>7</x:v>
      </x:c>
      <x:c r="N316" s="7" t="str">
        <x:v>Outside current general-Life recruiting pool</x:v>
      </x:c>
      <x:c r="O316" s="7" t="str">
        <x:v>Not displayed</x:v>
      </x:c>
      <x:c r="P316" s="7" t="str"/>
      <x:c r="Q316" s="7" t="str"/>
      <x:c r="R316" s="7" t="str"/>
      <x:c r="S316" s="15" t="str"/>
      <x:c r="T316" s="7" t="str">
        <x:v>No public business phone in collected record</x:v>
      </x:c>
      <x:c r="U316" s="7" t="str"/>
      <x:c r="V316" s="7" t="str">
        <x:v>Resident</x:v>
      </x:c>
      <x:c r="W316" s="7" t="str">
        <x:v>CA</x:v>
      </x:c>
      <x:c r="X316" s="7" t="str"/>
      <x:c r="Y316" s="7" t="str"/>
      <x:c r="Z316" s="7" t="str"/>
      <x:c r="AA316" s="7" t="str"/>
      <x:c r="AB316" s="7" t="str"/>
      <x:c r="AC316" s="7" t="str"/>
      <x:c r="AD316" s="7" t="str">
        <x:v>No agency or insurer displayed: onboarding opportunity possible; existing business unknown</x:v>
      </x:c>
      <x:c r="AE316" s="7" t="str">
        <x:v>No public business phone: contact enrichment needed, not proof of poor recruiting fit</x:v>
      </x:c>
      <x:c r="AF316" s="16" t="str"/>
      <x:c r="AG316" s="17" t="str"/>
      <x:c r="AH316" s="7" t="str"/>
      <x:c r="AI316" s="7" t="str"/>
      <x:c r="AJ316" s="7" t="str"/>
      <x:c r="AK316" s="15" t="str"/>
      <x:c r="AL316" s="7" t="str"/>
      <x:c r="AM316" s="7" t="str">
        <x:v>AGUILAR MICHAEL DAVID</x:v>
      </x:c>
      <x:c r="AN316" s="7" t="str">
        <x:v>https://cdicloud.insurance.ca.gov/cal/LicenseDetail?SearchType=IND&amp;SearchLicNbr=0F42046&amp;SearchIndvId=1053590</x:v>
      </x:c>
      <x:c r="AO316" s="7" t="str">
        <x:v>2026-10-08</x:v>
      </x:c>
      <x:c r="AP316" s="7" t="str">
        <x:v>cbf18116f907ecafef1934f85363c398216404c052b90eaec9cfb7b4b9a2346d</x:v>
      </x:c>
      <x:c r="AQ316" s="7" t="str">
        <x:v>Accident and Health / Inactive / 11/02/2006 / 11/30/2010 / 11/30/2010
Life-Only / Inactive / 11/02/2006 / 11/30/2010 / 11/30/2010
Variable Contracts / Inactive / 11/02/2006 / 11/30/2010 / 11/30/2010</x:v>
      </x:c>
      <x:c r="AR316" s="7" t="str">
        <x:v>Inactive</x:v>
      </x:c>
      <x:c r="AS316" s="7" t="str">
        <x:v>Current detail page</x:v>
      </x:c>
    </x:row>
    <x:row r="317" ht="52" customHeight="1">
      <x:c r="A317" s="7" t="str">
        <x:v>AGUILAR DAVID MICHAEL</x:v>
      </x:c>
      <x:c r="B317" s="14" t="str">
        <x:f>"0G04994"</x:f>
        <x:v>0G04994</x:v>
      </x:c>
      <x:c r="C317" s="7" t="str">
        <x:v>Omitted</x:v>
      </x:c>
      <x:c r="D317" s="7" t="str">
        <x:v>FAIL</x:v>
      </x:c>
      <x:c r="E317" s="13" t="str">
        <x:v>Pending</x:v>
      </x:c>
      <x:c r="F317" s="13" t="str"/>
      <x:c r="G317" s="13" t="str"/>
      <x:c r="H317" s="13" t="str"/>
      <x:c r="I317" s="7" t="str">
        <x:v>Was this person reviewed? If rejected, give the actual rule and evidence. If acceptable, correct the omission. Confirm the Life-qualification gate and any record change since selection.</x:v>
      </x:c>
      <x:c r="J317" s="7" t="str">
        <x:v>L1</x:v>
      </x:c>
      <x:c r="K317" s="7" t="str">
        <x:v>Verified qualifications do not include active general Life. Current target-pool mismatch; actual historical omission reason unknown.</x:v>
      </x:c>
      <x:c r="L317" s="7" t="str">
        <x:v>Not supplied; membership is known, motive is not</x:v>
      </x:c>
      <x:c r="M317" s="7" t="n">
        <x:v>7</x:v>
      </x:c>
      <x:c r="N317" s="7" t="str">
        <x:v>Outside current general-Life recruiting pool</x:v>
      </x:c>
      <x:c r="O317" s="7" t="str">
        <x:v>Not displayed</x:v>
      </x:c>
      <x:c r="P317" s="7" t="str"/>
      <x:c r="Q317" s="7" t="str"/>
      <x:c r="R317" s="7" t="str"/>
      <x:c r="S317" s="15" t="str"/>
      <x:c r="T317" s="7" t="str">
        <x:v>No public business phone in collected record</x:v>
      </x:c>
      <x:c r="U317" s="7" t="str"/>
      <x:c r="V317" s="7" t="str">
        <x:v>Resident</x:v>
      </x:c>
      <x:c r="W317" s="7" t="str">
        <x:v>CA</x:v>
      </x:c>
      <x:c r="X317" s="7" t="str"/>
      <x:c r="Y317" s="7" t="str"/>
      <x:c r="Z317" s="7" t="str"/>
      <x:c r="AA317" s="7" t="str"/>
      <x:c r="AB317" s="7" t="str"/>
      <x:c r="AC317" s="7" t="str"/>
      <x:c r="AD317" s="7" t="str">
        <x:v>No agency or insurer displayed: onboarding opportunity possible; existing business unknown</x:v>
      </x:c>
      <x:c r="AE317" s="7" t="str">
        <x:v>No public business phone: contact enrichment needed, not proof of poor recruiting fit</x:v>
      </x:c>
      <x:c r="AF317" s="16" t="str"/>
      <x:c r="AG317" s="17" t="str"/>
      <x:c r="AH317" s="7" t="str"/>
      <x:c r="AI317" s="7" t="str"/>
      <x:c r="AJ317" s="7" t="str"/>
      <x:c r="AK317" s="15" t="str"/>
      <x:c r="AL317" s="7" t="str"/>
      <x:c r="AM317" s="7" t="str">
        <x:v>AGUILAR MICHAEL DAVID</x:v>
      </x:c>
      <x:c r="AN317" s="7" t="str">
        <x:v>https://cdicloud.insurance.ca.gov/cal/LicenseDetail?SearchType=IND&amp;SearchLicNbr=0G04994&amp;SearchIndvId=1129104</x:v>
      </x:c>
      <x:c r="AO317" s="7" t="str">
        <x:v>2026-10-08</x:v>
      </x:c>
      <x:c r="AP317" s="7" t="str">
        <x:v>b994cb66557fe53b92891f3ec6a53bb1435b5cfb782ada81ffda99ff74c1220a</x:v>
      </x:c>
      <x:c r="AQ317" s="7" t="str">
        <x:v>Casualty Broker-Agent / Inactive / 03/19/2008 / 03/31/2010 / 03/31/2010
Property Broker-Agent / Inactive / 03/19/2008 / 03/31/2010 / 03/31/2010</x:v>
      </x:c>
      <x:c r="AR317" s="7" t="str">
        <x:v>Inactive</x:v>
      </x:c>
      <x:c r="AS317" s="7" t="str">
        <x:v>Current detail page</x:v>
      </x:c>
    </x:row>
    <x:row r="318" ht="52" customHeight="1">
      <x:c r="A318" s="7" t="str">
        <x:v>AGUILAR DEBBIE</x:v>
      </x:c>
      <x:c r="B318" s="14" t="str">
        <x:f>"0K97733"</x:f>
        <x:v>0K97733</x:v>
      </x:c>
      <x:c r="C318" s="7" t="str">
        <x:v>Omitted</x:v>
      </x:c>
      <x:c r="D318" s="7" t="str">
        <x:v>FAIL</x:v>
      </x:c>
      <x:c r="E318" s="13" t="str">
        <x:v>Pending</x:v>
      </x:c>
      <x:c r="F318" s="13" t="str"/>
      <x:c r="G318" s="13" t="str"/>
      <x:c r="H318" s="13" t="str"/>
      <x:c r="I318" s="7" t="str">
        <x:v>Was this person reviewed? If rejected, give the actual rule and evidence. If acceptable, correct the omission. Confirm the Life-qualification gate and any record change since selection.</x:v>
      </x:c>
      <x:c r="J318" s="7" t="str">
        <x:v>L1</x:v>
      </x:c>
      <x:c r="K318" s="7" t="str">
        <x:v>Verified qualifications do not include active general Life. Current target-pool mismatch; actual historical omission reason unknown.</x:v>
      </x:c>
      <x:c r="L318" s="7" t="str">
        <x:v>Not supplied; membership is known, motive is not</x:v>
      </x:c>
      <x:c r="M318" s="7" t="n">
        <x:v>7</x:v>
      </x:c>
      <x:c r="N318" s="7" t="str">
        <x:v>Outside current general-Life recruiting pool</x:v>
      </x:c>
      <x:c r="O318" s="7" t="str">
        <x:v>Not displayed</x:v>
      </x:c>
      <x:c r="P318" s="7" t="str"/>
      <x:c r="Q318" s="7" t="str"/>
      <x:c r="R318" s="7" t="str"/>
      <x:c r="S318" s="15" t="str"/>
      <x:c r="T318" s="7" t="str">
        <x:v>No public business phone in collected record</x:v>
      </x:c>
      <x:c r="U318" s="7" t="str"/>
      <x:c r="V318" s="7" t="str">
        <x:v>Resident</x:v>
      </x:c>
      <x:c r="W318" s="7" t="str">
        <x:v>CA</x:v>
      </x:c>
      <x:c r="X318" s="7" t="str"/>
      <x:c r="Y318" s="7" t="str"/>
      <x:c r="Z318" s="7" t="str"/>
      <x:c r="AA318" s="7" t="str"/>
      <x:c r="AB318" s="7" t="str"/>
      <x:c r="AC318" s="7" t="str"/>
      <x:c r="AD318" s="7" t="str">
        <x:v>No agency or insurer displayed: onboarding opportunity possible; existing business unknown</x:v>
      </x:c>
      <x:c r="AE318" s="7" t="str">
        <x:v>No public business phone: contact enrichment needed, not proof of poor recruiting fit</x:v>
      </x:c>
      <x:c r="AF318" s="16" t="str"/>
      <x:c r="AG318" s="17" t="str"/>
      <x:c r="AH318" s="7" t="str"/>
      <x:c r="AI318" s="7" t="str"/>
      <x:c r="AJ318" s="7" t="str"/>
      <x:c r="AK318" s="15" t="str"/>
      <x:c r="AL318" s="7" t="str"/>
      <x:c r="AM318" s="7" t="str">
        <x:v>AGUILAR  DEBBIE</x:v>
      </x:c>
      <x:c r="AN318" s="7" t="str">
        <x:v>https://cdicloud.insurance.ca.gov/cal/LicenseDetail?SearchType=IND&amp;SearchLicNbr=0K97733&amp;SearchIndvId=1845401</x:v>
      </x:c>
      <x:c r="AO318" s="7" t="str">
        <x:v>2026-10-08</x:v>
      </x:c>
      <x:c r="AP318" s="7" t="str">
        <x:v>bfe9ee87b007b06785a42eb24d7af929ab97442eab1b255d9574822b96dcbc15</x:v>
      </x:c>
      <x:c r="AQ318" s="7" t="str">
        <x:v>Accident and Health / Inactive / 07/01/2016 / 07/31/2018 / 07/31/2018
Life-Only / Inactive / 07/01/2016 / 07/31/2018 / 07/31/2018</x:v>
      </x:c>
      <x:c r="AR318" s="7" t="str">
        <x:v>Inactive</x:v>
      </x:c>
      <x:c r="AS318" s="7" t="str">
        <x:v>Current detail page</x:v>
      </x:c>
    </x:row>
    <x:row r="319" ht="52" customHeight="1">
      <x:c r="A319" s="7" t="str">
        <x:v>AGUILAR DEL LLANO BRENDA</x:v>
      </x:c>
      <x:c r="B319" s="14" t="str">
        <x:f>"4327070"</x:f>
        <x:v>4327070</x:v>
      </x:c>
      <x:c r="C319" s="7" t="str">
        <x:v>Omitted</x:v>
      </x:c>
      <x:c r="D319" s="7" t="str">
        <x:v>FAIL</x:v>
      </x:c>
      <x:c r="E319" s="13" t="str">
        <x:v>Pending</x:v>
      </x:c>
      <x:c r="F319" s="13" t="str"/>
      <x:c r="G319" s="13" t="str"/>
      <x:c r="H319" s="13" t="str"/>
      <x:c r="I319" s="7" t="str">
        <x:v>Was this person reviewed? If rejected, give the actual rule and evidence. If acceptable, correct the omission. Confirm the Life-qualification gate and any record change since selection.</x:v>
      </x:c>
      <x:c r="J319" s="7" t="str">
        <x:v>L1</x:v>
      </x:c>
      <x:c r="K319" s="7" t="str">
        <x:v>Verified qualifications do not include active general Life. Current target-pool mismatch; actual historical omission reason unknown.</x:v>
      </x:c>
      <x:c r="L319" s="7" t="str">
        <x:v>Not supplied; membership is known, motive is not</x:v>
      </x:c>
      <x:c r="M319" s="7" t="n">
        <x:v>7</x:v>
      </x:c>
      <x:c r="N319" s="7" t="str">
        <x:v>Outside current general-Life recruiting pool</x:v>
      </x:c>
      <x:c r="O319" s="7" t="str">
        <x:v>Inactive</x:v>
      </x:c>
      <x:c r="P319" s="7" t="str">
        <x:v>10/10/2023</x:v>
      </x:c>
      <x:c r="Q319" s="7" t="str">
        <x:v>10/31/2025</x:v>
      </x:c>
      <x:c r="R319" s="7" t="str"/>
      <x:c r="S319" s="15" t="str">
        <x:v>951-579-9912</x:v>
      </x:c>
      <x:c r="T319" s="7" t="str">
        <x:v>Current CDI</x:v>
      </x:c>
      <x:c r="U319" s="7" t="str">
        <x:v>35599 ASTER DR WILDOMAR CA, 92595</x:v>
      </x:c>
      <x:c r="V319" s="7" t="str">
        <x:v>Resident</x:v>
      </x:c>
      <x:c r="W319" s="7" t="str">
        <x:v>CA</x:v>
      </x:c>
      <x:c r="X319" s="7" t="str"/>
      <x:c r="Y319" s="7" t="str"/>
      <x:c r="Z319" s="7" t="str"/>
      <x:c r="AA319" s="7" t="str"/>
      <x:c r="AB319" s="7" t="str"/>
      <x:c r="AC319" s="7" t="str"/>
      <x:c r="AD319" s="7" t="str">
        <x:v>No agency or insurer displayed: onboarding opportunity possible; existing business unknown</x:v>
      </x:c>
      <x:c r="AE319" s="7" t="str"/>
      <x:c r="AF319" s="16" t="str"/>
      <x:c r="AG319" s="17" t="str"/>
      <x:c r="AH319" s="7" t="str"/>
      <x:c r="AI319" s="7" t="str">
        <x:v>English</x:v>
      </x:c>
      <x:c r="AJ319" s="7" t="str"/>
      <x:c r="AK319" s="15" t="str"/>
      <x:c r="AL319" s="7" t="str"/>
      <x:c r="AM319" s="7" t="str">
        <x:v>AGUILAR DEL LLANO  BRENDA</x:v>
      </x:c>
      <x:c r="AN319" s="7" t="str">
        <x:v>https://cdicloud.insurance.ca.gov/cal/LicenseDetail?SearchType=IND&amp;SearchLicNbr=4327070&amp;SearchIndvId=4327070</x:v>
      </x:c>
      <x:c r="AO319" s="7" t="str">
        <x:v>2026-10-08</x:v>
      </x:c>
      <x:c r="AP319" s="7" t="str">
        <x:v>c200f52c35f55aed0d1dcbb10bc507a18bbc7b2bd2b390747ea0d305a7b9f348</x:v>
      </x:c>
      <x:c r="AQ319" s="7" t="str">
        <x:v>Accident &amp; Health or Sickness / Inactive / 10/10/2023 / 10/31/2025 / 10/31/2025
Life / Inactive / 10/10/2023 / 10/31/2025 / 10/31/2025</x:v>
      </x:c>
      <x:c r="AR319" s="7" t="str">
        <x:v>Inactive</x:v>
      </x:c>
      <x:c r="AS319" s="7" t="str">
        <x:v>Current detail page</x:v>
      </x:c>
    </x:row>
    <x:row r="320" ht="52" customHeight="1">
      <x:c r="A320" s="7" t="str">
        <x:v>AGUILAR DELIA</x:v>
      </x:c>
      <x:c r="B320" s="14" t="str">
        <x:f>"0C77673"</x:f>
        <x:v>0C77673</x:v>
      </x:c>
      <x:c r="C320" s="7" t="str">
        <x:v>Omitted</x:v>
      </x:c>
      <x:c r="D320" s="7" t="str">
        <x:v>FAIL</x:v>
      </x:c>
      <x:c r="E320" s="13" t="str">
        <x:v>Pending</x:v>
      </x:c>
      <x:c r="F320" s="13" t="str"/>
      <x:c r="G320" s="13" t="str"/>
      <x:c r="H320" s="13" t="str"/>
      <x:c r="I320" s="7" t="str">
        <x:v>Was this person reviewed? If rejected, give the actual rule and evidence. If acceptable, correct the omission. Confirm the Life-qualification gate and any record change since selection.</x:v>
      </x:c>
      <x:c r="J320" s="7" t="str">
        <x:v>L1</x:v>
      </x:c>
      <x:c r="K320" s="7" t="str">
        <x:v>Verified qualifications do not include active general Life. Current target-pool mismatch; actual historical omission reason unknown.</x:v>
      </x:c>
      <x:c r="L320" s="7" t="str">
        <x:v>Not supplied; membership is known, motive is not</x:v>
      </x:c>
      <x:c r="M320" s="7" t="n">
        <x:v>7</x:v>
      </x:c>
      <x:c r="N320" s="7" t="str">
        <x:v>Outside current general-Life recruiting pool</x:v>
      </x:c>
      <x:c r="O320" s="7" t="str">
        <x:v>Not displayed</x:v>
      </x:c>
      <x:c r="P320" s="7" t="str"/>
      <x:c r="Q320" s="7" t="str"/>
      <x:c r="R320" s="7" t="str"/>
      <x:c r="S320" s="15" t="str"/>
      <x:c r="T320" s="7" t="str">
        <x:v>No public business phone in collected record</x:v>
      </x:c>
      <x:c r="U320" s="7" t="str"/>
      <x:c r="V320" s="7" t="str">
        <x:v>Resident</x:v>
      </x:c>
      <x:c r="W320" s="7" t="str">
        <x:v>CA</x:v>
      </x:c>
      <x:c r="X320" s="7" t="str">
        <x:v>PRIMERICA FINANCIAL SERVICES INSURANCE MARKETING, INC. / Accident and Health / 07/26/2001
PRIMERICA FINANCIAL SERVICES INSURANCE MARKETING, INC. / Life-Only / 07/26/2001</x:v>
      </x:c>
      <x:c r="Y320" s="7" t="str"/>
      <x:c r="Z320" s="7" t="str"/>
      <x:c r="AA320" s="7" t="str"/>
      <x:c r="AB320" s="7" t="str"/>
      <x:c r="AC320" s="7" t="str"/>
      <x:c r="AD320" s="7" t="str">
        <x:v>Primerica relationship: matches an explicitly targeted recruiting segment</x:v>
      </x:c>
      <x:c r="AE320" s="7" t="str">
        <x:v>No public business phone: contact enrichment needed, not proof of poor recruiting fit</x:v>
      </x:c>
      <x:c r="AF320" s="16" t="str"/>
      <x:c r="AG320" s="17" t="str"/>
      <x:c r="AH320" s="7" t="str"/>
      <x:c r="AI320" s="7" t="str"/>
      <x:c r="AJ320" s="7" t="str"/>
      <x:c r="AK320" s="15" t="str"/>
      <x:c r="AL320" s="7" t="str"/>
      <x:c r="AM320" s="7" t="str">
        <x:v>AGUILAR  DELIA</x:v>
      </x:c>
      <x:c r="AN320" s="7" t="str">
        <x:v>https://cdicloud.insurance.ca.gov/cal/LicenseDetail?SearchType=IND&amp;SearchLicNbr=0C77673&amp;SearchIndvId=462556</x:v>
      </x:c>
      <x:c r="AO320" s="7" t="str">
        <x:v>2026-10-08</x:v>
      </x:c>
      <x:c r="AP320" s="7" t="str">
        <x:v>77586b606d1e4ca868f2a6bf0e255c2902335bc2e991c2ab17c8ee6a5b3c823c</x:v>
      </x:c>
      <x:c r="AQ320" s="7" t="str">
        <x:v>Accident and Health / Inactive / 11/10/1999 / 11/30/2001 / 11/30/2001
Life-Only / Inactive / 11/10/1999 / 11/30/2001 / 11/30/2001</x:v>
      </x:c>
      <x:c r="AR320" s="7" t="str">
        <x:v>Inactive</x:v>
      </x:c>
      <x:c r="AS320" s="7" t="str">
        <x:v>Current detail page</x:v>
      </x:c>
    </x:row>
    <x:row r="321" ht="52" customHeight="1">
      <x:c r="A321" s="7" t="str">
        <x:v>AGUILAR DELIA EVONNE</x:v>
      </x:c>
      <x:c r="B321" s="14" t="str">
        <x:f>"0H08224"</x:f>
        <x:v>0H08224</x:v>
      </x:c>
      <x:c r="C321" s="7" t="str">
        <x:v>Omitted</x:v>
      </x:c>
      <x:c r="D321" s="7" t="str">
        <x:v>FAIL</x:v>
      </x:c>
      <x:c r="E321" s="13" t="str">
        <x:v>Pending</x:v>
      </x:c>
      <x:c r="F321" s="13" t="str"/>
      <x:c r="G321" s="13" t="str"/>
      <x:c r="H321" s="13" t="str"/>
      <x:c r="I321" s="7" t="str">
        <x:v>Was this person reviewed? If rejected, give the actual rule and evidence. If acceptable, correct the omission. Confirm the Life-qualification gate and any record change since selection.</x:v>
      </x:c>
      <x:c r="J321" s="7" t="str">
        <x:v>L1</x:v>
      </x:c>
      <x:c r="K321" s="7" t="str">
        <x:v>Verified qualifications do not include active general Life. Current target-pool mismatch; actual historical omission reason unknown.</x:v>
      </x:c>
      <x:c r="L321" s="7" t="str">
        <x:v>Not supplied; membership is known, motive is not</x:v>
      </x:c>
      <x:c r="M321" s="7" t="n">
        <x:v>7</x:v>
      </x:c>
      <x:c r="N321" s="7" t="str">
        <x:v>Outside current general-Life recruiting pool</x:v>
      </x:c>
      <x:c r="O321" s="7" t="str">
        <x:v>Not displayed</x:v>
      </x:c>
      <x:c r="P321" s="7" t="str"/>
      <x:c r="Q321" s="7" t="str"/>
      <x:c r="R321" s="7" t="str"/>
      <x:c r="S321" s="15" t="str"/>
      <x:c r="T321" s="7" t="str">
        <x:v>No public business phone in collected record</x:v>
      </x:c>
      <x:c r="U321" s="7" t="str"/>
      <x:c r="V321" s="7" t="str">
        <x:v>Resident</x:v>
      </x:c>
      <x:c r="W321" s="7" t="str">
        <x:v>CA</x:v>
      </x:c>
      <x:c r="X321" s="7" t="str"/>
      <x:c r="Y321" s="7" t="str"/>
      <x:c r="Z321" s="7" t="str"/>
      <x:c r="AA321" s="7" t="str"/>
      <x:c r="AB321" s="7" t="str"/>
      <x:c r="AC321" s="7" t="str"/>
      <x:c r="AD321" s="7" t="str">
        <x:v>No agency or insurer displayed: onboarding opportunity possible; existing business unknown</x:v>
      </x:c>
      <x:c r="AE321" s="7" t="str">
        <x:v>No public business phone: contact enrichment needed, not proof of poor recruiting fit</x:v>
      </x:c>
      <x:c r="AF321" s="16" t="str"/>
      <x:c r="AG321" s="17" t="str"/>
      <x:c r="AH321" s="7" t="str"/>
      <x:c r="AI321" s="7" t="str"/>
      <x:c r="AJ321" s="7" t="str"/>
      <x:c r="AK321" s="15" t="str"/>
      <x:c r="AL321" s="7" t="str"/>
      <x:c r="AM321" s="7" t="str">
        <x:v>AGUILAR EVONNE DELIA</x:v>
      </x:c>
      <x:c r="AN321" s="7" t="str">
        <x:v>https://cdicloud.insurance.ca.gov/cal/LicenseDetail?SearchType=IND&amp;SearchLicNbr=0H08224&amp;SearchIndvId=1342076</x:v>
      </x:c>
      <x:c r="AO321" s="7" t="str">
        <x:v>2026-10-08</x:v>
      </x:c>
      <x:c r="AP321" s="7" t="str">
        <x:v>ff6d512522f852fc0eef4378b37d4e2f68a10b0658afce7eaa646a43eb84c224</x:v>
      </x:c>
      <x:c r="AQ321" s="7" t="str">
        <x:v>Personal Lines Broker-Agent / Inactive / 07/16/2010 / 07/31/2018 / 07/31/2018</x:v>
      </x:c>
      <x:c r="AR321" s="7" t="str">
        <x:v>Inactive</x:v>
      </x:c>
      <x:c r="AS321" s="7" t="str">
        <x:v>Current detail page</x:v>
      </x:c>
    </x:row>
    <x:row r="322" ht="52" customHeight="1">
      <x:c r="A322" s="7" t="str">
        <x:v>AGUILAR DENISE</x:v>
      </x:c>
      <x:c r="B322" s="14" t="str">
        <x:f>"4138442"</x:f>
        <x:v>4138442</x:v>
      </x:c>
      <x:c r="C322" s="7" t="str">
        <x:v>Omitted</x:v>
      </x:c>
      <x:c r="D322" s="7" t="str">
        <x:v>FAIL</x:v>
      </x:c>
      <x:c r="E322" s="13" t="str">
        <x:v>Pending</x:v>
      </x:c>
      <x:c r="F322" s="13" t="str"/>
      <x:c r="G322" s="13" t="str"/>
      <x:c r="H322" s="13" t="str"/>
      <x:c r="I322" s="7" t="str">
        <x:v>Was this person reviewed? If rejected, give the actual rule and evidence. If acceptable, correct the omission. Confirm the Life-qualification gate and any record change since selection.</x:v>
      </x:c>
      <x:c r="J322" s="7" t="str">
        <x:v>L1</x:v>
      </x:c>
      <x:c r="K322" s="7" t="str">
        <x:v>Verified qualifications do not include active general Life. Current target-pool mismatch; actual historical omission reason unknown.</x:v>
      </x:c>
      <x:c r="L322" s="7" t="str">
        <x:v>Not supplied; membership is known, motive is not</x:v>
      </x:c>
      <x:c r="M322" s="7" t="n">
        <x:v>7</x:v>
      </x:c>
      <x:c r="N322" s="7" t="str">
        <x:v>Outside current general-Life recruiting pool</x:v>
      </x:c>
      <x:c r="O322" s="7" t="str">
        <x:v>Not displayed</x:v>
      </x:c>
      <x:c r="P322" s="7" t="str"/>
      <x:c r="Q322" s="7" t="str"/>
      <x:c r="R322" s="7" t="str">
        <x:v>Personal Lines</x:v>
      </x:c>
      <x:c r="S322" s="15" t="str"/>
      <x:c r="T322" s="7" t="str">
        <x:v>No public business phone in collected record</x:v>
      </x:c>
      <x:c r="U322" s="7" t="str">
        <x:v>321 VALLE PALOS VERDES DR EL PASO TX, 79927-3491</x:v>
      </x:c>
      <x:c r="V322" s="7" t="str">
        <x:v>Non-resident</x:v>
      </x:c>
      <x:c r="W322" s="7" t="str">
        <x:v>TX</x:v>
      </x:c>
      <x:c r="X322" s="7" t="str">
        <x:v>PROGRESSIVE ADVANTAGE AGENCY INC / Personal Lines / 07/16/2021</x:v>
      </x:c>
      <x:c r="Y322" s="7" t="str"/>
      <x:c r="Z322" s="7" t="str"/>
      <x:c r="AA322" s="7" t="str"/>
      <x:c r="AB322" s="7" t="str"/>
      <x:c r="AC322" s="7" t="str"/>
      <x:c r="AD322" s="7" t="str"/>
      <x:c r="AE322"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322" s="16" t="str"/>
      <x:c r="AG322" s="17" t="str"/>
      <x:c r="AH322" s="7" t="str"/>
      <x:c r="AI322" s="7" t="str"/>
      <x:c r="AJ322" s="7" t="str"/>
      <x:c r="AK322" s="15" t="str"/>
      <x:c r="AL322" s="7" t="str"/>
      <x:c r="AM322" s="7" t="str">
        <x:v>AGUILAR  DENISE | AGUILAR-ZUNIGA  DENISE</x:v>
      </x:c>
      <x:c r="AN322" s="7" t="str">
        <x:v>https://cdicloud.insurance.ca.gov/cal/LicenseDetail?SearchType=IND&amp;SearchLicNbr=4138442&amp;SearchIndvId=4138442</x:v>
      </x:c>
      <x:c r="AO322" s="7" t="str">
        <x:v>2026-10-08</x:v>
      </x:c>
      <x:c r="AP322" s="7" t="str">
        <x:v>2a08dde497fed8591f2846f4c6e57b3916c76edd1c1e11a7b9a9fde2b68d4c8b</x:v>
      </x:c>
      <x:c r="AQ322" s="7" t="str">
        <x:v>Personal Lines / Active / 07/14/2021 / 07/14/2021 / 07/31/2027</x:v>
      </x:c>
      <x:c r="AR322" s="7" t="str">
        <x:v>Active</x:v>
      </x:c>
      <x:c r="AS322" s="7" t="str">
        <x:v>Current detail page</x:v>
      </x:c>
    </x:row>
    <x:row r="323" ht="52" customHeight="1">
      <x:c r="A323" s="7" t="str">
        <x:v>AGUILAR DENISE</x:v>
      </x:c>
      <x:c r="B323" s="14" t="str">
        <x:f>"4506770"</x:f>
        <x:v>4506770</x:v>
      </x:c>
      <x:c r="C323" s="7" t="str">
        <x:v>Omitted</x:v>
      </x:c>
      <x:c r="D323" s="7" t="str">
        <x:v>FAIL</x:v>
      </x:c>
      <x:c r="E323" s="13" t="str">
        <x:v>Pending</x:v>
      </x:c>
      <x:c r="F323" s="13" t="str"/>
      <x:c r="G323" s="13" t="str"/>
      <x:c r="H323" s="13" t="str"/>
      <x:c r="I323" s="7" t="str">
        <x:v>Was this person reviewed? If rejected, give the actual rule and evidence. If acceptable, correct the omission. Confirm the Life-qualification gate and any record change since selection.</x:v>
      </x:c>
      <x:c r="J323" s="7" t="str">
        <x:v>L1</x:v>
      </x:c>
      <x:c r="K323" s="7" t="str">
        <x:v>Verified qualifications do not include active general Life. Current target-pool mismatch; actual historical omission reason unknown.</x:v>
      </x:c>
      <x:c r="L323" s="7" t="str">
        <x:v>Not supplied; membership is known, motive is not</x:v>
      </x:c>
      <x:c r="M323" s="7" t="n">
        <x:v>7</x:v>
      </x:c>
      <x:c r="N323" s="7" t="str">
        <x:v>Outside current general-Life recruiting pool</x:v>
      </x:c>
      <x:c r="O323" s="7" t="str">
        <x:v>Not displayed</x:v>
      </x:c>
      <x:c r="P323" s="7" t="str"/>
      <x:c r="Q323" s="7" t="str"/>
      <x:c r="R323" s="7" t="str">
        <x:v>Personal Lines</x:v>
      </x:c>
      <x:c r="S323" s="15" t="str">
        <x:v>209-656-3072</x:v>
      </x:c>
      <x:c r="T323" s="7" t="str">
        <x:v>Current CDI</x:v>
      </x:c>
      <x:c r="U323" s="7" t="str">
        <x:v>3180 HOTEL DR TURLOCK CA, 95380-8436</x:v>
      </x:c>
      <x:c r="V323" s="7" t="str">
        <x:v>Resident</x:v>
      </x:c>
      <x:c r="W323" s="7" t="str">
        <x:v>CA</x:v>
      </x:c>
      <x:c r="X323" s="7" t="str"/>
      <x:c r="Y323" s="7" t="str"/>
      <x:c r="Z323" s="7" t="str"/>
      <x:c r="AA323" s="7" t="str"/>
      <x:c r="AB323" s="7" t="str"/>
      <x:c r="AC323" s="7" t="str"/>
      <x:c r="AD323" s="7" t="str">
        <x:v>No agency or insurer displayed: onboarding opportunity possible; existing business unknown</x:v>
      </x:c>
      <x:c r="AE323" s="7" t="str">
        <x:v>P&amp;C/Personal Lines authority without displayed core Life appointments; mixed profile requires review</x:v>
      </x:c>
      <x:c r="AF323" s="16" t="str"/>
      <x:c r="AG323" s="17" t="str"/>
      <x:c r="AH323" s="7" t="str"/>
      <x:c r="AI323" s="7" t="str">
        <x:v>English</x:v>
      </x:c>
      <x:c r="AJ323" s="7" t="str"/>
      <x:c r="AK323" s="15" t="str"/>
      <x:c r="AL323" s="7" t="str"/>
      <x:c r="AM323" s="7" t="str">
        <x:v>AGUILAR  DENISE</x:v>
      </x:c>
      <x:c r="AN323" s="7" t="str">
        <x:v>https://cdicloud.insurance.ca.gov/cal/LicenseDetail?SearchType=IND&amp;SearchLicNbr=4506770&amp;SearchIndvId=4506770</x:v>
      </x:c>
      <x:c r="AO323" s="7" t="str">
        <x:v>2026-10-08</x:v>
      </x:c>
      <x:c r="AP323" s="7" t="str">
        <x:v>7a0e2d7ddf23e9ed3da51dee8e26130702fa1548c261120ce6fae8e92cbdc4b7</x:v>
      </x:c>
      <x:c r="AQ323" s="7" t="str">
        <x:v>Personal Lines / Active / 11/04/2025 / 11/04/2025 / 11/30/2027</x:v>
      </x:c>
      <x:c r="AR323" s="7" t="str">
        <x:v>Active</x:v>
      </x:c>
      <x:c r="AS323" s="7" t="str">
        <x:v>Current detail page</x:v>
      </x:c>
    </x:row>
    <x:row r="324" ht="52" customHeight="1">
      <x:c r="A324" s="7" t="str">
        <x:v>AGUILAR DENISE</x:v>
      </x:c>
      <x:c r="B324" s="14" t="str">
        <x:f>"E4435859"</x:f>
        <x:v>E4435859</x:v>
      </x:c>
      <x:c r="C324" s="7" t="str">
        <x:v>Omitted</x:v>
      </x:c>
      <x:c r="D324" s="7" t="str">
        <x:v>REVIEW</x:v>
      </x:c>
      <x:c r="E324" s="13" t="str">
        <x:v>Pending</x:v>
      </x:c>
      <x:c r="F324" s="13" t="str"/>
      <x:c r="G324" s="13" t="str"/>
      <x:c r="H324" s="13" t="str"/>
      <x:c r="I324" s="7" t="str">
        <x:v>Was this record reviewed? The detail page provides no qualifications. Verify the actual license type and Life authority before deciding; do not reject for missing data.</x:v>
      </x:c>
      <x:c r="J324" s="7" t="str">
        <x:v>L1</x:v>
      </x:c>
      <x:c r="K324" s="7" t="str">
        <x:v>Detail page displays no qualification information. Life authority cannot be verified; missing data is not a qualification failure. Historical omission reason unknown.</x:v>
      </x:c>
      <x:c r="L324" s="7" t="str">
        <x:v>Not supplied; membership is known, motive is not</x:v>
      </x:c>
      <x:c r="M324" s="7" t="n">
        <x:v>7</x:v>
      </x:c>
      <x:c r="N324" s="7" t="str">
        <x:v>Outside current general-Life recruiting pool</x:v>
      </x:c>
      <x:c r="O324" s="7" t="str">
        <x:v>Not displayed</x:v>
      </x:c>
      <x:c r="P324" s="7" t="str"/>
      <x:c r="Q324" s="7" t="str"/>
      <x:c r="R324" s="7" t="str"/>
      <x:c r="S324" s="15" t="str"/>
      <x:c r="T324" s="7" t="str">
        <x:v>No public business phone in collected record</x:v>
      </x:c>
      <x:c r="U324" s="7" t="str"/>
      <x:c r="V324" s="7" t="str">
        <x:v>Resident</x:v>
      </x:c>
      <x:c r="W324" s="7" t="str">
        <x:v>CA</x:v>
      </x:c>
      <x:c r="X324" s="7" t="str"/>
      <x:c r="Y324" s="7" t="str"/>
      <x:c r="Z324" s="7" t="str"/>
      <x:c r="AA324" s="7" t="str"/>
      <x:c r="AB324" s="7" t="str"/>
      <x:c r="AC324" s="7" t="str"/>
      <x:c r="AD324" s="7" t="str">
        <x:v>No agency or insurer displayed: onboarding opportunity possible; existing business unknown</x:v>
      </x:c>
      <x:c r="AE324" s="7" t="str">
        <x:v>No public business phone: contact enrichment needed, not proof of poor recruiting fit</x:v>
      </x:c>
      <x:c r="AF324" s="16" t="str"/>
      <x:c r="AG324" s="17" t="str"/>
      <x:c r="AH324" s="7" t="str"/>
      <x:c r="AI324" s="7" t="str">
        <x:v>English</x:v>
      </x:c>
      <x:c r="AJ324" s="7" t="str"/>
      <x:c r="AK324" s="15" t="str"/>
      <x:c r="AL324" s="7" t="str"/>
      <x:c r="AM324" s="7" t="str">
        <x:v>AGUILAR  DENISE</x:v>
      </x:c>
      <x:c r="AN324" s="7" t="str">
        <x:v>https://cdicloud.insurance.ca.gov/cal/LicenseDetail?SearchType=IND&amp;SearchLicNbr=E4435859&amp;SearchIndvId=4435859</x:v>
      </x:c>
      <x:c r="AO324" s="7" t="str">
        <x:v>2026-10-08</x:v>
      </x:c>
      <x:c r="AP324" s="7" t="str">
        <x:v>d02039074bbcf1390138d8af8f7189779c12b8033ebff220626d59bfc1f2e254</x:v>
      </x:c>
      <x:c r="AQ324" s="7" t="str"/>
      <x:c r="AR324" s="7" t="str">
        <x:v>Active</x:v>
      </x:c>
      <x:c r="AS324" s="7" t="str">
        <x:v>Current detail page</x:v>
      </x:c>
    </x:row>
    <x:row r="325" ht="52" customHeight="1">
      <x:c r="A325" s="7" t="str">
        <x:v>AGUILAR DENISE DAWNE</x:v>
      </x:c>
      <x:c r="B325" s="14" t="str">
        <x:f>"0K36902"</x:f>
        <x:v>0K36902</x:v>
      </x:c>
      <x:c r="C325" s="7" t="str">
        <x:v>Omitted</x:v>
      </x:c>
      <x:c r="D325" s="7" t="str">
        <x:v>FAIL</x:v>
      </x:c>
      <x:c r="E325" s="13" t="str">
        <x:v>Pending</x:v>
      </x:c>
      <x:c r="F325" s="13" t="str"/>
      <x:c r="G325" s="13" t="str"/>
      <x:c r="H325" s="13" t="str"/>
      <x:c r="I325" s="7" t="str">
        <x:v>Was this person reviewed? If rejected, give the actual rule and evidence. If acceptable, correct the omission. Confirm the Life-qualification gate and any record change since selection.</x:v>
      </x:c>
      <x:c r="J325" s="7" t="str">
        <x:v>L1</x:v>
      </x:c>
      <x:c r="K325" s="7" t="str">
        <x:v>Verified qualifications do not include active general Life. Current target-pool mismatch; actual historical omission reason unknown.</x:v>
      </x:c>
      <x:c r="L325" s="7" t="str">
        <x:v>Not supplied; membership is known, motive is not</x:v>
      </x:c>
      <x:c r="M325" s="7" t="n">
        <x:v>7</x:v>
      </x:c>
      <x:c r="N325" s="7" t="str">
        <x:v>Outside current general-Life recruiting pool</x:v>
      </x:c>
      <x:c r="O325" s="7" t="str">
        <x:v>Not displayed</x:v>
      </x:c>
      <x:c r="P325" s="7" t="str"/>
      <x:c r="Q325" s="7" t="str"/>
      <x:c r="R325" s="7" t="str"/>
      <x:c r="S325" s="15" t="str"/>
      <x:c r="T325" s="7" t="str">
        <x:v>No public business phone in collected record</x:v>
      </x:c>
      <x:c r="U325" s="7" t="str"/>
      <x:c r="V325" s="7" t="str">
        <x:v>Resident</x:v>
      </x:c>
      <x:c r="W325" s="7" t="str">
        <x:v>CA</x:v>
      </x:c>
      <x:c r="X325" s="7" t="str"/>
      <x:c r="Y325" s="7" t="str"/>
      <x:c r="Z325" s="7" t="str"/>
      <x:c r="AA325" s="7" t="str"/>
      <x:c r="AB325" s="7" t="str"/>
      <x:c r="AC325" s="7" t="str"/>
      <x:c r="AD325" s="7" t="str">
        <x:v>No agency or insurer displayed: onboarding opportunity possible; existing business unknown</x:v>
      </x:c>
      <x:c r="AE325" s="7" t="str">
        <x:v>No public business phone: contact enrichment needed, not proof of poor recruiting fit</x:v>
      </x:c>
      <x:c r="AF325" s="16" t="str"/>
      <x:c r="AG325" s="17" t="str"/>
      <x:c r="AH325" s="7" t="str"/>
      <x:c r="AI325" s="7" t="str"/>
      <x:c r="AJ325" s="7" t="str"/>
      <x:c r="AK325" s="15" t="str"/>
      <x:c r="AL325" s="7" t="str"/>
      <x:c r="AM325" s="7" t="str">
        <x:v>Aguilar D Denise | AGUILAR DAWNE DENISE</x:v>
      </x:c>
      <x:c r="AN325" s="7" t="str">
        <x:v>https://cdicloud.insurance.ca.gov/cal/LicenseDetail?SearchType=IND&amp;SearchLicNbr=0K36902&amp;SearchIndvId=1767342</x:v>
      </x:c>
      <x:c r="AO325" s="7" t="str">
        <x:v>2026-10-08</x:v>
      </x:c>
      <x:c r="AP325" s="7" t="str">
        <x:v>4401bcfbb889558d5f4352c4d0795289675c9c32dae7edf2504917280e604b34</x:v>
      </x:c>
      <x:c r="AQ325" s="7" t="str">
        <x:v>Life-Only / Inactive / 07/21/2015 / 07/31/2017 / 07/31/2017</x:v>
      </x:c>
      <x:c r="AR325" s="7" t="str">
        <x:v>Inactive</x:v>
      </x:c>
      <x:c r="AS325" s="7" t="str">
        <x:v>Current detail page</x:v>
      </x:c>
    </x:row>
    <x:row r="326" ht="52" customHeight="1">
      <x:c r="A326" s="7" t="str">
        <x:v>AGUILAR DENNIS ERIC</x:v>
      </x:c>
      <x:c r="B326" s="14" t="str">
        <x:f>"0C34894"</x:f>
        <x:v>0C34894</x:v>
      </x:c>
      <x:c r="C326" s="7" t="str">
        <x:v>Omitted</x:v>
      </x:c>
      <x:c r="D326" s="7" t="str">
        <x:v>FAIL</x:v>
      </x:c>
      <x:c r="E326" s="13" t="str">
        <x:v>Pending</x:v>
      </x:c>
      <x:c r="F326" s="13" t="str"/>
      <x:c r="G326" s="13" t="str"/>
      <x:c r="H326" s="13" t="str"/>
      <x:c r="I326" s="7" t="str">
        <x:v>Was this person reviewed? If rejected, give the actual rule and evidence. If acceptable, correct the omission. Confirm the Life-qualification gate and any record change since selection.</x:v>
      </x:c>
      <x:c r="J326" s="7" t="str">
        <x:v>L1</x:v>
      </x:c>
      <x:c r="K326" s="7" t="str">
        <x:v>Verified qualifications do not include active general Life. Current target-pool mismatch; actual historical omission reason unknown.</x:v>
      </x:c>
      <x:c r="L326" s="7" t="str">
        <x:v>Not supplied; membership is known, motive is not</x:v>
      </x:c>
      <x:c r="M326" s="7" t="n">
        <x:v>7</x:v>
      </x:c>
      <x:c r="N326" s="7" t="str">
        <x:v>Outside current general-Life recruiting pool</x:v>
      </x:c>
      <x:c r="O326" s="7" t="str">
        <x:v>Not displayed</x:v>
      </x:c>
      <x:c r="P326" s="7" t="str"/>
      <x:c r="Q326" s="7" t="str"/>
      <x:c r="R326" s="7" t="str"/>
      <x:c r="S326" s="15" t="str"/>
      <x:c r="T326" s="7" t="str">
        <x:v>No public business phone in collected record</x:v>
      </x:c>
      <x:c r="U326" s="7" t="str"/>
      <x:c r="V326" s="7" t="str">
        <x:v>Resident</x:v>
      </x:c>
      <x:c r="W326" s="7" t="str">
        <x:v>CA</x:v>
      </x:c>
      <x:c r="X326" s="7" t="str"/>
      <x:c r="Y326" s="7" t="str"/>
      <x:c r="Z326" s="7" t="str"/>
      <x:c r="AA326" s="7" t="str"/>
      <x:c r="AB326" s="7" t="str"/>
      <x:c r="AC326" s="7" t="str"/>
      <x:c r="AD326" s="7" t="str">
        <x:v>No agency or insurer displayed: onboarding opportunity possible; existing business unknown</x:v>
      </x:c>
      <x:c r="AE326" s="7" t="str">
        <x:v>No public business phone: contact enrichment needed, not proof of poor recruiting fit</x:v>
      </x:c>
      <x:c r="AF326" s="16" t="str"/>
      <x:c r="AG326" s="17" t="str"/>
      <x:c r="AH326" s="7" t="str"/>
      <x:c r="AI326" s="7" t="str"/>
      <x:c r="AJ326" s="7" t="str"/>
      <x:c r="AK326" s="15" t="str"/>
      <x:c r="AL326" s="7" t="str"/>
      <x:c r="AM326" s="7" t="str">
        <x:v>AGUILAR ERIC DENNIS</x:v>
      </x:c>
      <x:c r="AN326" s="7" t="str">
        <x:v>https://cdicloud.insurance.ca.gov/cal/LicenseDetail?SearchType=IND&amp;SearchLicNbr=0C34894&amp;SearchIndvId=309788</x:v>
      </x:c>
      <x:c r="AO326" s="7" t="str">
        <x:v>2026-10-08</x:v>
      </x:c>
      <x:c r="AP326" s="7" t="str">
        <x:v>e7473f4a1fbe71be83303195e953efd4816ea1e45d2614b148a1bcdb32303127</x:v>
      </x:c>
      <x:c r="AQ326" s="7" t="str">
        <x:v>Accident and Health / Inactive / 07/02/1998 / 07/31/2000 / 07/31/2000
Life-Only / Inactive / 07/02/1998 / 07/31/2000 / 07/31/2000</x:v>
      </x:c>
      <x:c r="AR326" s="7" t="str">
        <x:v>Inactive</x:v>
      </x:c>
      <x:c r="AS326" s="7" t="str">
        <x:v>Current detail page</x:v>
      </x:c>
    </x:row>
    <x:row r="327" ht="52" customHeight="1">
      <x:c r="A327" s="7" t="str">
        <x:v>AGUILAR DEREK</x:v>
      </x:c>
      <x:c r="B327" s="14" t="str">
        <x:f>"0H41995"</x:f>
        <x:v>0H41995</x:v>
      </x:c>
      <x:c r="C327" s="7" t="str">
        <x:v>Omitted</x:v>
      </x:c>
      <x:c r="D327" s="7" t="str">
        <x:v>FAIL</x:v>
      </x:c>
      <x:c r="E327" s="13" t="str">
        <x:v>Pending</x:v>
      </x:c>
      <x:c r="F327" s="13" t="str"/>
      <x:c r="G327" s="13" t="str"/>
      <x:c r="H327" s="13" t="str"/>
      <x:c r="I327" s="7" t="str">
        <x:v>Was this person reviewed? If rejected, give the actual rule and evidence. If acceptable, correct the omission. Confirm the Life-qualification gate and any record change since selection.</x:v>
      </x:c>
      <x:c r="J327" s="7" t="str">
        <x:v>L1</x:v>
      </x:c>
      <x:c r="K327" s="7" t="str">
        <x:v>Verified qualifications do not include active general Life. Current target-pool mismatch; actual historical omission reason unknown.</x:v>
      </x:c>
      <x:c r="L327" s="7" t="str">
        <x:v>Not supplied; membership is known, motive is not</x:v>
      </x:c>
      <x:c r="M327" s="7" t="n">
        <x:v>7</x:v>
      </x:c>
      <x:c r="N327" s="7" t="str">
        <x:v>Outside current general-Life recruiting pool</x:v>
      </x:c>
      <x:c r="O327" s="7" t="str">
        <x:v>Not displayed</x:v>
      </x:c>
      <x:c r="P327" s="7" t="str"/>
      <x:c r="Q327" s="7" t="str"/>
      <x:c r="R327" s="7" t="str"/>
      <x:c r="S327" s="15" t="str"/>
      <x:c r="T327" s="7" t="str">
        <x:v>No public business phone in collected record</x:v>
      </x:c>
      <x:c r="U327" s="7" t="str"/>
      <x:c r="V327" s="7" t="str">
        <x:v>Non-resident</x:v>
      </x:c>
      <x:c r="W327" s="7" t="str">
        <x:v>TX</x:v>
      </x:c>
      <x:c r="X327" s="7" t="str"/>
      <x:c r="Y327" s="7" t="str"/>
      <x:c r="Z327" s="7" t="str"/>
      <x:c r="AA327" s="7" t="str"/>
      <x:c r="AB327" s="7" t="str"/>
      <x:c r="AC327" s="7" t="str"/>
      <x:c r="AD327" s="7" t="str">
        <x:v>No agency or insurer displayed: onboarding opportunity possible; existing business unknown</x:v>
      </x:c>
      <x:c r="AE327" s="7" t="str">
        <x:v>Nonresident or address state outside CA; confirm geographic recruiting scope | No public business phone: contact enrichment needed, not proof of poor recruiting fit</x:v>
      </x:c>
      <x:c r="AF327" s="16" t="str"/>
      <x:c r="AG327" s="17" t="str"/>
      <x:c r="AH327" s="7" t="str"/>
      <x:c r="AI327" s="7" t="str"/>
      <x:c r="AJ327" s="7" t="str"/>
      <x:c r="AK327" s="15" t="str"/>
      <x:c r="AL327" s="7" t="str"/>
      <x:c r="AM327" s="7" t="str">
        <x:v>AGUILAR  DEREK</x:v>
      </x:c>
      <x:c r="AN327" s="7" t="str">
        <x:v>https://cdicloud.insurance.ca.gov/cal/LicenseDetail?SearchType=IND&amp;SearchLicNbr=0H41995&amp;SearchIndvId=1452241</x:v>
      </x:c>
      <x:c r="AO327" s="7" t="str">
        <x:v>2026-10-08</x:v>
      </x:c>
      <x:c r="AP327" s="7" t="str">
        <x:v>8fb068782621a59af80a3c448ea1292305ae1e2736557c70f6373e1ab698e809</x:v>
      </x:c>
      <x:c r="AQ327" s="7" t="str">
        <x:v>Personal Lines Broker-Agent / Inactive / 05/11/2011 / 05/31/2013 / 05/31/2013</x:v>
      </x:c>
      <x:c r="AR327" s="7" t="str">
        <x:v>Inactive</x:v>
      </x:c>
      <x:c r="AS327" s="7" t="str">
        <x:v>Current detail page</x:v>
      </x:c>
    </x:row>
    <x:row r="328" ht="52" customHeight="1">
      <x:c r="A328" s="7" t="str">
        <x:v>AGUILAR DESIREE</x:v>
      </x:c>
      <x:c r="B328" s="14" t="str">
        <x:f>"0M13005"</x:f>
        <x:v>0M13005</x:v>
      </x:c>
      <x:c r="C328" s="7" t="str">
        <x:v>Omitted</x:v>
      </x:c>
      <x:c r="D328" s="7" t="str">
        <x:v>FAIL</x:v>
      </x:c>
      <x:c r="E328" s="13" t="str">
        <x:v>Pending</x:v>
      </x:c>
      <x:c r="F328" s="13" t="str"/>
      <x:c r="G328" s="13" t="str"/>
      <x:c r="H328" s="13" t="str"/>
      <x:c r="I328" s="7" t="str">
        <x:v>Was this person reviewed? If rejected, give the actual rule and evidence. If acceptable, correct the omission. Confirm the Life-qualification gate and any record change since selection.</x:v>
      </x:c>
      <x:c r="J328" s="7" t="str">
        <x:v>L1</x:v>
      </x:c>
      <x:c r="K328" s="7" t="str">
        <x:v>Verified qualifications do not include active general Life. Current target-pool mismatch; actual historical omission reason unknown.</x:v>
      </x:c>
      <x:c r="L328" s="7" t="str">
        <x:v>Not supplied; membership is known, motive is not</x:v>
      </x:c>
      <x:c r="M328" s="7" t="n">
        <x:v>7</x:v>
      </x:c>
      <x:c r="N328" s="7" t="str">
        <x:v>Outside current general-Life recruiting pool</x:v>
      </x:c>
      <x:c r="O328" s="7" t="str">
        <x:v>Not displayed</x:v>
      </x:c>
      <x:c r="P328" s="7" t="str"/>
      <x:c r="Q328" s="7" t="str"/>
      <x:c r="R328" s="7" t="str"/>
      <x:c r="S328" s="15" t="str"/>
      <x:c r="T328" s="7" t="str">
        <x:v>No public business phone in collected record</x:v>
      </x:c>
      <x:c r="U328" s="7" t="str"/>
      <x:c r="V328" s="7" t="str">
        <x:v>Non-resident</x:v>
      </x:c>
      <x:c r="W328" s="7" t="str">
        <x:v>WA</x:v>
      </x:c>
      <x:c r="X328" s="7" t="str"/>
      <x:c r="Y328" s="7" t="str"/>
      <x:c r="Z328" s="7" t="str"/>
      <x:c r="AA328" s="7" t="str"/>
      <x:c r="AB328" s="7" t="str"/>
      <x:c r="AC328" s="7" t="str"/>
      <x:c r="AD328" s="7" t="str">
        <x:v>No agency or insurer displayed: onboarding opportunity possible; existing business unknown</x:v>
      </x:c>
      <x:c r="AE328" s="7" t="str">
        <x:v>Nonresident or address state outside CA; confirm geographic recruiting scope | No public business phone: contact enrichment needed, not proof of poor recruiting fit</x:v>
      </x:c>
      <x:c r="AF328" s="16" t="str"/>
      <x:c r="AG328" s="17" t="str"/>
      <x:c r="AH328" s="7" t="str"/>
      <x:c r="AI328" s="7" t="str"/>
      <x:c r="AJ328" s="7" t="str"/>
      <x:c r="AK328" s="15" t="str"/>
      <x:c r="AL328" s="7" t="str"/>
      <x:c r="AM328" s="7" t="str">
        <x:v>AGUILAR  DESIREE</x:v>
      </x:c>
      <x:c r="AN328" s="7" t="str">
        <x:v>https://cdicloud.insurance.ca.gov/cal/LicenseDetail?SearchType=IND&amp;SearchLicNbr=0M13005&amp;SearchIndvId=1990798</x:v>
      </x:c>
      <x:c r="AO328" s="7" t="str">
        <x:v>2026-10-08</x:v>
      </x:c>
      <x:c r="AP328" s="7" t="str">
        <x:v>c9c7c0445bea51266016ced3e3ffd48896c9f20a9e37813953c11e9feb0d55fd</x:v>
      </x:c>
      <x:c r="AQ328" s="7" t="str">
        <x:v>Accident and Health / Inactive / 12/26/2017 / 12/31/2019 / 12/31/2019
Life-Only / Inactive / 12/26/2017 / 12/31/2019 / 12/31/2019</x:v>
      </x:c>
      <x:c r="AR328" s="7" t="str">
        <x:v>Inactive</x:v>
      </x:c>
      <x:c r="AS328" s="7" t="str">
        <x:v>Current detail page</x:v>
      </x:c>
    </x:row>
    <x:row r="329" ht="52" customHeight="1">
      <x:c r="A329" s="7" t="str">
        <x:v>AGUILAR DESIREE JOSEPHINE</x:v>
      </x:c>
      <x:c r="B329" s="14" t="str">
        <x:f>"4063876"</x:f>
        <x:v>4063876</x:v>
      </x:c>
      <x:c r="C329" s="7" t="str">
        <x:v>Omitted</x:v>
      </x:c>
      <x:c r="D329" s="7" t="str">
        <x:v>FAIL</x:v>
      </x:c>
      <x:c r="E329" s="13" t="str">
        <x:v>Pending</x:v>
      </x:c>
      <x:c r="F329" s="13" t="str"/>
      <x:c r="G329" s="13" t="str"/>
      <x:c r="H329" s="13" t="str"/>
      <x:c r="I329" s="7" t="str">
        <x:v>Was this person reviewed? If rejected, give the actual rule and evidence. If acceptable, correct the omission. Confirm the Life-qualification gate and any record change since selection.</x:v>
      </x:c>
      <x:c r="J329" s="7" t="str">
        <x:v>L1</x:v>
      </x:c>
      <x:c r="K329" s="7" t="str">
        <x:v>Verified qualifications do not include active general Life. Current target-pool mismatch; actual historical omission reason unknown.</x:v>
      </x:c>
      <x:c r="L329" s="7" t="str">
        <x:v>Not supplied; membership is known, motive is not</x:v>
      </x:c>
      <x:c r="M329" s="7" t="n">
        <x:v>7</x:v>
      </x:c>
      <x:c r="N329" s="7" t="str">
        <x:v>Outside current general-Life recruiting pool</x:v>
      </x:c>
      <x:c r="O329" s="7" t="str">
        <x:v>Not displayed</x:v>
      </x:c>
      <x:c r="P329" s="7" t="str"/>
      <x:c r="Q329" s="7" t="str"/>
      <x:c r="R329" s="7" t="str"/>
      <x:c r="S329" s="15" t="str">
        <x:v>858-513-5925</x:v>
      </x:c>
      <x:c r="T329" s="7" t="str">
        <x:v>Current CDI</x:v>
      </x:c>
      <x:c r="U329" s="7" t="str">
        <x:v>GEICO LICENSING DEPT 14111 DANIELSON ST. POWAY CA, 92064</x:v>
      </x:c>
      <x:c r="V329" s="7" t="str">
        <x:v>Resident</x:v>
      </x:c>
      <x:c r="W329" s="7" t="str">
        <x:v>CA</x:v>
      </x:c>
      <x:c r="X329" s="7" t="str"/>
      <x:c r="Y329" s="7" t="str"/>
      <x:c r="Z329" s="7" t="str"/>
      <x:c r="AA329" s="7" t="str"/>
      <x:c r="AB329" s="7" t="str"/>
      <x:c r="AC329" s="7" t="str"/>
      <x:c r="AD329" s="7" t="str">
        <x:v>No agency or insurer displayed: onboarding opportunity possible; existing business unknown</x:v>
      </x:c>
      <x:c r="AE329" s="7" t="str"/>
      <x:c r="AF329" s="16" t="str"/>
      <x:c r="AG329" s="17" t="str"/>
      <x:c r="AH329" s="7" t="str"/>
      <x:c r="AI329" s="7" t="str">
        <x:v>English</x:v>
      </x:c>
      <x:c r="AJ329" s="7" t="str"/>
      <x:c r="AK329" s="15" t="str"/>
      <x:c r="AL329" s="7" t="str"/>
      <x:c r="AM329" s="7" t="str">
        <x:v>AGUILAR JOSEPHINE DESIREE</x:v>
      </x:c>
      <x:c r="AN329" s="7" t="str">
        <x:v>https://cdicloud.insurance.ca.gov/cal/LicenseDetail?SearchType=IND&amp;SearchLicNbr=4063876&amp;SearchIndvId=4063876</x:v>
      </x:c>
      <x:c r="AO329" s="7" t="str">
        <x:v>2026-10-08</x:v>
      </x:c>
      <x:c r="AP329" s="7" t="str">
        <x:v>991d42d4fa28eb6265d120f80666a78ffc07362e567b853b8aeeef6332710ef9</x:v>
      </x:c>
      <x:c r="AQ329" s="7" t="str">
        <x:v>Personal Lines / Inactive / 08/27/2020 / 08/31/2022 / 08/31/2022</x:v>
      </x:c>
      <x:c r="AR329" s="7" t="str">
        <x:v>Inactive</x:v>
      </x:c>
      <x:c r="AS329" s="7" t="str">
        <x:v>Current detail page</x:v>
      </x:c>
    </x:row>
    <x:row r="330" ht="52" customHeight="1">
      <x:c r="A330" s="7" t="str">
        <x:v>AGUILAR DESIREE M</x:v>
      </x:c>
      <x:c r="B330" s="14" t="str">
        <x:f>"0M10606"</x:f>
        <x:v>0M10606</x:v>
      </x:c>
      <x:c r="C330" s="7" t="str">
        <x:v>Omitted</x:v>
      </x:c>
      <x:c r="D330" s="7" t="str">
        <x:v>FAIL</x:v>
      </x:c>
      <x:c r="E330" s="13" t="str">
        <x:v>Pending</x:v>
      </x:c>
      <x:c r="F330" s="13" t="str"/>
      <x:c r="G330" s="13" t="str"/>
      <x:c r="H330" s="13" t="str"/>
      <x:c r="I330" s="7" t="str">
        <x:v>Was this person reviewed? If rejected, give the actual rule and evidence. If acceptable, correct the omission. Confirm the Life-qualification gate and any record change since selection.</x:v>
      </x:c>
      <x:c r="J330" s="7" t="str">
        <x:v>L1</x:v>
      </x:c>
      <x:c r="K330" s="7" t="str">
        <x:v>Verified qualifications do not include active general Life. Current target-pool mismatch; actual historical omission reason unknown.</x:v>
      </x:c>
      <x:c r="L330" s="7" t="str">
        <x:v>Not supplied; membership is known, motive is not</x:v>
      </x:c>
      <x:c r="M330" s="7" t="n">
        <x:v>7</x:v>
      </x:c>
      <x:c r="N330" s="7" t="str">
        <x:v>Outside current general-Life recruiting pool</x:v>
      </x:c>
      <x:c r="O330" s="7" t="str">
        <x:v>Not displayed</x:v>
      </x:c>
      <x:c r="P330" s="7" t="str"/>
      <x:c r="Q330" s="7" t="str"/>
      <x:c r="R330" s="7" t="str"/>
      <x:c r="S330" s="15" t="str"/>
      <x:c r="T330" s="7" t="str">
        <x:v>No public business phone in collected record</x:v>
      </x:c>
      <x:c r="U330" s="7" t="str">
        <x:v>400 E RIO SALADO PARKWAY TEMPE AZ, 85281</x:v>
      </x:c>
      <x:c r="V330" s="7" t="str">
        <x:v>Non-resident</x:v>
      </x:c>
      <x:c r="W330" s="7" t="str">
        <x:v>AZ</x:v>
      </x:c>
      <x:c r="X330" s="7" t="str"/>
      <x:c r="Y330" s="7" t="str"/>
      <x:c r="Z330" s="7" t="str"/>
      <x:c r="AA330" s="7" t="str"/>
      <x:c r="AB330" s="7" t="str"/>
      <x:c r="AC330" s="7" t="str"/>
      <x:c r="AD330" s="7" t="str">
        <x:v>No agency or insurer displayed: onboarding opportunity possible; existing business unknown</x:v>
      </x:c>
      <x:c r="AE330" s="7" t="str">
        <x:v>Nonresident or address state outside CA; confirm geographic recruiting scope | No public business phone: contact enrichment needed, not proof of poor recruiting fit</x:v>
      </x:c>
      <x:c r="AF330" s="16" t="str"/>
      <x:c r="AG330" s="17" t="str"/>
      <x:c r="AH330" s="7" t="str"/>
      <x:c r="AI330" s="7" t="str"/>
      <x:c r="AJ330" s="7" t="str"/>
      <x:c r="AK330" s="15" t="str"/>
      <x:c r="AL330" s="7" t="str"/>
      <x:c r="AM330" s="7" t="str">
        <x:v>AGUILAR M DESIREE</x:v>
      </x:c>
      <x:c r="AN330" s="7" t="str">
        <x:v>https://cdicloud.insurance.ca.gov/cal/LicenseDetail?SearchType=IND&amp;SearchLicNbr=0M10606&amp;SearchIndvId=1987335</x:v>
      </x:c>
      <x:c r="AO330" s="7" t="str">
        <x:v>2026-10-08</x:v>
      </x:c>
      <x:c r="AP330" s="7" t="str">
        <x:v>5a3a48c7427ae274eb1158cd235fd90f66bdae6edf370bd19e37ec8cfb08444d</x:v>
      </x:c>
      <x:c r="AQ330" s="7" t="str">
        <x:v>Casualty / Inactive / 12/12/2017 / 01/31/2024 / 01/31/2024
Property / Inactive / 12/12/2017 / 01/31/2024 / 01/31/2024</x:v>
      </x:c>
      <x:c r="AR330" s="7" t="str">
        <x:v>Inactive</x:v>
      </x:c>
      <x:c r="AS330" s="7" t="str">
        <x:v>Current detail page</x:v>
      </x:c>
    </x:row>
    <x:row r="331" ht="52" customHeight="1">
      <x:c r="A331" s="7" t="str">
        <x:v>AGUILAR DIANA</x:v>
      </x:c>
      <x:c r="B331" s="14" t="str">
        <x:f>"4292891"</x:f>
        <x:v>4292891</x:v>
      </x:c>
      <x:c r="C331" s="7" t="str">
        <x:v>Omitted</x:v>
      </x:c>
      <x:c r="D331" s="7" t="str">
        <x:v>FAIL</x:v>
      </x:c>
      <x:c r="E331" s="13" t="str">
        <x:v>Pending</x:v>
      </x:c>
      <x:c r="F331" s="13" t="str"/>
      <x:c r="G331" s="13" t="str"/>
      <x:c r="H331" s="13" t="str"/>
      <x:c r="I331" s="7" t="str">
        <x:v>Was this person reviewed? If rejected, give the actual rule and evidence. If acceptable, correct the omission. Confirm the Life-qualification gate and any record change since selection.</x:v>
      </x:c>
      <x:c r="J331" s="7" t="str">
        <x:v>L1</x:v>
      </x:c>
      <x:c r="K331" s="7" t="str">
        <x:v>Verified qualifications do not include active general Life. Current target-pool mismatch; actual historical omission reason unknown.</x:v>
      </x:c>
      <x:c r="L331" s="7" t="str">
        <x:v>Not supplied; membership is known, motive is not</x:v>
      </x:c>
      <x:c r="M331" s="7" t="n">
        <x:v>7</x:v>
      </x:c>
      <x:c r="N331" s="7" t="str">
        <x:v>Outside current general-Life recruiting pool</x:v>
      </x:c>
      <x:c r="O331" s="7" t="str">
        <x:v>Not displayed</x:v>
      </x:c>
      <x:c r="P331" s="7" t="str"/>
      <x:c r="Q331" s="7" t="str"/>
      <x:c r="R331" s="7" t="str">
        <x:v>Limited Lines Automobile</x:v>
      </x:c>
      <x:c r="S331" s="15" t="str">
        <x:v>661-802-0504 Ext. 002</x:v>
      </x:c>
      <x:c r="T331" s="7" t="str">
        <x:v>Current CDI</x:v>
      </x:c>
      <x:c r="U331" s="7" t="str">
        <x:v>815 E AVE K LANCASTER CA, 93535</x:v>
      </x:c>
      <x:c r="V331" s="7" t="str">
        <x:v>Resident</x:v>
      </x:c>
      <x:c r="W331" s="7" t="str">
        <x:v>CA</x:v>
      </x:c>
      <x:c r="X331" s="7" t="str">
        <x:v>FRED LOYA INSURANCE AGENCY, INC. / Limited Lines Automobile / 05/03/2023</x:v>
      </x:c>
      <x:c r="Y331" s="7" t="str">
        <x:v>NATION MOTOR CLUB, LLC / Motor Club / 06/08/2023</x:v>
      </x:c>
      <x:c r="Z331" s="7" t="str"/>
      <x:c r="AA331" s="7" t="str"/>
      <x:c r="AB331" s="7" t="str"/>
      <x:c r="AC331" s="7" t="str"/>
      <x:c r="AD331" s="7" t="str"/>
      <x:c r="AE331" s="7" t="str"/>
      <x:c r="AF331" s="16" t="str"/>
      <x:c r="AG331" s="17" t="str"/>
      <x:c r="AH331" s="7" t="str"/>
      <x:c r="AI331" s="7" t="str">
        <x:v>English</x:v>
      </x:c>
      <x:c r="AJ331" s="7" t="str"/>
      <x:c r="AK331" s="15" t="str"/>
      <x:c r="AL331" s="7" t="str"/>
      <x:c r="AM331" s="7" t="str">
        <x:v>AGUILAR  DIANA</x:v>
      </x:c>
      <x:c r="AN331" s="7" t="str">
        <x:v>https://cdicloud.insurance.ca.gov/cal/LicenseDetail?SearchType=IND&amp;SearchLicNbr=4292891&amp;SearchIndvId=4292891</x:v>
      </x:c>
      <x:c r="AO331" s="7" t="str">
        <x:v>2026-10-08</x:v>
      </x:c>
      <x:c r="AP331" s="7" t="str">
        <x:v>a220c02a5d6b3db8c935aa88a5b38a29319c55b80eab868905f02ff6ef0bc90e</x:v>
      </x:c>
      <x:c r="AQ331" s="7" t="str">
        <x:v>Limited Lines Automobile / Active / 05/16/2023 / 05/16/2023 / 05/31/2027</x:v>
      </x:c>
      <x:c r="AR331" s="7" t="str">
        <x:v>Active</x:v>
      </x:c>
      <x:c r="AS331" s="7" t="str">
        <x:v>Current detail page</x:v>
      </x:c>
    </x:row>
    <x:row r="332" ht="52" customHeight="1">
      <x:c r="A332" s="7" t="str">
        <x:v>AGUILAR DIANA ELIZABETH</x:v>
      </x:c>
      <x:c r="B332" s="14" t="str">
        <x:f>"0M29412"</x:f>
        <x:v>0M29412</x:v>
      </x:c>
      <x:c r="C332" s="7" t="str">
        <x:v>Omitted</x:v>
      </x:c>
      <x:c r="D332" s="7" t="str">
        <x:v>FAIL</x:v>
      </x:c>
      <x:c r="E332" s="13" t="str">
        <x:v>Pending</x:v>
      </x:c>
      <x:c r="F332" s="13" t="str"/>
      <x:c r="G332" s="13" t="str"/>
      <x:c r="H332" s="13" t="str"/>
      <x:c r="I332" s="7" t="str">
        <x:v>Was this person reviewed? If rejected, give the actual rule and evidence. If acceptable, correct the omission. Confirm the Life-qualification gate and any record change since selection.</x:v>
      </x:c>
      <x:c r="J332" s="7" t="str">
        <x:v>L1</x:v>
      </x:c>
      <x:c r="K332" s="7" t="str">
        <x:v>Verified qualifications do not include active general Life. Current target-pool mismatch; actual historical omission reason unknown.</x:v>
      </x:c>
      <x:c r="L332" s="7" t="str">
        <x:v>Not supplied; membership is known, motive is not</x:v>
      </x:c>
      <x:c r="M332" s="7" t="n">
        <x:v>7</x:v>
      </x:c>
      <x:c r="N332" s="7" t="str">
        <x:v>Outside current general-Life recruiting pool</x:v>
      </x:c>
      <x:c r="O332" s="7" t="str">
        <x:v>Not displayed</x:v>
      </x:c>
      <x:c r="P332" s="7" t="str"/>
      <x:c r="Q332" s="7" t="str"/>
      <x:c r="R332" s="7" t="str"/>
      <x:c r="S332" s="15" t="str"/>
      <x:c r="T332" s="7" t="str">
        <x:v>No public business phone in collected record</x:v>
      </x:c>
      <x:c r="U332" s="7" t="str"/>
      <x:c r="V332" s="7" t="str">
        <x:v>Resident</x:v>
      </x:c>
      <x:c r="W332" s="7" t="str">
        <x:v>CA</x:v>
      </x:c>
      <x:c r="X332" s="7" t="str"/>
      <x:c r="Y332" s="7" t="str"/>
      <x:c r="Z332" s="7" t="str"/>
      <x:c r="AA332" s="7" t="str"/>
      <x:c r="AB332" s="7" t="str"/>
      <x:c r="AC332" s="7" t="str"/>
      <x:c r="AD332" s="7" t="str">
        <x:v>No agency or insurer displayed: onboarding opportunity possible; existing business unknown</x:v>
      </x:c>
      <x:c r="AE332" s="7" t="str">
        <x:v>No public business phone: contact enrichment needed, not proof of poor recruiting fit</x:v>
      </x:c>
      <x:c r="AF332" s="16" t="str"/>
      <x:c r="AG332" s="17" t="str"/>
      <x:c r="AH332" s="7" t="str"/>
      <x:c r="AI332" s="7" t="str"/>
      <x:c r="AJ332" s="7" t="str"/>
      <x:c r="AK332" s="15" t="str"/>
      <x:c r="AL332" s="7" t="str"/>
      <x:c r="AM332" s="7" t="str">
        <x:v>Aguilar E Diana | AGUILAR ELIZABETH DIANA</x:v>
      </x:c>
      <x:c r="AN332" s="7" t="str">
        <x:v>https://cdicloud.insurance.ca.gov/cal/LicenseDetail?SearchType=IND&amp;SearchLicNbr=0M29412&amp;SearchIndvId=2013467</x:v>
      </x:c>
      <x:c r="AO332" s="7" t="str">
        <x:v>2026-10-08</x:v>
      </x:c>
      <x:c r="AP332" s="7" t="str">
        <x:v>21e69c8d8ba9b42a4baab54a14994865a8263b2990cfd0f7cffc6987b543ebd1</x:v>
      </x:c>
      <x:c r="AQ332" s="7" t="str">
        <x:v>Life-Only / Inactive / 04/12/2018 / 04/30/2020 / 04/30/2020</x:v>
      </x:c>
      <x:c r="AR332" s="7" t="str">
        <x:v>Inactive</x:v>
      </x:c>
      <x:c r="AS332" s="7" t="str">
        <x:v>Current detail page</x:v>
      </x:c>
    </x:row>
    <x:row r="333" ht="52" customHeight="1">
      <x:c r="A333" s="7" t="str">
        <x:v>AGUILAR DIANA ISABEL</x:v>
      </x:c>
      <x:c r="B333" s="14" t="str">
        <x:f>"0I91770"</x:f>
        <x:v>0I91770</x:v>
      </x:c>
      <x:c r="C333" s="7" t="str">
        <x:v>Omitted</x:v>
      </x:c>
      <x:c r="D333" s="7" t="str">
        <x:v>FAIL</x:v>
      </x:c>
      <x:c r="E333" s="13" t="str">
        <x:v>Pending</x:v>
      </x:c>
      <x:c r="F333" s="13" t="str"/>
      <x:c r="G333" s="13" t="str"/>
      <x:c r="H333" s="13" t="str"/>
      <x:c r="I333" s="7" t="str">
        <x:v>Was this person reviewed? If rejected, give the actual rule and evidence. If acceptable, correct the omission. Confirm the Life-qualification gate and any record change since selection.</x:v>
      </x:c>
      <x:c r="J333" s="7" t="str">
        <x:v>L1</x:v>
      </x:c>
      <x:c r="K333" s="7" t="str">
        <x:v>Verified qualifications do not include active general Life. Current target-pool mismatch; actual historical omission reason unknown.</x:v>
      </x:c>
      <x:c r="L333" s="7" t="str">
        <x:v>Not supplied; membership is known, motive is not</x:v>
      </x:c>
      <x:c r="M333" s="7" t="n">
        <x:v>7</x:v>
      </x:c>
      <x:c r="N333" s="7" t="str">
        <x:v>Outside current general-Life recruiting pool</x:v>
      </x:c>
      <x:c r="O333" s="7" t="str">
        <x:v>Not displayed</x:v>
      </x:c>
      <x:c r="P333" s="7" t="str"/>
      <x:c r="Q333" s="7" t="str"/>
      <x:c r="R333" s="7" t="str"/>
      <x:c r="S333" s="15" t="str"/>
      <x:c r="T333" s="7" t="str">
        <x:v>No public business phone in collected record</x:v>
      </x:c>
      <x:c r="U333" s="7" t="str"/>
      <x:c r="V333" s="7" t="str">
        <x:v>Resident</x:v>
      </x:c>
      <x:c r="W333" s="7" t="str">
        <x:v>CA</x:v>
      </x:c>
      <x:c r="X333" s="7" t="str"/>
      <x:c r="Y333" s="7" t="str"/>
      <x:c r="Z333" s="7" t="str"/>
      <x:c r="AA333" s="7" t="str"/>
      <x:c r="AB333" s="7" t="str"/>
      <x:c r="AC333" s="7" t="str"/>
      <x:c r="AD333" s="7" t="str">
        <x:v>No agency or insurer displayed: onboarding opportunity possible; existing business unknown</x:v>
      </x:c>
      <x:c r="AE333" s="7" t="str">
        <x:v>No public business phone: contact enrichment needed, not proof of poor recruiting fit</x:v>
      </x:c>
      <x:c r="AF333" s="16" t="str"/>
      <x:c r="AG333" s="17" t="str"/>
      <x:c r="AH333" s="7" t="str"/>
      <x:c r="AI333" s="7" t="str"/>
      <x:c r="AJ333" s="7" t="str"/>
      <x:c r="AK333" s="15" t="str"/>
      <x:c r="AL333" s="7" t="str"/>
      <x:c r="AM333" s="7" t="str">
        <x:v>aguilar i diana | AGUILAR ISABEL DIANA</x:v>
      </x:c>
      <x:c r="AN333" s="7" t="str">
        <x:v>https://cdicloud.insurance.ca.gov/cal/LicenseDetail?SearchType=IND&amp;SearchLicNbr=0I91770&amp;SearchIndvId=1675839</x:v>
      </x:c>
      <x:c r="AO333" s="7" t="str">
        <x:v>2026-10-08</x:v>
      </x:c>
      <x:c r="AP333" s="7" t="str">
        <x:v>0af2e4b9a683728c2e9e0ad974e0ffc12ce14eacf93034693e632cb9a23beb5d</x:v>
      </x:c>
      <x:c r="AQ333" s="7" t="str">
        <x:v>Life-Only / Inactive / 06/09/2014 / 06/30/2016 / 06/30/2016</x:v>
      </x:c>
      <x:c r="AR333" s="7" t="str">
        <x:v>Inactive</x:v>
      </x:c>
      <x:c r="AS333" s="7" t="str">
        <x:v>Current detail page</x:v>
      </x:c>
    </x:row>
    <x:row r="334" ht="52" customHeight="1">
      <x:c r="A334" s="7" t="str">
        <x:v>AGUILAR DIANA VIRGINIA</x:v>
      </x:c>
      <x:c r="B334" s="14" t="str">
        <x:f>"4141722"</x:f>
        <x:v>4141722</x:v>
      </x:c>
      <x:c r="C334" s="7" t="str">
        <x:v>Omitted</x:v>
      </x:c>
      <x:c r="D334" s="7" t="str">
        <x:v>FAIL</x:v>
      </x:c>
      <x:c r="E334" s="13" t="str">
        <x:v>Pending</x:v>
      </x:c>
      <x:c r="F334" s="13" t="str"/>
      <x:c r="G334" s="13" t="str"/>
      <x:c r="H334" s="13" t="str"/>
      <x:c r="I334" s="7" t="str">
        <x:v>Was this person reviewed? If rejected, give the actual rule and evidence. If acceptable, correct the omission. Confirm the Life-qualification gate and any record change since selection.</x:v>
      </x:c>
      <x:c r="J334" s="7" t="str">
        <x:v>L1</x:v>
      </x:c>
      <x:c r="K334" s="7" t="str">
        <x:v>Verified qualifications do not include active general Life. Current target-pool mismatch; actual historical omission reason unknown.</x:v>
      </x:c>
      <x:c r="L334" s="7" t="str">
        <x:v>Not supplied; membership is known, motive is not</x:v>
      </x:c>
      <x:c r="M334" s="7" t="n">
        <x:v>7</x:v>
      </x:c>
      <x:c r="N334" s="7" t="str">
        <x:v>Outside current general-Life recruiting pool</x:v>
      </x:c>
      <x:c r="O334" s="7" t="str">
        <x:v>Inactive</x:v>
      </x:c>
      <x:c r="P334" s="7" t="str">
        <x:v>07/27/2021</x:v>
      </x:c>
      <x:c r="Q334" s="7" t="str">
        <x:v>07/31/2023</x:v>
      </x:c>
      <x:c r="R334" s="7" t="str"/>
      <x:c r="S334" s="15" t="str"/>
      <x:c r="T334" s="7" t="str">
        <x:v>No public business phone in collected record</x:v>
      </x:c>
      <x:c r="U334" s="7" t="str">
        <x:v>1273 PEACH ST ABILENE TX, 79602-3609</x:v>
      </x:c>
      <x:c r="V334" s="7" t="str">
        <x:v>Non-resident</x:v>
      </x:c>
      <x:c r="W334" s="7" t="str">
        <x:v>TX</x:v>
      </x:c>
      <x:c r="X334" s="7" t="str"/>
      <x:c r="Y334" s="7" t="str"/>
      <x:c r="Z334" s="7" t="str"/>
      <x:c r="AA334" s="7" t="str"/>
      <x:c r="AB334" s="7" t="str"/>
      <x:c r="AC334" s="7" t="str"/>
      <x:c r="AD334" s="7" t="str">
        <x:v>No agency or insurer displayed: onboarding opportunity possible; existing business unknown</x:v>
      </x:c>
      <x:c r="AE334" s="7" t="str">
        <x:v>Nonresident or address state outside CA; confirm geographic recruiting scope | No public business phone: contact enrichment needed, not proof of poor recruiting fit</x:v>
      </x:c>
      <x:c r="AF334" s="16" t="str"/>
      <x:c r="AG334" s="17" t="str"/>
      <x:c r="AH334" s="7" t="str"/>
      <x:c r="AI334" s="7" t="str"/>
      <x:c r="AJ334" s="7" t="str"/>
      <x:c r="AK334" s="15" t="str"/>
      <x:c r="AL334" s="7" t="str"/>
      <x:c r="AM334" s="7" t="str">
        <x:v>AGUILAR VIRGINIA DIANA</x:v>
      </x:c>
      <x:c r="AN334" s="7" t="str">
        <x:v>https://cdicloud.insurance.ca.gov/cal/LicenseDetail?SearchType=IND&amp;SearchLicNbr=4141722&amp;SearchIndvId=4141722</x:v>
      </x:c>
      <x:c r="AO334" s="7" t="str">
        <x:v>2026-10-08</x:v>
      </x:c>
      <x:c r="AP334" s="7" t="str">
        <x:v>cfac92a50f3c6a5003a1995038cd6ee80a671cee89c7cf09c10923c93f020988</x:v>
      </x:c>
      <x:c r="AQ334" s="7" t="str">
        <x:v>Accident &amp; Health or Sickness / Inactive / 07/27/2021 / 07/31/2023 / 07/31/2023
Life / Inactive / 07/27/2021 / 07/31/2023 / 07/31/2023</x:v>
      </x:c>
      <x:c r="AR334" s="7" t="str">
        <x:v>Inactive</x:v>
      </x:c>
      <x:c r="AS334" s="7" t="str">
        <x:v>Current detail page</x:v>
      </x:c>
    </x:row>
    <x:row r="335" ht="52" customHeight="1">
      <x:c r="A335" s="7" t="str">
        <x:v>AGUILAR DIANA YVONNE</x:v>
      </x:c>
      <x:c r="B335" s="14" t="str">
        <x:f>"0K19992"</x:f>
        <x:v>0K19992</x:v>
      </x:c>
      <x:c r="C335" s="7" t="str">
        <x:v>Omitted</x:v>
      </x:c>
      <x:c r="D335" s="7" t="str">
        <x:v>FAIL</x:v>
      </x:c>
      <x:c r="E335" s="13" t="str">
        <x:v>Pending</x:v>
      </x:c>
      <x:c r="F335" s="13" t="str"/>
      <x:c r="G335" s="13" t="str"/>
      <x:c r="H335" s="13" t="str"/>
      <x:c r="I335" s="7" t="str">
        <x:v>Was this person reviewed? If rejected, give the actual rule and evidence. If acceptable, correct the omission. Confirm the Life-qualification gate and any record change since selection.</x:v>
      </x:c>
      <x:c r="J335" s="7" t="str">
        <x:v>L1</x:v>
      </x:c>
      <x:c r="K335" s="7" t="str">
        <x:v>Verified qualifications do not include active general Life. Current target-pool mismatch; actual historical omission reason unknown.</x:v>
      </x:c>
      <x:c r="L335" s="7" t="str">
        <x:v>Not supplied; membership is known, motive is not</x:v>
      </x:c>
      <x:c r="M335" s="7" t="n">
        <x:v>7</x:v>
      </x:c>
      <x:c r="N335" s="7" t="str">
        <x:v>Outside current general-Life recruiting pool</x:v>
      </x:c>
      <x:c r="O335" s="7" t="str">
        <x:v>Not displayed</x:v>
      </x:c>
      <x:c r="P335" s="7" t="str"/>
      <x:c r="Q335" s="7" t="str"/>
      <x:c r="R335" s="7" t="str"/>
      <x:c r="S335" s="15" t="str"/>
      <x:c r="T335" s="7" t="str">
        <x:v>No public business phone in collected record</x:v>
      </x:c>
      <x:c r="U335" s="7" t="str"/>
      <x:c r="V335" s="7" t="str">
        <x:v>Resident</x:v>
      </x:c>
      <x:c r="W335" s="7" t="str">
        <x:v>CA</x:v>
      </x:c>
      <x:c r="X335" s="7" t="str"/>
      <x:c r="Y335" s="7" t="str"/>
      <x:c r="Z335" s="7" t="str"/>
      <x:c r="AA335" s="7" t="str"/>
      <x:c r="AB335" s="7" t="str"/>
      <x:c r="AC335" s="7" t="str"/>
      <x:c r="AD335" s="7" t="str">
        <x:v>No agency or insurer displayed: onboarding opportunity possible; existing business unknown</x:v>
      </x:c>
      <x:c r="AE335" s="7" t="str">
        <x:v>No public business phone: contact enrichment needed, not proof of poor recruiting fit</x:v>
      </x:c>
      <x:c r="AF335" s="16" t="str"/>
      <x:c r="AG335" s="17" t="str"/>
      <x:c r="AH335" s="7" t="str"/>
      <x:c r="AI335" s="7" t="str"/>
      <x:c r="AJ335" s="7" t="str"/>
      <x:c r="AK335" s="15" t="str"/>
      <x:c r="AL335" s="7" t="str"/>
      <x:c r="AM335" s="7" t="str">
        <x:v>Aguilar Y Diana | AGUILAR YVONNE DIANA</x:v>
      </x:c>
      <x:c r="AN335" s="7" t="str">
        <x:v>https://cdicloud.insurance.ca.gov/cal/LicenseDetail?SearchType=IND&amp;SearchLicNbr=0K19992&amp;SearchIndvId=1751181</x:v>
      </x:c>
      <x:c r="AO335" s="7" t="str">
        <x:v>2026-10-08</x:v>
      </x:c>
      <x:c r="AP335" s="7" t="str">
        <x:v>7a4e16802edca0c2ef20c28ce69af723ea318436b9ccfb69b6ef9cab0b1143f9</x:v>
      </x:c>
      <x:c r="AQ335" s="7" t="str">
        <x:v>Life-Only / Inactive / 04/22/2015 / 04/30/2017 / 04/30/2017</x:v>
      </x:c>
      <x:c r="AR335" s="7" t="str">
        <x:v>Inactive</x:v>
      </x:c>
      <x:c r="AS335" s="7" t="str">
        <x:v>Current detail page</x:v>
      </x:c>
    </x:row>
    <x:row r="336" ht="52" customHeight="1">
      <x:c r="A336" s="7" t="str">
        <x:v>AGUILAR DIANE</x:v>
      </x:c>
      <x:c r="B336" s="14" t="str">
        <x:f>"0I97802"</x:f>
        <x:v>0I97802</x:v>
      </x:c>
      <x:c r="C336" s="7" t="str">
        <x:v>Omitted</x:v>
      </x:c>
      <x:c r="D336" s="7" t="str">
        <x:v>FAIL</x:v>
      </x:c>
      <x:c r="E336" s="13" t="str">
        <x:v>Pending</x:v>
      </x:c>
      <x:c r="F336" s="13" t="str"/>
      <x:c r="G336" s="13" t="str"/>
      <x:c r="H336" s="13" t="str"/>
      <x:c r="I336" s="7" t="str">
        <x:v>Was this person reviewed? If rejected, give the actual rule and evidence. If acceptable, correct the omission. Confirm the Life-qualification gate and any record change since selection.</x:v>
      </x:c>
      <x:c r="J336" s="7" t="str">
        <x:v>L1</x:v>
      </x:c>
      <x:c r="K336" s="7" t="str">
        <x:v>Verified qualifications do not include active general Life. Current target-pool mismatch; actual historical omission reason unknown.</x:v>
      </x:c>
      <x:c r="L336" s="7" t="str">
        <x:v>Not supplied; membership is known, motive is not</x:v>
      </x:c>
      <x:c r="M336" s="7" t="n">
        <x:v>7</x:v>
      </x:c>
      <x:c r="N336" s="7" t="str">
        <x:v>Outside current general-Life recruiting pool</x:v>
      </x:c>
      <x:c r="O336" s="7" t="str">
        <x:v>Not displayed</x:v>
      </x:c>
      <x:c r="P336" s="7" t="str"/>
      <x:c r="Q336" s="7" t="str"/>
      <x:c r="R336" s="7" t="str"/>
      <x:c r="S336" s="15" t="str"/>
      <x:c r="T336" s="7" t="str">
        <x:v>No public business phone in collected record</x:v>
      </x:c>
      <x:c r="U336" s="7" t="str"/>
      <x:c r="V336" s="7" t="str">
        <x:v>Resident</x:v>
      </x:c>
      <x:c r="W336" s="7" t="str">
        <x:v>CA</x:v>
      </x:c>
      <x:c r="X336" s="7" t="str"/>
      <x:c r="Y336" s="7" t="str"/>
      <x:c r="Z336" s="7" t="str"/>
      <x:c r="AA336" s="7" t="str"/>
      <x:c r="AB336" s="7" t="str"/>
      <x:c r="AC336" s="7" t="str"/>
      <x:c r="AD336" s="7" t="str">
        <x:v>No agency or insurer displayed: onboarding opportunity possible; existing business unknown</x:v>
      </x:c>
      <x:c r="AE336" s="7" t="str">
        <x:v>No public business phone: contact enrichment needed, not proof of poor recruiting fit</x:v>
      </x:c>
      <x:c r="AF336" s="16" t="str"/>
      <x:c r="AG336" s="17" t="str"/>
      <x:c r="AH336" s="7" t="str"/>
      <x:c r="AI336" s="7" t="str"/>
      <x:c r="AJ336" s="7" t="str"/>
      <x:c r="AK336" s="15" t="str"/>
      <x:c r="AL336" s="7" t="str"/>
      <x:c r="AM336" s="7" t="str">
        <x:v>AGUILAR  DIANE</x:v>
      </x:c>
      <x:c r="AN336" s="7" t="str">
        <x:v>https://cdicloud.insurance.ca.gov/cal/LicenseDetail?SearchType=IND&amp;SearchLicNbr=0I97802&amp;SearchIndvId=1684282</x:v>
      </x:c>
      <x:c r="AO336" s="7" t="str">
        <x:v>2026-10-08</x:v>
      </x:c>
      <x:c r="AP336" s="7" t="str">
        <x:v>dc675cad8873de6021c66f0e2c6735aad5f228e33a3742869abfe1cbb0211d62</x:v>
      </x:c>
      <x:c r="AQ336" s="7" t="str">
        <x:v>Accident and Health / Inactive / 07/11/2014 / 07/31/2016 / 07/31/2016
Life-Only / Inactive / 07/11/2014 / 07/31/2016 / 07/31/2016</x:v>
      </x:c>
      <x:c r="AR336" s="7" t="str">
        <x:v>Inactive</x:v>
      </x:c>
      <x:c r="AS336" s="7" t="str">
        <x:v>Current detail page</x:v>
      </x:c>
    </x:row>
    <x:row r="337" ht="52" customHeight="1">
      <x:c r="A337" s="7" t="str">
        <x:v>AGUILAR DIAZ HELEN</x:v>
      </x:c>
      <x:c r="B337" s="14" t="str">
        <x:f>"4254593"</x:f>
        <x:v>4254593</x:v>
      </x:c>
      <x:c r="C337" s="7" t="str">
        <x:v>Omitted</x:v>
      </x:c>
      <x:c r="D337" s="7" t="str">
        <x:v>FAIL</x:v>
      </x:c>
      <x:c r="E337" s="13" t="str">
        <x:v>Pending</x:v>
      </x:c>
      <x:c r="F337" s="13" t="str"/>
      <x:c r="G337" s="13" t="str"/>
      <x:c r="H337" s="13" t="str"/>
      <x:c r="I337" s="7" t="str">
        <x:v>Was this person reviewed? If rejected, give the actual rule and evidence. If acceptable, correct the omission. Confirm the Life-qualification gate and any record change since selection.</x:v>
      </x:c>
      <x:c r="J337" s="7" t="str">
        <x:v>L1</x:v>
      </x:c>
      <x:c r="K337" s="7" t="str">
        <x:v>Verified qualifications do not include active general Life. Current target-pool mismatch; actual historical omission reason unknown.</x:v>
      </x:c>
      <x:c r="L337" s="7" t="str">
        <x:v>Not supplied; membership is known, motive is not</x:v>
      </x:c>
      <x:c r="M337" s="7" t="n">
        <x:v>7</x:v>
      </x:c>
      <x:c r="N337" s="7" t="str">
        <x:v>Outside current general-Life recruiting pool</x:v>
      </x:c>
      <x:c r="O337" s="7" t="str">
        <x:v>Not displayed</x:v>
      </x:c>
      <x:c r="P337" s="7" t="str"/>
      <x:c r="Q337" s="7" t="str"/>
      <x:c r="R337" s="7" t="str"/>
      <x:c r="S337" s="15" t="str"/>
      <x:c r="T337" s="7" t="str">
        <x:v>No public business phone in collected record</x:v>
      </x:c>
      <x:c r="U337" s="7" t="str">
        <x:v>5861 -B FIRESTONE BLVD SOUTH GATE CA, 90280</x:v>
      </x:c>
      <x:c r="V337" s="7" t="str">
        <x:v>Resident</x:v>
      </x:c>
      <x:c r="W337" s="7" t="str">
        <x:v>CA</x:v>
      </x:c>
      <x:c r="X337" s="7" t="str"/>
      <x:c r="Y337" s="7" t="str"/>
      <x:c r="Z337" s="7" t="str"/>
      <x:c r="AA337" s="7" t="str"/>
      <x:c r="AB337" s="7" t="str"/>
      <x:c r="AC337" s="7" t="str"/>
      <x:c r="AD337" s="7" t="str">
        <x:v>No agency or insurer displayed: onboarding opportunity possible; existing business unknown</x:v>
      </x:c>
      <x:c r="AE337" s="7" t="str">
        <x:v>No public business phone: contact enrichment needed, not proof of poor recruiting fit</x:v>
      </x:c>
      <x:c r="AF337" s="16" t="str"/>
      <x:c r="AG337" s="17" t="str"/>
      <x:c r="AH337" s="7" t="str"/>
      <x:c r="AI337" s="7" t="str"/>
      <x:c r="AJ337" s="7" t="str"/>
      <x:c r="AK337" s="15" t="str"/>
      <x:c r="AL337" s="7" t="str"/>
      <x:c r="AM337" s="7" t="str">
        <x:v>Aguilar  Helen | AGUILAR DIAZ  HELEN</x:v>
      </x:c>
      <x:c r="AN337" s="7" t="str">
        <x:v>https://cdicloud.insurance.ca.gov/cal/LicenseDetail?SearchType=IND&amp;SearchLicNbr=4254593&amp;SearchIndvId=4254593</x:v>
      </x:c>
      <x:c r="AO337" s="7" t="str">
        <x:v>2026-10-08</x:v>
      </x:c>
      <x:c r="AP337" s="7" t="str">
        <x:v>bbfd994ee20a80a95bbf4253a0170fd826dbf8aa444c49c21bbbf2459bbf5c43</x:v>
      </x:c>
      <x:c r="AQ337" s="7" t="str">
        <x:v>Limited Lines Automobile / Inactive / 12/01/2022 / 12/31/2024 / 12/31/2024</x:v>
      </x:c>
      <x:c r="AR337" s="7" t="str">
        <x:v>Inactive</x:v>
      </x:c>
      <x:c r="AS337" s="7" t="str">
        <x:v>Current detail page</x:v>
      </x:c>
    </x:row>
    <x:row r="338" ht="52" customHeight="1">
      <x:c r="A338" s="7" t="str">
        <x:v>AGUILAR DIEGO ARMANDO</x:v>
      </x:c>
      <x:c r="B338" s="14" t="str">
        <x:f>"0H58658"</x:f>
        <x:v>0H58658</x:v>
      </x:c>
      <x:c r="C338" s="7" t="str">
        <x:v>Omitted</x:v>
      </x:c>
      <x:c r="D338" s="7" t="str">
        <x:v>FAIL</x:v>
      </x:c>
      <x:c r="E338" s="13" t="str">
        <x:v>Pending</x:v>
      </x:c>
      <x:c r="F338" s="13" t="str"/>
      <x:c r="G338" s="13" t="str"/>
      <x:c r="H338" s="13" t="str"/>
      <x:c r="I338" s="7" t="str">
        <x:v>Was this person reviewed? If rejected, give the actual rule and evidence. If acceptable, correct the omission. Confirm the Life-qualification gate and any record change since selection.</x:v>
      </x:c>
      <x:c r="J338" s="7" t="str">
        <x:v>L1</x:v>
      </x:c>
      <x:c r="K338" s="7" t="str">
        <x:v>Verified qualifications do not include active general Life. Current target-pool mismatch; actual historical omission reason unknown.</x:v>
      </x:c>
      <x:c r="L338" s="7" t="str">
        <x:v>Not supplied; membership is known, motive is not</x:v>
      </x:c>
      <x:c r="M338" s="7" t="n">
        <x:v>7</x:v>
      </x:c>
      <x:c r="N338" s="7" t="str">
        <x:v>Outside current general-Life recruiting pool</x:v>
      </x:c>
      <x:c r="O338" s="7" t="str">
        <x:v>Not displayed</x:v>
      </x:c>
      <x:c r="P338" s="7" t="str"/>
      <x:c r="Q338" s="7" t="str"/>
      <x:c r="R338" s="7" t="str"/>
      <x:c r="S338" s="15" t="str"/>
      <x:c r="T338" s="7" t="str">
        <x:v>No public business phone in collected record</x:v>
      </x:c>
      <x:c r="U338" s="7" t="str"/>
      <x:c r="V338" s="7" t="str">
        <x:v>Resident</x:v>
      </x:c>
      <x:c r="W338" s="7" t="str">
        <x:v>CA</x:v>
      </x:c>
      <x:c r="X338" s="7" t="str"/>
      <x:c r="Y338" s="7" t="str"/>
      <x:c r="Z338" s="7" t="str"/>
      <x:c r="AA338" s="7" t="str"/>
      <x:c r="AB338" s="7" t="str"/>
      <x:c r="AC338" s="7" t="str"/>
      <x:c r="AD338" s="7" t="str">
        <x:v>No agency or insurer displayed: onboarding opportunity possible; existing business unknown</x:v>
      </x:c>
      <x:c r="AE338" s="7" t="str">
        <x:v>No public business phone: contact enrichment needed, not proof of poor recruiting fit</x:v>
      </x:c>
      <x:c r="AF338" s="16" t="str"/>
      <x:c r="AG338" s="17" t="str"/>
      <x:c r="AH338" s="7" t="str"/>
      <x:c r="AI338" s="7" t="str"/>
      <x:c r="AJ338" s="7" t="str"/>
      <x:c r="AK338" s="15" t="str"/>
      <x:c r="AL338" s="7" t="str"/>
      <x:c r="AM338" s="7" t="str">
        <x:v>AGUILAR ARMANDO DIEGO</x:v>
      </x:c>
      <x:c r="AN338" s="7" t="str">
        <x:v>https://cdicloud.insurance.ca.gov/cal/LicenseDetail?SearchType=IND&amp;SearchLicNbr=0H58658&amp;SearchIndvId=1479830</x:v>
      </x:c>
      <x:c r="AO338" s="7" t="str">
        <x:v>2026-10-08</x:v>
      </x:c>
      <x:c r="AP338" s="7" t="str">
        <x:v>a16a906d0411fa72a2024b4a4e485d487f24a309de97bdeb2fd0fdb87c48e4b8</x:v>
      </x:c>
      <x:c r="AQ338" s="7" t="str">
        <x:v>Life-Only / Inactive / 09/29/2011 / 09/30/2017 / 09/30/2017
Variable Contracts / Inactive / 09/29/2011 / 09/30/2017 / 09/30/2017</x:v>
      </x:c>
      <x:c r="AR338" s="7" t="str">
        <x:v>Inactive</x:v>
      </x:c>
      <x:c r="AS338" s="7" t="str">
        <x:v>Current detail page</x:v>
      </x:c>
    </x:row>
    <x:row r="339" ht="52" customHeight="1">
      <x:c r="A339" s="7" t="str">
        <x:v>AGUILAR DIEGO ENRIQUE</x:v>
      </x:c>
      <x:c r="B339" s="14" t="str">
        <x:f>"0E66148"</x:f>
        <x:v>0E66148</x:v>
      </x:c>
      <x:c r="C339" s="7" t="str">
        <x:v>Omitted</x:v>
      </x:c>
      <x:c r="D339" s="7" t="str">
        <x:v>FAIL</x:v>
      </x:c>
      <x:c r="E339" s="13" t="str">
        <x:v>Pending</x:v>
      </x:c>
      <x:c r="F339" s="13" t="str"/>
      <x:c r="G339" s="13" t="str"/>
      <x:c r="H339" s="13" t="str"/>
      <x:c r="I339" s="7" t="str">
        <x:v>Was this person reviewed? If rejected, give the actual rule and evidence. If acceptable, correct the omission. Confirm the Life-qualification gate and any record change since selection.</x:v>
      </x:c>
      <x:c r="J339" s="7" t="str">
        <x:v>L1</x:v>
      </x:c>
      <x:c r="K339" s="7" t="str">
        <x:v>Verified qualifications do not include active general Life. Current target-pool mismatch; actual historical omission reason unknown.</x:v>
      </x:c>
      <x:c r="L339" s="7" t="str">
        <x:v>Not supplied; membership is known, motive is not</x:v>
      </x:c>
      <x:c r="M339" s="7" t="n">
        <x:v>7</x:v>
      </x:c>
      <x:c r="N339" s="7" t="str">
        <x:v>Outside current general-Life recruiting pool</x:v>
      </x:c>
      <x:c r="O339" s="7" t="str">
        <x:v>Not displayed</x:v>
      </x:c>
      <x:c r="P339" s="7" t="str"/>
      <x:c r="Q339" s="7" t="str"/>
      <x:c r="R339" s="7" t="str"/>
      <x:c r="S339" s="15" t="str"/>
      <x:c r="T339" s="7" t="str">
        <x:v>No public business phone in collected record</x:v>
      </x:c>
      <x:c r="U339" s="7" t="str"/>
      <x:c r="V339" s="7" t="str">
        <x:v>Resident</x:v>
      </x:c>
      <x:c r="W339" s="7" t="str">
        <x:v>CA</x:v>
      </x:c>
      <x:c r="X339" s="7" t="str"/>
      <x:c r="Y339" s="7" t="str"/>
      <x:c r="Z339" s="7" t="str"/>
      <x:c r="AA339" s="7" t="str"/>
      <x:c r="AB339" s="7" t="str"/>
      <x:c r="AC339" s="7" t="str"/>
      <x:c r="AD339" s="7" t="str">
        <x:v>No agency or insurer displayed: onboarding opportunity possible; existing business unknown</x:v>
      </x:c>
      <x:c r="AE339" s="7" t="str">
        <x:v>No public business phone: contact enrichment needed, not proof of poor recruiting fit</x:v>
      </x:c>
      <x:c r="AF339" s="16" t="str"/>
      <x:c r="AG339" s="17" t="str"/>
      <x:c r="AH339" s="7" t="str"/>
      <x:c r="AI339" s="7" t="str"/>
      <x:c r="AJ339" s="7" t="str"/>
      <x:c r="AK339" s="15" t="str"/>
      <x:c r="AL339" s="7" t="str"/>
      <x:c r="AM339" s="7" t="str">
        <x:v>AGUILAR ENRIQUE DIEGO</x:v>
      </x:c>
      <x:c r="AN339" s="7" t="str">
        <x:v>https://cdicloud.insurance.ca.gov/cal/LicenseDetail?SearchType=IND&amp;SearchLicNbr=0E66148&amp;SearchIndvId=929772</x:v>
      </x:c>
      <x:c r="AO339" s="7" t="str">
        <x:v>2026-10-08</x:v>
      </x:c>
      <x:c r="AP339" s="7" t="str">
        <x:v>a2a5d92eb711fc39b8dee0d437e030fb294c8628e4e0590666b77439670bce19</x:v>
      </x:c>
      <x:c r="AQ339" s="7" t="str">
        <x:v>Motor Club Agent / Inactive / 12/14/2004 / 12/31/2008 / 12/31/2008</x:v>
      </x:c>
      <x:c r="AR339" s="7" t="str">
        <x:v>Inactive</x:v>
      </x:c>
      <x:c r="AS339" s="7" t="str">
        <x:v>Current detail page</x:v>
      </x:c>
    </x:row>
    <x:row r="340" ht="52" customHeight="1">
      <x:c r="A340" s="7" t="str">
        <x:v>AGUILAR DINA</x:v>
      </x:c>
      <x:c r="B340" s="14" t="str">
        <x:f>"0K54616"</x:f>
        <x:v>0K54616</x:v>
      </x:c>
      <x:c r="C340" s="7" t="str">
        <x:v>Omitted</x:v>
      </x:c>
      <x:c r="D340" s="7" t="str">
        <x:v>FAIL</x:v>
      </x:c>
      <x:c r="E340" s="13" t="str">
        <x:v>Pending</x:v>
      </x:c>
      <x:c r="F340" s="13" t="str"/>
      <x:c r="G340" s="13" t="str"/>
      <x:c r="H340" s="13" t="str"/>
      <x:c r="I340" s="7" t="str">
        <x:v>Was this person reviewed? If rejected, give the actual rule and evidence. If acceptable, correct the omission. Confirm the Life-qualification gate and any record change since selection.</x:v>
      </x:c>
      <x:c r="J340" s="7" t="str">
        <x:v>L1</x:v>
      </x:c>
      <x:c r="K340" s="7" t="str">
        <x:v>Verified qualifications do not include active general Life. Current target-pool mismatch; actual historical omission reason unknown.</x:v>
      </x:c>
      <x:c r="L340" s="7" t="str">
        <x:v>Not supplied; membership is known, motive is not</x:v>
      </x:c>
      <x:c r="M340" s="7" t="n">
        <x:v>7</x:v>
      </x:c>
      <x:c r="N340" s="7" t="str">
        <x:v>Outside current general-Life recruiting pool</x:v>
      </x:c>
      <x:c r="O340" s="7" t="str">
        <x:v>Not displayed</x:v>
      </x:c>
      <x:c r="P340" s="7" t="str"/>
      <x:c r="Q340" s="7" t="str"/>
      <x:c r="R340" s="7" t="str"/>
      <x:c r="S340" s="15" t="str"/>
      <x:c r="T340" s="7" t="str">
        <x:v>No public business phone in collected record</x:v>
      </x:c>
      <x:c r="U340" s="7" t="str"/>
      <x:c r="V340" s="7" t="str">
        <x:v>Resident</x:v>
      </x:c>
      <x:c r="W340" s="7" t="str">
        <x:v>CA</x:v>
      </x:c>
      <x:c r="X340" s="7" t="str"/>
      <x:c r="Y340" s="7" t="str"/>
      <x:c r="Z340" s="7" t="str"/>
      <x:c r="AA340" s="7" t="str"/>
      <x:c r="AB340" s="7" t="str"/>
      <x:c r="AC340" s="7" t="str"/>
      <x:c r="AD340" s="7" t="str">
        <x:v>No agency or insurer displayed: onboarding opportunity possible; existing business unknown</x:v>
      </x:c>
      <x:c r="AE340" s="7" t="str">
        <x:v>No public business phone: contact enrichment needed, not proof of poor recruiting fit</x:v>
      </x:c>
      <x:c r="AF340" s="16" t="str"/>
      <x:c r="AG340" s="17" t="str"/>
      <x:c r="AH340" s="7" t="str"/>
      <x:c r="AI340" s="7" t="str"/>
      <x:c r="AJ340" s="7" t="str"/>
      <x:c r="AK340" s="15" t="str"/>
      <x:c r="AL340" s="7" t="str"/>
      <x:c r="AM340" s="7" t="str">
        <x:v>AGUILAR  DINA</x:v>
      </x:c>
      <x:c r="AN340" s="7" t="str">
        <x:v>https://cdicloud.insurance.ca.gov/cal/LicenseDetail?SearchType=IND&amp;SearchLicNbr=0K54616&amp;SearchIndvId=1796026</x:v>
      </x:c>
      <x:c r="AO340" s="7" t="str">
        <x:v>2026-10-08</x:v>
      </x:c>
      <x:c r="AP340" s="7" t="str">
        <x:v>6ca0aeccdc2cdc689a87596312c25f3ae66db1d084adc2dcb646b8ac425030fd</x:v>
      </x:c>
      <x:c r="AQ340" s="7" t="str">
        <x:v>Accident and Health / Inactive / 10/16/2015 / 10/31/2017 / 10/31/2017</x:v>
      </x:c>
      <x:c r="AR340" s="7" t="str">
        <x:v>Inactive</x:v>
      </x:c>
      <x:c r="AS340" s="7" t="str">
        <x:v>Current detail page</x:v>
      </x:c>
    </x:row>
    <x:row r="341" ht="52" customHeight="1">
      <x:c r="A341" s="7" t="str">
        <x:v>AGUILAR DINA MARIE</x:v>
      </x:c>
      <x:c r="B341" s="14" t="str">
        <x:f>"0E49432"</x:f>
        <x:v>0E49432</x:v>
      </x:c>
      <x:c r="C341" s="7" t="str">
        <x:v>Omitted</x:v>
      </x:c>
      <x:c r="D341" s="7" t="str">
        <x:v>FAIL</x:v>
      </x:c>
      <x:c r="E341" s="13" t="str">
        <x:v>Pending</x:v>
      </x:c>
      <x:c r="F341" s="13" t="str"/>
      <x:c r="G341" s="13" t="str"/>
      <x:c r="H341" s="13" t="str"/>
      <x:c r="I341" s="7" t="str">
        <x:v>Was this person reviewed? If rejected, give the actual rule and evidence. If acceptable, correct the omission. Confirm the Life-qualification gate and any record change since selection.</x:v>
      </x:c>
      <x:c r="J341" s="7" t="str">
        <x:v>L1</x:v>
      </x:c>
      <x:c r="K341" s="7" t="str">
        <x:v>Verified qualifications do not include active general Life. Current target-pool mismatch; actual historical omission reason unknown.</x:v>
      </x:c>
      <x:c r="L341" s="7" t="str">
        <x:v>Not supplied; membership is known, motive is not</x:v>
      </x:c>
      <x:c r="M341" s="7" t="n">
        <x:v>7</x:v>
      </x:c>
      <x:c r="N341" s="7" t="str">
        <x:v>Outside current general-Life recruiting pool</x:v>
      </x:c>
      <x:c r="O341" s="7" t="str">
        <x:v>Not displayed</x:v>
      </x:c>
      <x:c r="P341" s="7" t="str"/>
      <x:c r="Q341" s="7" t="str"/>
      <x:c r="R341" s="7" t="str"/>
      <x:c r="S341" s="15" t="str"/>
      <x:c r="T341" s="7" t="str">
        <x:v>No public business phone in collected record</x:v>
      </x:c>
      <x:c r="U341" s="7" t="str"/>
      <x:c r="V341" s="7" t="str">
        <x:v>Resident</x:v>
      </x:c>
      <x:c r="W341" s="7" t="str">
        <x:v>CA</x:v>
      </x:c>
      <x:c r="X341" s="7" t="str"/>
      <x:c r="Y341" s="7" t="str"/>
      <x:c r="Z341" s="7" t="str"/>
      <x:c r="AA341" s="7" t="str"/>
      <x:c r="AB341" s="7" t="str"/>
      <x:c r="AC341" s="7" t="str"/>
      <x:c r="AD341" s="7" t="str">
        <x:v>No agency or insurer displayed: onboarding opportunity possible; existing business unknown</x:v>
      </x:c>
      <x:c r="AE341" s="7" t="str">
        <x:v>No public business phone: contact enrichment needed, not proof of poor recruiting fit</x:v>
      </x:c>
      <x:c r="AF341" s="16" t="str"/>
      <x:c r="AG341" s="17" t="str"/>
      <x:c r="AH341" s="7" t="str"/>
      <x:c r="AI341" s="7" t="str"/>
      <x:c r="AJ341" s="7" t="str"/>
      <x:c r="AK341" s="15" t="str"/>
      <x:c r="AL341" s="7" t="str"/>
      <x:c r="AM341" s="7" t="str">
        <x:v>AGUILAR MARIE DINA</x:v>
      </x:c>
      <x:c r="AN341" s="7" t="str">
        <x:v>https://cdicloud.insurance.ca.gov/cal/LicenseDetail?SearchType=IND&amp;SearchLicNbr=0E49432&amp;SearchIndvId=905410</x:v>
      </x:c>
      <x:c r="AO341" s="7" t="str">
        <x:v>2026-10-08</x:v>
      </x:c>
      <x:c r="AP341" s="7" t="str">
        <x:v>292d796d39ed2e2cf320eee26d460aec6b9370863146180ee55c62b0b4609b81</x:v>
      </x:c>
      <x:c r="AQ341" s="7" t="str">
        <x:v>Accident and Health / Inactive / 07/12/2004 / 07/31/2018 / 07/31/2018
Casualty Broker-Agent / Inactive / 07/12/2004 / 07/31/2012 / 07/31/2012
Life-Only / Inactive / 07/12/2004 / 07/31/2018 / 07/31/2018
Property Broker-Agent / Inactive / 07/12/2004 / 07/31/2012 / 07/31/2012</x:v>
      </x:c>
      <x:c r="AR341" s="7" t="str">
        <x:v>Inactive</x:v>
      </x:c>
      <x:c r="AS341" s="7" t="str">
        <x:v>Current detail page</x:v>
      </x:c>
    </x:row>
    <x:row r="342" ht="52" customHeight="1">
      <x:c r="A342" s="7" t="str">
        <x:v>AGUILAR DOMICIO JAVIER</x:v>
      </x:c>
      <x:c r="B342" s="14" t="str">
        <x:f>"0G37665"</x:f>
        <x:v>0G37665</x:v>
      </x:c>
      <x:c r="C342" s="7" t="str">
        <x:v>Omitted</x:v>
      </x:c>
      <x:c r="D342" s="7" t="str">
        <x:v>FAIL</x:v>
      </x:c>
      <x:c r="E342" s="13" t="str">
        <x:v>Pending</x:v>
      </x:c>
      <x:c r="F342" s="13" t="str"/>
      <x:c r="G342" s="13" t="str"/>
      <x:c r="H342" s="13" t="str"/>
      <x:c r="I342" s="7" t="str">
        <x:v>Was this person reviewed? If rejected, give the actual rule and evidence. If acceptable, correct the omission. Confirm the Life-qualification gate and any record change since selection.</x:v>
      </x:c>
      <x:c r="J342" s="7" t="str">
        <x:v>L1</x:v>
      </x:c>
      <x:c r="K342" s="7" t="str">
        <x:v>Verified qualifications do not include active general Life. Current target-pool mismatch; actual historical omission reason unknown.</x:v>
      </x:c>
      <x:c r="L342" s="7" t="str">
        <x:v>Not supplied; membership is known, motive is not</x:v>
      </x:c>
      <x:c r="M342" s="7" t="n">
        <x:v>7</x:v>
      </x:c>
      <x:c r="N342" s="7" t="str">
        <x:v>Outside current general-Life recruiting pool</x:v>
      </x:c>
      <x:c r="O342" s="7" t="str">
        <x:v>Not displayed</x:v>
      </x:c>
      <x:c r="P342" s="7" t="str"/>
      <x:c r="Q342" s="7" t="str"/>
      <x:c r="R342" s="7" t="str"/>
      <x:c r="S342" s="15" t="str"/>
      <x:c r="T342" s="7" t="str">
        <x:v>No public business phone in collected record</x:v>
      </x:c>
      <x:c r="U342" s="7" t="str"/>
      <x:c r="V342" s="7" t="str">
        <x:v>Resident</x:v>
      </x:c>
      <x:c r="W342" s="7" t="str">
        <x:v>CA</x:v>
      </x:c>
      <x:c r="X342" s="7" t="str"/>
      <x:c r="Y342" s="7" t="str"/>
      <x:c r="Z342" s="7" t="str"/>
      <x:c r="AA342" s="7" t="str"/>
      <x:c r="AB342" s="7" t="str"/>
      <x:c r="AC342" s="7" t="str"/>
      <x:c r="AD342" s="7" t="str">
        <x:v>No agency or insurer displayed: onboarding opportunity possible; existing business unknown</x:v>
      </x:c>
      <x:c r="AE342" s="7" t="str">
        <x:v>No public business phone: contact enrichment needed, not proof of poor recruiting fit</x:v>
      </x:c>
      <x:c r="AF342" s="16" t="str"/>
      <x:c r="AG342" s="17" t="str"/>
      <x:c r="AH342" s="7" t="str"/>
      <x:c r="AI342" s="7" t="str"/>
      <x:c r="AJ342" s="7" t="str"/>
      <x:c r="AK342" s="15" t="str"/>
      <x:c r="AL342" s="7" t="str"/>
      <x:c r="AM342" s="7" t="str">
        <x:v>AGUILAR JAVIER DOMICIO</x:v>
      </x:c>
      <x:c r="AN342" s="7" t="str">
        <x:v>https://cdicloud.insurance.ca.gov/cal/LicenseDetail?SearchType=IND&amp;SearchLicNbr=0G37665&amp;SearchIndvId=1203929</x:v>
      </x:c>
      <x:c r="AO342" s="7" t="str">
        <x:v>2026-10-08</x:v>
      </x:c>
      <x:c r="AP342" s="7" t="str">
        <x:v>0bc41fc38d333b8cc34acf04038357ebbabeb62962c29a2a60d67f11438dc749</x:v>
      </x:c>
      <x:c r="AQ342" s="7" t="str">
        <x:v>Accident and Health / Inactive / 11/13/2008 / 11/30/2010 / 11/30/2010
Life-Only / Inactive / 11/13/2008 / 11/30/2010 / 11/30/2010</x:v>
      </x:c>
      <x:c r="AR342" s="7" t="str">
        <x:v>Inactive</x:v>
      </x:c>
      <x:c r="AS342" s="7" t="str">
        <x:v>Current detail page</x:v>
      </x:c>
    </x:row>
    <x:row r="343" ht="52" customHeight="1">
      <x:c r="A343" s="7" t="str">
        <x:v>AGUILAR DOMINGO GERMAN</x:v>
      </x:c>
      <x:c r="B343" s="14" t="str">
        <x:f>"0E22435"</x:f>
        <x:v>0E22435</x:v>
      </x:c>
      <x:c r="C343" s="7" t="str">
        <x:v>Omitted</x:v>
      </x:c>
      <x:c r="D343" s="7" t="str">
        <x:v>FAIL</x:v>
      </x:c>
      <x:c r="E343" s="13" t="str">
        <x:v>Pending</x:v>
      </x:c>
      <x:c r="F343" s="13" t="str"/>
      <x:c r="G343" s="13" t="str"/>
      <x:c r="H343" s="13" t="str"/>
      <x:c r="I343" s="7" t="str">
        <x:v>Was this person reviewed? If rejected, give the actual rule and evidence. If acceptable, correct the omission. Confirm the Life-qualification gate and any record change since selection.</x:v>
      </x:c>
      <x:c r="J343" s="7" t="str">
        <x:v>L1</x:v>
      </x:c>
      <x:c r="K343" s="7" t="str">
        <x:v>Verified qualifications do not include active general Life. Current target-pool mismatch; actual historical omission reason unknown.</x:v>
      </x:c>
      <x:c r="L343" s="7" t="str">
        <x:v>Not supplied; membership is known, motive is not</x:v>
      </x:c>
      <x:c r="M343" s="7" t="n">
        <x:v>7</x:v>
      </x:c>
      <x:c r="N343" s="7" t="str">
        <x:v>Outside current general-Life recruiting pool</x:v>
      </x:c>
      <x:c r="O343" s="7" t="str">
        <x:v>Not displayed</x:v>
      </x:c>
      <x:c r="P343" s="7" t="str"/>
      <x:c r="Q343" s="7" t="str"/>
      <x:c r="R343" s="7" t="str"/>
      <x:c r="S343" s="15" t="str"/>
      <x:c r="T343" s="7" t="str">
        <x:v>No public business phone in collected record</x:v>
      </x:c>
      <x:c r="U343" s="7" t="str"/>
      <x:c r="V343" s="7" t="str">
        <x:v>Resident</x:v>
      </x:c>
      <x:c r="W343" s="7" t="str">
        <x:v>CA</x:v>
      </x:c>
      <x:c r="X343" s="7" t="str"/>
      <x:c r="Y343" s="7" t="str"/>
      <x:c r="Z343" s="7" t="str"/>
      <x:c r="AA343" s="7" t="str"/>
      <x:c r="AB343" s="7" t="str"/>
      <x:c r="AC343" s="7" t="str"/>
      <x:c r="AD343" s="7" t="str">
        <x:v>No agency or insurer displayed: onboarding opportunity possible; existing business unknown</x:v>
      </x:c>
      <x:c r="AE343" s="7" t="str">
        <x:v>No public business phone: contact enrichment needed, not proof of poor recruiting fit</x:v>
      </x:c>
      <x:c r="AF343" s="16" t="str"/>
      <x:c r="AG343" s="17" t="str"/>
      <x:c r="AH343" s="7" t="str"/>
      <x:c r="AI343" s="7" t="str">
        <x:v>English</x:v>
      </x:c>
      <x:c r="AJ343" s="7" t="str"/>
      <x:c r="AK343" s="15" t="str"/>
      <x:c r="AL343" s="7" t="str"/>
      <x:c r="AM343" s="7" t="str">
        <x:v>AGUILAR GERMAN DOMINGO</x:v>
      </x:c>
      <x:c r="AN343" s="7" t="str">
        <x:v>https://cdicloud.insurance.ca.gov/cal/LicenseDetail?SearchType=IND&amp;SearchLicNbr=0E22435&amp;SearchIndvId=870990</x:v>
      </x:c>
      <x:c r="AO343" s="7" t="str">
        <x:v>2026-10-08</x:v>
      </x:c>
      <x:c r="AP343" s="7" t="str">
        <x:v>8e331e173f69e7cd16ccf97c5e480fce8ebb47de6c4d91b8ca22734fbce54f1a</x:v>
      </x:c>
      <x:c r="AQ343" s="7" t="str">
        <x:v>Accident and Health / Inactive / 11/14/2003 / 11/30/2019 / 11/30/2019
Life-Only / Inactive / 11/14/2003 / 11/30/2019 / 11/30/2019</x:v>
      </x:c>
      <x:c r="AR343" s="7" t="str">
        <x:v>Inactive</x:v>
      </x:c>
      <x:c r="AS343" s="7" t="str">
        <x:v>Current detail page</x:v>
      </x:c>
    </x:row>
    <x:row r="344" ht="52" customHeight="1">
      <x:c r="A344" s="7" t="str">
        <x:v>AGUILAR DOMINIC</x:v>
      </x:c>
      <x:c r="B344" s="14" t="str">
        <x:f>"0L37914"</x:f>
        <x:v>0L37914</x:v>
      </x:c>
      <x:c r="C344" s="7" t="str">
        <x:v>Omitted</x:v>
      </x:c>
      <x:c r="D344" s="7" t="str">
        <x:v>FAIL</x:v>
      </x:c>
      <x:c r="E344" s="13" t="str">
        <x:v>Pending</x:v>
      </x:c>
      <x:c r="F344" s="13" t="str"/>
      <x:c r="G344" s="13" t="str"/>
      <x:c r="H344" s="13" t="str"/>
      <x:c r="I344" s="7" t="str">
        <x:v>Was this person reviewed? If rejected, give the actual rule and evidence. If acceptable, correct the omission. Confirm the Life-qualification gate and any record change since selection.</x:v>
      </x:c>
      <x:c r="J344" s="7" t="str">
        <x:v>L1</x:v>
      </x:c>
      <x:c r="K344" s="7" t="str">
        <x:v>Verified qualifications do not include active general Life. Current target-pool mismatch; actual historical omission reason unknown.</x:v>
      </x:c>
      <x:c r="L344" s="7" t="str">
        <x:v>Not supplied; membership is known, motive is not</x:v>
      </x:c>
      <x:c r="M344" s="7" t="n">
        <x:v>7</x:v>
      </x:c>
      <x:c r="N344" s="7" t="str">
        <x:v>Outside current general-Life recruiting pool</x:v>
      </x:c>
      <x:c r="O344" s="7" t="str">
        <x:v>Not displayed</x:v>
      </x:c>
      <x:c r="P344" s="7" t="str"/>
      <x:c r="Q344" s="7" t="str"/>
      <x:c r="R344" s="7" t="str"/>
      <x:c r="S344" s="15" t="str"/>
      <x:c r="T344" s="7" t="str">
        <x:v>No public business phone in collected record</x:v>
      </x:c>
      <x:c r="U344" s="7" t="str"/>
      <x:c r="V344" s="7" t="str">
        <x:v>Resident</x:v>
      </x:c>
      <x:c r="W344" s="7" t="str">
        <x:v>CA</x:v>
      </x:c>
      <x:c r="X344" s="7" t="str"/>
      <x:c r="Y344" s="7" t="str"/>
      <x:c r="Z344" s="7" t="str"/>
      <x:c r="AA344" s="7" t="str"/>
      <x:c r="AB344" s="7" t="str"/>
      <x:c r="AC344" s="7" t="str"/>
      <x:c r="AD344" s="7" t="str">
        <x:v>No agency or insurer displayed: onboarding opportunity possible; existing business unknown</x:v>
      </x:c>
      <x:c r="AE344" s="7" t="str">
        <x:v>No public business phone: contact enrichment needed, not proof of poor recruiting fit</x:v>
      </x:c>
      <x:c r="AF344" s="16" t="str"/>
      <x:c r="AG344" s="17" t="str"/>
      <x:c r="AH344" s="7" t="str"/>
      <x:c r="AI344" s="7" t="str"/>
      <x:c r="AJ344" s="7" t="str"/>
      <x:c r="AK344" s="15" t="str"/>
      <x:c r="AL344" s="7" t="str"/>
      <x:c r="AM344" s="7" t="str">
        <x:v>AGUILAR  DOMINIC</x:v>
      </x:c>
      <x:c r="AN344" s="7" t="str">
        <x:v>https://cdicloud.insurance.ca.gov/cal/LicenseDetail?SearchType=IND&amp;SearchLicNbr=0L37914&amp;SearchIndvId=1888921</x:v>
      </x:c>
      <x:c r="AO344" s="7" t="str">
        <x:v>2026-10-08</x:v>
      </x:c>
      <x:c r="AP344" s="7" t="str">
        <x:v>d015449a7844c2b4a30e802733564b45c8e12e32ee20aded25a031470866cc5d</x:v>
      </x:c>
      <x:c r="AQ344" s="7" t="str">
        <x:v>Life-Only / Inactive / 11/22/2016 / 11/30/2018 / 11/30/2018</x:v>
      </x:c>
      <x:c r="AR344" s="7" t="str">
        <x:v>Inactive</x:v>
      </x:c>
      <x:c r="AS344" s="7" t="str">
        <x:v>Current detail page</x:v>
      </x:c>
    </x:row>
    <x:row r="345" ht="52" customHeight="1">
      <x:c r="A345" s="7" t="str">
        <x:v>AGUILAR DOMINIQUE JO</x:v>
      </x:c>
      <x:c r="B345" s="14" t="str">
        <x:f>"0L59765"</x:f>
        <x:v>0L59765</x:v>
      </x:c>
      <x:c r="C345" s="7" t="str">
        <x:v>Omitted</x:v>
      </x:c>
      <x:c r="D345" s="7" t="str">
        <x:v>FAIL</x:v>
      </x:c>
      <x:c r="E345" s="13" t="str">
        <x:v>Pending</x:v>
      </x:c>
      <x:c r="F345" s="13" t="str"/>
      <x:c r="G345" s="13" t="str"/>
      <x:c r="H345" s="13" t="str"/>
      <x:c r="I345" s="7" t="str">
        <x:v>Was this person reviewed? If rejected, give the actual rule and evidence. If acceptable, correct the omission. Confirm the Life-qualification gate and any record change since selection.</x:v>
      </x:c>
      <x:c r="J345" s="7" t="str">
        <x:v>L1</x:v>
      </x:c>
      <x:c r="K345" s="7" t="str">
        <x:v>Verified qualifications do not include active general Life. Current target-pool mismatch; actual historical omission reason unknown.</x:v>
      </x:c>
      <x:c r="L345" s="7" t="str">
        <x:v>Not supplied; membership is known, motive is not</x:v>
      </x:c>
      <x:c r="M345" s="7" t="n">
        <x:v>7</x:v>
      </x:c>
      <x:c r="N345" s="7" t="str">
        <x:v>Outside current general-Life recruiting pool</x:v>
      </x:c>
      <x:c r="O345" s="7" t="str">
        <x:v>Not displayed</x:v>
      </x:c>
      <x:c r="P345" s="7" t="str"/>
      <x:c r="Q345" s="7" t="str"/>
      <x:c r="R345" s="7" t="str"/>
      <x:c r="S345" s="15" t="str"/>
      <x:c r="T345" s="7" t="str">
        <x:v>No public business phone in collected record</x:v>
      </x:c>
      <x:c r="U345" s="7" t="str"/>
      <x:c r="V345" s="7" t="str">
        <x:v>Resident</x:v>
      </x:c>
      <x:c r="W345" s="7" t="str">
        <x:v>CA</x:v>
      </x:c>
      <x:c r="X345" s="7" t="str"/>
      <x:c r="Y345" s="7" t="str"/>
      <x:c r="Z345" s="7" t="str"/>
      <x:c r="AA345" s="7" t="str"/>
      <x:c r="AB345" s="7" t="str"/>
      <x:c r="AC345" s="7" t="str"/>
      <x:c r="AD345" s="7" t="str">
        <x:v>No agency or insurer displayed: onboarding opportunity possible; existing business unknown</x:v>
      </x:c>
      <x:c r="AE345" s="7" t="str">
        <x:v>No public business phone: contact enrichment needed, not proof of poor recruiting fit</x:v>
      </x:c>
      <x:c r="AF345" s="16" t="str"/>
      <x:c r="AG345" s="17" t="str"/>
      <x:c r="AH345" s="7" t="str"/>
      <x:c r="AI345" s="7" t="str"/>
      <x:c r="AJ345" s="7" t="str"/>
      <x:c r="AK345" s="15" t="str"/>
      <x:c r="AL345" s="7" t="str"/>
      <x:c r="AM345" s="7" t="str">
        <x:v>AGUILAR JO DOMINIQUE</x:v>
      </x:c>
      <x:c r="AN345" s="7" t="str">
        <x:v>https://cdicloud.insurance.ca.gov/cal/LicenseDetail?SearchType=IND&amp;SearchLicNbr=0L59765&amp;SearchIndvId=1916525</x:v>
      </x:c>
      <x:c r="AO345" s="7" t="str">
        <x:v>2026-10-08</x:v>
      </x:c>
      <x:c r="AP345" s="7" t="str">
        <x:v>9c68c2197a126a288c8c654e4a3314a42bc2d7a6c6edbbaf3f64568767bbd394</x:v>
      </x:c>
      <x:c r="AQ345" s="7" t="str">
        <x:v>Accident and Health / Inactive / 03/08/2017 / 05/31/2019 / 05/31/2019
Life-Only / Inactive / 03/08/2017 / 05/31/2019 / 05/31/2019</x:v>
      </x:c>
      <x:c r="AR345" s="7" t="str">
        <x:v>Inactive</x:v>
      </x:c>
      <x:c r="AS345" s="7" t="str">
        <x:v>Current detail page</x:v>
      </x:c>
    </x:row>
    <x:row r="346" ht="52" customHeight="1">
      <x:c r="A346" s="7" t="str">
        <x:v>AGUILAR DOMINIQUE LAURICE</x:v>
      </x:c>
      <x:c r="B346" s="14" t="str">
        <x:f>"4171672"</x:f>
        <x:v>4171672</x:v>
      </x:c>
      <x:c r="C346" s="7" t="str">
        <x:v>Omitted</x:v>
      </x:c>
      <x:c r="D346" s="7" t="str">
        <x:v>FAIL</x:v>
      </x:c>
      <x:c r="E346" s="13" t="str">
        <x:v>Pending</x:v>
      </x:c>
      <x:c r="F346" s="13" t="str"/>
      <x:c r="G346" s="13" t="str"/>
      <x:c r="H346" s="13" t="str"/>
      <x:c r="I346" s="7" t="str">
        <x:v>Was this person reviewed? If rejected, give the actual rule and evidence. If acceptable, correct the omission. Confirm the Life-qualification gate and any record change since selection.</x:v>
      </x:c>
      <x:c r="J346" s="7" t="str">
        <x:v>L1</x:v>
      </x:c>
      <x:c r="K346" s="7" t="str">
        <x:v>Verified qualifications do not include active general Life. Current target-pool mismatch; actual historical omission reason unknown.</x:v>
      </x:c>
      <x:c r="L346" s="7" t="str">
        <x:v>Not supplied; membership is known, motive is not</x:v>
      </x:c>
      <x:c r="M346" s="7" t="n">
        <x:v>7</x:v>
      </x:c>
      <x:c r="N346" s="7" t="str">
        <x:v>Outside current general-Life recruiting pool</x:v>
      </x:c>
      <x:c r="O346" s="7" t="str">
        <x:v>Inactive</x:v>
      </x:c>
      <x:c r="P346" s="7" t="str">
        <x:v>11/03/2021</x:v>
      </x:c>
      <x:c r="Q346" s="7" t="str">
        <x:v>11/30/2023</x:v>
      </x:c>
      <x:c r="R346" s="7" t="str"/>
      <x:c r="S346" s="15" t="str">
        <x:v>510-938-0855</x:v>
      </x:c>
      <x:c r="T346" s="7" t="str">
        <x:v>Current CDI</x:v>
      </x:c>
      <x:c r="U346" s="7" t="str">
        <x:v>2099 GOLD ST STE 233 SAN JOSE CA, 95001</x:v>
      </x:c>
      <x:c r="V346" s="7" t="str">
        <x:v>Resident</x:v>
      </x:c>
      <x:c r="W346" s="7" t="str">
        <x:v>CA</x:v>
      </x:c>
      <x:c r="X346" s="7" t="str"/>
      <x:c r="Y346" s="7" t="str"/>
      <x:c r="Z346" s="7" t="str"/>
      <x:c r="AA346" s="7" t="str"/>
      <x:c r="AB346" s="7" t="str"/>
      <x:c r="AC346" s="7" t="str"/>
      <x:c r="AD346" s="7" t="str">
        <x:v>No agency or insurer displayed: onboarding opportunity possible; existing business unknown</x:v>
      </x:c>
      <x:c r="AE346" s="7" t="str"/>
      <x:c r="AF346" s="16" t="str"/>
      <x:c r="AG346" s="17" t="str"/>
      <x:c r="AH346" s="7" t="str"/>
      <x:c r="AI346" s="7" t="str">
        <x:v>English</x:v>
      </x:c>
      <x:c r="AJ346" s="7" t="str"/>
      <x:c r="AK346" s="15" t="str"/>
      <x:c r="AL346" s="7" t="str"/>
      <x:c r="AM346" s="7" t="str">
        <x:v>Aguilar  Dominique | AGUILAR  DOMINIQUE LAURICE</x:v>
      </x:c>
      <x:c r="AN346" s="7" t="str">
        <x:v>https://cdicloud.insurance.ca.gov/cal/LicenseDetail?SearchType=IND&amp;SearchLicNbr=4171672&amp;SearchIndvId=4171672</x:v>
      </x:c>
      <x:c r="AO346" s="7" t="str">
        <x:v>2026-10-08</x:v>
      </x:c>
      <x:c r="AP346" s="7" t="str">
        <x:v>fa15d8859267beb552a6ee7847430eb35d03e2b5abde4f0dafe80e9a6d588306</x:v>
      </x:c>
      <x:c r="AQ346" s="7" t="str">
        <x:v>Accident &amp; Health or Sickness / Inactive / 11/03/2021 / 11/30/2023 / 11/30/2023
Life / Inactive / 11/03/2021 / 11/30/2023 / 11/30/2023</x:v>
      </x:c>
      <x:c r="AR346" s="7" t="str">
        <x:v>Inactive</x:v>
      </x:c>
      <x:c r="AS346" s="7" t="str">
        <x:v>Current detail page</x:v>
      </x:c>
    </x:row>
    <x:row r="347" ht="52" customHeight="1">
      <x:c r="A347" s="7" t="str">
        <x:v>AGUILAR DONNA LORRAINE</x:v>
      </x:c>
      <x:c r="B347" s="14" t="str">
        <x:f>"0E42151"</x:f>
        <x:v>0E42151</x:v>
      </x:c>
      <x:c r="C347" s="7" t="str">
        <x:v>Omitted</x:v>
      </x:c>
      <x:c r="D347" s="7" t="str">
        <x:v>FAIL</x:v>
      </x:c>
      <x:c r="E347" s="13" t="str">
        <x:v>Pending</x:v>
      </x:c>
      <x:c r="F347" s="13" t="str"/>
      <x:c r="G347" s="13" t="str"/>
      <x:c r="H347" s="13" t="str"/>
      <x:c r="I347" s="7" t="str">
        <x:v>Was this person reviewed? If rejected, give the actual rule and evidence. If acceptable, correct the omission. Confirm the Life-qualification gate and any record change since selection.</x:v>
      </x:c>
      <x:c r="J347" s="7" t="str">
        <x:v>L1</x:v>
      </x:c>
      <x:c r="K347" s="7" t="str">
        <x:v>Verified qualifications do not include active general Life. Current target-pool mismatch; actual historical omission reason unknown.</x:v>
      </x:c>
      <x:c r="L347" s="7" t="str">
        <x:v>Not supplied; membership is known, motive is not</x:v>
      </x:c>
      <x:c r="M347" s="7" t="n">
        <x:v>7</x:v>
      </x:c>
      <x:c r="N347" s="7" t="str">
        <x:v>Outside current general-Life recruiting pool</x:v>
      </x:c>
      <x:c r="O347" s="7" t="str">
        <x:v>Not displayed</x:v>
      </x:c>
      <x:c r="P347" s="7" t="str"/>
      <x:c r="Q347" s="7" t="str"/>
      <x:c r="R347" s="7" t="str"/>
      <x:c r="S347" s="15" t="str"/>
      <x:c r="T347" s="7" t="str">
        <x:v>No public business phone in collected record</x:v>
      </x:c>
      <x:c r="U347" s="7" t="str">
        <x:v>1231 W WARNER RD STE 104 TEMPE AZ, 85284-1907</x:v>
      </x:c>
      <x:c r="V347" s="7" t="str">
        <x:v>Non-resident</x:v>
      </x:c>
      <x:c r="W347" s="7" t="str">
        <x:v>AZ</x:v>
      </x:c>
      <x:c r="X347" s="7" t="str"/>
      <x:c r="Y347" s="7" t="str"/>
      <x:c r="Z347" s="7" t="str"/>
      <x:c r="AA347" s="7" t="str"/>
      <x:c r="AB347" s="7" t="str"/>
      <x:c r="AC347" s="7" t="str"/>
      <x:c r="AD347" s="7" t="str">
        <x:v>No agency or insurer displayed: onboarding opportunity possible; existing business unknown</x:v>
      </x:c>
      <x:c r="AE347" s="7" t="str">
        <x:v>Nonresident or address state outside CA; confirm geographic recruiting scope | No public business phone: contact enrichment needed, not proof of poor recruiting fit</x:v>
      </x:c>
      <x:c r="AF347" s="16" t="str"/>
      <x:c r="AG347" s="17" t="str"/>
      <x:c r="AH347" s="7" t="str"/>
      <x:c r="AI347" s="7" t="str"/>
      <x:c r="AJ347" s="7" t="str"/>
      <x:c r="AK347" s="15" t="str"/>
      <x:c r="AL347" s="7" t="str"/>
      <x:c r="AM347" s="7" t="str">
        <x:v>Aguilar Lorraine Donna</x:v>
      </x:c>
      <x:c r="AN347" s="7" t="str">
        <x:v>https://cdicloud.insurance.ca.gov/cal/LicenseDetail?SearchType=IND&amp;SearchLicNbr=0E42151&amp;SearchIndvId=902072</x:v>
      </x:c>
      <x:c r="AO347" s="7" t="str">
        <x:v>2026-10-08</x:v>
      </x:c>
      <x:c r="AP347" s="7" t="str">
        <x:v>2dcdf8c77aeec1df27c3480ce0a32d9f58043b33e658c960957bf3b3e26abcf0</x:v>
      </x:c>
      <x:c r="AQ347" s="7" t="str">
        <x:v>Casualty / Inactive / 04/23/2024 / 04/30/2026 / 04/30/2026
Property / Inactive / 04/23/2024 / 04/30/2026 / 04/30/2026</x:v>
      </x:c>
      <x:c r="AR347" s="7" t="str">
        <x:v>Inactive</x:v>
      </x:c>
      <x:c r="AS347" s="7" t="str">
        <x:v>Current detail page</x:v>
      </x:c>
    </x:row>
    <x:row r="348" ht="52" customHeight="1">
      <x:c r="A348" s="7" t="str">
        <x:v>AGUILAR DORIAN ANTONIO</x:v>
      </x:c>
      <x:c r="B348" s="14" t="str">
        <x:f>"0C17028"</x:f>
        <x:v>0C17028</x:v>
      </x:c>
      <x:c r="C348" s="7" t="str">
        <x:v>Omitted</x:v>
      </x:c>
      <x:c r="D348" s="7" t="str">
        <x:v>FAIL</x:v>
      </x:c>
      <x:c r="E348" s="13" t="str">
        <x:v>Pending</x:v>
      </x:c>
      <x:c r="F348" s="13" t="str"/>
      <x:c r="G348" s="13" t="str"/>
      <x:c r="H348" s="13" t="str"/>
      <x:c r="I348" s="7" t="str">
        <x:v>Was this person reviewed? If rejected, give the actual rule and evidence. If acceptable, correct the omission. Confirm the Life-qualification gate and any record change since selection.</x:v>
      </x:c>
      <x:c r="J348" s="7" t="str">
        <x:v>L1</x:v>
      </x:c>
      <x:c r="K348" s="7" t="str">
        <x:v>Verified qualifications do not include active general Life. Current target-pool mismatch; actual historical omission reason unknown.</x:v>
      </x:c>
      <x:c r="L348" s="7" t="str">
        <x:v>Not supplied; membership is known, motive is not</x:v>
      </x:c>
      <x:c r="M348" s="7" t="n">
        <x:v>7</x:v>
      </x:c>
      <x:c r="N348" s="7" t="str">
        <x:v>Outside current general-Life recruiting pool</x:v>
      </x:c>
      <x:c r="O348" s="7" t="str">
        <x:v>Not displayed</x:v>
      </x:c>
      <x:c r="P348" s="7" t="str"/>
      <x:c r="Q348" s="7" t="str"/>
      <x:c r="R348" s="7" t="str"/>
      <x:c r="S348" s="15" t="str"/>
      <x:c r="T348" s="7" t="str">
        <x:v>No public business phone in collected record</x:v>
      </x:c>
      <x:c r="U348" s="7" t="str"/>
      <x:c r="V348" s="7" t="str">
        <x:v>Resident</x:v>
      </x:c>
      <x:c r="W348" s="7" t="str">
        <x:v>CA</x:v>
      </x:c>
      <x:c r="X348" s="7" t="str"/>
      <x:c r="Y348" s="7" t="str"/>
      <x:c r="Z348" s="7" t="str">
        <x:v>ORDER ID: &lt;SA010053&gt; AP LICENSE AND LICENSING RIGHTS OF RESPONDENT TO ACT AS FX AGENT IS HEREBY REVOKED. / 11/12/2000</x:v>
      </x:c>
      <x:c r="AA348" s="7" t="str"/>
      <x:c r="AB348" s="7" t="str"/>
      <x:c r="AC348" s="7" t="str"/>
      <x:c r="AD348" s="7" t="str">
        <x:v>No agency or insurer displayed: onboarding opportunity possible; existing business unknown</x:v>
      </x:c>
      <x:c r="AE348" s="7" t="str">
        <x:v>Enforcement order requires direct review; latest displayed order is not a removal order | No public business phone: contact enrichment needed, not proof of poor recruiting fit</x:v>
      </x:c>
      <x:c r="AF348" s="16" t="str"/>
      <x:c r="AG348" s="17" t="str"/>
      <x:c r="AH348" s="7" t="str"/>
      <x:c r="AI348" s="7" t="str"/>
      <x:c r="AJ348" s="7" t="str"/>
      <x:c r="AK348" s="15" t="str"/>
      <x:c r="AL348" s="7" t="str"/>
      <x:c r="AM348" s="7" t="str">
        <x:v>AGUILAR ANTONIO DORIAN</x:v>
      </x:c>
      <x:c r="AN348" s="7" t="str">
        <x:v>https://cdicloud.insurance.ca.gov/cal/LicenseDetail?SearchType=IND&amp;SearchLicNbr=0C17028&amp;SearchIndvId=292837</x:v>
      </x:c>
      <x:c r="AO348" s="7" t="str">
        <x:v>2026-10-08</x:v>
      </x:c>
      <x:c r="AP348" s="7" t="str">
        <x:v>532385ccdd60ad57988c187026abba89f849285731c3a7d4cbc6583370968fb8</x:v>
      </x:c>
      <x:c r="AQ348" s="7" t="str">
        <x:v>Casualty Broker-Agent / Inactive / 10/23/1997 / 11/12/2000 / 11/12/2000
Property Broker-Agent / Inactive / 10/23/1997 / 11/12/2000 / 11/12/2000</x:v>
      </x:c>
      <x:c r="AR348" s="7" t="str">
        <x:v>Inactive</x:v>
      </x:c>
      <x:c r="AS348" s="7" t="str">
        <x:v>Current detail page</x:v>
      </x:c>
    </x:row>
    <x:row r="349" ht="52" customHeight="1">
      <x:c r="A349" s="7" t="str">
        <x:v>AGUILAR EDDELY C.</x:v>
      </x:c>
      <x:c r="B349" s="14" t="str">
        <x:f>"4011571"</x:f>
        <x:v>4011571</x:v>
      </x:c>
      <x:c r="C349" s="7" t="str">
        <x:v>Omitted</x:v>
      </x:c>
      <x:c r="D349" s="7" t="str">
        <x:v>FAIL</x:v>
      </x:c>
      <x:c r="E349" s="13" t="str">
        <x:v>Pending</x:v>
      </x:c>
      <x:c r="F349" s="13" t="str"/>
      <x:c r="G349" s="13" t="str"/>
      <x:c r="H349" s="13" t="str"/>
      <x:c r="I349" s="7" t="str">
        <x:v>Was this person reviewed? If rejected, give the actual rule and evidence. If acceptable, correct the omission. Confirm the Life-qualification gate and any record change since selection.</x:v>
      </x:c>
      <x:c r="J349" s="7" t="str">
        <x:v>L1</x:v>
      </x:c>
      <x:c r="K349" s="7" t="str">
        <x:v>Verified qualifications do not include active general Life. Current target-pool mismatch; actual historical omission reason unknown.</x:v>
      </x:c>
      <x:c r="L349" s="7" t="str">
        <x:v>Not supplied; membership is known, motive is not</x:v>
      </x:c>
      <x:c r="M349" s="7" t="n">
        <x:v>7</x:v>
      </x:c>
      <x:c r="N349" s="7" t="str">
        <x:v>Outside current general-Life recruiting pool</x:v>
      </x:c>
      <x:c r="O349" s="7" t="str">
        <x:v>Inactive</x:v>
      </x:c>
      <x:c r="P349" s="7" t="str">
        <x:v>10/17/2019</x:v>
      </x:c>
      <x:c r="Q349" s="7" t="str">
        <x:v>10/31/2021</x:v>
      </x:c>
      <x:c r="R349" s="7" t="str"/>
      <x:c r="S349" s="15" t="str"/>
      <x:c r="T349" s="7" t="str">
        <x:v>No public business phone in collected record</x:v>
      </x:c>
      <x:c r="U349" s="7" t="str">
        <x:v>7760 KNOX DR FONTANA CA, 92336</x:v>
      </x:c>
      <x:c r="V349" s="7" t="str">
        <x:v>Resident</x:v>
      </x:c>
      <x:c r="W349" s="7" t="str">
        <x:v>CA</x:v>
      </x:c>
      <x:c r="X349" s="7" t="str"/>
      <x:c r="Y349" s="7" t="str"/>
      <x:c r="Z349" s="7" t="str"/>
      <x:c r="AA349" s="7" t="str"/>
      <x:c r="AB349" s="7" t="str"/>
      <x:c r="AC349" s="7" t="str"/>
      <x:c r="AD349" s="7" t="str">
        <x:v>No agency or insurer displayed: onboarding opportunity possible; existing business unknown</x:v>
      </x:c>
      <x:c r="AE349" s="7" t="str">
        <x:v>No public business phone: contact enrichment needed, not proof of poor recruiting fit</x:v>
      </x:c>
      <x:c r="AF349" s="16" t="str"/>
      <x:c r="AG349" s="17" t="str"/>
      <x:c r="AH349" s="7" t="str"/>
      <x:c r="AI349" s="7" t="str"/>
      <x:c r="AJ349" s="7" t="str"/>
      <x:c r="AK349" s="15" t="str"/>
      <x:c r="AL349" s="7" t="str"/>
      <x:c r="AM349" s="7" t="str">
        <x:v>Aguilar C Eddely | AGUILAR C. EDDELY</x:v>
      </x:c>
      <x:c r="AN349" s="7" t="str">
        <x:v>https://cdicloud.insurance.ca.gov/cal/LicenseDetail?SearchType=IND&amp;SearchLicNbr=4011571&amp;SearchIndvId=4011571</x:v>
      </x:c>
      <x:c r="AO349" s="7" t="str">
        <x:v>2026-10-08</x:v>
      </x:c>
      <x:c r="AP349" s="7" t="str">
        <x:v>d7dc5985ede8f5dc64d646ddb1234c2e93554ac9bfc9b34fcbaf816cd867134e</x:v>
      </x:c>
      <x:c r="AQ349" s="7" t="str">
        <x:v>Life / Inactive / 10/17/2019 / 10/31/2021 / 10/31/2021</x:v>
      </x:c>
      <x:c r="AR349" s="7" t="str">
        <x:v>Inactive</x:v>
      </x:c>
      <x:c r="AS349" s="7" t="str">
        <x:v>Current detail page</x:v>
      </x:c>
    </x:row>
    <x:row r="350" ht="52" customHeight="1">
      <x:c r="A350" s="7" t="str">
        <x:v>AGUILAR EDDIE</x:v>
      </x:c>
      <x:c r="B350" s="14" t="str">
        <x:f>"0K61998"</x:f>
        <x:v>0K61998</x:v>
      </x:c>
      <x:c r="C350" s="7" t="str">
        <x:v>Omitted</x:v>
      </x:c>
      <x:c r="D350" s="7" t="str">
        <x:v>FAIL</x:v>
      </x:c>
      <x:c r="E350" s="13" t="str">
        <x:v>Pending</x:v>
      </x:c>
      <x:c r="F350" s="13" t="str"/>
      <x:c r="G350" s="13" t="str"/>
      <x:c r="H350" s="13" t="str"/>
      <x:c r="I350" s="7" t="str">
        <x:v>Was this person reviewed? If rejected, give the actual rule and evidence. If acceptable, correct the omission. Confirm the Life-qualification gate and any record change since selection.</x:v>
      </x:c>
      <x:c r="J350" s="7" t="str">
        <x:v>L1</x:v>
      </x:c>
      <x:c r="K350" s="7" t="str">
        <x:v>Verified qualifications do not include active general Life. Current target-pool mismatch; actual historical omission reason unknown.</x:v>
      </x:c>
      <x:c r="L350" s="7" t="str">
        <x:v>Not supplied; membership is known, motive is not</x:v>
      </x:c>
      <x:c r="M350" s="7" t="n">
        <x:v>7</x:v>
      </x:c>
      <x:c r="N350" s="7" t="str">
        <x:v>Outside current general-Life recruiting pool</x:v>
      </x:c>
      <x:c r="O350" s="7" t="str">
        <x:v>Inactive</x:v>
      </x:c>
      <x:c r="P350" s="7" t="str">
        <x:v>11/25/2015</x:v>
      </x:c>
      <x:c r="Q350" s="7" t="str">
        <x:v>11/30/2021</x:v>
      </x:c>
      <x:c r="R350" s="7" t="str"/>
      <x:c r="S350" s="15" t="str">
        <x:v>951-323-7889</x:v>
      </x:c>
      <x:c r="T350" s="7" t="str">
        <x:v>Current CDI</x:v>
      </x:c>
      <x:c r="U350" s="7" t="str">
        <x:v>2920 E. INLAND EMPIRE BLVD SUITE#100 ONTARIO CA, 91764</x:v>
      </x:c>
      <x:c r="V350" s="7" t="str">
        <x:v>Resident</x:v>
      </x:c>
      <x:c r="W350" s="7" t="str">
        <x:v>CA</x:v>
      </x:c>
      <x:c r="X350" s="7" t="str"/>
      <x:c r="Y350" s="7" t="str"/>
      <x:c r="Z350" s="7" t="str"/>
      <x:c r="AA350" s="7" t="str"/>
      <x:c r="AB350" s="7" t="str"/>
      <x:c r="AC350" s="7" t="str"/>
      <x:c r="AD350" s="7" t="str">
        <x:v>No agency or insurer displayed: onboarding opportunity possible; existing business unknown</x:v>
      </x:c>
      <x:c r="AE350" s="7" t="str"/>
      <x:c r="AF350" s="16" t="str"/>
      <x:c r="AG350" s="17" t="str"/>
      <x:c r="AH350" s="7" t="str"/>
      <x:c r="AI350" s="7" t="str">
        <x:v>Spanish, Spanish</x:v>
      </x:c>
      <x:c r="AJ350" s="7" t="str"/>
      <x:c r="AK350" s="15" t="str"/>
      <x:c r="AL350" s="7" t="str"/>
      <x:c r="AM350" s="7" t="str">
        <x:v>AGUILAR  EDDIE</x:v>
      </x:c>
      <x:c r="AN350" s="7" t="str">
        <x:v>https://cdicloud.insurance.ca.gov/cal/LicenseDetail?SearchType=IND&amp;SearchLicNbr=0K61998&amp;SearchIndvId=1805642</x:v>
      </x:c>
      <x:c r="AO350" s="7" t="str">
        <x:v>2026-10-08</x:v>
      </x:c>
      <x:c r="AP350" s="7" t="str">
        <x:v>345e9f293fb2d91bf3fa1ad6927e23f0a6e48e0c0b69ce5cbaa1995fdb013f7a</x:v>
      </x:c>
      <x:c r="AQ350" s="7" t="str">
        <x:v>Life / Inactive / 11/25/2015 / 11/30/2021 / 11/30/2021</x:v>
      </x:c>
      <x:c r="AR350" s="7" t="str">
        <x:v>Inactive</x:v>
      </x:c>
      <x:c r="AS350" s="7" t="str">
        <x:v>Current detail page</x:v>
      </x:c>
    </x:row>
    <x:row r="351" ht="52" customHeight="1">
      <x:c r="A351" s="7" t="str">
        <x:v>AGUILAR EDDIE ALEXIS</x:v>
      </x:c>
      <x:c r="B351" s="14" t="str">
        <x:f>"0L12092"</x:f>
        <x:v>0L12092</x:v>
      </x:c>
      <x:c r="C351" s="7" t="str">
        <x:v>Omitted</x:v>
      </x:c>
      <x:c r="D351" s="7" t="str">
        <x:v>FAIL</x:v>
      </x:c>
      <x:c r="E351" s="13" t="str">
        <x:v>Pending</x:v>
      </x:c>
      <x:c r="F351" s="13" t="str"/>
      <x:c r="G351" s="13" t="str"/>
      <x:c r="H351" s="13" t="str"/>
      <x:c r="I351" s="7" t="str">
        <x:v>Was this person reviewed? If rejected, give the actual rule and evidence. If acceptable, correct the omission. Confirm the Life-qualification gate and any record change since selection.</x:v>
      </x:c>
      <x:c r="J351" s="7" t="str">
        <x:v>L1</x:v>
      </x:c>
      <x:c r="K351" s="7" t="str">
        <x:v>Verified qualifications do not include active general Life. Current target-pool mismatch; actual historical omission reason unknown.</x:v>
      </x:c>
      <x:c r="L351" s="7" t="str">
        <x:v>Not supplied; membership is known, motive is not</x:v>
      </x:c>
      <x:c r="M351" s="7" t="n">
        <x:v>7</x:v>
      </x:c>
      <x:c r="N351" s="7" t="str">
        <x:v>Outside current general-Life recruiting pool</x:v>
      </x:c>
      <x:c r="O351" s="7" t="str">
        <x:v>Inactive</x:v>
      </x:c>
      <x:c r="P351" s="7" t="str">
        <x:v>09/13/2016</x:v>
      </x:c>
      <x:c r="Q351" s="7" t="str">
        <x:v>09/30/2022</x:v>
      </x:c>
      <x:c r="R351" s="7" t="str"/>
      <x:c r="S351" s="15" t="str">
        <x:v>415-788-1037</x:v>
      </x:c>
      <x:c r="T351" s="7" t="str">
        <x:v>Current CDI</x:v>
      </x:c>
      <x:c r="U351" s="7" t="str">
        <x:v>151 WARRIORS WAY STE 100 SAN FRANCISCO CA, 94158-2251</x:v>
      </x:c>
      <x:c r="V351" s="7" t="str">
        <x:v>Resident</x:v>
      </x:c>
      <x:c r="W351" s="7" t="str">
        <x:v>CA</x:v>
      </x:c>
      <x:c r="X351" s="7" t="str"/>
      <x:c r="Y351" s="7" t="str"/>
      <x:c r="Z351" s="7" t="str"/>
      <x:c r="AA351" s="7" t="str"/>
      <x:c r="AB351" s="7" t="str"/>
      <x:c r="AC351" s="7" t="str"/>
      <x:c r="AD351" s="7" t="str">
        <x:v>No agency or insurer displayed: onboarding opportunity possible; existing business unknown</x:v>
      </x:c>
      <x:c r="AE351" s="7" t="str"/>
      <x:c r="AF351" s="16" t="str"/>
      <x:c r="AG351" s="17" t="str"/>
      <x:c r="AH351" s="7" t="str"/>
      <x:c r="AI351" s="7" t="str">
        <x:v>English</x:v>
      </x:c>
      <x:c r="AJ351" s="7" t="str"/>
      <x:c r="AK351" s="15" t="str"/>
      <x:c r="AL351" s="7" t="str"/>
      <x:c r="AM351" s="7" t="str">
        <x:v>AGUILAR ALEXIS EDDIE</x:v>
      </x:c>
      <x:c r="AN351" s="7" t="str">
        <x:v>https://cdicloud.insurance.ca.gov/cal/LicenseDetail?SearchType=IND&amp;SearchLicNbr=0L12092&amp;SearchIndvId=1772580</x:v>
      </x:c>
      <x:c r="AO351" s="7" t="str">
        <x:v>2026-10-08</x:v>
      </x:c>
      <x:c r="AP351" s="7" t="str">
        <x:v>b6a3b7e483240fa079686e43ea3e78f9d6839ea2b92dfbf0e092c77c37f09b5c</x:v>
      </x:c>
      <x:c r="AQ351" s="7" t="str">
        <x:v>Life / Inactive / 09/13/2016 / 09/30/2022 / 09/30/2022
Var Life and Var Annuity / Inactive / 09/13/2016 / 09/30/2022 / 09/30/2022</x:v>
      </x:c>
      <x:c r="AR351" s="7" t="str">
        <x:v>Inactive</x:v>
      </x:c>
      <x:c r="AS351" s="7" t="str">
        <x:v>Current detail page</x:v>
      </x:c>
    </x:row>
    <x:row r="352" ht="52" customHeight="1">
      <x:c r="A352" s="7" t="str">
        <x:v>AGUILAR EDGAR</x:v>
      </x:c>
      <x:c r="B352" s="14" t="str">
        <x:f>"0K76441"</x:f>
        <x:v>0K76441</x:v>
      </x:c>
      <x:c r="C352" s="7" t="str">
        <x:v>Omitted</x:v>
      </x:c>
      <x:c r="D352" s="7" t="str">
        <x:v>FAIL</x:v>
      </x:c>
      <x:c r="E352" s="13" t="str">
        <x:v>Pending</x:v>
      </x:c>
      <x:c r="F352" s="13" t="str"/>
      <x:c r="G352" s="13" t="str"/>
      <x:c r="H352" s="13" t="str"/>
      <x:c r="I352" s="7" t="str">
        <x:v>Was this person reviewed? If rejected, give the actual rule and evidence. If acceptable, correct the omission. Confirm the Life-qualification gate and any record change since selection.</x:v>
      </x:c>
      <x:c r="J352" s="7" t="str">
        <x:v>L1</x:v>
      </x:c>
      <x:c r="K352" s="7" t="str">
        <x:v>Verified qualifications do not include active general Life. Current target-pool mismatch; actual historical omission reason unknown.</x:v>
      </x:c>
      <x:c r="L352" s="7" t="str">
        <x:v>Not supplied; membership is known, motive is not</x:v>
      </x:c>
      <x:c r="M352" s="7" t="n">
        <x:v>7</x:v>
      </x:c>
      <x:c r="N352" s="7" t="str">
        <x:v>Outside current general-Life recruiting pool</x:v>
      </x:c>
      <x:c r="O352" s="7" t="str">
        <x:v>Not displayed</x:v>
      </x:c>
      <x:c r="P352" s="7" t="str"/>
      <x:c r="Q352" s="7" t="str"/>
      <x:c r="R352" s="7" t="str"/>
      <x:c r="S352" s="15" t="str">
        <x:v>310-791-6777</x:v>
      </x:c>
      <x:c r="T352" s="7" t="str">
        <x:v>Current CDI</x:v>
      </x:c>
      <x:c r="U352" s="7" t="str">
        <x:v>2601 S. FIGUEROA STREET - A124 LOS ANGELES CA, 90007</x:v>
      </x:c>
      <x:c r="V352" s="7" t="str">
        <x:v>Resident</x:v>
      </x:c>
      <x:c r="W352" s="7" t="str">
        <x:v>CA</x:v>
      </x:c>
      <x:c r="X352" s="7" t="str"/>
      <x:c r="Y352" s="7" t="str"/>
      <x:c r="Z352" s="7" t="str"/>
      <x:c r="AA352" s="7" t="str"/>
      <x:c r="AB352" s="7" t="str"/>
      <x:c r="AC352" s="7" t="str"/>
      <x:c r="AD352" s="7" t="str">
        <x:v>No agency or insurer displayed: onboarding opportunity possible; existing business unknown</x:v>
      </x:c>
      <x:c r="AE352" s="7" t="str"/>
      <x:c r="AF352" s="16" t="str"/>
      <x:c r="AG352" s="17" t="str"/>
      <x:c r="AH352" s="7" t="str"/>
      <x:c r="AI352" s="7" t="str">
        <x:v>English</x:v>
      </x:c>
      <x:c r="AJ352" s="7" t="str"/>
      <x:c r="AK352" s="15" t="str"/>
      <x:c r="AL352" s="7" t="str"/>
      <x:c r="AM352" s="7" t="str">
        <x:v>AGUILAR  EDGAR</x:v>
      </x:c>
      <x:c r="AN352" s="7" t="str">
        <x:v>https://cdicloud.insurance.ca.gov/cal/LicenseDetail?SearchType=IND&amp;SearchLicNbr=0K76441&amp;SearchIndvId=1818891</x:v>
      </x:c>
      <x:c r="AO352" s="7" t="str">
        <x:v>2026-10-08</x:v>
      </x:c>
      <x:c r="AP352" s="7" t="str">
        <x:v>348fecc30afe423c640d695f69e7913028ed996e393d80e9da993a98f98f2313</x:v>
      </x:c>
      <x:c r="AQ352" s="7" t="str">
        <x:v>Personal Lines / Inactive / 02/26/2016 / 02/29/2024 / 02/29/2024</x:v>
      </x:c>
      <x:c r="AR352" s="7" t="str">
        <x:v>Inactive</x:v>
      </x:c>
      <x:c r="AS352" s="7" t="str">
        <x:v>Current detail page</x:v>
      </x:c>
    </x:row>
    <x:row r="353" ht="52" customHeight="1">
      <x:c r="A353" s="7" t="str">
        <x:v>AGUILAR EDGAR</x:v>
      </x:c>
      <x:c r="B353" s="14" t="str">
        <x:f>"4549870"</x:f>
        <x:v>4549870</x:v>
      </x:c>
      <x:c r="C353" s="7" t="str">
        <x:v>Omitted</x:v>
      </x:c>
      <x:c r="D353" s="7" t="str">
        <x:v>FAIL</x:v>
      </x:c>
      <x:c r="E353" s="13" t="str">
        <x:v>Pending</x:v>
      </x:c>
      <x:c r="F353" s="13" t="str"/>
      <x:c r="G353" s="13" t="str"/>
      <x:c r="H353" s="13" t="str"/>
      <x:c r="I353" s="7" t="str">
        <x:v>Was this person reviewed? If rejected, give the actual rule and evidence. If acceptable, correct the omission. Confirm the Life-qualification gate and any record change since selection.</x:v>
      </x:c>
      <x:c r="J353" s="7" t="str">
        <x:v>L1</x:v>
      </x:c>
      <x:c r="K353" s="7" t="str">
        <x:v>Verified qualifications do not include active general Life. Current target-pool mismatch; actual historical omission reason unknown.</x:v>
      </x:c>
      <x:c r="L353" s="7" t="str">
        <x:v>Not supplied; membership is known, motive is not</x:v>
      </x:c>
      <x:c r="M353" s="7" t="n">
        <x:v>7</x:v>
      </x:c>
      <x:c r="N353" s="7" t="str">
        <x:v>Outside current general-Life recruiting pool</x:v>
      </x:c>
      <x:c r="O353" s="7" t="str">
        <x:v>Not displayed</x:v>
      </x:c>
      <x:c r="P353" s="7" t="str"/>
      <x:c r="Q353" s="7" t="str"/>
      <x:c r="R353" s="7" t="str">
        <x:v>Accident &amp; Health or Sickness</x:v>
      </x:c>
      <x:c r="S353" s="15" t="str"/>
      <x:c r="T353" s="7" t="str">
        <x:v>No public business phone in collected record</x:v>
      </x:c>
      <x:c r="U353" s="7" t="str">
        <x:v>169 INVERNESS DR W SUITE 400 ENGLEWOOD CO, 80112</x:v>
      </x:c>
      <x:c r="V353" s="7" t="str">
        <x:v>Non-resident</x:v>
      </x:c>
      <x:c r="W353" s="7" t="str">
        <x:v>CO</x:v>
      </x:c>
      <x:c r="X353" s="7" t="str"/>
      <x:c r="Y353" s="7" t="str">
        <x:v>UNITEDHEALTHCARE INSURANCE COMPANY / Accident &amp; Health or Sickness / 06/09/2026</x:v>
      </x:c>
      <x:c r="Z353" s="7" t="str"/>
      <x:c r="AA353" s="7" t="str"/>
      <x:c r="AB353" s="7" t="str"/>
      <x:c r="AC353" s="7" t="str"/>
      <x:c r="AD353" s="7" t="str">
        <x:v>Active A&amp;H supports optional cross-selling; not necessary for target products</x:v>
      </x:c>
      <x:c r="AE353" s="7" t="str">
        <x:v>Displayed insurer appointments are A&amp;H/disability only despite active Life authority | Nonresident or address state outside CA; confirm geographic recruiting scope | No public business phone: contact enrichment needed, not proof of poor recruiting fit</x:v>
      </x:c>
      <x:c r="AF353" s="16" t="str"/>
      <x:c r="AG353" s="17" t="str"/>
      <x:c r="AH353" s="7" t="str"/>
      <x:c r="AI353" s="7" t="str"/>
      <x:c r="AJ353" s="7" t="str"/>
      <x:c r="AK353" s="15" t="str"/>
      <x:c r="AL353" s="7" t="str"/>
      <x:c r="AM353" s="7" t="str">
        <x:v>AGUILAR  EDGAR</x:v>
      </x:c>
      <x:c r="AN353" s="7" t="str">
        <x:v>https://cdicloud.insurance.ca.gov/cal/LicenseDetail?SearchType=IND&amp;SearchLicNbr=4549870&amp;SearchIndvId=4549870</x:v>
      </x:c>
      <x:c r="AO353" s="7" t="str">
        <x:v>2026-10-08</x:v>
      </x:c>
      <x:c r="AP353" s="7" t="str">
        <x:v>e66de0f809f02d45aa300c9c791be658a987723f1b58f368abc6896eb24cd489</x:v>
      </x:c>
      <x:c r="AQ353" s="7" t="str">
        <x:v>Accident &amp; Health or Sickness / Active / 05/21/2026 / 05/21/2026 / 05/31/2028</x:v>
      </x:c>
      <x:c r="AR353" s="7" t="str">
        <x:v>Active</x:v>
      </x:c>
      <x:c r="AS353" s="7" t="str">
        <x:v>Current detail page</x:v>
      </x:c>
    </x:row>
    <x:row r="354" ht="52" customHeight="1">
      <x:c r="A354" s="7" t="str">
        <x:v>AGUILAR EDGAR IGNACIO</x:v>
      </x:c>
      <x:c r="B354" s="14" t="str">
        <x:f>"0H22321"</x:f>
        <x:v>0H22321</x:v>
      </x:c>
      <x:c r="C354" s="7" t="str">
        <x:v>Omitted</x:v>
      </x:c>
      <x:c r="D354" s="7" t="str">
        <x:v>FAIL</x:v>
      </x:c>
      <x:c r="E354" s="13" t="str">
        <x:v>Pending</x:v>
      </x:c>
      <x:c r="F354" s="13" t="str"/>
      <x:c r="G354" s="13" t="str"/>
      <x:c r="H354" s="13" t="str"/>
      <x:c r="I354" s="7" t="str">
        <x:v>Was this person reviewed? If rejected, give the actual rule and evidence. If acceptable, correct the omission. Confirm the Life-qualification gate and any record change since selection.</x:v>
      </x:c>
      <x:c r="J354" s="7" t="str">
        <x:v>L1</x:v>
      </x:c>
      <x:c r="K354" s="7" t="str">
        <x:v>Verified qualifications do not include active general Life. Current target-pool mismatch; actual historical omission reason unknown.</x:v>
      </x:c>
      <x:c r="L354" s="7" t="str">
        <x:v>Not supplied; membership is known, motive is not</x:v>
      </x:c>
      <x:c r="M354" s="7" t="n">
        <x:v>7</x:v>
      </x:c>
      <x:c r="N354" s="7" t="str">
        <x:v>Outside current general-Life recruiting pool</x:v>
      </x:c>
      <x:c r="O354" s="7" t="str">
        <x:v>Not displayed</x:v>
      </x:c>
      <x:c r="P354" s="7" t="str"/>
      <x:c r="Q354" s="7" t="str"/>
      <x:c r="R354" s="7" t="str"/>
      <x:c r="S354" s="15" t="str"/>
      <x:c r="T354" s="7" t="str">
        <x:v>No public business phone in collected record</x:v>
      </x:c>
      <x:c r="U354" s="7" t="str"/>
      <x:c r="V354" s="7" t="str">
        <x:v>Resident</x:v>
      </x:c>
      <x:c r="W354" s="7" t="str">
        <x:v>CA</x:v>
      </x:c>
      <x:c r="X354" s="7" t="str"/>
      <x:c r="Y354" s="7" t="str"/>
      <x:c r="Z354" s="7" t="str"/>
      <x:c r="AA354" s="7" t="str"/>
      <x:c r="AB354" s="7" t="str"/>
      <x:c r="AC354" s="7" t="str"/>
      <x:c r="AD354" s="7" t="str">
        <x:v>No agency or insurer displayed: onboarding opportunity possible; existing business unknown</x:v>
      </x:c>
      <x:c r="AE354" s="7" t="str">
        <x:v>No public business phone: contact enrichment needed, not proof of poor recruiting fit</x:v>
      </x:c>
      <x:c r="AF354" s="16" t="str"/>
      <x:c r="AG354" s="17" t="str"/>
      <x:c r="AH354" s="7" t="str"/>
      <x:c r="AI354" s="7" t="str"/>
      <x:c r="AJ354" s="7" t="str"/>
      <x:c r="AK354" s="15" t="str"/>
      <x:c r="AL354" s="7" t="str"/>
      <x:c r="AM354" s="7" t="str">
        <x:v>AGUILAR IGNACIO EDGAR | AGUILAR-GOMEZ IGNACIO EDGAR</x:v>
      </x:c>
      <x:c r="AN354" s="7" t="str">
        <x:v>https://cdicloud.insurance.ca.gov/cal/LicenseDetail?SearchType=IND&amp;SearchLicNbr=0H22321&amp;SearchIndvId=1362746</x:v>
      </x:c>
      <x:c r="AO354" s="7" t="str">
        <x:v>2026-10-08</x:v>
      </x:c>
      <x:c r="AP354" s="7" t="str">
        <x:v>b7b80af3b49f014addf309edebe2e74188da3061f8074d3c54da9ca4f084bd57</x:v>
      </x:c>
      <x:c r="AQ354" s="7" t="str">
        <x:v>Life-Only / Inactive / 11/09/2010 / 11/30/2012 / 11/30/2012</x:v>
      </x:c>
      <x:c r="AR354" s="7" t="str">
        <x:v>Inactive</x:v>
      </x:c>
      <x:c r="AS354" s="7" t="str">
        <x:v>Current detail page</x:v>
      </x:c>
    </x:row>
    <x:row r="355" ht="52" customHeight="1">
      <x:c r="A355" s="7" t="str">
        <x:v>AGUILAR EDGAR VACQUEZ</x:v>
      </x:c>
      <x:c r="B355" s="14" t="str">
        <x:f>"0C34845"</x:f>
        <x:v>0C34845</x:v>
      </x:c>
      <x:c r="C355" s="7" t="str">
        <x:v>Omitted</x:v>
      </x:c>
      <x:c r="D355" s="7" t="str">
        <x:v>FAIL</x:v>
      </x:c>
      <x:c r="E355" s="13" t="str">
        <x:v>Pending</x:v>
      </x:c>
      <x:c r="F355" s="13" t="str"/>
      <x:c r="G355" s="13" t="str"/>
      <x:c r="H355" s="13" t="str"/>
      <x:c r="I355" s="7" t="str">
        <x:v>Was this person reviewed? If rejected, give the actual rule and evidence. If acceptable, correct the omission. Confirm the Life-qualification gate and any record change since selection.</x:v>
      </x:c>
      <x:c r="J355" s="7" t="str">
        <x:v>L1</x:v>
      </x:c>
      <x:c r="K355" s="7" t="str">
        <x:v>Verified qualifications do not include active general Life. Current target-pool mismatch; actual historical omission reason unknown.</x:v>
      </x:c>
      <x:c r="L355" s="7" t="str">
        <x:v>Not supplied; membership is known, motive is not</x:v>
      </x:c>
      <x:c r="M355" s="7" t="n">
        <x:v>7</x:v>
      </x:c>
      <x:c r="N355" s="7" t="str">
        <x:v>Outside current general-Life recruiting pool</x:v>
      </x:c>
      <x:c r="O355" s="7" t="str">
        <x:v>Inactive</x:v>
      </x:c>
      <x:c r="P355" s="7" t="str">
        <x:v>06/19/1998</x:v>
      </x:c>
      <x:c r="Q355" s="7" t="str">
        <x:v>06/30/2024</x:v>
      </x:c>
      <x:c r="R355" s="7" t="str"/>
      <x:c r="S355" s="15" t="str">
        <x:v>949-584-7838</x:v>
      </x:c>
      <x:c r="T355" s="7" t="str">
        <x:v>Current CDI</x:v>
      </x:c>
      <x:c r="U355" s="7" t="str">
        <x:v>702 KIMBERLY ST UNIT B GEORGETOWN TX, 78628-2723</x:v>
      </x:c>
      <x:c r="V355" s="7" t="str">
        <x:v>Non-resident</x:v>
      </x:c>
      <x:c r="W355" s="7" t="str">
        <x:v>TX</x:v>
      </x:c>
      <x:c r="X355" s="7" t="str"/>
      <x:c r="Y355" s="7" t="str"/>
      <x:c r="Z355" s="7" t="str"/>
      <x:c r="AA355" s="7" t="str"/>
      <x:c r="AB355" s="7" t="str"/>
      <x:c r="AC355" s="7" t="str"/>
      <x:c r="AD355" s="7" t="str">
        <x:v>No agency or insurer displayed: onboarding opportunity possible; existing business unknown</x:v>
      </x:c>
      <x:c r="AE355" s="7" t="str">
        <x:v>Nonresident or address state outside CA; confirm geographic recruiting scope</x:v>
      </x:c>
      <x:c r="AF355" s="16" t="str"/>
      <x:c r="AG355" s="17" t="str"/>
      <x:c r="AH355" s="7" t="str"/>
      <x:c r="AI355" s="7" t="str">
        <x:v>English</x:v>
      </x:c>
      <x:c r="AJ355" s="7" t="str"/>
      <x:c r="AK355" s="15" t="str"/>
      <x:c r="AL355" s="7" t="str"/>
      <x:c r="AM355" s="7" t="str">
        <x:v>AGUILAR VACQUEZ EDGAR</x:v>
      </x:c>
      <x:c r="AN355" s="7" t="str">
        <x:v>https://cdicloud.insurance.ca.gov/cal/LicenseDetail?SearchType=IND&amp;SearchLicNbr=0C34845&amp;SearchIndvId=309739</x:v>
      </x:c>
      <x:c r="AO355" s="7" t="str">
        <x:v>2026-10-08</x:v>
      </x:c>
      <x:c r="AP355" s="7" t="str">
        <x:v>cca9e076f210cf3514a2eb5213105133ad22b028ab23871b3d1fb3bb234aeeaf</x:v>
      </x:c>
      <x:c r="AQ355" s="7" t="str">
        <x:v>Accident &amp; Health or Sickness / Inactive / 06/19/1998 / 06/30/2024 / 06/30/2024
Life / Inactive / 06/19/1998 / 06/30/2024 / 06/30/2024</x:v>
      </x:c>
      <x:c r="AR355" s="7" t="str">
        <x:v>Inactive</x:v>
      </x:c>
      <x:c r="AS355" s="7" t="str">
        <x:v>Current detail page</x:v>
      </x:c>
    </x:row>
    <x:row r="356" ht="52" customHeight="1">
      <x:c r="A356" s="7" t="str">
        <x:v>AGUILAR EDGARD ALFREDO</x:v>
      </x:c>
      <x:c r="B356" s="14" t="str">
        <x:f>"0F96190"</x:f>
        <x:v>0F96190</x:v>
      </x:c>
      <x:c r="C356" s="7" t="str">
        <x:v>Omitted</x:v>
      </x:c>
      <x:c r="D356" s="7" t="str">
        <x:v>FAIL</x:v>
      </x:c>
      <x:c r="E356" s="13" t="str">
        <x:v>Pending</x:v>
      </x:c>
      <x:c r="F356" s="13" t="str"/>
      <x:c r="G356" s="13" t="str"/>
      <x:c r="H356" s="13" t="str"/>
      <x:c r="I356" s="7" t="str">
        <x:v>Was this person reviewed? If rejected, give the actual rule and evidence. If acceptable, correct the omission. Confirm the Life-qualification gate and any record change since selection.</x:v>
      </x:c>
      <x:c r="J356" s="7" t="str">
        <x:v>L1</x:v>
      </x:c>
      <x:c r="K356" s="7" t="str">
        <x:v>Verified qualifications do not include active general Life. Current target-pool mismatch; actual historical omission reason unknown.</x:v>
      </x:c>
      <x:c r="L356" s="7" t="str">
        <x:v>Not supplied; membership is known, motive is not</x:v>
      </x:c>
      <x:c r="M356" s="7" t="n">
        <x:v>7</x:v>
      </x:c>
      <x:c r="N356" s="7" t="str">
        <x:v>Outside current general-Life recruiting pool</x:v>
      </x:c>
      <x:c r="O356" s="7" t="str">
        <x:v>Not displayed</x:v>
      </x:c>
      <x:c r="P356" s="7" t="str"/>
      <x:c r="Q356" s="7" t="str"/>
      <x:c r="R356" s="7" t="str"/>
      <x:c r="S356" s="15" t="str"/>
      <x:c r="T356" s="7" t="str">
        <x:v>No public business phone in collected record</x:v>
      </x:c>
      <x:c r="U356" s="7" t="str"/>
      <x:c r="V356" s="7" t="str">
        <x:v>Resident</x:v>
      </x:c>
      <x:c r="W356" s="7" t="str">
        <x:v>CA</x:v>
      </x:c>
      <x:c r="X356" s="7" t="str"/>
      <x:c r="Y356" s="7" t="str"/>
      <x:c r="Z356" s="7" t="str"/>
      <x:c r="AA356" s="7" t="str"/>
      <x:c r="AB356" s="7" t="str"/>
      <x:c r="AC356" s="7" t="str"/>
      <x:c r="AD356" s="7" t="str">
        <x:v>No agency or insurer displayed: onboarding opportunity possible; existing business unknown</x:v>
      </x:c>
      <x:c r="AE356" s="7" t="str">
        <x:v>No public business phone: contact enrichment needed, not proof of poor recruiting fit</x:v>
      </x:c>
      <x:c r="AF356" s="16" t="str"/>
      <x:c r="AG356" s="17" t="str"/>
      <x:c r="AH356" s="7" t="str"/>
      <x:c r="AI356" s="7" t="str"/>
      <x:c r="AJ356" s="7" t="str"/>
      <x:c r="AK356" s="15" t="str"/>
      <x:c r="AL356" s="7" t="str"/>
      <x:c r="AM356" s="7" t="str">
        <x:v>AGUILAR ALFREDO EDGARD</x:v>
      </x:c>
      <x:c r="AN356" s="7" t="str">
        <x:v>https://cdicloud.insurance.ca.gov/cal/LicenseDetail?SearchType=IND&amp;SearchLicNbr=0F96190&amp;SearchIndvId=1121456</x:v>
      </x:c>
      <x:c r="AO356" s="7" t="str">
        <x:v>2026-10-08</x:v>
      </x:c>
      <x:c r="AP356" s="7" t="str">
        <x:v>136f2100e1c3d689b42e4d6e5940b5c5318008c2ebeb9f7be5ab8142ae02697e</x:v>
      </x:c>
      <x:c r="AQ356" s="7" t="str">
        <x:v>Accident and Health / Inactive / 10/31/2008 / 01/31/2020 / 01/31/2020
Casualty Broker-Agent / Inactive / 01/30/2008 / 01/31/2020 / 01/31/2020
Life-Only / Inactive / 10/31/2008 / 01/31/2020 / 01/31/2020
Property Broker-Agent / Inactive / 01/30/2008 / 01/31/2020 / 01/31/2020</x:v>
      </x:c>
      <x:c r="AR356" s="7" t="str">
        <x:v>Inactive</x:v>
      </x:c>
      <x:c r="AS356" s="7" t="str">
        <x:v>Current detail page</x:v>
      </x:c>
    </x:row>
    <x:row r="357" ht="52" customHeight="1">
      <x:c r="A357" s="7" t="str">
        <x:v>AGUILAR EDGARDO SIERRA</x:v>
      </x:c>
      <x:c r="B357" s="14" t="str">
        <x:f>"0C29853"</x:f>
        <x:v>0C29853</x:v>
      </x:c>
      <x:c r="C357" s="7" t="str">
        <x:v>Omitted</x:v>
      </x:c>
      <x:c r="D357" s="7" t="str">
        <x:v>FAIL</x:v>
      </x:c>
      <x:c r="E357" s="13" t="str">
        <x:v>Pending</x:v>
      </x:c>
      <x:c r="F357" s="13" t="str"/>
      <x:c r="G357" s="13" t="str"/>
      <x:c r="H357" s="13" t="str"/>
      <x:c r="I357" s="7" t="str">
        <x:v>Was this person reviewed? If rejected, give the actual rule and evidence. If acceptable, correct the omission. Confirm the Life-qualification gate and any record change since selection.</x:v>
      </x:c>
      <x:c r="J357" s="7" t="str">
        <x:v>L1</x:v>
      </x:c>
      <x:c r="K357" s="7" t="str">
        <x:v>Verified qualifications do not include active general Life. Current target-pool mismatch; actual historical omission reason unknown.</x:v>
      </x:c>
      <x:c r="L357" s="7" t="str">
        <x:v>Not supplied; membership is known, motive is not</x:v>
      </x:c>
      <x:c r="M357" s="7" t="n">
        <x:v>7</x:v>
      </x:c>
      <x:c r="N357" s="7" t="str">
        <x:v>Outside current general-Life recruiting pool</x:v>
      </x:c>
      <x:c r="O357" s="7" t="str">
        <x:v>Not displayed</x:v>
      </x:c>
      <x:c r="P357" s="7" t="str"/>
      <x:c r="Q357" s="7" t="str"/>
      <x:c r="R357" s="7" t="str"/>
      <x:c r="S357" s="15" t="str"/>
      <x:c r="T357" s="7" t="str">
        <x:v>No public business phone in collected record</x:v>
      </x:c>
      <x:c r="U357" s="7" t="str"/>
      <x:c r="V357" s="7" t="str">
        <x:v>Resident</x:v>
      </x:c>
      <x:c r="W357" s="7" t="str">
        <x:v>CA</x:v>
      </x:c>
      <x:c r="X357" s="7" t="str"/>
      <x:c r="Y357" s="7" t="str"/>
      <x:c r="Z357" s="7" t="str"/>
      <x:c r="AA357" s="7" t="str"/>
      <x:c r="AB357" s="7" t="str"/>
      <x:c r="AC357" s="7" t="str"/>
      <x:c r="AD357" s="7" t="str">
        <x:v>No agency or insurer displayed: onboarding opportunity possible; existing business unknown</x:v>
      </x:c>
      <x:c r="AE357" s="7" t="str">
        <x:v>No public business phone: contact enrichment needed, not proof of poor recruiting fit</x:v>
      </x:c>
      <x:c r="AF357" s="16" t="str"/>
      <x:c r="AG357" s="17" t="str"/>
      <x:c r="AH357" s="7" t="str"/>
      <x:c r="AI357" s="7" t="str"/>
      <x:c r="AJ357" s="7" t="str"/>
      <x:c r="AK357" s="15" t="str"/>
      <x:c r="AL357" s="7" t="str"/>
      <x:c r="AM357" s="7" t="str">
        <x:v>AGUILAR SIERRA EDGARDO</x:v>
      </x:c>
      <x:c r="AN357" s="7" t="str">
        <x:v>https://cdicloud.insurance.ca.gov/cal/LicenseDetail?SearchType=IND&amp;SearchLicNbr=0C29853&amp;SearchIndvId=304967</x:v>
      </x:c>
      <x:c r="AO357" s="7" t="str">
        <x:v>2026-10-08</x:v>
      </x:c>
      <x:c r="AP357" s="7" t="str">
        <x:v>542c78f702429dc8de276c1be53504d1cdf494646ae433ef5420ae8dba9d6f60</x:v>
      </x:c>
      <x:c r="AQ357" s="7" t="str">
        <x:v>Travel Agent / Inactive / 05/16/1998 / 05/31/2000 / 05/31/2000</x:v>
      </x:c>
      <x:c r="AR357" s="7" t="str">
        <x:v>Inactive</x:v>
      </x:c>
      <x:c r="AS357" s="7" t="str">
        <x:v>Current detail page</x:v>
      </x:c>
    </x:row>
    <x:row r="358" ht="52" customHeight="1">
      <x:c r="A358" s="7" t="str">
        <x:v>AGUILAR EDITH DEL CARMEN</x:v>
      </x:c>
      <x:c r="B358" s="14" t="str">
        <x:f>"0E49346"</x:f>
        <x:v>0E49346</x:v>
      </x:c>
      <x:c r="C358" s="7" t="str">
        <x:v>Omitted</x:v>
      </x:c>
      <x:c r="D358" s="7" t="str">
        <x:v>FAIL</x:v>
      </x:c>
      <x:c r="E358" s="13" t="str">
        <x:v>Pending</x:v>
      </x:c>
      <x:c r="F358" s="13" t="str"/>
      <x:c r="G358" s="13" t="str"/>
      <x:c r="H358" s="13" t="str"/>
      <x:c r="I358" s="7" t="str">
        <x:v>Was this person reviewed? If rejected, give the actual rule and evidence. If acceptable, correct the omission. Confirm the Life-qualification gate and any record change since selection.</x:v>
      </x:c>
      <x:c r="J358" s="7" t="str">
        <x:v>L1</x:v>
      </x:c>
      <x:c r="K358" s="7" t="str">
        <x:v>Verified qualifications do not include active general Life. Current target-pool mismatch; actual historical omission reason unknown.</x:v>
      </x:c>
      <x:c r="L358" s="7" t="str">
        <x:v>Not supplied; membership is known, motive is not</x:v>
      </x:c>
      <x:c r="M358" s="7" t="n">
        <x:v>7</x:v>
      </x:c>
      <x:c r="N358" s="7" t="str">
        <x:v>Outside current general-Life recruiting pool</x:v>
      </x:c>
      <x:c r="O358" s="7" t="str">
        <x:v>Not displayed</x:v>
      </x:c>
      <x:c r="P358" s="7" t="str"/>
      <x:c r="Q358" s="7" t="str"/>
      <x:c r="R358" s="7" t="str"/>
      <x:c r="S358" s="15" t="str"/>
      <x:c r="T358" s="7" t="str">
        <x:v>No public business phone in collected record</x:v>
      </x:c>
      <x:c r="U358" s="7" t="str"/>
      <x:c r="V358" s="7" t="str">
        <x:v>Resident</x:v>
      </x:c>
      <x:c r="W358" s="7" t="str">
        <x:v>CA</x:v>
      </x:c>
      <x:c r="X358" s="7" t="str"/>
      <x:c r="Y358" s="7" t="str"/>
      <x:c r="Z358" s="7" t="str"/>
      <x:c r="AA358" s="7" t="str"/>
      <x:c r="AB358" s="7" t="str"/>
      <x:c r="AC358" s="7" t="str"/>
      <x:c r="AD358" s="7" t="str">
        <x:v>No agency or insurer displayed: onboarding opportunity possible; existing business unknown</x:v>
      </x:c>
      <x:c r="AE358" s="7" t="str">
        <x:v>No public business phone: contact enrichment needed, not proof of poor recruiting fit</x:v>
      </x:c>
      <x:c r="AF358" s="16" t="str"/>
      <x:c r="AG358" s="17" t="str"/>
      <x:c r="AH358" s="7" t="str"/>
      <x:c r="AI358" s="7" t="str"/>
      <x:c r="AJ358" s="7" t="str"/>
      <x:c r="AK358" s="15" t="str"/>
      <x:c r="AL358" s="7" t="str"/>
      <x:c r="AM358" s="7" t="str">
        <x:v>AGUILAR DEL CARMEN EDITH</x:v>
      </x:c>
      <x:c r="AN358" s="7" t="str">
        <x:v>https://cdicloud.insurance.ca.gov/cal/LicenseDetail?SearchType=IND&amp;SearchLicNbr=0E49346&amp;SearchIndvId=907068</x:v>
      </x:c>
      <x:c r="AO358" s="7" t="str">
        <x:v>2026-10-08</x:v>
      </x:c>
      <x:c r="AP358" s="7" t="str">
        <x:v>4647d7b92201fa819bf220c3110887bf872490523c1b37efcb1000b08eff1eb4</x:v>
      </x:c>
      <x:c r="AQ358" s="7" t="str">
        <x:v>Accident and Health / Inactive / 07/21/2004 / 07/31/2010 / 07/31/2010
Life-Only / Inactive / 07/21/2004 / 07/31/2010 / 07/31/2010</x:v>
      </x:c>
      <x:c r="AR358" s="7" t="str">
        <x:v>Inactive</x:v>
      </x:c>
      <x:c r="AS358" s="7" t="str">
        <x:v>Current detail page</x:v>
      </x:c>
    </x:row>
    <x:row r="359" ht="52" customHeight="1">
      <x:c r="A359" s="7" t="str">
        <x:v>AGUILAR EDUARDO ALFONSO</x:v>
      </x:c>
      <x:c r="B359" s="14" t="str">
        <x:f>"4332161"</x:f>
        <x:v>4332161</x:v>
      </x:c>
      <x:c r="C359" s="7" t="str">
        <x:v>Omitted</x:v>
      </x:c>
      <x:c r="D359" s="7" t="str">
        <x:v>FAIL</x:v>
      </x:c>
      <x:c r="E359" s="13" t="str">
        <x:v>Pending</x:v>
      </x:c>
      <x:c r="F359" s="13" t="str"/>
      <x:c r="G359" s="13" t="str"/>
      <x:c r="H359" s="13" t="str"/>
      <x:c r="I359" s="7" t="str">
        <x:v>Was this person reviewed? If rejected, give the actual rule and evidence. If acceptable, correct the omission. Confirm the Life-qualification gate and any record change since selection.</x:v>
      </x:c>
      <x:c r="J359" s="7" t="str">
        <x:v>L1</x:v>
      </x:c>
      <x:c r="K359" s="7" t="str">
        <x:v>Verified qualifications do not include active general Life. Current target-pool mismatch; actual historical omission reason unknown.</x:v>
      </x:c>
      <x:c r="L359" s="7" t="str">
        <x:v>Not supplied; membership is known, motive is not</x:v>
      </x:c>
      <x:c r="M359" s="7" t="n">
        <x:v>7</x:v>
      </x:c>
      <x:c r="N359" s="7" t="str">
        <x:v>Outside current general-Life recruiting pool</x:v>
      </x:c>
      <x:c r="O359" s="7" t="str">
        <x:v>Inactive</x:v>
      </x:c>
      <x:c r="P359" s="7" t="str">
        <x:v>11/07/2023</x:v>
      </x:c>
      <x:c r="Q359" s="7" t="str">
        <x:v>11/30/2025</x:v>
      </x:c>
      <x:c r="R359" s="7" t="str"/>
      <x:c r="S359" s="15" t="str">
        <x:v>951-207-7921</x:v>
      </x:c>
      <x:c r="T359" s="7" t="str">
        <x:v>Current CDI</x:v>
      </x:c>
      <x:c r="U359" s="7" t="str">
        <x:v>3401 W SUNFLOWER AVE SUITE 100 SANTA ANA CA, 92704</x:v>
      </x:c>
      <x:c r="V359" s="7" t="str">
        <x:v>Resident</x:v>
      </x:c>
      <x:c r="W359" s="7" t="str">
        <x:v>CA</x:v>
      </x:c>
      <x:c r="X359" s="7" t="str"/>
      <x:c r="Y359" s="7" t="str"/>
      <x:c r="Z359" s="7" t="str"/>
      <x:c r="AA359" s="7" t="str"/>
      <x:c r="AB359" s="7" t="str"/>
      <x:c r="AC359" s="7" t="str"/>
      <x:c r="AD359" s="7" t="str">
        <x:v>No agency or insurer displayed: onboarding opportunity possible; existing business unknown</x:v>
      </x:c>
      <x:c r="AE359" s="7" t="str"/>
      <x:c r="AF359" s="16" t="str"/>
      <x:c r="AG359" s="17" t="str"/>
      <x:c r="AH359" s="7" t="str"/>
      <x:c r="AI359" s="7" t="str">
        <x:v>English</x:v>
      </x:c>
      <x:c r="AJ359" s="7" t="str"/>
      <x:c r="AK359" s="15" t="str"/>
      <x:c r="AL359" s="7" t="str"/>
      <x:c r="AM359" s="7" t="str">
        <x:v>Aguilar A Eduardo | AGUILAR ALFONSO EDUARDO</x:v>
      </x:c>
      <x:c r="AN359" s="7" t="str">
        <x:v>https://cdicloud.insurance.ca.gov/cal/LicenseDetail?SearchType=IND&amp;SearchLicNbr=4332161&amp;SearchIndvId=4332161</x:v>
      </x:c>
      <x:c r="AO359" s="7" t="str">
        <x:v>2026-10-08</x:v>
      </x:c>
      <x:c r="AP359" s="7" t="str">
        <x:v>8f581d8b8720ed643a3592e4e80f37a7b0745480da131de9760ee05b28ad3001</x:v>
      </x:c>
      <x:c r="AQ359" s="7" t="str">
        <x:v>Life / Inactive / 11/07/2023 / 11/30/2025 / 11/30/2025</x:v>
      </x:c>
      <x:c r="AR359" s="7" t="str">
        <x:v>Inactive</x:v>
      </x:c>
      <x:c r="AS359" s="7" t="str">
        <x:v>Current detail page</x:v>
      </x:c>
    </x:row>
    <x:row r="360" ht="52" customHeight="1">
      <x:c r="A360" s="7" t="str">
        <x:v>AGUILAR EDWARD</x:v>
      </x:c>
      <x:c r="B360" s="14" t="str">
        <x:f>"4312518"</x:f>
        <x:v>4312518</x:v>
      </x:c>
      <x:c r="C360" s="7" t="str">
        <x:v>Omitted</x:v>
      </x:c>
      <x:c r="D360" s="7" t="str">
        <x:v>FAIL</x:v>
      </x:c>
      <x:c r="E360" s="13" t="str">
        <x:v>Pending</x:v>
      </x:c>
      <x:c r="F360" s="13" t="str"/>
      <x:c r="G360" s="13" t="str"/>
      <x:c r="H360" s="13" t="str"/>
      <x:c r="I360" s="7" t="str">
        <x:v>Was this person reviewed? If rejected, give the actual rule and evidence. If acceptable, correct the omission. Confirm the Life-qualification gate and any record change since selection.</x:v>
      </x:c>
      <x:c r="J360" s="7" t="str">
        <x:v>L1</x:v>
      </x:c>
      <x:c r="K360" s="7" t="str">
        <x:v>Verified qualifications do not include active general Life. Current target-pool mismatch; actual historical omission reason unknown.</x:v>
      </x:c>
      <x:c r="L360" s="7" t="str">
        <x:v>Not supplied; membership is known, motive is not</x:v>
      </x:c>
      <x:c r="M360" s="7" t="n">
        <x:v>7</x:v>
      </x:c>
      <x:c r="N360" s="7" t="str">
        <x:v>Outside current general-Life recruiting pool</x:v>
      </x:c>
      <x:c r="O360" s="7" t="str">
        <x:v>Not displayed</x:v>
      </x:c>
      <x:c r="P360" s="7" t="str"/>
      <x:c r="Q360" s="7" t="str"/>
      <x:c r="R360" s="7" t="str"/>
      <x:c r="S360" s="15" t="str"/>
      <x:c r="T360" s="7" t="str">
        <x:v>No public business phone in collected record</x:v>
      </x:c>
      <x:c r="U360" s="7" t="str">
        <x:v>4414 CENTERVIEW STE 291 SAN ANTONIO TX, 78228-1427</x:v>
      </x:c>
      <x:c r="V360" s="7" t="str">
        <x:v>Non-resident</x:v>
      </x:c>
      <x:c r="W360" s="7" t="str">
        <x:v>TX</x:v>
      </x:c>
      <x:c r="X360" s="7" t="str"/>
      <x:c r="Y360" s="7" t="str"/>
      <x:c r="Z360" s="7" t="str"/>
      <x:c r="AA360" s="7" t="str"/>
      <x:c r="AB360" s="7" t="str"/>
      <x:c r="AC360" s="7" t="str"/>
      <x:c r="AD360" s="7" t="str">
        <x:v>No agency or insurer displayed: onboarding opportunity possible; existing business unknown</x:v>
      </x:c>
      <x:c r="AE360" s="7" t="str">
        <x:v>Nonresident or address state outside CA; confirm geographic recruiting scope | No public business phone: contact enrichment needed, not proof of poor recruiting fit</x:v>
      </x:c>
      <x:c r="AF360" s="16" t="str"/>
      <x:c r="AG360" s="17" t="str"/>
      <x:c r="AH360" s="7" t="str"/>
      <x:c r="AI360" s="7" t="str"/>
      <x:c r="AJ360" s="7" t="str"/>
      <x:c r="AK360" s="15" t="str"/>
      <x:c r="AL360" s="7" t="str"/>
      <x:c r="AM360" s="7" t="str">
        <x:v>AGUILAR  EDWARD</x:v>
      </x:c>
      <x:c r="AN360" s="7" t="str">
        <x:v>https://cdicloud.insurance.ca.gov/cal/LicenseDetail?SearchType=IND&amp;SearchLicNbr=4312518&amp;SearchIndvId=4312518</x:v>
      </x:c>
      <x:c r="AO360" s="7" t="str">
        <x:v>2026-10-08</x:v>
      </x:c>
      <x:c r="AP360" s="7" t="str">
        <x:v>352dd621e748ef1a8fcfca2b36edc2bc6c2fb82a0d9e982a3d5f4094bc48205d</x:v>
      </x:c>
      <x:c r="AQ360" s="7" t="str">
        <x:v>Casualty / Inactive / 07/27/2023 / 07/31/2025 / 07/31/2025
Property / Inactive / 07/27/2023 / 07/31/2025 / 07/31/2025</x:v>
      </x:c>
      <x:c r="AR360" s="7" t="str">
        <x:v>Inactive</x:v>
      </x:c>
      <x:c r="AS360" s="7" t="str">
        <x:v>Current detail page</x:v>
      </x:c>
    </x:row>
    <x:row r="361" ht="52" customHeight="1">
      <x:c r="A361" s="7" t="str">
        <x:v>AGUILAR EDWARD MARTINEZ</x:v>
      </x:c>
      <x:c r="B361" s="14" t="str">
        <x:f>"0E45523"</x:f>
        <x:v>0E45523</x:v>
      </x:c>
      <x:c r="C361" s="7" t="str">
        <x:v>Omitted</x:v>
      </x:c>
      <x:c r="D361" s="7" t="str">
        <x:v>FAIL</x:v>
      </x:c>
      <x:c r="E361" s="13" t="str">
        <x:v>Pending</x:v>
      </x:c>
      <x:c r="F361" s="13" t="str"/>
      <x:c r="G361" s="13" t="str"/>
      <x:c r="H361" s="13" t="str"/>
      <x:c r="I361" s="7" t="str">
        <x:v>Was this person reviewed? If rejected, give the actual rule and evidence. If acceptable, correct the omission. Confirm the Life-qualification gate and any record change since selection.</x:v>
      </x:c>
      <x:c r="J361" s="7" t="str">
        <x:v>L1</x:v>
      </x:c>
      <x:c r="K361" s="7" t="str">
        <x:v>Verified qualifications do not include active general Life. Current target-pool mismatch; actual historical omission reason unknown.</x:v>
      </x:c>
      <x:c r="L361" s="7" t="str">
        <x:v>Not supplied; membership is known, motive is not</x:v>
      </x:c>
      <x:c r="M361" s="7" t="n">
        <x:v>7</x:v>
      </x:c>
      <x:c r="N361" s="7" t="str">
        <x:v>Outside current general-Life recruiting pool</x:v>
      </x:c>
      <x:c r="O361" s="7" t="str">
        <x:v>Not displayed</x:v>
      </x:c>
      <x:c r="P361" s="7" t="str"/>
      <x:c r="Q361" s="7" t="str"/>
      <x:c r="R361" s="7" t="str"/>
      <x:c r="S361" s="15" t="str"/>
      <x:c r="T361" s="7" t="str">
        <x:v>No public business phone in collected record</x:v>
      </x:c>
      <x:c r="U361" s="7" t="str"/>
      <x:c r="V361" s="7" t="str">
        <x:v>Resident</x:v>
      </x:c>
      <x:c r="W361" s="7" t="str">
        <x:v>CA</x:v>
      </x:c>
      <x:c r="X361" s="7" t="str"/>
      <x:c r="Y361" s="7" t="str"/>
      <x:c r="Z361" s="7" t="str"/>
      <x:c r="AA361" s="7" t="str"/>
      <x:c r="AB361" s="7" t="str"/>
      <x:c r="AC361" s="7" t="str"/>
      <x:c r="AD361" s="7" t="str">
        <x:v>No agency or insurer displayed: onboarding opportunity possible; existing business unknown</x:v>
      </x:c>
      <x:c r="AE361" s="7" t="str">
        <x:v>No public business phone: contact enrichment needed, not proof of poor recruiting fit</x:v>
      </x:c>
      <x:c r="AF361" s="16" t="str"/>
      <x:c r="AG361" s="17" t="str"/>
      <x:c r="AH361" s="7" t="str"/>
      <x:c r="AI361" s="7" t="str"/>
      <x:c r="AJ361" s="7" t="str"/>
      <x:c r="AK361" s="15" t="str"/>
      <x:c r="AL361" s="7" t="str"/>
      <x:c r="AM361" s="7" t="str">
        <x:v>AGUILAR MARTINEZ EDWARD</x:v>
      </x:c>
      <x:c r="AN361" s="7" t="str">
        <x:v>https://cdicloud.insurance.ca.gov/cal/LicenseDetail?SearchType=IND&amp;SearchLicNbr=0E45523&amp;SearchIndvId=892091</x:v>
      </x:c>
      <x:c r="AO361" s="7" t="str">
        <x:v>2026-10-08</x:v>
      </x:c>
      <x:c r="AP361" s="7" t="str">
        <x:v>49f2e277ab69d8bc34a8befb5f8037c3fee0f474cf64f20f001f16198744051c</x:v>
      </x:c>
      <x:c r="AQ361" s="7" t="str">
        <x:v>Accident and Health / Inactive / 06/01/2004 / 06/30/2014 / 06/30/2014
Life-Only / Inactive / 06/01/2004 / 06/30/2014 / 06/30/2014</x:v>
      </x:c>
      <x:c r="AR361" s="7" t="str">
        <x:v>Inactive</x:v>
      </x:c>
      <x:c r="AS361" s="7" t="str">
        <x:v>Current detail page</x:v>
      </x:c>
    </x:row>
    <x:row r="362" ht="52" customHeight="1">
      <x:c r="A362" s="7" t="str">
        <x:v>AGUILAR EDWIN</x:v>
      </x:c>
      <x:c r="B362" s="14" t="str">
        <x:f>"0D25128"</x:f>
        <x:v>0D25128</x:v>
      </x:c>
      <x:c r="C362" s="7" t="str">
        <x:v>Omitted</x:v>
      </x:c>
      <x:c r="D362" s="7" t="str">
        <x:v>FAIL</x:v>
      </x:c>
      <x:c r="E362" s="13" t="str">
        <x:v>Pending</x:v>
      </x:c>
      <x:c r="F362" s="13" t="str"/>
      <x:c r="G362" s="13" t="str"/>
      <x:c r="H362" s="13" t="str"/>
      <x:c r="I362" s="7" t="str">
        <x:v>Was this person reviewed? If rejected, give the actual rule and evidence. If acceptable, correct the omission. Confirm the Life-qualification gate and any record change since selection.</x:v>
      </x:c>
      <x:c r="J362" s="7" t="str">
        <x:v>L1</x:v>
      </x:c>
      <x:c r="K362" s="7" t="str">
        <x:v>Verified qualifications do not include active general Life. Current target-pool mismatch; actual historical omission reason unknown.</x:v>
      </x:c>
      <x:c r="L362" s="7" t="str">
        <x:v>Not supplied; membership is known, motive is not</x:v>
      </x:c>
      <x:c r="M362" s="7" t="n">
        <x:v>7</x:v>
      </x:c>
      <x:c r="N362" s="7" t="str">
        <x:v>Outside current general-Life recruiting pool</x:v>
      </x:c>
      <x:c r="O362" s="7" t="str">
        <x:v>Not displayed</x:v>
      </x:c>
      <x:c r="P362" s="7" t="str"/>
      <x:c r="Q362" s="7" t="str"/>
      <x:c r="R362" s="7" t="str"/>
      <x:c r="S362" s="15" t="str"/>
      <x:c r="T362" s="7" t="str">
        <x:v>No public business phone in collected record</x:v>
      </x:c>
      <x:c r="U362" s="7" t="str"/>
      <x:c r="V362" s="7" t="str">
        <x:v>Resident</x:v>
      </x:c>
      <x:c r="W362" s="7" t="str">
        <x:v>CA</x:v>
      </x:c>
      <x:c r="X362" s="7" t="str"/>
      <x:c r="Y362" s="7" t="str"/>
      <x:c r="Z362" s="7" t="str"/>
      <x:c r="AA362" s="7" t="str"/>
      <x:c r="AB362" s="7" t="str"/>
      <x:c r="AC362" s="7" t="str"/>
      <x:c r="AD362" s="7" t="str">
        <x:v>No agency or insurer displayed: onboarding opportunity possible; existing business unknown</x:v>
      </x:c>
      <x:c r="AE362" s="7" t="str">
        <x:v>No public business phone: contact enrichment needed, not proof of poor recruiting fit</x:v>
      </x:c>
      <x:c r="AF362" s="16" t="str"/>
      <x:c r="AG362" s="17" t="str"/>
      <x:c r="AH362" s="7" t="str"/>
      <x:c r="AI362" s="7" t="str"/>
      <x:c r="AJ362" s="7" t="str"/>
      <x:c r="AK362" s="15" t="str"/>
      <x:c r="AL362" s="7" t="str"/>
      <x:c r="AM362" s="7" t="str">
        <x:v>AGUILAR  EDWIN</x:v>
      </x:c>
      <x:c r="AN362" s="7" t="str">
        <x:v>https://cdicloud.insurance.ca.gov/cal/LicenseDetail?SearchType=IND&amp;SearchLicNbr=0D25128&amp;SearchIndvId=844478</x:v>
      </x:c>
      <x:c r="AO362" s="7" t="str">
        <x:v>2026-10-08</x:v>
      </x:c>
      <x:c r="AP362" s="7" t="str">
        <x:v>3d6056554561352fe818d03858316f0253d0ce055549dc560df0d7718ac7ee56</x:v>
      </x:c>
      <x:c r="AQ362" s="7" t="str">
        <x:v>Personal Lines Broker-Agent / Inactive / 05/15/2003 / 12/31/2013 / 12/31/2013</x:v>
      </x:c>
      <x:c r="AR362" s="7" t="str">
        <x:v>Inactive</x:v>
      </x:c>
      <x:c r="AS362" s="7" t="str">
        <x:v>Current detail page</x:v>
      </x:c>
    </x:row>
    <x:row r="363" ht="52" customHeight="1">
      <x:c r="A363" s="7" t="str">
        <x:v>AGUILAR EDWIN MANUEL</x:v>
      </x:c>
      <x:c r="B363" s="14" t="str">
        <x:f>"0H49157"</x:f>
        <x:v>0H49157</x:v>
      </x:c>
      <x:c r="C363" s="7" t="str">
        <x:v>Omitted</x:v>
      </x:c>
      <x:c r="D363" s="7" t="str">
        <x:v>FAIL</x:v>
      </x:c>
      <x:c r="E363" s="13" t="str">
        <x:v>Pending</x:v>
      </x:c>
      <x:c r="F363" s="13" t="str"/>
      <x:c r="G363" s="13" t="str"/>
      <x:c r="H363" s="13" t="str"/>
      <x:c r="I363" s="7" t="str">
        <x:v>Was this person reviewed? If rejected, give the actual rule and evidence. If acceptable, correct the omission. Confirm the Life-qualification gate and any record change since selection.</x:v>
      </x:c>
      <x:c r="J363" s="7" t="str">
        <x:v>L1</x:v>
      </x:c>
      <x:c r="K363" s="7" t="str">
        <x:v>Verified qualifications do not include active general Life. Current target-pool mismatch; actual historical omission reason unknown.</x:v>
      </x:c>
      <x:c r="L363" s="7" t="str">
        <x:v>Not supplied; membership is known, motive is not</x:v>
      </x:c>
      <x:c r="M363" s="7" t="n">
        <x:v>7</x:v>
      </x:c>
      <x:c r="N363" s="7" t="str">
        <x:v>Outside current general-Life recruiting pool</x:v>
      </x:c>
      <x:c r="O363" s="7" t="str">
        <x:v>Not displayed</x:v>
      </x:c>
      <x:c r="P363" s="7" t="str"/>
      <x:c r="Q363" s="7" t="str"/>
      <x:c r="R363" s="7" t="str"/>
      <x:c r="S363" s="15" t="str"/>
      <x:c r="T363" s="7" t="str">
        <x:v>No public business phone in collected record</x:v>
      </x:c>
      <x:c r="U363" s="7" t="str"/>
      <x:c r="V363" s="7" t="str">
        <x:v>Resident</x:v>
      </x:c>
      <x:c r="W363" s="7" t="str">
        <x:v>CA</x:v>
      </x:c>
      <x:c r="X363" s="7" t="str"/>
      <x:c r="Y363" s="7" t="str"/>
      <x:c r="Z363" s="7" t="str"/>
      <x:c r="AA363" s="7" t="str"/>
      <x:c r="AB363" s="7" t="str"/>
      <x:c r="AC363" s="7" t="str"/>
      <x:c r="AD363" s="7" t="str">
        <x:v>No agency or insurer displayed: onboarding opportunity possible; existing business unknown</x:v>
      </x:c>
      <x:c r="AE363" s="7" t="str">
        <x:v>No public business phone: contact enrichment needed, not proof of poor recruiting fit</x:v>
      </x:c>
      <x:c r="AF363" s="16" t="str"/>
      <x:c r="AG363" s="17" t="str"/>
      <x:c r="AH363" s="7" t="str"/>
      <x:c r="AI363" s="7" t="str"/>
      <x:c r="AJ363" s="7" t="str"/>
      <x:c r="AK363" s="15" t="str"/>
      <x:c r="AL363" s="7" t="str"/>
      <x:c r="AM363" s="7" t="str">
        <x:v>AGUILAR MANUEL EDWIN</x:v>
      </x:c>
      <x:c r="AN363" s="7" t="str">
        <x:v>https://cdicloud.insurance.ca.gov/cal/LicenseDetail?SearchType=IND&amp;SearchLicNbr=0H49157&amp;SearchIndvId=1463750</x:v>
      </x:c>
      <x:c r="AO363" s="7" t="str">
        <x:v>2026-10-08</x:v>
      </x:c>
      <x:c r="AP363" s="7" t="str">
        <x:v>e39279588a231260ff3e0524efa0eefc32bf0b1eadb4a877a88012977ead64f6</x:v>
      </x:c>
      <x:c r="AQ363" s="7" t="str">
        <x:v>Casualty Broker-Agent / Inactive / 07/22/2011 / 07/31/2013 / 07/31/2013
Property Broker-Agent / Inactive / 07/22/2011 / 07/31/2013 / 07/31/2013</x:v>
      </x:c>
      <x:c r="AR363" s="7" t="str">
        <x:v>Inactive</x:v>
      </x:c>
      <x:c r="AS363" s="7" t="str">
        <x:v>Current detail page</x:v>
      </x:c>
    </x:row>
    <x:row r="364" ht="52" customHeight="1">
      <x:c r="A364" s="7" t="str">
        <x:v>AGUILAR EFIGENIA GIANAN</x:v>
      </x:c>
      <x:c r="B364" s="14" t="str">
        <x:f>"0559765"</x:f>
        <x:v>0559765</x:v>
      </x:c>
      <x:c r="C364" s="7" t="str">
        <x:v>Omitted</x:v>
      </x:c>
      <x:c r="D364" s="7" t="str">
        <x:v>FAIL</x:v>
      </x:c>
      <x:c r="E364" s="13" t="str">
        <x:v>Pending</x:v>
      </x:c>
      <x:c r="F364" s="13" t="str"/>
      <x:c r="G364" s="13" t="str"/>
      <x:c r="H364" s="13" t="str"/>
      <x:c r="I364" s="7" t="str">
        <x:v>Was this person reviewed? If rejected, give the actual rule and evidence. If acceptable, correct the omission. Confirm the Life-qualification gate and any record change since selection.</x:v>
      </x:c>
      <x:c r="J364" s="7" t="str">
        <x:v>L1</x:v>
      </x:c>
      <x:c r="K364" s="7" t="str">
        <x:v>Verified qualifications do not include active general Life. Current target-pool mismatch; actual historical omission reason unknown.</x:v>
      </x:c>
      <x:c r="L364" s="7" t="str">
        <x:v>Not supplied; membership is known, motive is not</x:v>
      </x:c>
      <x:c r="M364" s="7" t="n">
        <x:v>7</x:v>
      </x:c>
      <x:c r="N364" s="7" t="str">
        <x:v>Outside current general-Life recruiting pool</x:v>
      </x:c>
      <x:c r="O364" s="7" t="str">
        <x:v>Not displayed</x:v>
      </x:c>
      <x:c r="P364" s="7" t="str"/>
      <x:c r="Q364" s="7" t="str"/>
      <x:c r="R364" s="7" t="str"/>
      <x:c r="S364" s="15" t="str"/>
      <x:c r="T364" s="7" t="str">
        <x:v>No public business phone in collected record</x:v>
      </x:c>
      <x:c r="U364" s="7" t="str"/>
      <x:c r="V364" s="7" t="str">
        <x:v>Resident</x:v>
      </x:c>
      <x:c r="W364" s="7" t="str">
        <x:v>CA</x:v>
      </x:c>
      <x:c r="X364" s="7" t="str"/>
      <x:c r="Y364" s="7" t="str"/>
      <x:c r="Z364" s="7" t="str"/>
      <x:c r="AA364" s="7" t="str"/>
      <x:c r="AB364" s="7" t="str"/>
      <x:c r="AC364" s="7" t="str"/>
      <x:c r="AD364" s="7" t="str">
        <x:v>No agency or insurer displayed: onboarding opportunity possible; existing business unknown</x:v>
      </x:c>
      <x:c r="AE364" s="7" t="str">
        <x:v>No public business phone: contact enrichment needed, not proof of poor recruiting fit</x:v>
      </x:c>
      <x:c r="AF364" s="16" t="str"/>
      <x:c r="AG364" s="17" t="str"/>
      <x:c r="AH364" s="7" t="str"/>
      <x:c r="AI364" s="7" t="str"/>
      <x:c r="AJ364" s="7" t="str"/>
      <x:c r="AK364" s="15" t="str"/>
      <x:c r="AL364" s="7" t="str"/>
      <x:c r="AM364" s="7" t="str">
        <x:v>AGUILAR GIANAN EFIGENIA</x:v>
      </x:c>
      <x:c r="AN364" s="7" t="str">
        <x:v>https://cdicloud.insurance.ca.gov/cal/LicenseDetail?SearchType=IND&amp;SearchLicNbr=0559765&amp;SearchIndvId=382320</x:v>
      </x:c>
      <x:c r="AO364" s="7" t="str">
        <x:v>2026-10-08</x:v>
      </x:c>
      <x:c r="AP364" s="7" t="str">
        <x:v>249b82d3763ddfb1c4a78dcd382766223e5cd60840d67890dce2d4b8890381d1</x:v>
      </x:c>
      <x:c r="AQ364" s="7" t="str">
        <x:v>Accident and Health / Inactive / 08/26/1978 / 11/30/2014 / 11/30/2014
Life-Only / Inactive / 08/26/1978 / 11/30/2014 / 11/30/2014</x:v>
      </x:c>
      <x:c r="AR364" s="7" t="str">
        <x:v>Inactive</x:v>
      </x:c>
      <x:c r="AS364" s="7" t="str">
        <x:v>Current detail page</x:v>
      </x:c>
    </x:row>
    <x:row r="365" ht="52" customHeight="1">
      <x:c r="A365" s="7" t="str">
        <x:v>AGUILAR EFRAIN</x:v>
      </x:c>
      <x:c r="B365" s="14" t="str">
        <x:f>"0F52148"</x:f>
        <x:v>0F52148</x:v>
      </x:c>
      <x:c r="C365" s="7" t="str">
        <x:v>Omitted</x:v>
      </x:c>
      <x:c r="D365" s="7" t="str">
        <x:v>FAIL</x:v>
      </x:c>
      <x:c r="E365" s="13" t="str">
        <x:v>Pending</x:v>
      </x:c>
      <x:c r="F365" s="13" t="str"/>
      <x:c r="G365" s="13" t="str"/>
      <x:c r="H365" s="13" t="str"/>
      <x:c r="I365" s="7" t="str">
        <x:v>Was this person reviewed? If rejected, give the actual rule and evidence. If acceptable, correct the omission. Confirm the Life-qualification gate and any record change since selection.</x:v>
      </x:c>
      <x:c r="J365" s="7" t="str">
        <x:v>L1</x:v>
      </x:c>
      <x:c r="K365" s="7" t="str">
        <x:v>Verified qualifications do not include active general Life. Current target-pool mismatch; actual historical omission reason unknown.</x:v>
      </x:c>
      <x:c r="L365" s="7" t="str">
        <x:v>Not supplied; membership is known, motive is not</x:v>
      </x:c>
      <x:c r="M365" s="7" t="n">
        <x:v>7</x:v>
      </x:c>
      <x:c r="N365" s="7" t="str">
        <x:v>Outside current general-Life recruiting pool</x:v>
      </x:c>
      <x:c r="O365" s="7" t="str">
        <x:v>Not displayed</x:v>
      </x:c>
      <x:c r="P365" s="7" t="str"/>
      <x:c r="Q365" s="7" t="str"/>
      <x:c r="R365" s="7" t="str"/>
      <x:c r="S365" s="15" t="str"/>
      <x:c r="T365" s="7" t="str">
        <x:v>No public business phone in collected record</x:v>
      </x:c>
      <x:c r="U365" s="7" t="str"/>
      <x:c r="V365" s="7" t="str">
        <x:v>Resident</x:v>
      </x:c>
      <x:c r="W365" s="7" t="str">
        <x:v>CA</x:v>
      </x:c>
      <x:c r="X365" s="7" t="str"/>
      <x:c r="Y365" s="7" t="str"/>
      <x:c r="Z365" s="7" t="str"/>
      <x:c r="AA365" s="7" t="str"/>
      <x:c r="AB365" s="7" t="str"/>
      <x:c r="AC365" s="7" t="str"/>
      <x:c r="AD365" s="7" t="str">
        <x:v>No agency or insurer displayed: onboarding opportunity possible; existing business unknown</x:v>
      </x:c>
      <x:c r="AE365" s="7" t="str">
        <x:v>No public business phone: contact enrichment needed, not proof of poor recruiting fit</x:v>
      </x:c>
      <x:c r="AF365" s="16" t="str"/>
      <x:c r="AG365" s="17" t="str"/>
      <x:c r="AH365" s="7" t="str"/>
      <x:c r="AI365" s="7" t="str"/>
      <x:c r="AJ365" s="7" t="str"/>
      <x:c r="AK365" s="15" t="str"/>
      <x:c r="AL365" s="7" t="str"/>
      <x:c r="AM365" s="7" t="str">
        <x:v>AGUILAR  EFRAIN</x:v>
      </x:c>
      <x:c r="AN365" s="7" t="str">
        <x:v>https://cdicloud.insurance.ca.gov/cal/LicenseDetail?SearchType=IND&amp;SearchLicNbr=0F52148&amp;SearchIndvId=1071563</x:v>
      </x:c>
      <x:c r="AO365" s="7" t="str">
        <x:v>2026-10-08</x:v>
      </x:c>
      <x:c r="AP365" s="7" t="str">
        <x:v>b00922601f611279f906a5532ccfa0ab6fde9b25cf396157cfe7fa3476c67bc7</x:v>
      </x:c>
      <x:c r="AQ365" s="7" t="str">
        <x:v>Accident and Health / Inactive / 03/08/2007 / 03/31/2009 / 03/31/2009
Life-Only / Inactive / 03/08/2007 / 03/31/2009 / 03/31/2009</x:v>
      </x:c>
      <x:c r="AR365" s="7" t="str">
        <x:v>Inactive</x:v>
      </x:c>
      <x:c r="AS365" s="7" t="str">
        <x:v>Current detail page</x:v>
      </x:c>
    </x:row>
    <x:row r="366" ht="52" customHeight="1">
      <x:c r="A366" s="7" t="str">
        <x:v>AGUILAR EFRAIN</x:v>
      </x:c>
      <x:c r="B366" s="14" t="str">
        <x:f>"0M56589"</x:f>
        <x:v>0M56589</x:v>
      </x:c>
      <x:c r="C366" s="7" t="str">
        <x:v>Omitted</x:v>
      </x:c>
      <x:c r="D366" s="7" t="str">
        <x:v>FAIL</x:v>
      </x:c>
      <x:c r="E366" s="13" t="str">
        <x:v>Pending</x:v>
      </x:c>
      <x:c r="F366" s="13" t="str"/>
      <x:c r="G366" s="13" t="str"/>
      <x:c r="H366" s="13" t="str"/>
      <x:c r="I366" s="7" t="str">
        <x:v>Was this person reviewed? If rejected, give the actual rule and evidence. If acceptable, correct the omission. Confirm the Life-qualification gate and any record change since selection.</x:v>
      </x:c>
      <x:c r="J366" s="7" t="str">
        <x:v>L1</x:v>
      </x:c>
      <x:c r="K366" s="7" t="str">
        <x:v>Verified qualifications do not include active general Life. Current target-pool mismatch; actual historical omission reason unknown.</x:v>
      </x:c>
      <x:c r="L366" s="7" t="str">
        <x:v>Not supplied; membership is known, motive is not</x:v>
      </x:c>
      <x:c r="M366" s="7" t="n">
        <x:v>7</x:v>
      </x:c>
      <x:c r="N366" s="7" t="str">
        <x:v>Outside current general-Life recruiting pool</x:v>
      </x:c>
      <x:c r="O366" s="7" t="str">
        <x:v>Not displayed</x:v>
      </x:c>
      <x:c r="P366" s="7" t="str"/>
      <x:c r="Q366" s="7" t="str"/>
      <x:c r="R366" s="7" t="str"/>
      <x:c r="S366" s="15" t="str"/>
      <x:c r="T366" s="7" t="str">
        <x:v>No public business phone in collected record</x:v>
      </x:c>
      <x:c r="U366" s="7" t="str"/>
      <x:c r="V366" s="7" t="str">
        <x:v>Resident</x:v>
      </x:c>
      <x:c r="W366" s="7" t="str">
        <x:v>CA</x:v>
      </x:c>
      <x:c r="X366" s="7" t="str"/>
      <x:c r="Y366" s="7" t="str"/>
      <x:c r="Z366" s="7" t="str"/>
      <x:c r="AA366" s="7" t="str"/>
      <x:c r="AB366" s="7" t="str"/>
      <x:c r="AC366" s="7" t="str"/>
      <x:c r="AD366" s="7" t="str">
        <x:v>No agency or insurer displayed: onboarding opportunity possible; existing business unknown</x:v>
      </x:c>
      <x:c r="AE366" s="7" t="str">
        <x:v>No public business phone: contact enrichment needed, not proof of poor recruiting fit</x:v>
      </x:c>
      <x:c r="AF366" s="16" t="str"/>
      <x:c r="AG366" s="17" t="str"/>
      <x:c r="AH366" s="7" t="str"/>
      <x:c r="AI366" s="7" t="str">
        <x:v>English</x:v>
      </x:c>
      <x:c r="AJ366" s="7" t="str"/>
      <x:c r="AK366" s="15" t="str"/>
      <x:c r="AL366" s="7" t="str"/>
      <x:c r="AM366" s="7" t="str">
        <x:v>AGUILAR  EFRAIN</x:v>
      </x:c>
      <x:c r="AN366" s="7" t="str">
        <x:v>https://cdicloud.insurance.ca.gov/cal/LicenseDetail?SearchType=IND&amp;SearchLicNbr=0M56589&amp;SearchIndvId=1994367</x:v>
      </x:c>
      <x:c r="AO366" s="7" t="str">
        <x:v>2026-10-08</x:v>
      </x:c>
      <x:c r="AP366" s="7" t="str">
        <x:v>da86a8d03008142bcd057a417e6fc36a334d5672e24deb359714990f958de59c</x:v>
      </x:c>
      <x:c r="AQ366" s="7" t="str">
        <x:v>Accident and Health / Inactive / 09/19/2018 / 09/30/2020 / 09/30/2020
Life-Only / Inactive / 09/19/2018 / 09/30/2020 / 09/30/2020</x:v>
      </x:c>
      <x:c r="AR366" s="7" t="str">
        <x:v>Inactive</x:v>
      </x:c>
      <x:c r="AS366" s="7" t="str">
        <x:v>Current detail page</x:v>
      </x:c>
    </x:row>
    <x:row r="367" ht="52" customHeight="1">
      <x:c r="A367" s="7" t="str">
        <x:v>AGUILAR EFREN DOLATRE</x:v>
      </x:c>
      <x:c r="B367" s="14" t="str">
        <x:f>"0K25397"</x:f>
        <x:v>0K25397</x:v>
      </x:c>
      <x:c r="C367" s="7" t="str">
        <x:v>Omitted</x:v>
      </x:c>
      <x:c r="D367" s="7" t="str">
        <x:v>FAIL</x:v>
      </x:c>
      <x:c r="E367" s="13" t="str">
        <x:v>Pending</x:v>
      </x:c>
      <x:c r="F367" s="13" t="str"/>
      <x:c r="G367" s="13" t="str"/>
      <x:c r="H367" s="13" t="str"/>
      <x:c r="I367" s="7" t="str">
        <x:v>Was this person reviewed? If rejected, give the actual rule and evidence. If acceptable, correct the omission. Confirm the Life-qualification gate and any record change since selection.</x:v>
      </x:c>
      <x:c r="J367" s="7" t="str">
        <x:v>L1</x:v>
      </x:c>
      <x:c r="K367" s="7" t="str">
        <x:v>Verified qualifications do not include active general Life. Current target-pool mismatch; actual historical omission reason unknown.</x:v>
      </x:c>
      <x:c r="L367" s="7" t="str">
        <x:v>Not supplied; membership is known, motive is not</x:v>
      </x:c>
      <x:c r="M367" s="7" t="n">
        <x:v>7</x:v>
      </x:c>
      <x:c r="N367" s="7" t="str">
        <x:v>Outside current general-Life recruiting pool</x:v>
      </x:c>
      <x:c r="O367" s="7" t="str">
        <x:v>Not displayed</x:v>
      </x:c>
      <x:c r="P367" s="7" t="str"/>
      <x:c r="Q367" s="7" t="str"/>
      <x:c r="R367" s="7" t="str"/>
      <x:c r="S367" s="15" t="str"/>
      <x:c r="T367" s="7" t="str">
        <x:v>No public business phone in collected record</x:v>
      </x:c>
      <x:c r="U367" s="7" t="str"/>
      <x:c r="V367" s="7" t="str">
        <x:v>Resident</x:v>
      </x:c>
      <x:c r="W367" s="7" t="str">
        <x:v>CA</x:v>
      </x:c>
      <x:c r="X367" s="7" t="str"/>
      <x:c r="Y367" s="7" t="str"/>
      <x:c r="Z367" s="7" t="str"/>
      <x:c r="AA367" s="7" t="str"/>
      <x:c r="AB367" s="7" t="str"/>
      <x:c r="AC367" s="7" t="str"/>
      <x:c r="AD367" s="7" t="str">
        <x:v>No agency or insurer displayed: onboarding opportunity possible; existing business unknown</x:v>
      </x:c>
      <x:c r="AE367" s="7" t="str">
        <x:v>No public business phone: contact enrichment needed, not proof of poor recruiting fit</x:v>
      </x:c>
      <x:c r="AF367" s="16" t="str"/>
      <x:c r="AG367" s="17" t="str"/>
      <x:c r="AH367" s="7" t="str"/>
      <x:c r="AI367" s="7" t="str">
        <x:v>English</x:v>
      </x:c>
      <x:c r="AJ367" s="7" t="str"/>
      <x:c r="AK367" s="15" t="str"/>
      <x:c r="AL367" s="7" t="str"/>
      <x:c r="AM367" s="7" t="str">
        <x:v>AGUILAR D EFREN | AGUILAR DOLATRE EFREN</x:v>
      </x:c>
      <x:c r="AN367" s="7" t="str">
        <x:v>https://cdicloud.insurance.ca.gov/cal/LicenseDetail?SearchType=IND&amp;SearchLicNbr=0K25397&amp;SearchIndvId=1758444</x:v>
      </x:c>
      <x:c r="AO367" s="7" t="str">
        <x:v>2026-10-08</x:v>
      </x:c>
      <x:c r="AP367" s="7" t="str">
        <x:v>d62970585c918a9d8cc5bffca7b5e18f9a2e46642ab44736936f7bdbaf7190b9</x:v>
      </x:c>
      <x:c r="AQ367" s="7" t="str">
        <x:v>Life-Only / Inactive / 05/19/2015 / 05/31/2019 / 05/31/2019</x:v>
      </x:c>
      <x:c r="AR367" s="7" t="str">
        <x:v>Inactive</x:v>
      </x:c>
      <x:c r="AS367" s="7" t="str">
        <x:v>Current detail page</x:v>
      </x:c>
    </x:row>
    <x:row r="368" ht="52" customHeight="1">
      <x:c r="A368" s="7" t="str">
        <x:v>AGUILAR ELDER R</x:v>
      </x:c>
      <x:c r="B368" s="14" t="str">
        <x:f>"4017620"</x:f>
        <x:v>4017620</x:v>
      </x:c>
      <x:c r="C368" s="7" t="str">
        <x:v>Omitted</x:v>
      </x:c>
      <x:c r="D368" s="7" t="str">
        <x:v>FAIL</x:v>
      </x:c>
      <x:c r="E368" s="13" t="str">
        <x:v>Pending</x:v>
      </x:c>
      <x:c r="F368" s="13" t="str"/>
      <x:c r="G368" s="13" t="str"/>
      <x:c r="H368" s="13" t="str"/>
      <x:c r="I368" s="7" t="str">
        <x:v>Was this person reviewed? If rejected, give the actual rule and evidence. If acceptable, correct the omission. Confirm the Life-qualification gate and any record change since selection.</x:v>
      </x:c>
      <x:c r="J368" s="7" t="str">
        <x:v>L1</x:v>
      </x:c>
      <x:c r="K368" s="7" t="str">
        <x:v>Verified qualifications do not include active general Life. Current target-pool mismatch; actual historical omission reason unknown.</x:v>
      </x:c>
      <x:c r="L368" s="7" t="str">
        <x:v>Not supplied; membership is known, motive is not</x:v>
      </x:c>
      <x:c r="M368" s="7" t="n">
        <x:v>7</x:v>
      </x:c>
      <x:c r="N368" s="7" t="str">
        <x:v>Outside current general-Life recruiting pool</x:v>
      </x:c>
      <x:c r="O368" s="7" t="str">
        <x:v>Not displayed</x:v>
      </x:c>
      <x:c r="P368" s="7" t="str"/>
      <x:c r="Q368" s="7" t="str"/>
      <x:c r="R368" s="7" t="str"/>
      <x:c r="S368" s="15" t="str"/>
      <x:c r="T368" s="7" t="str">
        <x:v>No public business phone in collected record</x:v>
      </x:c>
      <x:c r="U368" s="7" t="str">
        <x:v>3333 FAIRVIEW RD COSTA MESA CA, 92626</x:v>
      </x:c>
      <x:c r="V368" s="7" t="str">
        <x:v>Resident</x:v>
      </x:c>
      <x:c r="W368" s="7" t="str">
        <x:v>CA</x:v>
      </x:c>
      <x:c r="X368" s="7" t="str"/>
      <x:c r="Y368" s="7" t="str"/>
      <x:c r="Z368" s="7" t="str"/>
      <x:c r="AA368" s="7" t="str"/>
      <x:c r="AB368" s="7" t="str"/>
      <x:c r="AC368" s="7" t="str"/>
      <x:c r="AD368" s="7" t="str">
        <x:v>No agency or insurer displayed: onboarding opportunity possible; existing business unknown</x:v>
      </x:c>
      <x:c r="AE368" s="7" t="str">
        <x:v>No public business phone: contact enrichment needed, not proof of poor recruiting fit</x:v>
      </x:c>
      <x:c r="AF368" s="16" t="str"/>
      <x:c r="AG368" s="17" t="str"/>
      <x:c r="AH368" s="7" t="str"/>
      <x:c r="AI368" s="7" t="str"/>
      <x:c r="AJ368" s="7" t="str"/>
      <x:c r="AK368" s="15" t="str"/>
      <x:c r="AL368" s="7" t="str"/>
      <x:c r="AM368" s="7" t="str">
        <x:v>AGUILAR R ELDER</x:v>
      </x:c>
      <x:c r="AN368" s="7" t="str">
        <x:v>https://cdicloud.insurance.ca.gov/cal/LicenseDetail?SearchType=IND&amp;SearchLicNbr=4017620&amp;SearchIndvId=4017620</x:v>
      </x:c>
      <x:c r="AO368" s="7" t="str">
        <x:v>2026-10-08</x:v>
      </x:c>
      <x:c r="AP368" s="7" t="str">
        <x:v>4b8dff0c677b450f967d1f46f9eb73536138c3f5ef4dcc82d9fb5e3c49ecd256</x:v>
      </x:c>
      <x:c r="AQ368" s="7" t="str">
        <x:v>Personal Lines / Inactive / 12/18/2019 / 12/31/2021 / 12/31/2021</x:v>
      </x:c>
      <x:c r="AR368" s="7" t="str">
        <x:v>Inactive</x:v>
      </x:c>
      <x:c r="AS368" s="7" t="str">
        <x:v>Current detail page</x:v>
      </x:c>
    </x:row>
    <x:row r="369" ht="52" customHeight="1">
      <x:c r="A369" s="7" t="str">
        <x:v>AGUILAR ELENA</x:v>
      </x:c>
      <x:c r="B369" s="14" t="str">
        <x:f>"0I47255"</x:f>
        <x:v>0I47255</x:v>
      </x:c>
      <x:c r="C369" s="7" t="str">
        <x:v>Omitted</x:v>
      </x:c>
      <x:c r="D369" s="7" t="str">
        <x:v>FAIL</x:v>
      </x:c>
      <x:c r="E369" s="13" t="str">
        <x:v>Pending</x:v>
      </x:c>
      <x:c r="F369" s="13" t="str"/>
      <x:c r="G369" s="13" t="str"/>
      <x:c r="H369" s="13" t="str"/>
      <x:c r="I369" s="7" t="str">
        <x:v>Was this person reviewed? If rejected, give the actual rule and evidence. If acceptable, correct the omission. Confirm the Life-qualification gate and any record change since selection.</x:v>
      </x:c>
      <x:c r="J369" s="7" t="str">
        <x:v>L1</x:v>
      </x:c>
      <x:c r="K369" s="7" t="str">
        <x:v>Verified qualifications do not include active general Life. Current target-pool mismatch; actual historical omission reason unknown.</x:v>
      </x:c>
      <x:c r="L369" s="7" t="str">
        <x:v>Not supplied; membership is known, motive is not</x:v>
      </x:c>
      <x:c r="M369" s="7" t="n">
        <x:v>7</x:v>
      </x:c>
      <x:c r="N369" s="7" t="str">
        <x:v>Outside current general-Life recruiting pool</x:v>
      </x:c>
      <x:c r="O369" s="7" t="str">
        <x:v>Not displayed</x:v>
      </x:c>
      <x:c r="P369" s="7" t="str"/>
      <x:c r="Q369" s="7" t="str"/>
      <x:c r="R369" s="7" t="str"/>
      <x:c r="S369" s="15" t="str"/>
      <x:c r="T369" s="7" t="str">
        <x:v>No public business phone in collected record</x:v>
      </x:c>
      <x:c r="U369" s="7" t="str"/>
      <x:c r="V369" s="7" t="str">
        <x:v>Resident</x:v>
      </x:c>
      <x:c r="W369" s="7" t="str">
        <x:v>CA</x:v>
      </x:c>
      <x:c r="X369" s="7" t="str"/>
      <x:c r="Y369" s="7" t="str"/>
      <x:c r="Z369" s="7" t="str"/>
      <x:c r="AA369" s="7" t="str"/>
      <x:c r="AB369" s="7" t="str">
        <x:v>REY ROSEMARIE PRINCIPE / Casualty / 08/12/2013
REY ROSEMARIE PRINCIPE / Property / 08/12/2013</x:v>
      </x:c>
      <x:c r="AC369" s="7" t="str"/>
      <x:c r="AD369" s="7" t="str">
        <x:v>No agency or insurer displayed: onboarding opportunity possible; existing business unknown</x:v>
      </x:c>
      <x:c r="AE369" s="7" t="str">
        <x:v>Sponsor relationships displayed: REY ROSEMARIE PRINCIPE; inspect line-specific relationship, not a blanket employment inference | No public business phone: contact enrichment needed, not proof of poor recruiting fit</x:v>
      </x:c>
      <x:c r="AF369" s="16" t="str"/>
      <x:c r="AG369" s="17" t="str"/>
      <x:c r="AH369" s="7" t="str"/>
      <x:c r="AI369" s="7" t="str"/>
      <x:c r="AJ369" s="7" t="str"/>
      <x:c r="AK369" s="15" t="str"/>
      <x:c r="AL369" s="7" t="str"/>
      <x:c r="AM369" s="7" t="str">
        <x:v>AGUILAR  ELENA</x:v>
      </x:c>
      <x:c r="AN369" s="7" t="str">
        <x:v>https://cdicloud.insurance.ca.gov/cal/LicenseDetail?SearchType=IND&amp;SearchLicNbr=0I47255&amp;SearchIndvId=1600877</x:v>
      </x:c>
      <x:c r="AO369" s="7" t="str">
        <x:v>2026-10-08</x:v>
      </x:c>
      <x:c r="AP369" s="7" t="str">
        <x:v>2aba344da3e4b0cbdf895ce4c8704cd9c5bf4b07dbb110c0155de9e66269d0eb</x:v>
      </x:c>
      <x:c r="AQ369" s="7" t="str">
        <x:v>Accident and Health / Inactive / 12/06/2013 / 08/31/2015 / 08/31/2015
Casualty Broker-Agent / Inactive / 08/06/2013 / 08/31/2015 / 08/31/2015
Life-Only / Inactive / 12/06/2013 / 08/31/2015 / 08/31/2015
Property Broker-Agent / Inactive / 08/06/2013 / 08/31/2015 / 08/31/2015</x:v>
      </x:c>
      <x:c r="AR369" s="7" t="str">
        <x:v>Inactive</x:v>
      </x:c>
      <x:c r="AS369" s="7" t="str">
        <x:v>Current detail page</x:v>
      </x:c>
    </x:row>
    <x:row r="370" ht="52" customHeight="1">
      <x:c r="A370" s="7" t="str">
        <x:v>AGUILAR ELENOR MEJIA</x:v>
      </x:c>
      <x:c r="B370" s="14" t="str">
        <x:f>"0K20122"</x:f>
        <x:v>0K20122</x:v>
      </x:c>
      <x:c r="C370" s="7" t="str">
        <x:v>Omitted</x:v>
      </x:c>
      <x:c r="D370" s="7" t="str">
        <x:v>FAIL</x:v>
      </x:c>
      <x:c r="E370" s="13" t="str">
        <x:v>Pending</x:v>
      </x:c>
      <x:c r="F370" s="13" t="str"/>
      <x:c r="G370" s="13" t="str"/>
      <x:c r="H370" s="13" t="str"/>
      <x:c r="I370" s="7" t="str">
        <x:v>Was this person reviewed? If rejected, give the actual rule and evidence. If acceptable, correct the omission. Confirm the Life-qualification gate and any record change since selection.</x:v>
      </x:c>
      <x:c r="J370" s="7" t="str">
        <x:v>L1</x:v>
      </x:c>
      <x:c r="K370" s="7" t="str">
        <x:v>Verified qualifications do not include active general Life. Current target-pool mismatch; actual historical omission reason unknown.</x:v>
      </x:c>
      <x:c r="L370" s="7" t="str">
        <x:v>Not supplied; membership is known, motive is not</x:v>
      </x:c>
      <x:c r="M370" s="7" t="n">
        <x:v>7</x:v>
      </x:c>
      <x:c r="N370" s="7" t="str">
        <x:v>Outside current general-Life recruiting pool</x:v>
      </x:c>
      <x:c r="O370" s="7" t="str">
        <x:v>Not displayed</x:v>
      </x:c>
      <x:c r="P370" s="7" t="str"/>
      <x:c r="Q370" s="7" t="str"/>
      <x:c r="R370" s="7" t="str"/>
      <x:c r="S370" s="15" t="str"/>
      <x:c r="T370" s="7" t="str">
        <x:v>No public business phone in collected record</x:v>
      </x:c>
      <x:c r="U370" s="7" t="str"/>
      <x:c r="V370" s="7" t="str">
        <x:v>Resident</x:v>
      </x:c>
      <x:c r="W370" s="7" t="str">
        <x:v>CA</x:v>
      </x:c>
      <x:c r="X370" s="7" t="str"/>
      <x:c r="Y370" s="7" t="str"/>
      <x:c r="Z370" s="7" t="str"/>
      <x:c r="AA370" s="7" t="str"/>
      <x:c r="AB370" s="7" t="str"/>
      <x:c r="AC370" s="7" t="str"/>
      <x:c r="AD370" s="7" t="str">
        <x:v>No agency or insurer displayed: onboarding opportunity possible; existing business unknown</x:v>
      </x:c>
      <x:c r="AE370" s="7" t="str">
        <x:v>No public business phone: contact enrichment needed, not proof of poor recruiting fit</x:v>
      </x:c>
      <x:c r="AF370" s="16" t="str"/>
      <x:c r="AG370" s="17" t="str"/>
      <x:c r="AH370" s="7" t="str"/>
      <x:c r="AI370" s="7" t="str"/>
      <x:c r="AJ370" s="7" t="str"/>
      <x:c r="AK370" s="15" t="str"/>
      <x:c r="AL370" s="7" t="str"/>
      <x:c r="AM370" s="7" t="str">
        <x:v>AGUILAR M ELENOR | AGUILAR MEJIA ELENOR</x:v>
      </x:c>
      <x:c r="AN370" s="7" t="str">
        <x:v>https://cdicloud.insurance.ca.gov/cal/LicenseDetail?SearchType=IND&amp;SearchLicNbr=0K20122&amp;SearchIndvId=1753406</x:v>
      </x:c>
      <x:c r="AO370" s="7" t="str">
        <x:v>2026-10-08</x:v>
      </x:c>
      <x:c r="AP370" s="7" t="str">
        <x:v>7683edf05901d6fae0276a859414604bdfa5a0a5b21b4044723e65ff7f53e1df</x:v>
      </x:c>
      <x:c r="AQ370" s="7" t="str">
        <x:v>Life-Only / Inactive / 04/22/2015 / 04/30/2017 / 04/30/2017</x:v>
      </x:c>
      <x:c r="AR370" s="7" t="str">
        <x:v>Inactive</x:v>
      </x:c>
      <x:c r="AS370" s="7" t="str">
        <x:v>Current detail page</x:v>
      </x:c>
    </x:row>
    <x:row r="371" ht="52" customHeight="1">
      <x:c r="A371" s="7" t="str">
        <x:v>AGUILAR ELISEO VIDA</x:v>
      </x:c>
      <x:c r="B371" s="14" t="str">
        <x:f>"0E06191"</x:f>
        <x:v>0E06191</x:v>
      </x:c>
      <x:c r="C371" s="7" t="str">
        <x:v>Omitted</x:v>
      </x:c>
      <x:c r="D371" s="7" t="str">
        <x:v>FAIL</x:v>
      </x:c>
      <x:c r="E371" s="13" t="str">
        <x:v>Pending</x:v>
      </x:c>
      <x:c r="F371" s="13" t="str"/>
      <x:c r="G371" s="13" t="str"/>
      <x:c r="H371" s="13" t="str"/>
      <x:c r="I371" s="7" t="str">
        <x:v>Was this person reviewed? If rejected, give the actual rule and evidence. If acceptable, correct the omission. Confirm the Life-qualification gate and any record change since selection.</x:v>
      </x:c>
      <x:c r="J371" s="7" t="str">
        <x:v>L1</x:v>
      </x:c>
      <x:c r="K371" s="7" t="str">
        <x:v>Verified qualifications do not include active general Life. Current target-pool mismatch; actual historical omission reason unknown.</x:v>
      </x:c>
      <x:c r="L371" s="7" t="str">
        <x:v>Not supplied; membership is known, motive is not</x:v>
      </x:c>
      <x:c r="M371" s="7" t="n">
        <x:v>7</x:v>
      </x:c>
      <x:c r="N371" s="7" t="str">
        <x:v>Outside current general-Life recruiting pool</x:v>
      </x:c>
      <x:c r="O371" s="7" t="str">
        <x:v>Not displayed</x:v>
      </x:c>
      <x:c r="P371" s="7" t="str"/>
      <x:c r="Q371" s="7" t="str"/>
      <x:c r="R371" s="7" t="str"/>
      <x:c r="S371" s="15" t="str"/>
      <x:c r="T371" s="7" t="str">
        <x:v>No public business phone in collected record</x:v>
      </x:c>
      <x:c r="U371" s="7" t="str"/>
      <x:c r="V371" s="7" t="str">
        <x:v>Resident</x:v>
      </x:c>
      <x:c r="W371" s="7" t="str">
        <x:v>CA</x:v>
      </x:c>
      <x:c r="X371" s="7" t="str"/>
      <x:c r="Y371" s="7" t="str"/>
      <x:c r="Z371" s="7" t="str"/>
      <x:c r="AA371" s="7" t="str"/>
      <x:c r="AB371" s="7" t="str"/>
      <x:c r="AC371" s="7" t="str"/>
      <x:c r="AD371" s="7" t="str">
        <x:v>No agency or insurer displayed: onboarding opportunity possible; existing business unknown</x:v>
      </x:c>
      <x:c r="AE371" s="7" t="str">
        <x:v>No public business phone: contact enrichment needed, not proof of poor recruiting fit</x:v>
      </x:c>
      <x:c r="AF371" s="16" t="str"/>
      <x:c r="AG371" s="17" t="str"/>
      <x:c r="AH371" s="7" t="str"/>
      <x:c r="AI371" s="7" t="str"/>
      <x:c r="AJ371" s="7" t="str"/>
      <x:c r="AK371" s="15" t="str"/>
      <x:c r="AL371" s="7" t="str"/>
      <x:c r="AM371" s="7" t="str">
        <x:v>AGUILAR VIDA ELISEO</x:v>
      </x:c>
      <x:c r="AN371" s="7" t="str">
        <x:v>https://cdicloud.insurance.ca.gov/cal/LicenseDetail?SearchType=IND&amp;SearchLicNbr=0E06191&amp;SearchIndvId=856296</x:v>
      </x:c>
      <x:c r="AO371" s="7" t="str">
        <x:v>2026-10-08</x:v>
      </x:c>
      <x:c r="AP371" s="7" t="str">
        <x:v>5374853a0c59d832929bd9709edf68859aca15f0d9e5835ba5532c39262068b1</x:v>
      </x:c>
      <x:c r="AQ371" s="7" t="str">
        <x:v>Motor Club Agent / Inactive / 08/01/2003 / 08/31/2005 / 08/31/2005</x:v>
      </x:c>
      <x:c r="AR371" s="7" t="str">
        <x:v>Inactive</x:v>
      </x:c>
      <x:c r="AS371" s="7" t="str">
        <x:v>Current detail page</x:v>
      </x:c>
    </x:row>
    <x:row r="372" ht="52" customHeight="1">
      <x:c r="A372" s="7" t="str">
        <x:v>AGUILAR ELIZABETH</x:v>
      </x:c>
      <x:c r="B372" s="14" t="str">
        <x:f>"0F19889"</x:f>
        <x:v>0F19889</x:v>
      </x:c>
      <x:c r="C372" s="7" t="str">
        <x:v>Omitted</x:v>
      </x:c>
      <x:c r="D372" s="7" t="str">
        <x:v>FAIL</x:v>
      </x:c>
      <x:c r="E372" s="13" t="str">
        <x:v>Pending</x:v>
      </x:c>
      <x:c r="F372" s="13" t="str"/>
      <x:c r="G372" s="13" t="str"/>
      <x:c r="H372" s="13" t="str"/>
      <x:c r="I372" s="7" t="str">
        <x:v>Was this person reviewed? If rejected, give the actual rule and evidence. If acceptable, correct the omission. Confirm the Life-qualification gate and any record change since selection.</x:v>
      </x:c>
      <x:c r="J372" s="7" t="str">
        <x:v>L1</x:v>
      </x:c>
      <x:c r="K372" s="7" t="str">
        <x:v>Verified qualifications do not include active general Life. Current target-pool mismatch; actual historical omission reason unknown.</x:v>
      </x:c>
      <x:c r="L372" s="7" t="str">
        <x:v>Not supplied; membership is known, motive is not</x:v>
      </x:c>
      <x:c r="M372" s="7" t="n">
        <x:v>7</x:v>
      </x:c>
      <x:c r="N372" s="7" t="str">
        <x:v>Outside current general-Life recruiting pool</x:v>
      </x:c>
      <x:c r="O372" s="7" t="str">
        <x:v>Not displayed</x:v>
      </x:c>
      <x:c r="P372" s="7" t="str"/>
      <x:c r="Q372" s="7" t="str"/>
      <x:c r="R372" s="7" t="str"/>
      <x:c r="S372" s="15" t="str"/>
      <x:c r="T372" s="7" t="str">
        <x:v>No public business phone in collected record</x:v>
      </x:c>
      <x:c r="U372" s="7" t="str"/>
      <x:c r="V372" s="7" t="str">
        <x:v>Non-resident</x:v>
      </x:c>
      <x:c r="W372" s="7" t="str">
        <x:v>FL</x:v>
      </x:c>
      <x:c r="X372" s="7" t="str"/>
      <x:c r="Y372" s="7" t="str"/>
      <x:c r="Z372" s="7" t="str"/>
      <x:c r="AA372" s="7" t="str"/>
      <x:c r="AB372" s="7" t="str"/>
      <x:c r="AC372" s="7" t="str"/>
      <x:c r="AD372" s="7" t="str">
        <x:v>No agency or insurer displayed: onboarding opportunity possible; existing business unknown</x:v>
      </x:c>
      <x:c r="AE372" s="7" t="str">
        <x:v>Nonresident or address state outside CA; confirm geographic recruiting scope | No public business phone: contact enrichment needed, not proof of poor recruiting fit</x:v>
      </x:c>
      <x:c r="AF372" s="16" t="str"/>
      <x:c r="AG372" s="17" t="str"/>
      <x:c r="AH372" s="7" t="str"/>
      <x:c r="AI372" s="7" t="str"/>
      <x:c r="AJ372" s="7" t="str"/>
      <x:c r="AK372" s="15" t="str"/>
      <x:c r="AL372" s="7" t="str"/>
      <x:c r="AM372" s="7" t="str">
        <x:v>AGUILAR  ELIZABETH</x:v>
      </x:c>
      <x:c r="AN372" s="7" t="str">
        <x:v>https://cdicloud.insurance.ca.gov/cal/LicenseDetail?SearchType=IND&amp;SearchLicNbr=0F19889&amp;SearchIndvId=1020065</x:v>
      </x:c>
      <x:c r="AO372" s="7" t="str">
        <x:v>2026-10-08</x:v>
      </x:c>
      <x:c r="AP372" s="7" t="str">
        <x:v>6003a9883e062cc8689d03f097a4faf8d449e440d8d793e83378b118d31d7f6f</x:v>
      </x:c>
      <x:c r="AQ372" s="7" t="str">
        <x:v>Personal Lines Broker-Agent / Inactive / 05/16/2006 / 12/31/2011 / 12/31/2011</x:v>
      </x:c>
      <x:c r="AR372" s="7" t="str">
        <x:v>Inactive</x:v>
      </x:c>
      <x:c r="AS372" s="7" t="str">
        <x:v>Current detail page</x:v>
      </x:c>
    </x:row>
    <x:row r="373" ht="52" customHeight="1">
      <x:c r="A373" s="7" t="str">
        <x:v>AGUILAR ELIZABETH</x:v>
      </x:c>
      <x:c r="B373" s="14" t="str">
        <x:f>"0K38182"</x:f>
        <x:v>0K38182</x:v>
      </x:c>
      <x:c r="C373" s="7" t="str">
        <x:v>Omitted</x:v>
      </x:c>
      <x:c r="D373" s="7" t="str">
        <x:v>FAIL</x:v>
      </x:c>
      <x:c r="E373" s="13" t="str">
        <x:v>Pending</x:v>
      </x:c>
      <x:c r="F373" s="13" t="str"/>
      <x:c r="G373" s="13" t="str"/>
      <x:c r="H373" s="13" t="str"/>
      <x:c r="I373" s="7" t="str">
        <x:v>Was this person reviewed? If rejected, give the actual rule and evidence. If acceptable, correct the omission. Confirm the Life-qualification gate and any record change since selection.</x:v>
      </x:c>
      <x:c r="J373" s="7" t="str">
        <x:v>L1</x:v>
      </x:c>
      <x:c r="K373" s="7" t="str">
        <x:v>Verified qualifications do not include active general Life. Current target-pool mismatch; actual historical omission reason unknown.</x:v>
      </x:c>
      <x:c r="L373" s="7" t="str">
        <x:v>Not supplied; membership is known, motive is not</x:v>
      </x:c>
      <x:c r="M373" s="7" t="n">
        <x:v>7</x:v>
      </x:c>
      <x:c r="N373" s="7" t="str">
        <x:v>Outside current general-Life recruiting pool</x:v>
      </x:c>
      <x:c r="O373" s="7" t="str">
        <x:v>Not displayed</x:v>
      </x:c>
      <x:c r="P373" s="7" t="str"/>
      <x:c r="Q373" s="7" t="str"/>
      <x:c r="R373" s="7" t="str"/>
      <x:c r="S373" s="15" t="str"/>
      <x:c r="T373" s="7" t="str">
        <x:v>No public business phone in collected record</x:v>
      </x:c>
      <x:c r="U373" s="7" t="str"/>
      <x:c r="V373" s="7" t="str">
        <x:v>Resident</x:v>
      </x:c>
      <x:c r="W373" s="7" t="str">
        <x:v>CA</x:v>
      </x:c>
      <x:c r="X373" s="7" t="str"/>
      <x:c r="Y373" s="7" t="str"/>
      <x:c r="Z373" s="7" t="str"/>
      <x:c r="AA373" s="7" t="str"/>
      <x:c r="AB373" s="7" t="str"/>
      <x:c r="AC373" s="7" t="str"/>
      <x:c r="AD373" s="7" t="str">
        <x:v>No agency or insurer displayed: onboarding opportunity possible; existing business unknown</x:v>
      </x:c>
      <x:c r="AE373" s="7" t="str">
        <x:v>No public business phone: contact enrichment needed, not proof of poor recruiting fit</x:v>
      </x:c>
      <x:c r="AF373" s="16" t="str"/>
      <x:c r="AG373" s="17" t="str"/>
      <x:c r="AH373" s="7" t="str"/>
      <x:c r="AI373" s="7" t="str"/>
      <x:c r="AJ373" s="7" t="str"/>
      <x:c r="AK373" s="15" t="str"/>
      <x:c r="AL373" s="7" t="str"/>
      <x:c r="AM373" s="7" t="str">
        <x:v>AGUILAR  ELIZABETH</x:v>
      </x:c>
      <x:c r="AN373" s="7" t="str">
        <x:v>https://cdicloud.insurance.ca.gov/cal/LicenseDetail?SearchType=IND&amp;SearchLicNbr=0K38182&amp;SearchIndvId=1775485</x:v>
      </x:c>
      <x:c r="AO373" s="7" t="str">
        <x:v>2026-10-08</x:v>
      </x:c>
      <x:c r="AP373" s="7" t="str">
        <x:v>2e40f3b818537dca92887e853a62dc4785493ccbb79e7db6a08d07f6faac913c</x:v>
      </x:c>
      <x:c r="AQ373" s="7" t="str">
        <x:v>Casualty Broker-Agent / Inactive / 07/28/2015 / 07/31/2017 / 07/31/2017
Property Broker-Agent / Inactive / 07/28/2015 / 07/31/2017 / 07/31/2017</x:v>
      </x:c>
      <x:c r="AR373" s="7" t="str">
        <x:v>Inactive</x:v>
      </x:c>
      <x:c r="AS373" s="7" t="str">
        <x:v>Current detail page</x:v>
      </x:c>
    </x:row>
    <x:row r="374" ht="52" customHeight="1">
      <x:c r="A374" s="7" t="str">
        <x:v>AGUILAR ELIZABETH ALEXANDRA</x:v>
      </x:c>
      <x:c r="B374" s="14" t="str">
        <x:f>"0L95817"</x:f>
        <x:v>0L95817</x:v>
      </x:c>
      <x:c r="C374" s="7" t="str">
        <x:v>Omitted</x:v>
      </x:c>
      <x:c r="D374" s="7" t="str">
        <x:v>FAIL</x:v>
      </x:c>
      <x:c r="E374" s="13" t="str">
        <x:v>Pending</x:v>
      </x:c>
      <x:c r="F374" s="13" t="str"/>
      <x:c r="G374" s="13" t="str"/>
      <x:c r="H374" s="13" t="str"/>
      <x:c r="I374" s="7" t="str">
        <x:v>Was this person reviewed? If rejected, give the actual rule and evidence. If acceptable, correct the omission. Confirm the Life-qualification gate and any record change since selection.</x:v>
      </x:c>
      <x:c r="J374" s="7" t="str">
        <x:v>L1</x:v>
      </x:c>
      <x:c r="K374" s="7" t="str">
        <x:v>Verified qualifications do not include active general Life. Current target-pool mismatch; actual historical omission reason unknown.</x:v>
      </x:c>
      <x:c r="L374" s="7" t="str">
        <x:v>Not supplied; membership is known, motive is not</x:v>
      </x:c>
      <x:c r="M374" s="7" t="n">
        <x:v>7</x:v>
      </x:c>
      <x:c r="N374" s="7" t="str">
        <x:v>Outside current general-Life recruiting pool</x:v>
      </x:c>
      <x:c r="O374" s="7" t="str">
        <x:v>Not displayed</x:v>
      </x:c>
      <x:c r="P374" s="7" t="str"/>
      <x:c r="Q374" s="7" t="str"/>
      <x:c r="R374" s="7" t="str"/>
      <x:c r="S374" s="15" t="str"/>
      <x:c r="T374" s="7" t="str">
        <x:v>No public business phone in collected record</x:v>
      </x:c>
      <x:c r="U374" s="7" t="str"/>
      <x:c r="V374" s="7" t="str">
        <x:v>Resident</x:v>
      </x:c>
      <x:c r="W374" s="7" t="str">
        <x:v>CA</x:v>
      </x:c>
      <x:c r="X374" s="7" t="str"/>
      <x:c r="Y374" s="7" t="str"/>
      <x:c r="Z374" s="7" t="str"/>
      <x:c r="AA374" s="7" t="str"/>
      <x:c r="AB374" s="7" t="str"/>
      <x:c r="AC374" s="7" t="str"/>
      <x:c r="AD374" s="7" t="str">
        <x:v>No agency or insurer displayed: onboarding opportunity possible; existing business unknown</x:v>
      </x:c>
      <x:c r="AE374" s="7" t="str">
        <x:v>No public business phone: contact enrichment needed, not proof of poor recruiting fit</x:v>
      </x:c>
      <x:c r="AF374" s="16" t="str"/>
      <x:c r="AG374" s="17" t="str"/>
      <x:c r="AH374" s="7" t="str"/>
      <x:c r="AI374" s="7" t="str"/>
      <x:c r="AJ374" s="7" t="str"/>
      <x:c r="AK374" s="15" t="str"/>
      <x:c r="AL374" s="7" t="str"/>
      <x:c r="AM374" s="7" t="str">
        <x:v>Aguilar A Elizabeth | AGUILAR ALEXANDRA ELIZABETH</x:v>
      </x:c>
      <x:c r="AN374" s="7" t="str">
        <x:v>https://cdicloud.insurance.ca.gov/cal/LicenseDetail?SearchType=IND&amp;SearchLicNbr=0L95817&amp;SearchIndvId=1967074</x:v>
      </x:c>
      <x:c r="AO374" s="7" t="str">
        <x:v>2026-10-08</x:v>
      </x:c>
      <x:c r="AP374" s="7" t="str">
        <x:v>16bdd866d5f040eb4019757d5478230156b95b24dff66b0b32a87218fca54b40</x:v>
      </x:c>
      <x:c r="AQ374" s="7" t="str">
        <x:v>Life-Only / Inactive / 09/26/2017 / 09/30/2019 / 09/30/2019</x:v>
      </x:c>
      <x:c r="AR374" s="7" t="str">
        <x:v>Inactive</x:v>
      </x:c>
      <x:c r="AS374" s="7" t="str">
        <x:v>Current detail page</x:v>
      </x:c>
    </x:row>
    <x:row r="375" ht="52" customHeight="1">
      <x:c r="A375" s="7" t="str">
        <x:v>AGUILAR ELIZABETH GUADALUPE</x:v>
      </x:c>
      <x:c r="B375" s="14" t="str">
        <x:f>"0D29124"</x:f>
        <x:v>0D29124</x:v>
      </x:c>
      <x:c r="C375" s="7" t="str">
        <x:v>Omitted</x:v>
      </x:c>
      <x:c r="D375" s="7" t="str">
        <x:v>FAIL</x:v>
      </x:c>
      <x:c r="E375" s="13" t="str">
        <x:v>Pending</x:v>
      </x:c>
      <x:c r="F375" s="13" t="str"/>
      <x:c r="G375" s="13" t="str"/>
      <x:c r="H375" s="13" t="str"/>
      <x:c r="I375" s="7" t="str">
        <x:v>Was this person reviewed? If rejected, give the actual rule and evidence. If acceptable, correct the omission. Confirm the Life-qualification gate and any record change since selection.</x:v>
      </x:c>
      <x:c r="J375" s="7" t="str">
        <x:v>L1</x:v>
      </x:c>
      <x:c r="K375" s="7" t="str">
        <x:v>Verified qualifications do not include active general Life. Current target-pool mismatch; actual historical omission reason unknown.</x:v>
      </x:c>
      <x:c r="L375" s="7" t="str">
        <x:v>Not supplied; membership is known, motive is not</x:v>
      </x:c>
      <x:c r="M375" s="7" t="n">
        <x:v>7</x:v>
      </x:c>
      <x:c r="N375" s="7" t="str">
        <x:v>Outside current general-Life recruiting pool</x:v>
      </x:c>
      <x:c r="O375" s="7" t="str">
        <x:v>Not displayed</x:v>
      </x:c>
      <x:c r="P375" s="7" t="str"/>
      <x:c r="Q375" s="7" t="str"/>
      <x:c r="R375" s="7" t="str">
        <x:v>Casualty; Property</x:v>
      </x:c>
      <x:c r="S375" s="15" t="str"/>
      <x:c r="T375" s="7" t="str">
        <x:v>No public business phone in collected record</x:v>
      </x:c>
      <x:c r="U375" s="7" t="str">
        <x:v>23161 VENTURA BLVD STE 100 WOODLAND HILLS CA, 91364-1186</x:v>
      </x:c>
      <x:c r="V375" s="7" t="str">
        <x:v>Resident</x:v>
      </x:c>
      <x:c r="W375" s="7" t="str">
        <x:v>CA</x:v>
      </x:c>
      <x:c r="X375" s="7" t="str">
        <x:v>FOUNDATION RISK PARTNERS, CORP. / Casualty / 03/02/2026
FOUNDATION RISK PARTNERS, CORP. / Property / 03/02/2026</x:v>
      </x:c>
      <x:c r="Y375" s="7" t="str">
        <x:v>CENTURY-NATIONAL INSURANCE COMPANY / Casualty / 01/06/2025
CENTURY-NATIONAL INSURANCE COMPANY / Property / 01/06/2025
ENCOMPASS INSURANCE COMPANY / Casualty / 01/06/2025
ENCOMPASS INSURANCE COMPANY / Property / 01/06/2025
INTEGON NATIONAL INSURANCE COMPANY / Casualty / 01/06/2025
INTEGON NATIONAL INSURANCE COMPANY / Property / 01/06/2025
NATIONAL GENERAL ASSURANCE COMPANY / Casualty / 01/06/2025
NATIONAL GENERAL ASSURANCE COMPANY / Property / 01/06/2025
NATIONAL GENERAL PREMIER INSURANCE COMPANY / Casualty / 01/06/2025
NATIONAL GENERAL PREMIER INSURANCE COMPANY / Property / 01/06/2025</x:v>
      </x:c>
      <x:c r="Z375" s="7" t="str"/>
      <x:c r="AA375" s="7" t="str"/>
      <x:c r="AB375" s="7" t="str"/>
      <x:c r="AC375" s="7" t="str"/>
      <x:c r="AD375" s="7" t="str"/>
      <x:c r="AE375" s="7" t="str">
        <x:v>P&amp;C/Personal Lines authority without displayed core Life appointments; mixed profile requires review | No public business phone: contact enrichment needed, not proof of poor recruiting fit</x:v>
      </x:c>
      <x:c r="AF375" s="16" t="str"/>
      <x:c r="AG375" s="17" t="str"/>
      <x:c r="AH375" s="7" t="str"/>
      <x:c r="AI375" s="7" t="str">
        <x:v>English</x:v>
      </x:c>
      <x:c r="AJ375" s="7" t="str"/>
      <x:c r="AK375" s="15" t="str"/>
      <x:c r="AL375" s="7" t="str"/>
      <x:c r="AM375" s="7" t="str">
        <x:v>AGUILAR GUADALUPE ELIZABETH</x:v>
      </x:c>
      <x:c r="AN375" s="7" t="str">
        <x:v>https://cdicloud.insurance.ca.gov/cal/LicenseDetail?SearchType=IND&amp;SearchLicNbr=0D29124&amp;SearchIndvId=555788</x:v>
      </x:c>
      <x:c r="AO375" s="7" t="str">
        <x:v>2026-10-08</x:v>
      </x:c>
      <x:c r="AP375" s="7" t="str">
        <x:v>41ed2fb558c5082f6af22f383fccc69a8bb2490c4721ef95f741560936956800</x:v>
      </x:c>
      <x:c r="AQ375" s="7" t="str">
        <x:v>Casualty / Active / 05/09/2001 / 05/09/2001 / 05/31/2027
Property / Active / 05/09/2001 / 05/09/2001 / 05/31/2027</x:v>
      </x:c>
      <x:c r="AR375" s="7" t="str">
        <x:v>Active</x:v>
      </x:c>
      <x:c r="AS375" s="7" t="str">
        <x:v>Current detail page</x:v>
      </x:c>
    </x:row>
    <x:row r="376" ht="52" customHeight="1">
      <x:c r="A376" s="7" t="str">
        <x:v>AGUILAR ELLEN MARIE</x:v>
      </x:c>
      <x:c r="B376" s="14" t="str">
        <x:f>"0E10194"</x:f>
        <x:v>0E10194</x:v>
      </x:c>
      <x:c r="C376" s="7" t="str">
        <x:v>Omitted</x:v>
      </x:c>
      <x:c r="D376" s="7" t="str">
        <x:v>FAIL</x:v>
      </x:c>
      <x:c r="E376" s="13" t="str">
        <x:v>Pending</x:v>
      </x:c>
      <x:c r="F376" s="13" t="str"/>
      <x:c r="G376" s="13" t="str"/>
      <x:c r="H376" s="13" t="str"/>
      <x:c r="I376" s="7" t="str">
        <x:v>Was this person reviewed? If rejected, give the actual rule and evidence. If acceptable, correct the omission. Confirm the Life-qualification gate and any record change since selection.</x:v>
      </x:c>
      <x:c r="J376" s="7" t="str">
        <x:v>L1</x:v>
      </x:c>
      <x:c r="K376" s="7" t="str">
        <x:v>Verified qualifications do not include active general Life. Current target-pool mismatch; actual historical omission reason unknown.</x:v>
      </x:c>
      <x:c r="L376" s="7" t="str">
        <x:v>Not supplied; membership is known, motive is not</x:v>
      </x:c>
      <x:c r="M376" s="7" t="n">
        <x:v>7</x:v>
      </x:c>
      <x:c r="N376" s="7" t="str">
        <x:v>Outside current general-Life recruiting pool</x:v>
      </x:c>
      <x:c r="O376" s="7" t="str">
        <x:v>Not displayed</x:v>
      </x:c>
      <x:c r="P376" s="7" t="str"/>
      <x:c r="Q376" s="7" t="str"/>
      <x:c r="R376" s="7" t="str">
        <x:v>Personal Lines</x:v>
      </x:c>
      <x:c r="S376" s="15" t="str">
        <x:v>925-378-2800 Ext. 6</x:v>
      </x:c>
      <x:c r="T376" s="7" t="str">
        <x:v>Current CDI</x:v>
      </x:c>
      <x:c r="U376" s="7" t="str">
        <x:v>140 MAYHEW WAY STE 201 PLEASANT HILL CA, 94523-4336</x:v>
      </x:c>
      <x:c r="V376" s="7" t="str">
        <x:v>Resident</x:v>
      </x:c>
      <x:c r="W376" s="7" t="str">
        <x:v>CA</x:v>
      </x:c>
      <x:c r="X376" s="7" t="str">
        <x:v>RELIANCE INSURANCE BROKERS INC / Personal Lines / 12/01/2020</x:v>
      </x:c>
      <x:c r="Y376" s="7" t="str"/>
      <x:c r="Z376" s="7" t="str"/>
      <x:c r="AA376" s="7" t="str"/>
      <x:c r="AB376" s="7" t="str"/>
      <x:c r="AC376" s="7" t="str"/>
      <x:c r="AD376" s="7" t="str"/>
      <x:c r="AE376" s="7" t="str">
        <x:v>P&amp;C/Personal Lines authority without displayed core Life appointments; mixed profile requires review</x:v>
      </x:c>
      <x:c r="AF376" s="16" t="str"/>
      <x:c r="AG376" s="17" t="str"/>
      <x:c r="AH376" s="7" t="str"/>
      <x:c r="AI376" s="7" t="str">
        <x:v>English</x:v>
      </x:c>
      <x:c r="AJ376" s="7" t="str"/>
      <x:c r="AK376" s="15" t="str"/>
      <x:c r="AL376" s="7" t="str"/>
      <x:c r="AM376" s="7" t="str">
        <x:v>AGUILAR MARIE ELLEN</x:v>
      </x:c>
      <x:c r="AN376" s="7" t="str">
        <x:v>https://cdicloud.insurance.ca.gov/cal/LicenseDetail?SearchType=IND&amp;SearchLicNbr=0E10194&amp;SearchIndvId=854972</x:v>
      </x:c>
      <x:c r="AO376" s="7" t="str">
        <x:v>2026-10-08</x:v>
      </x:c>
      <x:c r="AP376" s="7" t="str">
        <x:v>594ddbc915c2be8ede5f22ac79418d7fcc6023b30fe184ac20322528be9209c3</x:v>
      </x:c>
      <x:c r="AQ376" s="7" t="str">
        <x:v>Personal Lines / Active / 07/24/2003 / 07/24/2003 / 12/31/2027</x:v>
      </x:c>
      <x:c r="AR376" s="7" t="str">
        <x:v>Active</x:v>
      </x:c>
      <x:c r="AS376" s="7" t="str">
        <x:v>Current detail page</x:v>
      </x:c>
    </x:row>
    <x:row r="377" ht="52" customHeight="1">
      <x:c r="A377" s="7" t="str">
        <x:v>AGUILAR ELMER EFRAIN</x:v>
      </x:c>
      <x:c r="B377" s="14" t="str">
        <x:f>"0B05243"</x:f>
        <x:v>0B05243</x:v>
      </x:c>
      <x:c r="C377" s="7" t="str">
        <x:v>Omitted</x:v>
      </x:c>
      <x:c r="D377" s="7" t="str">
        <x:v>FAIL</x:v>
      </x:c>
      <x:c r="E377" s="13" t="str">
        <x:v>Pending</x:v>
      </x:c>
      <x:c r="F377" s="13" t="str"/>
      <x:c r="G377" s="13" t="str"/>
      <x:c r="H377" s="13" t="str"/>
      <x:c r="I377" s="7" t="str">
        <x:v>Was this person reviewed? If rejected, give the actual rule and evidence. If acceptable, correct the omission. Confirm the Life-qualification gate and any record change since selection.</x:v>
      </x:c>
      <x:c r="J377" s="7" t="str">
        <x:v>L1</x:v>
      </x:c>
      <x:c r="K377" s="7" t="str">
        <x:v>Verified qualifications do not include active general Life. Current target-pool mismatch; actual historical omission reason unknown.</x:v>
      </x:c>
      <x:c r="L377" s="7" t="str">
        <x:v>Not supplied; membership is known, motive is not</x:v>
      </x:c>
      <x:c r="M377" s="7" t="n">
        <x:v>7</x:v>
      </x:c>
      <x:c r="N377" s="7" t="str">
        <x:v>Outside current general-Life recruiting pool</x:v>
      </x:c>
      <x:c r="O377" s="7" t="str">
        <x:v>Not displayed</x:v>
      </x:c>
      <x:c r="P377" s="7" t="str"/>
      <x:c r="Q377" s="7" t="str"/>
      <x:c r="R377" s="7" t="str"/>
      <x:c r="S377" s="15" t="str"/>
      <x:c r="T377" s="7" t="str">
        <x:v>No public business phone in collected record</x:v>
      </x:c>
      <x:c r="U377" s="7" t="str"/>
      <x:c r="V377" s="7" t="str">
        <x:v>Resident</x:v>
      </x:c>
      <x:c r="W377" s="7" t="str">
        <x:v>CA</x:v>
      </x:c>
      <x:c r="X377" s="7" t="str"/>
      <x:c r="Y377" s="7" t="str"/>
      <x:c r="Z377" s="7" t="str"/>
      <x:c r="AA377" s="7" t="str"/>
      <x:c r="AB377" s="7" t="str"/>
      <x:c r="AC377" s="7" t="str"/>
      <x:c r="AD377" s="7" t="str">
        <x:v>No agency or insurer displayed: onboarding opportunity possible; existing business unknown</x:v>
      </x:c>
      <x:c r="AE377" s="7" t="str">
        <x:v>No public business phone: contact enrichment needed, not proof of poor recruiting fit</x:v>
      </x:c>
      <x:c r="AF377" s="16" t="str"/>
      <x:c r="AG377" s="17" t="str"/>
      <x:c r="AH377" s="7" t="str"/>
      <x:c r="AI377" s="7" t="str"/>
      <x:c r="AJ377" s="7" t="str"/>
      <x:c r="AK377" s="15" t="str"/>
      <x:c r="AL377" s="7" t="str"/>
      <x:c r="AM377" s="7" t="str">
        <x:v>AGUILAR EFRAIN ELMER</x:v>
      </x:c>
      <x:c r="AN377" s="7" t="str">
        <x:v>https://cdicloud.insurance.ca.gov/cal/LicenseDetail?SearchType=IND&amp;SearchLicNbr=0B05243&amp;SearchIndvId=187250</x:v>
      </x:c>
      <x:c r="AO377" s="7" t="str">
        <x:v>2026-10-08</x:v>
      </x:c>
      <x:c r="AP377" s="7" t="str">
        <x:v>a0c2e1385c5667d737e1973c62b3b494de47c93fbb4afa0ca125873ca604a387</x:v>
      </x:c>
      <x:c r="AQ377" s="7" t="str">
        <x:v>Accident and Health / Inactive / 10/13/1992 / 10/31/1994 / 10/31/1994
Life-Only / Inactive / 10/13/1992 / 10/31/1994 / 10/31/1994</x:v>
      </x:c>
      <x:c r="AR377" s="7" t="str">
        <x:v>Inactive</x:v>
      </x:c>
      <x:c r="AS377" s="7" t="str">
        <x:v>Current detail page</x:v>
      </x:c>
    </x:row>
    <x:row r="378" ht="52" customHeight="1">
      <x:c r="A378" s="7" t="str">
        <x:v>AGUILAR ELVA FABIOLA</x:v>
      </x:c>
      <x:c r="B378" s="14" t="str">
        <x:f>"0K88102"</x:f>
        <x:v>0K88102</x:v>
      </x:c>
      <x:c r="C378" s="7" t="str">
        <x:v>Omitted</x:v>
      </x:c>
      <x:c r="D378" s="7" t="str">
        <x:v>FAIL</x:v>
      </x:c>
      <x:c r="E378" s="13" t="str">
        <x:v>Pending</x:v>
      </x:c>
      <x:c r="F378" s="13" t="str"/>
      <x:c r="G378" s="13" t="str"/>
      <x:c r="H378" s="13" t="str"/>
      <x:c r="I378" s="7" t="str">
        <x:v>Was this person reviewed? If rejected, give the actual rule and evidence. If acceptable, correct the omission. Confirm the Life-qualification gate and any record change since selection.</x:v>
      </x:c>
      <x:c r="J378" s="7" t="str">
        <x:v>L1</x:v>
      </x:c>
      <x:c r="K378" s="7" t="str">
        <x:v>Verified qualifications do not include active general Life. Current target-pool mismatch; actual historical omission reason unknown.</x:v>
      </x:c>
      <x:c r="L378" s="7" t="str">
        <x:v>Not supplied; membership is known, motive is not</x:v>
      </x:c>
      <x:c r="M378" s="7" t="n">
        <x:v>7</x:v>
      </x:c>
      <x:c r="N378" s="7" t="str">
        <x:v>Outside current general-Life recruiting pool</x:v>
      </x:c>
      <x:c r="O378" s="7" t="str">
        <x:v>Not displayed</x:v>
      </x:c>
      <x:c r="P378" s="7" t="str"/>
      <x:c r="Q378" s="7" t="str"/>
      <x:c r="R378" s="7" t="str"/>
      <x:c r="S378" s="15" t="str"/>
      <x:c r="T378" s="7" t="str">
        <x:v>No public business phone in collected record</x:v>
      </x:c>
      <x:c r="U378" s="7" t="str"/>
      <x:c r="V378" s="7" t="str">
        <x:v>Resident</x:v>
      </x:c>
      <x:c r="W378" s="7" t="str">
        <x:v>CA</x:v>
      </x:c>
      <x:c r="X378" s="7" t="str"/>
      <x:c r="Y378" s="7" t="str"/>
      <x:c r="Z378" s="7" t="str"/>
      <x:c r="AA378" s="7" t="str"/>
      <x:c r="AB378" s="7" t="str"/>
      <x:c r="AC378" s="7" t="str"/>
      <x:c r="AD378" s="7" t="str">
        <x:v>No agency or insurer displayed: onboarding opportunity possible; existing business unknown</x:v>
      </x:c>
      <x:c r="AE378" s="7" t="str">
        <x:v>No public business phone: contact enrichment needed, not proof of poor recruiting fit</x:v>
      </x:c>
      <x:c r="AF378" s="16" t="str"/>
      <x:c r="AG378" s="17" t="str"/>
      <x:c r="AH378" s="7" t="str"/>
      <x:c r="AI378" s="7" t="str"/>
      <x:c r="AJ378" s="7" t="str"/>
      <x:c r="AK378" s="15" t="str"/>
      <x:c r="AL378" s="7" t="str"/>
      <x:c r="AM378" s="7" t="str">
        <x:v>AGUILAR FABIOLA ELVA</x:v>
      </x:c>
      <x:c r="AN378" s="7" t="str">
        <x:v>https://cdicloud.insurance.ca.gov/cal/LicenseDetail?SearchType=IND&amp;SearchLicNbr=0K88102&amp;SearchIndvId=1836120</x:v>
      </x:c>
      <x:c r="AO378" s="7" t="str">
        <x:v>2026-10-08</x:v>
      </x:c>
      <x:c r="AP378" s="7" t="str">
        <x:v>f04abfb52cf780912d92724a58822967b094c3f96873ad6ce831d3f4e5d6d317</x:v>
      </x:c>
      <x:c r="AQ378" s="7" t="str">
        <x:v>Accident and Health / Inactive / 05/04/2016 / 05/31/2018 / 05/31/2018
Life-Only / Inactive / 05/04/2016 / 05/31/2018 / 05/31/2018</x:v>
      </x:c>
      <x:c r="AR378" s="7" t="str">
        <x:v>Inactive</x:v>
      </x:c>
      <x:c r="AS378" s="7" t="str">
        <x:v>Current detail page</x:v>
      </x:c>
    </x:row>
    <x:row r="379" ht="52" customHeight="1">
      <x:c r="A379" s="7" t="str">
        <x:v>AGUILAR ELVIA RAQUEL</x:v>
      </x:c>
      <x:c r="B379" s="14" t="str">
        <x:f>"0D31682"</x:f>
        <x:v>0D31682</x:v>
      </x:c>
      <x:c r="C379" s="7" t="str">
        <x:v>Omitted</x:v>
      </x:c>
      <x:c r="D379" s="7" t="str">
        <x:v>FAIL</x:v>
      </x:c>
      <x:c r="E379" s="13" t="str">
        <x:v>Pending</x:v>
      </x:c>
      <x:c r="F379" s="13" t="str"/>
      <x:c r="G379" s="13" t="str"/>
      <x:c r="H379" s="13" t="str"/>
      <x:c r="I379" s="7" t="str">
        <x:v>Was this person reviewed? If rejected, give the actual rule and evidence. If acceptable, correct the omission. Confirm the Life-qualification gate and any record change since selection.</x:v>
      </x:c>
      <x:c r="J379" s="7" t="str">
        <x:v>L1</x:v>
      </x:c>
      <x:c r="K379" s="7" t="str">
        <x:v>Verified qualifications do not include active general Life. Current target-pool mismatch; actual historical omission reason unknown.</x:v>
      </x:c>
      <x:c r="L379" s="7" t="str">
        <x:v>Not supplied; membership is known, motive is not</x:v>
      </x:c>
      <x:c r="M379" s="7" t="n">
        <x:v>7</x:v>
      </x:c>
      <x:c r="N379" s="7" t="str">
        <x:v>Outside current general-Life recruiting pool</x:v>
      </x:c>
      <x:c r="O379" s="7" t="str">
        <x:v>Not displayed</x:v>
      </x:c>
      <x:c r="P379" s="7" t="str"/>
      <x:c r="Q379" s="7" t="str"/>
      <x:c r="R379" s="7" t="str"/>
      <x:c r="S379" s="15" t="str"/>
      <x:c r="T379" s="7" t="str">
        <x:v>No public business phone in collected record</x:v>
      </x:c>
      <x:c r="U379" s="7" t="str"/>
      <x:c r="V379" s="7" t="str">
        <x:v>Resident</x:v>
      </x:c>
      <x:c r="W379" s="7" t="str">
        <x:v>CA</x:v>
      </x:c>
      <x:c r="X379" s="7" t="str"/>
      <x:c r="Y379" s="7" t="str"/>
      <x:c r="Z379" s="7" t="str"/>
      <x:c r="AA379" s="7" t="str"/>
      <x:c r="AB379" s="7" t="str"/>
      <x:c r="AC379" s="7" t="str"/>
      <x:c r="AD379" s="7" t="str">
        <x:v>No agency or insurer displayed: onboarding opportunity possible; existing business unknown</x:v>
      </x:c>
      <x:c r="AE379" s="7" t="str">
        <x:v>No public business phone: contact enrichment needed, not proof of poor recruiting fit</x:v>
      </x:c>
      <x:c r="AF379" s="16" t="str"/>
      <x:c r="AG379" s="17" t="str"/>
      <x:c r="AH379" s="7" t="str"/>
      <x:c r="AI379" s="7" t="str"/>
      <x:c r="AJ379" s="7" t="str"/>
      <x:c r="AK379" s="15" t="str"/>
      <x:c r="AL379" s="7" t="str"/>
      <x:c r="AM379" s="7" t="str">
        <x:v>AGUILAR RAQUEL ELVIA</x:v>
      </x:c>
      <x:c r="AN379" s="7" t="str">
        <x:v>https://cdicloud.insurance.ca.gov/cal/LicenseDetail?SearchType=IND&amp;SearchLicNbr=0D31682&amp;SearchIndvId=562597</x:v>
      </x:c>
      <x:c r="AO379" s="7" t="str">
        <x:v>2026-10-08</x:v>
      </x:c>
      <x:c r="AP379" s="7" t="str">
        <x:v>252a7f94f61929a121e04719cc5f004202c33024d160fbc1fc021a4061f3a603</x:v>
      </x:c>
      <x:c r="AQ379" s="7" t="str">
        <x:v>Accident and Health / Inactive / 06/04/2001 / 06/30/2003 / 06/30/2003
Life-Only / Inactive / 06/04/2001 / 06/30/2003 / 06/30/2003</x:v>
      </x:c>
      <x:c r="AR379" s="7" t="str">
        <x:v>Inactive</x:v>
      </x:c>
      <x:c r="AS379" s="7" t="str">
        <x:v>Current detail page</x:v>
      </x:c>
    </x:row>
    <x:row r="380" ht="52" customHeight="1">
      <x:c r="A380" s="7" t="str">
        <x:v>AGUILAR ELVIA VILLAPUDUA</x:v>
      </x:c>
      <x:c r="B380" s="14" t="str">
        <x:f>"0813057"</x:f>
        <x:v>0813057</x:v>
      </x:c>
      <x:c r="C380" s="7" t="str">
        <x:v>Omitted</x:v>
      </x:c>
      <x:c r="D380" s="7" t="str">
        <x:v>FAIL</x:v>
      </x:c>
      <x:c r="E380" s="13" t="str">
        <x:v>Pending</x:v>
      </x:c>
      <x:c r="F380" s="13" t="str"/>
      <x:c r="G380" s="13" t="str"/>
      <x:c r="H380" s="13" t="str"/>
      <x:c r="I380" s="7" t="str">
        <x:v>Was this person reviewed? If rejected, give the actual rule and evidence. If acceptable, correct the omission. Confirm the Life-qualification gate and any record change since selection.</x:v>
      </x:c>
      <x:c r="J380" s="7" t="str">
        <x:v>L1</x:v>
      </x:c>
      <x:c r="K380" s="7" t="str">
        <x:v>Verified qualifications do not include active general Life. Current target-pool mismatch; actual historical omission reason unknown.</x:v>
      </x:c>
      <x:c r="L380" s="7" t="str">
        <x:v>Not supplied; membership is known, motive is not</x:v>
      </x:c>
      <x:c r="M380" s="7" t="n">
        <x:v>7</x:v>
      </x:c>
      <x:c r="N380" s="7" t="str">
        <x:v>Outside current general-Life recruiting pool</x:v>
      </x:c>
      <x:c r="O380" s="7" t="str">
        <x:v>Not displayed</x:v>
      </x:c>
      <x:c r="P380" s="7" t="str"/>
      <x:c r="Q380" s="7" t="str"/>
      <x:c r="R380" s="7" t="str"/>
      <x:c r="S380" s="15" t="str"/>
      <x:c r="T380" s="7" t="str">
        <x:v>No public business phone in collected record</x:v>
      </x:c>
      <x:c r="U380" s="7" t="str"/>
      <x:c r="V380" s="7" t="str">
        <x:v>Resident</x:v>
      </x:c>
      <x:c r="W380" s="7" t="str">
        <x:v>CA</x:v>
      </x:c>
      <x:c r="X380" s="7" t="str"/>
      <x:c r="Y380" s="7" t="str"/>
      <x:c r="Z380" s="7" t="str"/>
      <x:c r="AA380" s="7" t="str"/>
      <x:c r="AB380" s="7" t="str"/>
      <x:c r="AC380" s="7" t="str"/>
      <x:c r="AD380" s="7" t="str">
        <x:v>No agency or insurer displayed: onboarding opportunity possible; existing business unknown</x:v>
      </x:c>
      <x:c r="AE380" s="7" t="str">
        <x:v>No public business phone: contact enrichment needed, not proof of poor recruiting fit</x:v>
      </x:c>
      <x:c r="AF380" s="16" t="str"/>
      <x:c r="AG380" s="17" t="str"/>
      <x:c r="AH380" s="7" t="str"/>
      <x:c r="AI380" s="7" t="str"/>
      <x:c r="AJ380" s="7" t="str"/>
      <x:c r="AK380" s="15" t="str"/>
      <x:c r="AL380" s="7" t="str"/>
      <x:c r="AM380" s="7" t="str">
        <x:v>AGUILAR VILLAPUDUA ELVIA</x:v>
      </x:c>
      <x:c r="AN380" s="7" t="str">
        <x:v>https://cdicloud.insurance.ca.gov/cal/LicenseDetail?SearchType=IND&amp;SearchLicNbr=0813057&amp;SearchIndvId=131492</x:v>
      </x:c>
      <x:c r="AO380" s="7" t="str">
        <x:v>2026-10-08</x:v>
      </x:c>
      <x:c r="AP380" s="7" t="str">
        <x:v>3674d4e0549d20019065a6b493f816e1babfbedbf785301aedc8f20108c7ba06</x:v>
      </x:c>
      <x:c r="AQ380" s="7" t="str">
        <x:v>Accident and Health / Inactive / 02/13/1991 / 02/28/1995 / 02/28/1995
Life-Only / Inactive / 02/13/1991 / 02/28/1995 / 02/28/1995</x:v>
      </x:c>
      <x:c r="AR380" s="7" t="str">
        <x:v>Inactive</x:v>
      </x:c>
      <x:c r="AS380" s="7" t="str">
        <x:v>Current detail page</x:v>
      </x:c>
    </x:row>
    <x:row r="381" ht="52" customHeight="1">
      <x:c r="A381" s="7" t="str">
        <x:v>AGUILAR EMANUEL ROQUE</x:v>
      </x:c>
      <x:c r="B381" s="14" t="str">
        <x:f>"4345096"</x:f>
        <x:v>4345096</x:v>
      </x:c>
      <x:c r="C381" s="7" t="str">
        <x:v>Omitted</x:v>
      </x:c>
      <x:c r="D381" s="7" t="str">
        <x:v>FAIL</x:v>
      </x:c>
      <x:c r="E381" s="13" t="str">
        <x:v>Pending</x:v>
      </x:c>
      <x:c r="F381" s="13" t="str"/>
      <x:c r="G381" s="13" t="str"/>
      <x:c r="H381" s="13" t="str"/>
      <x:c r="I381" s="7" t="str">
        <x:v>Was this person reviewed? If rejected, give the actual rule and evidence. If acceptable, correct the omission. Confirm the Life-qualification gate and any record change since selection.</x:v>
      </x:c>
      <x:c r="J381" s="7" t="str">
        <x:v>L1</x:v>
      </x:c>
      <x:c r="K381" s="7" t="str">
        <x:v>Verified qualifications do not include active general Life. Current target-pool mismatch; actual historical omission reason unknown.</x:v>
      </x:c>
      <x:c r="L381" s="7" t="str">
        <x:v>Not supplied; membership is known, motive is not</x:v>
      </x:c>
      <x:c r="M381" s="7" t="n">
        <x:v>7</x:v>
      </x:c>
      <x:c r="N381" s="7" t="str">
        <x:v>Outside current general-Life recruiting pool</x:v>
      </x:c>
      <x:c r="O381" s="7" t="str">
        <x:v>Inactive</x:v>
      </x:c>
      <x:c r="P381" s="7" t="str">
        <x:v>12/06/2023</x:v>
      </x:c>
      <x:c r="Q381" s="7" t="str">
        <x:v>12/31/2025</x:v>
      </x:c>
      <x:c r="R381" s="7" t="str"/>
      <x:c r="S381" s="15" t="str">
        <x:v>408-728-2052</x:v>
      </x:c>
      <x:c r="T381" s="7" t="str">
        <x:v>Current CDI</x:v>
      </x:c>
      <x:c r="U381" s="7" t="str">
        <x:v>3207 HALBREATH COURT SAN JOSE CA, 95121</x:v>
      </x:c>
      <x:c r="V381" s="7" t="str">
        <x:v>Resident</x:v>
      </x:c>
      <x:c r="W381" s="7" t="str">
        <x:v>CA</x:v>
      </x:c>
      <x:c r="X381" s="7" t="str"/>
      <x:c r="Y381" s="7" t="str"/>
      <x:c r="Z381" s="7" t="str"/>
      <x:c r="AA381" s="7" t="str"/>
      <x:c r="AB381" s="7" t="str"/>
      <x:c r="AC381" s="7" t="str"/>
      <x:c r="AD381" s="7" t="str">
        <x:v>No agency or insurer displayed: onboarding opportunity possible; existing business unknown</x:v>
      </x:c>
      <x:c r="AE381" s="7" t="str"/>
      <x:c r="AF381" s="16" t="str"/>
      <x:c r="AG381" s="17" t="str"/>
      <x:c r="AH381" s="7" t="str"/>
      <x:c r="AI381" s="7" t="str">
        <x:v>English</x:v>
      </x:c>
      <x:c r="AJ381" s="7" t="str"/>
      <x:c r="AK381" s="15" t="str"/>
      <x:c r="AL381" s="7" t="str"/>
      <x:c r="AM381" s="7" t="str">
        <x:v>AGUILAR ROQUE EMANUEL</x:v>
      </x:c>
      <x:c r="AN381" s="7" t="str">
        <x:v>https://cdicloud.insurance.ca.gov/cal/LicenseDetail?SearchType=IND&amp;SearchLicNbr=4345096&amp;SearchIndvId=4345096</x:v>
      </x:c>
      <x:c r="AO381" s="7" t="str">
        <x:v>2026-10-08</x:v>
      </x:c>
      <x:c r="AP381" s="7" t="str">
        <x:v>81f258e89d737d56ee1f10b6b2934b26ee77820e7f84411f76a31d4a6cf23832</x:v>
      </x:c>
      <x:c r="AQ381" s="7" t="str">
        <x:v>Accident &amp; Health or Sickness / Inactive / 12/06/2023 / 12/31/2025 / 12/31/2025
Life / Inactive / 12/06/2023 / 12/31/2025 / 12/31/2025</x:v>
      </x:c>
      <x:c r="AR381" s="7" t="str">
        <x:v>Inactive</x:v>
      </x:c>
      <x:c r="AS381" s="7" t="str">
        <x:v>Current detail page</x:v>
      </x:c>
    </x:row>
    <x:row r="382" ht="52" customHeight="1">
      <x:c r="A382" s="7" t="str">
        <x:v>AGUILAR EMILEAH JEANNE</x:v>
      </x:c>
      <x:c r="B382" s="14" t="str">
        <x:f>"0N00202"</x:f>
        <x:v>0N00202</x:v>
      </x:c>
      <x:c r="C382" s="7" t="str">
        <x:v>Omitted</x:v>
      </x:c>
      <x:c r="D382" s="7" t="str">
        <x:v>FAIL</x:v>
      </x:c>
      <x:c r="E382" s="13" t="str">
        <x:v>Pending</x:v>
      </x:c>
      <x:c r="F382" s="13" t="str"/>
      <x:c r="G382" s="13" t="str"/>
      <x:c r="H382" s="13" t="str"/>
      <x:c r="I382" s="7" t="str">
        <x:v>Was this person reviewed? If rejected, give the actual rule and evidence. If acceptable, correct the omission. Confirm the Life-qualification gate and any record change since selection.</x:v>
      </x:c>
      <x:c r="J382" s="7" t="str">
        <x:v>L1</x:v>
      </x:c>
      <x:c r="K382" s="7" t="str">
        <x:v>Verified qualifications do not include active general Life. Current target-pool mismatch; actual historical omission reason unknown.</x:v>
      </x:c>
      <x:c r="L382" s="7" t="str">
        <x:v>Not supplied; membership is known, motive is not</x:v>
      </x:c>
      <x:c r="M382" s="7" t="n">
        <x:v>7</x:v>
      </x:c>
      <x:c r="N382" s="7" t="str">
        <x:v>Outside current general-Life recruiting pool</x:v>
      </x:c>
      <x:c r="O382" s="7" t="str">
        <x:v>Inactive</x:v>
      </x:c>
      <x:c r="P382" s="7" t="str">
        <x:v>05/28/2019</x:v>
      </x:c>
      <x:c r="Q382" s="7" t="str">
        <x:v>05/31/2025</x:v>
      </x:c>
      <x:c r="R382" s="7" t="str"/>
      <x:c r="S382" s="15" t="str"/>
      <x:c r="T382" s="7" t="str">
        <x:v>No public business phone in collected record</x:v>
      </x:c>
      <x:c r="U382" s="7" t="str">
        <x:v>10 E ATHENS AVE STE 208 ARDMORE PA, 19003-2115</x:v>
      </x:c>
      <x:c r="V382" s="7" t="str">
        <x:v>Non-resident</x:v>
      </x:c>
      <x:c r="W382" s="7" t="str">
        <x:v>PA</x:v>
      </x:c>
      <x:c r="X382" s="7" t="str"/>
      <x:c r="Y382" s="7" t="str"/>
      <x:c r="Z382" s="7" t="str"/>
      <x:c r="AA382" s="7" t="str"/>
      <x:c r="AB382" s="7" t="str"/>
      <x:c r="AC382" s="7" t="str"/>
      <x:c r="AD382" s="7" t="str">
        <x:v>No agency or insurer displayed: onboarding opportunity possible; existing business unknown</x:v>
      </x:c>
      <x:c r="AE382" s="7" t="str">
        <x:v>Nonresident or address state outside CA; confirm geographic recruiting scope | No public business phone: contact enrichment needed, not proof of poor recruiting fit</x:v>
      </x:c>
      <x:c r="AF382" s="16" t="str"/>
      <x:c r="AG382" s="17" t="str"/>
      <x:c r="AH382" s="7" t="str"/>
      <x:c r="AI382" s="7" t="str"/>
      <x:c r="AJ382" s="7" t="str"/>
      <x:c r="AK382" s="15" t="str"/>
      <x:c r="AL382" s="7" t="str"/>
      <x:c r="AM382" s="7" t="str">
        <x:v>AGUILAR JEANNE EMILEAH</x:v>
      </x:c>
      <x:c r="AN382" s="7" t="str">
        <x:v>https://cdicloud.insurance.ca.gov/cal/LicenseDetail?SearchType=IND&amp;SearchLicNbr=0N00202&amp;SearchIndvId=2110021</x:v>
      </x:c>
      <x:c r="AO382" s="7" t="str">
        <x:v>2026-10-08</x:v>
      </x:c>
      <x:c r="AP382" s="7" t="str">
        <x:v>7a07c88b2e2bcf9ec11cf50b668b338a1fa047fe358f39478cb5e1ba2dcd3bb0</x:v>
      </x:c>
      <x:c r="AQ382" s="7" t="str">
        <x:v>Accident &amp; Health or Sickness / Inactive / 05/28/2019 / 05/31/2025 / 05/31/2025
Life / Inactive / 05/28/2019 / 05/31/2025 / 05/31/2025</x:v>
      </x:c>
      <x:c r="AR382" s="7" t="str">
        <x:v>Inactive</x:v>
      </x:c>
      <x:c r="AS382" s="7" t="str">
        <x:v>Current detail page</x:v>
      </x:c>
    </x:row>
    <x:row r="383" ht="52" customHeight="1">
      <x:c r="A383" s="7" t="str">
        <x:v>AGUILAR EMILY</x:v>
      </x:c>
      <x:c r="B383" s="14" t="str">
        <x:f>"0C69372"</x:f>
        <x:v>0C69372</x:v>
      </x:c>
      <x:c r="C383" s="7" t="str">
        <x:v>Omitted</x:v>
      </x:c>
      <x:c r="D383" s="7" t="str">
        <x:v>FAIL</x:v>
      </x:c>
      <x:c r="E383" s="13" t="str">
        <x:v>Pending</x:v>
      </x:c>
      <x:c r="F383" s="13" t="str"/>
      <x:c r="G383" s="13" t="str"/>
      <x:c r="H383" s="13" t="str"/>
      <x:c r="I383" s="7" t="str">
        <x:v>Was this person reviewed? If rejected, give the actual rule and evidence. If acceptable, correct the omission. Confirm the Life-qualification gate and any record change since selection.</x:v>
      </x:c>
      <x:c r="J383" s="7" t="str">
        <x:v>L1</x:v>
      </x:c>
      <x:c r="K383" s="7" t="str">
        <x:v>Verified qualifications do not include active general Life. Current target-pool mismatch; actual historical omission reason unknown.</x:v>
      </x:c>
      <x:c r="L383" s="7" t="str">
        <x:v>Not supplied; membership is known, motive is not</x:v>
      </x:c>
      <x:c r="M383" s="7" t="n">
        <x:v>7</x:v>
      </x:c>
      <x:c r="N383" s="7" t="str">
        <x:v>Outside current general-Life recruiting pool</x:v>
      </x:c>
      <x:c r="O383" s="7" t="str">
        <x:v>Not displayed</x:v>
      </x:c>
      <x:c r="P383" s="7" t="str"/>
      <x:c r="Q383" s="7" t="str"/>
      <x:c r="R383" s="7" t="str"/>
      <x:c r="S383" s="15" t="str"/>
      <x:c r="T383" s="7" t="str">
        <x:v>No public business phone in collected record</x:v>
      </x:c>
      <x:c r="U383" s="7" t="str"/>
      <x:c r="V383" s="7" t="str">
        <x:v>Resident</x:v>
      </x:c>
      <x:c r="W383" s="7" t="str">
        <x:v>CA</x:v>
      </x:c>
      <x:c r="X383" s="7" t="str">
        <x:v>PRIMERICA FINANCIAL SERVICES INSURANCE MARKETING, INC. / Life-Only / 10/30/1999
PRIMERICA FINANCIAL SERVICES INSURANCE MARKETING, INC. / Accident and Health / 10/30/1999</x:v>
      </x:c>
      <x:c r="Y383" s="7" t="str"/>
      <x:c r="Z383" s="7" t="str"/>
      <x:c r="AA383" s="7" t="str"/>
      <x:c r="AB383" s="7" t="str"/>
      <x:c r="AC383" s="7" t="str"/>
      <x:c r="AD383" s="7" t="str">
        <x:v>Primerica relationship: matches an explicitly targeted recruiting segment</x:v>
      </x:c>
      <x:c r="AE383" s="7" t="str">
        <x:v>No public business phone: contact enrichment needed, not proof of poor recruiting fit</x:v>
      </x:c>
      <x:c r="AF383" s="16" t="str"/>
      <x:c r="AG383" s="17" t="str"/>
      <x:c r="AH383" s="7" t="str"/>
      <x:c r="AI383" s="7" t="str"/>
      <x:c r="AJ383" s="7" t="str"/>
      <x:c r="AK383" s="15" t="str"/>
      <x:c r="AL383" s="7" t="str"/>
      <x:c r="AM383" s="7" t="str">
        <x:v>AGUILAR  EMILY</x:v>
      </x:c>
      <x:c r="AN383" s="7" t="str">
        <x:v>https://cdicloud.insurance.ca.gov/cal/LicenseDetail?SearchType=IND&amp;SearchLicNbr=0C69372&amp;SearchIndvId=461375</x:v>
      </x:c>
      <x:c r="AO383" s="7" t="str">
        <x:v>2026-10-08</x:v>
      </x:c>
      <x:c r="AP383" s="7" t="str">
        <x:v>ade0d3f3b7dbd1db27f8ac1db0883d6e3d773cbef3a90abea96f62fc5706c191</x:v>
      </x:c>
      <x:c r="AQ383" s="7" t="str">
        <x:v>Accident and Health / Inactive / 10/30/1999 / 10/31/2001 / 10/31/2001
Life-Only / Inactive / 10/30/1999 / 10/31/2001 / 10/31/2001</x:v>
      </x:c>
      <x:c r="AR383" s="7" t="str">
        <x:v>Inactive</x:v>
      </x:c>
      <x:c r="AS383" s="7" t="str">
        <x:v>Current detail page</x:v>
      </x:c>
    </x:row>
    <x:row r="384" ht="52" customHeight="1">
      <x:c r="A384" s="7" t="str">
        <x:v>AGUILAR EMILY</x:v>
      </x:c>
      <x:c r="B384" s="14" t="str">
        <x:f>"0I53750"</x:f>
        <x:v>0I53750</x:v>
      </x:c>
      <x:c r="C384" s="7" t="str">
        <x:v>Omitted</x:v>
      </x:c>
      <x:c r="D384" s="7" t="str">
        <x:v>FAIL</x:v>
      </x:c>
      <x:c r="E384" s="13" t="str">
        <x:v>Pending</x:v>
      </x:c>
      <x:c r="F384" s="13" t="str"/>
      <x:c r="G384" s="13" t="str"/>
      <x:c r="H384" s="13" t="str"/>
      <x:c r="I384" s="7" t="str">
        <x:v>Was this person reviewed? If rejected, give the actual rule and evidence. If acceptable, correct the omission. Confirm the Life-qualification gate and any record change since selection.</x:v>
      </x:c>
      <x:c r="J384" s="7" t="str">
        <x:v>L1</x:v>
      </x:c>
      <x:c r="K384" s="7" t="str">
        <x:v>Verified qualifications do not include active general Life. Current target-pool mismatch; actual historical omission reason unknown.</x:v>
      </x:c>
      <x:c r="L384" s="7" t="str">
        <x:v>Not supplied; membership is known, motive is not</x:v>
      </x:c>
      <x:c r="M384" s="7" t="n">
        <x:v>7</x:v>
      </x:c>
      <x:c r="N384" s="7" t="str">
        <x:v>Outside current general-Life recruiting pool</x:v>
      </x:c>
      <x:c r="O384" s="7" t="str">
        <x:v>Not displayed</x:v>
      </x:c>
      <x:c r="P384" s="7" t="str"/>
      <x:c r="Q384" s="7" t="str"/>
      <x:c r="R384" s="7" t="str">
        <x:v>Personal Lines</x:v>
      </x:c>
      <x:c r="S384" s="15" t="str"/>
      <x:c r="T384" s="7" t="str">
        <x:v>No public business phone in collected record</x:v>
      </x:c>
      <x:c r="U384" s="7" t="str">
        <x:v>GEICO LICENSING DEPT 3050 S M L KING JR WAY TUCSON AZ, 85713-4115</x:v>
      </x:c>
      <x:c r="V384" s="7" t="str">
        <x:v>Non-resident</x:v>
      </x:c>
      <x:c r="W384" s="7" t="str">
        <x:v>AZ</x:v>
      </x:c>
      <x:c r="X384" s="7" t="str">
        <x:v>GEICO INSURANCE AGENCY, LLC / Personal Lines / 09/08/2023</x:v>
      </x:c>
      <x:c r="Y384" s="7" t="str">
        <x:v>GEICO CASUALTY COMPANY / Personal Lines / 09/21/2020
GEICO GENERAL INSURANCE COMPANY / Personal Lines / 09/21/2020
GEICO INDEMNITY COMPANY / Personal Lines / 09/21/2020
GEICO MARINE INSURANCE COMPANY / Personal Lines / 05/13/2025
GEICO PROTECTION INSURANCE COMPANY / Personal Lines / 03/22/2025
GOVERNMENT EMPLOYEES INSURANCE COMPANY / Personal Lines / 09/21/2020</x:v>
      </x:c>
      <x:c r="Z384" s="7" t="str"/>
      <x:c r="AA384" s="7" t="str"/>
      <x:c r="AB384" s="7" t="str"/>
      <x:c r="AC384" s="7" t="str"/>
      <x:c r="AD384" s="7" t="str"/>
      <x:c r="AE384"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384" s="16" t="str"/>
      <x:c r="AG384" s="17" t="str"/>
      <x:c r="AH384" s="7" t="str"/>
      <x:c r="AI384" s="7" t="str"/>
      <x:c r="AJ384" s="7" t="str"/>
      <x:c r="AK384" s="15" t="str"/>
      <x:c r="AL384" s="7" t="str"/>
      <x:c r="AM384" s="7" t="str">
        <x:v>AGUILAR  EMILY</x:v>
      </x:c>
      <x:c r="AN384" s="7" t="str">
        <x:v>https://cdicloud.insurance.ca.gov/cal/LicenseDetail?SearchType=IND&amp;SearchLicNbr=0I53750&amp;SearchIndvId=1607411</x:v>
      </x:c>
      <x:c r="AO384" s="7" t="str">
        <x:v>2026-10-08</x:v>
      </x:c>
      <x:c r="AP384" s="7" t="str">
        <x:v>0155639bac1bb84d8002c5d81c0da1954db6773650463765acc992b94d0c66aa</x:v>
      </x:c>
      <x:c r="AQ384" s="7" t="str">
        <x:v>Personal Lines / Active / 09/21/2020 / 09/21/2020 / 09/30/2028</x:v>
      </x:c>
      <x:c r="AR384" s="7" t="str">
        <x:v>Active</x:v>
      </x:c>
      <x:c r="AS384" s="7" t="str">
        <x:v>Current detail page</x:v>
      </x:c>
    </x:row>
    <x:row r="385" ht="52" customHeight="1">
      <x:c r="A385" s="7" t="str">
        <x:v>AGUILAR EMILY</x:v>
      </x:c>
      <x:c r="B385" s="14" t="str">
        <x:f>"4537470"</x:f>
        <x:v>4537470</x:v>
      </x:c>
      <x:c r="C385" s="7" t="str">
        <x:v>Omitted</x:v>
      </x:c>
      <x:c r="D385" s="7" t="str">
        <x:v>FAIL</x:v>
      </x:c>
      <x:c r="E385" s="13" t="str">
        <x:v>Pending</x:v>
      </x:c>
      <x:c r="F385" s="13" t="str"/>
      <x:c r="G385" s="13" t="str"/>
      <x:c r="H385" s="13" t="str"/>
      <x:c r="I385" s="7" t="str">
        <x:v>Was this person reviewed? If rejected, give the actual rule and evidence. If acceptable, correct the omission. Confirm the Life-qualification gate and any record change since selection.</x:v>
      </x:c>
      <x:c r="J385" s="7" t="str">
        <x:v>L1</x:v>
      </x:c>
      <x:c r="K385" s="7" t="str">
        <x:v>Verified qualifications do not include active general Life. Current target-pool mismatch; actual historical omission reason unknown.</x:v>
      </x:c>
      <x:c r="L385" s="7" t="str">
        <x:v>Not supplied; membership is known, motive is not</x:v>
      </x:c>
      <x:c r="M385" s="7" t="n">
        <x:v>7</x:v>
      </x:c>
      <x:c r="N385" s="7" t="str">
        <x:v>Outside current general-Life recruiting pool</x:v>
      </x:c>
      <x:c r="O385" s="7" t="str">
        <x:v>Not displayed</x:v>
      </x:c>
      <x:c r="P385" s="7" t="str"/>
      <x:c r="Q385" s="7" t="str"/>
      <x:c r="R385" s="7" t="str">
        <x:v>Personal Lines</x:v>
      </x:c>
      <x:c r="S385" s="15" t="str">
        <x:v>909-291-4040</x:v>
      </x:c>
      <x:c r="T385" s="7" t="str">
        <x:v>Current CDI</x:v>
      </x:c>
      <x:c r="U385" s="7" t="str">
        <x:v>9445 CHARLES SMITH AVE. RANCHO CUCAMONGA CA, 91730</x:v>
      </x:c>
      <x:c r="V385" s="7" t="str">
        <x:v>Resident</x:v>
      </x:c>
      <x:c r="W385" s="7" t="str">
        <x:v>CA</x:v>
      </x:c>
      <x:c r="X385" s="7" t="str">
        <x:v>ADRIANA'S INSURANCE SERVICES, INC. / Personal Lines / 06/29/2026</x:v>
      </x:c>
      <x:c r="Y385" s="7" t="str"/>
      <x:c r="Z385" s="7" t="str"/>
      <x:c r="AA385" s="7" t="str"/>
      <x:c r="AB385" s="7" t="str"/>
      <x:c r="AC385" s="7" t="str"/>
      <x:c r="AD385" s="7" t="str"/>
      <x:c r="AE385" s="7" t="str">
        <x:v>P&amp;C/Personal Lines authority without displayed core Life appointments; mixed profile requires review</x:v>
      </x:c>
      <x:c r="AF385" s="16" t="str"/>
      <x:c r="AG385" s="17" t="str"/>
      <x:c r="AH385" s="7" t="str"/>
      <x:c r="AI385" s="7" t="str">
        <x:v>English</x:v>
      </x:c>
      <x:c r="AJ385" s="7" t="str"/>
      <x:c r="AK385" s="15" t="str"/>
      <x:c r="AL385" s="7" t="str"/>
      <x:c r="AM385" s="7" t="str">
        <x:v>AGUILAR  EMILY</x:v>
      </x:c>
      <x:c r="AN385" s="7" t="str">
        <x:v>https://cdicloud.insurance.ca.gov/cal/LicenseDetail?SearchType=IND&amp;SearchLicNbr=4537470&amp;SearchIndvId=4537470</x:v>
      </x:c>
      <x:c r="AO385" s="7" t="str">
        <x:v>2026-10-08</x:v>
      </x:c>
      <x:c r="AP385" s="7" t="str">
        <x:v>27215b9087b569bbc48b4dd7c721c15303362b77efecbc5a1181648fde4ef843</x:v>
      </x:c>
      <x:c r="AQ385" s="7" t="str">
        <x:v>Personal Lines / Active / 06/29/2026 / 06/29/2026 / 06/30/2028</x:v>
      </x:c>
      <x:c r="AR385" s="7" t="str">
        <x:v>Active</x:v>
      </x:c>
      <x:c r="AS385" s="7" t="str">
        <x:v>Current detail page</x:v>
      </x:c>
    </x:row>
    <x:row r="386" ht="52" customHeight="1">
      <x:c r="A386" s="7" t="str">
        <x:v>AGUILAR ENOC</x:v>
      </x:c>
      <x:c r="B386" s="14" t="str">
        <x:f>"0K94450"</x:f>
        <x:v>0K94450</x:v>
      </x:c>
      <x:c r="C386" s="7" t="str">
        <x:v>Omitted</x:v>
      </x:c>
      <x:c r="D386" s="7" t="str">
        <x:v>FAIL</x:v>
      </x:c>
      <x:c r="E386" s="13" t="str">
        <x:v>Pending</x:v>
      </x:c>
      <x:c r="F386" s="13" t="str"/>
      <x:c r="G386" s="13" t="str"/>
      <x:c r="H386" s="13" t="str"/>
      <x:c r="I386" s="7" t="str">
        <x:v>Was this person reviewed? If rejected, give the actual rule and evidence. If acceptable, correct the omission. Confirm the Life-qualification gate and any record change since selection.</x:v>
      </x:c>
      <x:c r="J386" s="7" t="str">
        <x:v>L1</x:v>
      </x:c>
      <x:c r="K386" s="7" t="str">
        <x:v>Verified qualifications do not include active general Life. Current target-pool mismatch; actual historical omission reason unknown.</x:v>
      </x:c>
      <x:c r="L386" s="7" t="str">
        <x:v>Not supplied; membership is known, motive is not</x:v>
      </x:c>
      <x:c r="M386" s="7" t="n">
        <x:v>7</x:v>
      </x:c>
      <x:c r="N386" s="7" t="str">
        <x:v>Outside current general-Life recruiting pool</x:v>
      </x:c>
      <x:c r="O386" s="7" t="str">
        <x:v>Not displayed</x:v>
      </x:c>
      <x:c r="P386" s="7" t="str"/>
      <x:c r="Q386" s="7" t="str"/>
      <x:c r="R386" s="7" t="str">
        <x:v>Casualty; Property</x:v>
      </x:c>
      <x:c r="S386" s="15" t="str">
        <x:v>800-805-0787</x:v>
      </x:c>
      <x:c r="T386" s="7" t="str">
        <x:v>Current CDI</x:v>
      </x:c>
      <x:c r="U386" s="7" t="str">
        <x:v>16255 VENTURA BLVD SUITE 704 ENCINO CA, 91436</x:v>
      </x:c>
      <x:c r="V386" s="7" t="str">
        <x:v>Resident</x:v>
      </x:c>
      <x:c r="W386" s="7" t="str">
        <x:v>CA</x:v>
      </x:c>
      <x:c r="X386" s="7" t="str">
        <x:v>UNITED DIRECT INSURANCE SERVICES INC / Property / 04/05/2025
UNITED DIRECT INSURANCE SERVICES INC / Casualty / 04/05/2025</x:v>
      </x:c>
      <x:c r="Y386" s="7" t="str"/>
      <x:c r="Z386" s="7" t="str"/>
      <x:c r="AA386" s="7" t="str"/>
      <x:c r="AB386" s="7" t="str"/>
      <x:c r="AC386" s="7" t="str"/>
      <x:c r="AD386" s="7" t="str"/>
      <x:c r="AE386" s="7" t="str">
        <x:v>P&amp;C/Personal Lines authority without displayed core Life appointments; mixed profile requires review | Toll-free business number: verify that it reaches the individual rather than a central office</x:v>
      </x:c>
      <x:c r="AF386" s="16" t="str"/>
      <x:c r="AG386" s="17" t="str"/>
      <x:c r="AH386" s="7" t="str"/>
      <x:c r="AI386" s="7" t="str">
        <x:v>English</x:v>
      </x:c>
      <x:c r="AJ386" s="7" t="str"/>
      <x:c r="AK386" s="15" t="str"/>
      <x:c r="AL386" s="7" t="str"/>
      <x:c r="AM386" s="7" t="str">
        <x:v>AGUILAR  ENOC</x:v>
      </x:c>
      <x:c r="AN386" s="7" t="str">
        <x:v>https://cdicloud.insurance.ca.gov/cal/LicenseDetail?SearchType=IND&amp;SearchLicNbr=0K94450&amp;SearchIndvId=1842901</x:v>
      </x:c>
      <x:c r="AO386" s="7" t="str">
        <x:v>2026-10-08</x:v>
      </x:c>
      <x:c r="AP386" s="7" t="str">
        <x:v>b7c79a496baf791e9f573030a1d26c615fdc641283208365f3ac6fbbdb427b84</x:v>
      </x:c>
      <x:c r="AQ386" s="7" t="str">
        <x:v>Casualty / Active / 06/14/2016 / 07/02/2024 / 06/30/2028
Property / Active / 06/14/2016 / 07/02/2024 / 06/30/2028</x:v>
      </x:c>
      <x:c r="AR386" s="7" t="str">
        <x:v>Active</x:v>
      </x:c>
      <x:c r="AS386" s="7" t="str">
        <x:v>Current detail page</x:v>
      </x:c>
    </x:row>
    <x:row r="387" ht="52" customHeight="1">
      <x:c r="A387" s="7" t="str">
        <x:v>AGUILAR ENRICO SANTOS</x:v>
      </x:c>
      <x:c r="B387" s="14" t="str">
        <x:f>"0K97662"</x:f>
        <x:v>0K97662</x:v>
      </x:c>
      <x:c r="C387" s="7" t="str">
        <x:v>Omitted</x:v>
      </x:c>
      <x:c r="D387" s="7" t="str">
        <x:v>FAIL</x:v>
      </x:c>
      <x:c r="E387" s="13" t="str">
        <x:v>Pending</x:v>
      </x:c>
      <x:c r="F387" s="13" t="str"/>
      <x:c r="G387" s="13" t="str"/>
      <x:c r="H387" s="13" t="str"/>
      <x:c r="I387" s="7" t="str">
        <x:v>Was this person reviewed? If rejected, give the actual rule and evidence. If acceptable, correct the omission. Confirm the Life-qualification gate and any record change since selection.</x:v>
      </x:c>
      <x:c r="J387" s="7" t="str">
        <x:v>L1</x:v>
      </x:c>
      <x:c r="K387" s="7" t="str">
        <x:v>Verified qualifications do not include active general Life. Current target-pool mismatch; actual historical omission reason unknown.</x:v>
      </x:c>
      <x:c r="L387" s="7" t="str">
        <x:v>Not supplied; membership is known, motive is not</x:v>
      </x:c>
      <x:c r="M387" s="7" t="n">
        <x:v>7</x:v>
      </x:c>
      <x:c r="N387" s="7" t="str">
        <x:v>Outside current general-Life recruiting pool</x:v>
      </x:c>
      <x:c r="O387" s="7" t="str">
        <x:v>Not displayed</x:v>
      </x:c>
      <x:c r="P387" s="7" t="str"/>
      <x:c r="Q387" s="7" t="str"/>
      <x:c r="R387" s="7" t="str"/>
      <x:c r="S387" s="15" t="str"/>
      <x:c r="T387" s="7" t="str">
        <x:v>No public business phone in collected record</x:v>
      </x:c>
      <x:c r="U387" s="7" t="str"/>
      <x:c r="V387" s="7" t="str">
        <x:v>Resident</x:v>
      </x:c>
      <x:c r="W387" s="7" t="str">
        <x:v>CA</x:v>
      </x:c>
      <x:c r="X387" s="7" t="str"/>
      <x:c r="Y387" s="7" t="str"/>
      <x:c r="Z387" s="7" t="str"/>
      <x:c r="AA387" s="7" t="str"/>
      <x:c r="AB387" s="7" t="str"/>
      <x:c r="AC387" s="7" t="str"/>
      <x:c r="AD387" s="7" t="str">
        <x:v>No agency or insurer displayed: onboarding opportunity possible; existing business unknown</x:v>
      </x:c>
      <x:c r="AE387" s="7" t="str">
        <x:v>No public business phone: contact enrichment needed, not proof of poor recruiting fit</x:v>
      </x:c>
      <x:c r="AF387" s="16" t="str"/>
      <x:c r="AG387" s="17" t="str"/>
      <x:c r="AH387" s="7" t="str"/>
      <x:c r="AI387" s="7" t="str"/>
      <x:c r="AJ387" s="7" t="str"/>
      <x:c r="AK387" s="15" t="str"/>
      <x:c r="AL387" s="7" t="str"/>
      <x:c r="AM387" s="7" t="str">
        <x:v>AGUILAR SANTOS ENRICO</x:v>
      </x:c>
      <x:c r="AN387" s="7" t="str">
        <x:v>https://cdicloud.insurance.ca.gov/cal/LicenseDetail?SearchType=IND&amp;SearchLicNbr=0K97662&amp;SearchIndvId=1847200</x:v>
      </x:c>
      <x:c r="AO387" s="7" t="str">
        <x:v>2026-10-08</x:v>
      </x:c>
      <x:c r="AP387" s="7" t="str">
        <x:v>2fbb773f448a8f3c3fd70a6d42042238e2c392aed2f2ed9b88767624a3bb6afd</x:v>
      </x:c>
      <x:c r="AQ387" s="7" t="str">
        <x:v>Life-Only / Inactive / 06/30/2016 / 06/30/2018 / 06/30/2018</x:v>
      </x:c>
      <x:c r="AR387" s="7" t="str">
        <x:v>Inactive</x:v>
      </x:c>
      <x:c r="AS387" s="7" t="str">
        <x:v>Current detail page</x:v>
      </x:c>
    </x:row>
    <x:row r="388" ht="52" customHeight="1">
      <x:c r="A388" s="7" t="str">
        <x:v>AGUILAR ENRIQUE</x:v>
      </x:c>
      <x:c r="B388" s="14" t="str">
        <x:f>"0E28094"</x:f>
        <x:v>0E28094</x:v>
      </x:c>
      <x:c r="C388" s="7" t="str">
        <x:v>Omitted</x:v>
      </x:c>
      <x:c r="D388" s="7" t="str">
        <x:v>FAIL</x:v>
      </x:c>
      <x:c r="E388" s="13" t="str">
        <x:v>Pending</x:v>
      </x:c>
      <x:c r="F388" s="13" t="str"/>
      <x:c r="G388" s="13" t="str"/>
      <x:c r="H388" s="13" t="str"/>
      <x:c r="I388" s="7" t="str">
        <x:v>Was this person reviewed? If rejected, give the actual rule and evidence. If acceptable, correct the omission. Confirm the Life-qualification gate and any record change since selection.</x:v>
      </x:c>
      <x:c r="J388" s="7" t="str">
        <x:v>L1</x:v>
      </x:c>
      <x:c r="K388" s="7" t="str">
        <x:v>Verified qualifications do not include active general Life. Current target-pool mismatch; actual historical omission reason unknown.</x:v>
      </x:c>
      <x:c r="L388" s="7" t="str">
        <x:v>Not supplied; membership is known, motive is not</x:v>
      </x:c>
      <x:c r="M388" s="7" t="n">
        <x:v>7</x:v>
      </x:c>
      <x:c r="N388" s="7" t="str">
        <x:v>Outside current general-Life recruiting pool</x:v>
      </x:c>
      <x:c r="O388" s="7" t="str">
        <x:v>Inactive</x:v>
      </x:c>
      <x:c r="P388" s="7" t="str">
        <x:v>01/08/2004</x:v>
      </x:c>
      <x:c r="Q388" s="7" t="str">
        <x:v>01/31/2022</x:v>
      </x:c>
      <x:c r="R388" s="7" t="str"/>
      <x:c r="S388" s="15" t="str"/>
      <x:c r="T388" s="7" t="str">
        <x:v>No public business phone in collected record</x:v>
      </x:c>
      <x:c r="U388" s="7" t="str">
        <x:v>9800 FREDERICKSBURG RD SAN ANTONIO TX, 78288-0337</x:v>
      </x:c>
      <x:c r="V388" s="7" t="str">
        <x:v>Non-resident</x:v>
      </x:c>
      <x:c r="W388" s="7" t="str">
        <x:v>TX</x:v>
      </x:c>
      <x:c r="X388" s="7" t="str"/>
      <x:c r="Y388" s="7" t="str"/>
      <x:c r="Z388" s="7" t="str"/>
      <x:c r="AA388" s="7" t="str"/>
      <x:c r="AB388" s="7" t="str"/>
      <x:c r="AC388" s="7" t="str"/>
      <x:c r="AD388" s="7" t="str">
        <x:v>No agency or insurer displayed: onboarding opportunity possible; existing business unknown</x:v>
      </x:c>
      <x:c r="AE388" s="7" t="str">
        <x:v>Nonresident or address state outside CA; confirm geographic recruiting scope | No public business phone: contact enrichment needed, not proof of poor recruiting fit</x:v>
      </x:c>
      <x:c r="AF388" s="16" t="str"/>
      <x:c r="AG388" s="17" t="str"/>
      <x:c r="AH388" s="7" t="str"/>
      <x:c r="AI388" s="7" t="str"/>
      <x:c r="AJ388" s="7" t="str"/>
      <x:c r="AK388" s="15" t="str"/>
      <x:c r="AL388" s="7" t="str"/>
      <x:c r="AM388" s="7" t="str">
        <x:v>AGUILAR  ENRIQUE</x:v>
      </x:c>
      <x:c r="AN388" s="7" t="str">
        <x:v>https://cdicloud.insurance.ca.gov/cal/LicenseDetail?SearchType=IND&amp;SearchLicNbr=0E28094&amp;SearchIndvId=878864</x:v>
      </x:c>
      <x:c r="AO388" s="7" t="str">
        <x:v>2026-10-08</x:v>
      </x:c>
      <x:c r="AP388" s="7" t="str">
        <x:v>bf0ee219cde6903374552b9785bd92b48303464abd6eb7713cc01b5038dbc695</x:v>
      </x:c>
      <x:c r="AQ388" s="7" t="str">
        <x:v>Accident &amp; Health or Sickness / Inactive / 01/08/2004 / 01/31/2022 / 01/31/2022
Life / Inactive / 01/08/2004 / 01/31/2022 / 01/31/2022</x:v>
      </x:c>
      <x:c r="AR388" s="7" t="str">
        <x:v>Inactive</x:v>
      </x:c>
      <x:c r="AS388" s="7" t="str">
        <x:v>Current detail page</x:v>
      </x:c>
    </x:row>
    <x:row r="389" ht="52" customHeight="1">
      <x:c r="A389" s="7" t="str">
        <x:v>AGUILAR ENRIQUE</x:v>
      </x:c>
      <x:c r="B389" s="14" t="str">
        <x:f>"2124268"</x:f>
        <x:v>2124268</x:v>
      </x:c>
      <x:c r="C389" s="7" t="str">
        <x:v>Omitted</x:v>
      </x:c>
      <x:c r="D389" s="7" t="str">
        <x:v>FAIL</x:v>
      </x:c>
      <x:c r="E389" s="13" t="str">
        <x:v>Pending</x:v>
      </x:c>
      <x:c r="F389" s="13" t="str"/>
      <x:c r="G389" s="13" t="str"/>
      <x:c r="H389" s="13" t="str"/>
      <x:c r="I389" s="7" t="str">
        <x:v>Was this person reviewed? If rejected, give the actual rule and evidence. If acceptable, correct the omission. Confirm the Life-qualification gate and any record change since selection.</x:v>
      </x:c>
      <x:c r="J389" s="7" t="str">
        <x:v>L1</x:v>
      </x:c>
      <x:c r="K389" s="7" t="str">
        <x:v>Verified qualifications do not include active general Life. Current target-pool mismatch; actual historical omission reason unknown.</x:v>
      </x:c>
      <x:c r="L389" s="7" t="str">
        <x:v>Not supplied; membership is known, motive is not</x:v>
      </x:c>
      <x:c r="M389" s="7" t="n">
        <x:v>7</x:v>
      </x:c>
      <x:c r="N389" s="7" t="str">
        <x:v>Outside current general-Life recruiting pool</x:v>
      </x:c>
      <x:c r="O389" s="7" t="str">
        <x:v>Not displayed</x:v>
      </x:c>
      <x:c r="P389" s="7" t="str"/>
      <x:c r="Q389" s="7" t="str"/>
      <x:c r="R389" s="7" t="str"/>
      <x:c r="S389" s="15" t="str">
        <x:v>661-326-7200</x:v>
      </x:c>
      <x:c r="T389" s="7" t="str">
        <x:v>Current CDI</x:v>
      </x:c>
      <x:c r="U389" s="7" t="str">
        <x:v>4646 WILSON RD STE 205 BAKERSFIELD CA, 93309-5895</x:v>
      </x:c>
      <x:c r="V389" s="7" t="str">
        <x:v>Resident</x:v>
      </x:c>
      <x:c r="W389" s="7" t="str">
        <x:v>CA</x:v>
      </x:c>
      <x:c r="X389" s="7" t="str"/>
      <x:c r="Y389" s="7" t="str"/>
      <x:c r="Z389" s="7" t="str"/>
      <x:c r="AA389" s="7" t="str"/>
      <x:c r="AB389" s="7" t="str"/>
      <x:c r="AC389" s="7" t="str"/>
      <x:c r="AD389" s="7" t="str">
        <x:v>No agency or insurer displayed: onboarding opportunity possible; existing business unknown</x:v>
      </x:c>
      <x:c r="AE389" s="7" t="str"/>
      <x:c r="AF389" s="16" t="str"/>
      <x:c r="AG389" s="17" t="str"/>
      <x:c r="AH389" s="7" t="str"/>
      <x:c r="AI389" s="7" t="str">
        <x:v>English</x:v>
      </x:c>
      <x:c r="AJ389" s="7" t="str"/>
      <x:c r="AK389" s="15" t="str"/>
      <x:c r="AL389" s="7" t="str"/>
      <x:c r="AM389" s="7" t="str">
        <x:v>AGUILAR  ENRIQUE</x:v>
      </x:c>
      <x:c r="AN389" s="7" t="str">
        <x:v>https://cdicloud.insurance.ca.gov/cal/LicenseDetail?SearchType=IND&amp;SearchLicNbr=2124268&amp;SearchIndvId=2124268</x:v>
      </x:c>
      <x:c r="AO389" s="7" t="str">
        <x:v>2026-10-08</x:v>
      </x:c>
      <x:c r="AP389" s="7" t="str">
        <x:v>772ac6dfbeb5feb66cfdb2e453caa4265f81ff718a698a8847bdd67df645f0fd</x:v>
      </x:c>
      <x:c r="AQ389" s="7" t="str">
        <x:v>Casualty / Inactive / 10/09/2020 / 10/31/2024 / 10/31/2024
Property / Inactive / 10/09/2020 / 10/31/2024 / 10/31/2024</x:v>
      </x:c>
      <x:c r="AR389" s="7" t="str">
        <x:v>Inactive</x:v>
      </x:c>
      <x:c r="AS389" s="7" t="str">
        <x:v>Current detail page</x:v>
      </x:c>
    </x:row>
    <x:row r="390" ht="52" customHeight="1">
      <x:c r="A390" s="7" t="str">
        <x:v>AGUILAR ENRIQUE DAVID</x:v>
      </x:c>
      <x:c r="B390" s="14" t="str">
        <x:f>"4166213"</x:f>
        <x:v>4166213</x:v>
      </x:c>
      <x:c r="C390" s="7" t="str">
        <x:v>Omitted</x:v>
      </x:c>
      <x:c r="D390" s="7" t="str">
        <x:v>FAIL</x:v>
      </x:c>
      <x:c r="E390" s="13" t="str">
        <x:v>Pending</x:v>
      </x:c>
      <x:c r="F390" s="13" t="str"/>
      <x:c r="G390" s="13" t="str"/>
      <x:c r="H390" s="13" t="str"/>
      <x:c r="I390" s="7" t="str">
        <x:v>Was this person reviewed? If rejected, give the actual rule and evidence. If acceptable, correct the omission. Confirm the Life-qualification gate and any record change since selection.</x:v>
      </x:c>
      <x:c r="J390" s="7" t="str">
        <x:v>L1</x:v>
      </x:c>
      <x:c r="K390" s="7" t="str">
        <x:v>Verified qualifications do not include active general Life. Current target-pool mismatch; actual historical omission reason unknown.</x:v>
      </x:c>
      <x:c r="L390" s="7" t="str">
        <x:v>Not supplied; membership is known, motive is not</x:v>
      </x:c>
      <x:c r="M390" s="7" t="n">
        <x:v>7</x:v>
      </x:c>
      <x:c r="N390" s="7" t="str">
        <x:v>Outside current general-Life recruiting pool</x:v>
      </x:c>
      <x:c r="O390" s="7" t="str">
        <x:v>Not displayed</x:v>
      </x:c>
      <x:c r="P390" s="7" t="str"/>
      <x:c r="Q390" s="7" t="str"/>
      <x:c r="R390" s="7" t="str"/>
      <x:c r="S390" s="15" t="str"/>
      <x:c r="T390" s="7" t="str">
        <x:v>No public business phone in collected record</x:v>
      </x:c>
      <x:c r="U390" s="7" t="str">
        <x:v>516 BURCHETT ST GLENDALE CA, 91203</x:v>
      </x:c>
      <x:c r="V390" s="7" t="str">
        <x:v>Resident</x:v>
      </x:c>
      <x:c r="W390" s="7" t="str">
        <x:v>CA</x:v>
      </x:c>
      <x:c r="X390" s="7" t="str"/>
      <x:c r="Y390" s="7" t="str"/>
      <x:c r="Z390" s="7" t="str"/>
      <x:c r="AA390" s="7" t="str"/>
      <x:c r="AB390" s="7" t="str"/>
      <x:c r="AC390" s="7" t="str"/>
      <x:c r="AD390" s="7" t="str">
        <x:v>No agency or insurer displayed: onboarding opportunity possible; existing business unknown</x:v>
      </x:c>
      <x:c r="AE390" s="7" t="str">
        <x:v>No public business phone: contact enrichment needed, not proof of poor recruiting fit</x:v>
      </x:c>
      <x:c r="AF390" s="16" t="str"/>
      <x:c r="AG390" s="17" t="str"/>
      <x:c r="AH390" s="7" t="str"/>
      <x:c r="AI390" s="7" t="str"/>
      <x:c r="AJ390" s="7" t="str"/>
      <x:c r="AK390" s="15" t="str"/>
      <x:c r="AL390" s="7" t="str"/>
      <x:c r="AM390" s="7" t="str">
        <x:v>AGUILAR DAVID ENRIQUE</x:v>
      </x:c>
      <x:c r="AN390" s="7" t="str">
        <x:v>https://cdicloud.insurance.ca.gov/cal/LicenseDetail?SearchType=IND&amp;SearchLicNbr=4166213&amp;SearchIndvId=4166213</x:v>
      </x:c>
      <x:c r="AO390" s="7" t="str">
        <x:v>2026-10-08</x:v>
      </x:c>
      <x:c r="AP390" s="7" t="str">
        <x:v>93a01ff02e9710655239d01539277e7f9cd298b676e2bbef7c344a673a48a8fd</x:v>
      </x:c>
      <x:c r="AQ390" s="7" t="str">
        <x:v>Title Marketing Representative / Inactive / 04/07/2022 / 04/30/2025 / 04/30/2025</x:v>
      </x:c>
      <x:c r="AR390" s="7" t="str">
        <x:v>Inactive</x:v>
      </x:c>
      <x:c r="AS390" s="7" t="str">
        <x:v>Current detail page</x:v>
      </x:c>
    </x:row>
    <x:row r="391" ht="52" customHeight="1">
      <x:c r="A391" s="7" t="str">
        <x:v>AGUILAR ERASMO</x:v>
      </x:c>
      <x:c r="B391" s="14" t="str">
        <x:f>"0B34811"</x:f>
        <x:v>0B34811</x:v>
      </x:c>
      <x:c r="C391" s="7" t="str">
        <x:v>Omitted</x:v>
      </x:c>
      <x:c r="D391" s="7" t="str">
        <x:v>FAIL</x:v>
      </x:c>
      <x:c r="E391" s="13" t="str">
        <x:v>Pending</x:v>
      </x:c>
      <x:c r="F391" s="13" t="str"/>
      <x:c r="G391" s="13" t="str"/>
      <x:c r="H391" s="13" t="str"/>
      <x:c r="I391" s="7" t="str">
        <x:v>Was this person reviewed? If rejected, give the actual rule and evidence. If acceptable, correct the omission. Confirm the Life-qualification gate and any record change since selection.</x:v>
      </x:c>
      <x:c r="J391" s="7" t="str">
        <x:v>L1</x:v>
      </x:c>
      <x:c r="K391" s="7" t="str">
        <x:v>Verified qualifications do not include active general Life. Current target-pool mismatch; actual historical omission reason unknown.</x:v>
      </x:c>
      <x:c r="L391" s="7" t="str">
        <x:v>Not supplied; membership is known, motive is not</x:v>
      </x:c>
      <x:c r="M391" s="7" t="n">
        <x:v>7</x:v>
      </x:c>
      <x:c r="N391" s="7" t="str">
        <x:v>Outside current general-Life recruiting pool</x:v>
      </x:c>
      <x:c r="O391" s="7" t="str">
        <x:v>Not displayed</x:v>
      </x:c>
      <x:c r="P391" s="7" t="str"/>
      <x:c r="Q391" s="7" t="str"/>
      <x:c r="R391" s="7" t="str"/>
      <x:c r="S391" s="15" t="str"/>
      <x:c r="T391" s="7" t="str">
        <x:v>No public business phone in collected record</x:v>
      </x:c>
      <x:c r="U391" s="7" t="str"/>
      <x:c r="V391" s="7" t="str">
        <x:v>Resident</x:v>
      </x:c>
      <x:c r="W391" s="7" t="str">
        <x:v>CA</x:v>
      </x:c>
      <x:c r="X391" s="7" t="str"/>
      <x:c r="Y391" s="7" t="str"/>
      <x:c r="Z391" s="7" t="str"/>
      <x:c r="AA391" s="7" t="str"/>
      <x:c r="AB391" s="7" t="str"/>
      <x:c r="AC391" s="7" t="str"/>
      <x:c r="AD391" s="7" t="str">
        <x:v>No agency or insurer displayed: onboarding opportunity possible; existing business unknown</x:v>
      </x:c>
      <x:c r="AE391" s="7" t="str">
        <x:v>No public business phone: contact enrichment needed, not proof of poor recruiting fit</x:v>
      </x:c>
      <x:c r="AF391" s="16" t="str"/>
      <x:c r="AG391" s="17" t="str"/>
      <x:c r="AH391" s="7" t="str"/>
      <x:c r="AI391" s="7" t="str"/>
      <x:c r="AJ391" s="7" t="str"/>
      <x:c r="AK391" s="15" t="str"/>
      <x:c r="AL391" s="7" t="str"/>
      <x:c r="AM391" s="7" t="str">
        <x:v>AGUILAR  ERASMO</x:v>
      </x:c>
      <x:c r="AN391" s="7" t="str">
        <x:v>https://cdicloud.insurance.ca.gov/cal/LicenseDetail?SearchType=IND&amp;SearchLicNbr=0B34811&amp;SearchIndvId=215066</x:v>
      </x:c>
      <x:c r="AO391" s="7" t="str">
        <x:v>2026-10-08</x:v>
      </x:c>
      <x:c r="AP391" s="7" t="str">
        <x:v>fe6ea1e9ee8c46cad725cd12f8317f8e8c6530b1a81d0f260feeb7259ccbdcd3</x:v>
      </x:c>
      <x:c r="AQ391" s="7" t="str">
        <x:v>Accident and Health / Inactive / 04/08/1994 / 04/30/1996 / 04/30/1996
Life-Only / Inactive / 04/08/1994 / 04/30/1996 / 04/30/1996</x:v>
      </x:c>
      <x:c r="AR391" s="7" t="str">
        <x:v>Inactive</x:v>
      </x:c>
      <x:c r="AS391" s="7" t="str">
        <x:v>Current detail page</x:v>
      </x:c>
    </x:row>
    <x:row r="392" ht="52" customHeight="1">
      <x:c r="A392" s="7" t="str">
        <x:v>AGUILAR ERIC</x:v>
      </x:c>
      <x:c r="B392" s="14" t="str">
        <x:f>"0E39201"</x:f>
        <x:v>0E39201</x:v>
      </x:c>
      <x:c r="C392" s="7" t="str">
        <x:v>Omitted</x:v>
      </x:c>
      <x:c r="D392" s="7" t="str">
        <x:v>FAIL</x:v>
      </x:c>
      <x:c r="E392" s="13" t="str">
        <x:v>Pending</x:v>
      </x:c>
      <x:c r="F392" s="13" t="str"/>
      <x:c r="G392" s="13" t="str"/>
      <x:c r="H392" s="13" t="str"/>
      <x:c r="I392" s="7" t="str">
        <x:v>Was this person reviewed? If rejected, give the actual rule and evidence. If acceptable, correct the omission. Confirm the Life-qualification gate and any record change since selection.</x:v>
      </x:c>
      <x:c r="J392" s="7" t="str">
        <x:v>L1</x:v>
      </x:c>
      <x:c r="K392" s="7" t="str">
        <x:v>Verified qualifications do not include active general Life. Current target-pool mismatch; actual historical omission reason unknown.</x:v>
      </x:c>
      <x:c r="L392" s="7" t="str">
        <x:v>Not supplied; membership is known, motive is not</x:v>
      </x:c>
      <x:c r="M392" s="7" t="n">
        <x:v>7</x:v>
      </x:c>
      <x:c r="N392" s="7" t="str">
        <x:v>Outside current general-Life recruiting pool</x:v>
      </x:c>
      <x:c r="O392" s="7" t="str">
        <x:v>Not displayed</x:v>
      </x:c>
      <x:c r="P392" s="7" t="str"/>
      <x:c r="Q392" s="7" t="str"/>
      <x:c r="R392" s="7" t="str"/>
      <x:c r="S392" s="15" t="str"/>
      <x:c r="T392" s="7" t="str">
        <x:v>No public business phone in collected record</x:v>
      </x:c>
      <x:c r="U392" s="7" t="str"/>
      <x:c r="V392" s="7" t="str">
        <x:v>Resident</x:v>
      </x:c>
      <x:c r="W392" s="7" t="str">
        <x:v>CA</x:v>
      </x:c>
      <x:c r="X392" s="7" t="str"/>
      <x:c r="Y392" s="7" t="str"/>
      <x:c r="Z392" s="7" t="str"/>
      <x:c r="AA392" s="7" t="str"/>
      <x:c r="AB392" s="7" t="str"/>
      <x:c r="AC392" s="7" t="str"/>
      <x:c r="AD392" s="7" t="str">
        <x:v>No agency or insurer displayed: onboarding opportunity possible; existing business unknown</x:v>
      </x:c>
      <x:c r="AE392" s="7" t="str">
        <x:v>No public business phone: contact enrichment needed, not proof of poor recruiting fit</x:v>
      </x:c>
      <x:c r="AF392" s="16" t="str"/>
      <x:c r="AG392" s="17" t="str"/>
      <x:c r="AH392" s="7" t="str"/>
      <x:c r="AI392" s="7" t="str"/>
      <x:c r="AJ392" s="7" t="str"/>
      <x:c r="AK392" s="15" t="str"/>
      <x:c r="AL392" s="7" t="str"/>
      <x:c r="AM392" s="7" t="str">
        <x:v>AGUILAR  ERIC</x:v>
      </x:c>
      <x:c r="AN392" s="7" t="str">
        <x:v>https://cdicloud.insurance.ca.gov/cal/LicenseDetail?SearchType=IND&amp;SearchLicNbr=0E39201&amp;SearchIndvId=891604</x:v>
      </x:c>
      <x:c r="AO392" s="7" t="str">
        <x:v>2026-10-08</x:v>
      </x:c>
      <x:c r="AP392" s="7" t="str">
        <x:v>ae5aef0f4a198e2948f53b598491dba822eee04b969c7e33808ab36fe34f4581</x:v>
      </x:c>
      <x:c r="AQ392" s="7" t="str">
        <x:v>Accident and Health / Inactive / 04/06/2004 / 04/30/2006 / 04/30/2006
Life-Only / Inactive / 04/06/2004 / 04/30/2006 / 04/30/2006</x:v>
      </x:c>
      <x:c r="AR392" s="7" t="str">
        <x:v>Inactive</x:v>
      </x:c>
      <x:c r="AS392" s="7" t="str">
        <x:v>Current detail page</x:v>
      </x:c>
    </x:row>
    <x:row r="393" ht="52" customHeight="1">
      <x:c r="A393" s="7" t="str">
        <x:v>AGUILAR ERIC</x:v>
      </x:c>
      <x:c r="B393" s="14" t="str">
        <x:f>"4135486"</x:f>
        <x:v>4135486</x:v>
      </x:c>
      <x:c r="C393" s="7" t="str">
        <x:v>Omitted</x:v>
      </x:c>
      <x:c r="D393" s="7" t="str">
        <x:v>FAIL</x:v>
      </x:c>
      <x:c r="E393" s="13" t="str">
        <x:v>Pending</x:v>
      </x:c>
      <x:c r="F393" s="13" t="str"/>
      <x:c r="G393" s="13" t="str"/>
      <x:c r="H393" s="13" t="str"/>
      <x:c r="I393" s="7" t="str">
        <x:v>Was this person reviewed? If rejected, give the actual rule and evidence. If acceptable, correct the omission. Confirm the Life-qualification gate and any record change since selection.</x:v>
      </x:c>
      <x:c r="J393" s="7" t="str">
        <x:v>L1</x:v>
      </x:c>
      <x:c r="K393" s="7" t="str">
        <x:v>Verified qualifications do not include active general Life. Current target-pool mismatch; actual historical omission reason unknown.</x:v>
      </x:c>
      <x:c r="L393" s="7" t="str">
        <x:v>Not supplied; membership is known, motive is not</x:v>
      </x:c>
      <x:c r="M393" s="7" t="n">
        <x:v>7</x:v>
      </x:c>
      <x:c r="N393" s="7" t="str">
        <x:v>Outside current general-Life recruiting pool</x:v>
      </x:c>
      <x:c r="O393" s="7" t="str">
        <x:v>Not displayed</x:v>
      </x:c>
      <x:c r="P393" s="7" t="str"/>
      <x:c r="Q393" s="7" t="str"/>
      <x:c r="R393" s="7" t="str"/>
      <x:c r="S393" s="15" t="str">
        <x:v>619-464-4446</x:v>
      </x:c>
      <x:c r="T393" s="7" t="str">
        <x:v>Current CDI</x:v>
      </x:c>
      <x:c r="U393" s="7" t="str">
        <x:v>6957 BROADWAY LEMON GROVE CA, 91945</x:v>
      </x:c>
      <x:c r="V393" s="7" t="str">
        <x:v>Resident</x:v>
      </x:c>
      <x:c r="W393" s="7" t="str">
        <x:v>CA</x:v>
      </x:c>
      <x:c r="X393" s="7" t="str"/>
      <x:c r="Y393" s="7" t="str"/>
      <x:c r="Z393" s="7" t="str"/>
      <x:c r="AA393" s="7" t="str"/>
      <x:c r="AB393" s="7" t="str"/>
      <x:c r="AC393" s="7" t="str"/>
      <x:c r="AD393" s="7" t="str">
        <x:v>No agency or insurer displayed: onboarding opportunity possible; existing business unknown</x:v>
      </x:c>
      <x:c r="AE393" s="7" t="str"/>
      <x:c r="AF393" s="16" t="str"/>
      <x:c r="AG393" s="17" t="str"/>
      <x:c r="AH393" s="7" t="str"/>
      <x:c r="AI393" s="7" t="str">
        <x:v>English</x:v>
      </x:c>
      <x:c r="AJ393" s="7" t="str"/>
      <x:c r="AK393" s="15" t="str"/>
      <x:c r="AL393" s="7" t="str"/>
      <x:c r="AM393" s="7" t="str">
        <x:v>AGUILAR  ERIC</x:v>
      </x:c>
      <x:c r="AN393" s="7" t="str">
        <x:v>https://cdicloud.insurance.ca.gov/cal/LicenseDetail?SearchType=IND&amp;SearchLicNbr=4135486&amp;SearchIndvId=4135486</x:v>
      </x:c>
      <x:c r="AO393" s="7" t="str">
        <x:v>2026-10-08</x:v>
      </x:c>
      <x:c r="AP393" s="7" t="str">
        <x:v>73b41f68ed7d00ebf9f492ed3d113b7401e206c57b0a08ac6e5baf6b71f125fc</x:v>
      </x:c>
      <x:c r="AQ393" s="7" t="str">
        <x:v>Motor Club Agent / Inactive / 10/22/2021 / 10/31/2023 / 10/31/2023</x:v>
      </x:c>
      <x:c r="AR393" s="7" t="str">
        <x:v>Inactive</x:v>
      </x:c>
      <x:c r="AS393" s="7" t="str">
        <x:v>Current detail page</x:v>
      </x:c>
    </x:row>
    <x:row r="394" ht="52" customHeight="1">
      <x:c r="A394" s="7" t="str">
        <x:v>AGUILAR ERIC ALEXANDER</x:v>
      </x:c>
      <x:c r="B394" s="14" t="str">
        <x:f>"0F01985"</x:f>
        <x:v>0F01985</x:v>
      </x:c>
      <x:c r="C394" s="7" t="str">
        <x:v>Omitted</x:v>
      </x:c>
      <x:c r="D394" s="7" t="str">
        <x:v>FAIL</x:v>
      </x:c>
      <x:c r="E394" s="13" t="str">
        <x:v>Pending</x:v>
      </x:c>
      <x:c r="F394" s="13" t="str"/>
      <x:c r="G394" s="13" t="str"/>
      <x:c r="H394" s="13" t="str"/>
      <x:c r="I394" s="7" t="str">
        <x:v>Was this person reviewed? If rejected, give the actual rule and evidence. If acceptable, correct the omission. Confirm the Life-qualification gate and any record change since selection.</x:v>
      </x:c>
      <x:c r="J394" s="7" t="str">
        <x:v>L1</x:v>
      </x:c>
      <x:c r="K394" s="7" t="str">
        <x:v>Verified qualifications do not include active general Life. Current target-pool mismatch; actual historical omission reason unknown.</x:v>
      </x:c>
      <x:c r="L394" s="7" t="str">
        <x:v>Not supplied; membership is known, motive is not</x:v>
      </x:c>
      <x:c r="M394" s="7" t="n">
        <x:v>7</x:v>
      </x:c>
      <x:c r="N394" s="7" t="str">
        <x:v>Outside current general-Life recruiting pool</x:v>
      </x:c>
      <x:c r="O394" s="7" t="str">
        <x:v>Not displayed</x:v>
      </x:c>
      <x:c r="P394" s="7" t="str"/>
      <x:c r="Q394" s="7" t="str"/>
      <x:c r="R394" s="7" t="str"/>
      <x:c r="S394" s="15" t="str"/>
      <x:c r="T394" s="7" t="str">
        <x:v>No public business phone in collected record</x:v>
      </x:c>
      <x:c r="U394" s="7" t="str"/>
      <x:c r="V394" s="7" t="str">
        <x:v>Resident</x:v>
      </x:c>
      <x:c r="W394" s="7" t="str">
        <x:v>CA</x:v>
      </x:c>
      <x:c r="X394" s="7" t="str"/>
      <x:c r="Y394" s="7" t="str"/>
      <x:c r="Z394" s="7" t="str"/>
      <x:c r="AA394" s="7" t="str"/>
      <x:c r="AB394" s="7" t="str"/>
      <x:c r="AC394" s="7" t="str"/>
      <x:c r="AD394" s="7" t="str">
        <x:v>No agency or insurer displayed: onboarding opportunity possible; existing business unknown</x:v>
      </x:c>
      <x:c r="AE394" s="7" t="str">
        <x:v>No public business phone: contact enrichment needed, not proof of poor recruiting fit</x:v>
      </x:c>
      <x:c r="AF394" s="16" t="str"/>
      <x:c r="AG394" s="17" t="str"/>
      <x:c r="AH394" s="7" t="str"/>
      <x:c r="AI394" s="7" t="str"/>
      <x:c r="AJ394" s="7" t="str"/>
      <x:c r="AK394" s="15" t="str"/>
      <x:c r="AL394" s="7" t="str"/>
      <x:c r="AM394" s="7" t="str">
        <x:v>AGUILAR ALEXANDER ERIC</x:v>
      </x:c>
      <x:c r="AN394" s="7" t="str">
        <x:v>https://cdicloud.insurance.ca.gov/cal/LicenseDetail?SearchType=IND&amp;SearchLicNbr=0F01985&amp;SearchIndvId=984803</x:v>
      </x:c>
      <x:c r="AO394" s="7" t="str">
        <x:v>2026-10-08</x:v>
      </x:c>
      <x:c r="AP394" s="7" t="str">
        <x:v>616e54d72afc88b998485c5e42e6d90aa4db59edb0fd88a6ee0caba649e41aba</x:v>
      </x:c>
      <x:c r="AQ394" s="7" t="str">
        <x:v>Motor Club Agent / Inactive / 12/17/2005 / 12/31/2009 / 12/31/2009</x:v>
      </x:c>
      <x:c r="AR394" s="7" t="str">
        <x:v>Inactive</x:v>
      </x:c>
      <x:c r="AS394" s="7" t="str">
        <x:v>Current detail page</x:v>
      </x:c>
    </x:row>
    <x:row r="395" ht="52" customHeight="1">
      <x:c r="A395" s="7" t="str">
        <x:v>AGUILAR ERIC BORIS</x:v>
      </x:c>
      <x:c r="B395" s="14" t="str">
        <x:f>"0F75350"</x:f>
        <x:v>0F75350</x:v>
      </x:c>
      <x:c r="C395" s="7" t="str">
        <x:v>Omitted</x:v>
      </x:c>
      <x:c r="D395" s="7" t="str">
        <x:v>FAIL</x:v>
      </x:c>
      <x:c r="E395" s="13" t="str">
        <x:v>Pending</x:v>
      </x:c>
      <x:c r="F395" s="13" t="str"/>
      <x:c r="G395" s="13" t="str"/>
      <x:c r="H395" s="13" t="str"/>
      <x:c r="I395" s="7" t="str">
        <x:v>Was this person reviewed? If rejected, give the actual rule and evidence. If acceptable, correct the omission. Confirm the Life-qualification gate and any record change since selection.</x:v>
      </x:c>
      <x:c r="J395" s="7" t="str">
        <x:v>L1</x:v>
      </x:c>
      <x:c r="K395" s="7" t="str">
        <x:v>Verified qualifications do not include active general Life. Current target-pool mismatch; actual historical omission reason unknown.</x:v>
      </x:c>
      <x:c r="L395" s="7" t="str">
        <x:v>Not supplied; membership is known, motive is not</x:v>
      </x:c>
      <x:c r="M395" s="7" t="n">
        <x:v>7</x:v>
      </x:c>
      <x:c r="N395" s="7" t="str">
        <x:v>Outside current general-Life recruiting pool</x:v>
      </x:c>
      <x:c r="O395" s="7" t="str">
        <x:v>Not displayed</x:v>
      </x:c>
      <x:c r="P395" s="7" t="str"/>
      <x:c r="Q395" s="7" t="str"/>
      <x:c r="R395" s="7" t="str"/>
      <x:c r="S395" s="15" t="str"/>
      <x:c r="T395" s="7" t="str">
        <x:v>No public business phone in collected record</x:v>
      </x:c>
      <x:c r="U395" s="7" t="str"/>
      <x:c r="V395" s="7" t="str">
        <x:v>Resident</x:v>
      </x:c>
      <x:c r="W395" s="7" t="str">
        <x:v>CA</x:v>
      </x:c>
      <x:c r="X395" s="7" t="str"/>
      <x:c r="Y395" s="7" t="str"/>
      <x:c r="Z395" s="7" t="str"/>
      <x:c r="AA395" s="7" t="str"/>
      <x:c r="AB395" s="7" t="str"/>
      <x:c r="AC395" s="7" t="str"/>
      <x:c r="AD395" s="7" t="str">
        <x:v>No agency or insurer displayed: onboarding opportunity possible; existing business unknown</x:v>
      </x:c>
      <x:c r="AE395" s="7" t="str">
        <x:v>No public business phone: contact enrichment needed, not proof of poor recruiting fit</x:v>
      </x:c>
      <x:c r="AF395" s="16" t="str"/>
      <x:c r="AG395" s="17" t="str"/>
      <x:c r="AH395" s="7" t="str"/>
      <x:c r="AI395" s="7" t="str"/>
      <x:c r="AJ395" s="7" t="str"/>
      <x:c r="AK395" s="15" t="str"/>
      <x:c r="AL395" s="7" t="str"/>
      <x:c r="AM395" s="7" t="str">
        <x:v>AGUILAR BORIS ERIC</x:v>
      </x:c>
      <x:c r="AN395" s="7" t="str">
        <x:v>https://cdicloud.insurance.ca.gov/cal/LicenseDetail?SearchType=IND&amp;SearchLicNbr=0F75350&amp;SearchIndvId=1094429</x:v>
      </x:c>
      <x:c r="AO395" s="7" t="str">
        <x:v>2026-10-08</x:v>
      </x:c>
      <x:c r="AP395" s="7" t="str">
        <x:v>ae72d2061e58b7ba526b929018f28239de59e10bfd3af9ac493d9c40b74aac52</x:v>
      </x:c>
      <x:c r="AQ395" s="7" t="str">
        <x:v>Accident and Health / Inactive / 07/31/2007 / 07/31/2009 / 07/31/2009
Life-Only / Inactive / 07/31/2007 / 07/31/2009 / 07/31/2009</x:v>
      </x:c>
      <x:c r="AR395" s="7" t="str">
        <x:v>Inactive</x:v>
      </x:c>
      <x:c r="AS395" s="7" t="str">
        <x:v>Current detail page</x:v>
      </x:c>
    </x:row>
    <x:row r="396" ht="52" customHeight="1">
      <x:c r="A396" s="7" t="str">
        <x:v>AGUILAR ERICA</x:v>
      </x:c>
      <x:c r="B396" s="14" t="str">
        <x:f>"0E84115"</x:f>
        <x:v>0E84115</x:v>
      </x:c>
      <x:c r="C396" s="7" t="str">
        <x:v>Omitted</x:v>
      </x:c>
      <x:c r="D396" s="7" t="str">
        <x:v>FAIL</x:v>
      </x:c>
      <x:c r="E396" s="13" t="str">
        <x:v>Pending</x:v>
      </x:c>
      <x:c r="F396" s="13" t="str"/>
      <x:c r="G396" s="13" t="str"/>
      <x:c r="H396" s="13" t="str"/>
      <x:c r="I396" s="7" t="str">
        <x:v>Was this person reviewed? If rejected, give the actual rule and evidence. If acceptable, correct the omission. Confirm the Life-qualification gate and any record change since selection.</x:v>
      </x:c>
      <x:c r="J396" s="7" t="str">
        <x:v>L1</x:v>
      </x:c>
      <x:c r="K396" s="7" t="str">
        <x:v>Verified qualifications do not include active general Life. Current target-pool mismatch; actual historical omission reason unknown.</x:v>
      </x:c>
      <x:c r="L396" s="7" t="str">
        <x:v>Not supplied; membership is known, motive is not</x:v>
      </x:c>
      <x:c r="M396" s="7" t="n">
        <x:v>7</x:v>
      </x:c>
      <x:c r="N396" s="7" t="str">
        <x:v>Outside current general-Life recruiting pool</x:v>
      </x:c>
      <x:c r="O396" s="7" t="str">
        <x:v>Not displayed</x:v>
      </x:c>
      <x:c r="P396" s="7" t="str"/>
      <x:c r="Q396" s="7" t="str"/>
      <x:c r="R396" s="7" t="str"/>
      <x:c r="S396" s="15" t="str"/>
      <x:c r="T396" s="7" t="str">
        <x:v>No public business phone in collected record</x:v>
      </x:c>
      <x:c r="U396" s="7" t="str"/>
      <x:c r="V396" s="7" t="str">
        <x:v>Resident</x:v>
      </x:c>
      <x:c r="W396" s="7" t="str">
        <x:v>CA</x:v>
      </x:c>
      <x:c r="X396" s="7" t="str"/>
      <x:c r="Y396" s="7" t="str"/>
      <x:c r="Z396" s="7" t="str"/>
      <x:c r="AA396" s="7" t="str"/>
      <x:c r="AB396" s="7" t="str"/>
      <x:c r="AC396" s="7" t="str"/>
      <x:c r="AD396" s="7" t="str">
        <x:v>No agency or insurer displayed: onboarding opportunity possible; existing business unknown</x:v>
      </x:c>
      <x:c r="AE396" s="7" t="str">
        <x:v>No public business phone: contact enrichment needed, not proof of poor recruiting fit</x:v>
      </x:c>
      <x:c r="AF396" s="16" t="str"/>
      <x:c r="AG396" s="17" t="str"/>
      <x:c r="AH396" s="7" t="str"/>
      <x:c r="AI396" s="7" t="str"/>
      <x:c r="AJ396" s="7" t="str"/>
      <x:c r="AK396" s="15" t="str"/>
      <x:c r="AL396" s="7" t="str"/>
      <x:c r="AM396" s="7" t="str">
        <x:v>AGUILAR  ERICA</x:v>
      </x:c>
      <x:c r="AN396" s="7" t="str">
        <x:v>https://cdicloud.insurance.ca.gov/cal/LicenseDetail?SearchType=IND&amp;SearchLicNbr=0E84115&amp;SearchIndvId=957668</x:v>
      </x:c>
      <x:c r="AO396" s="7" t="str">
        <x:v>2026-10-08</x:v>
      </x:c>
      <x:c r="AP396" s="7" t="str">
        <x:v>d8b7bba87933c502cb48db08adfc7aa6e28f88cc261f112721639672c6bdb7ec</x:v>
      </x:c>
      <x:c r="AQ396" s="7" t="str">
        <x:v>Accident and Health / Inactive / 08/30/2006 / 06/30/2007 / 06/30/2007
Casualty Broker-Agent / Inactive / 06/28/2005 / 06/30/2007 / 06/30/2007
Life-Only / Inactive / 08/30/2006 / 06/30/2007 / 06/30/2007
Property Broker-Agent / Inactive / 06/28/2005 / 06/30/2007 / 06/30/2007</x:v>
      </x:c>
      <x:c r="AR396" s="7" t="str">
        <x:v>Inactive</x:v>
      </x:c>
      <x:c r="AS396" s="7" t="str">
        <x:v>Current detail page</x:v>
      </x:c>
    </x:row>
    <x:row r="397" ht="52" customHeight="1">
      <x:c r="A397" s="7" t="str">
        <x:v>AGUILAR ERICA</x:v>
      </x:c>
      <x:c r="B397" s="14" t="str">
        <x:f>"4119079"</x:f>
        <x:v>4119079</x:v>
      </x:c>
      <x:c r="C397" s="7" t="str">
        <x:v>Omitted</x:v>
      </x:c>
      <x:c r="D397" s="7" t="str">
        <x:v>FAIL</x:v>
      </x:c>
      <x:c r="E397" s="13" t="str">
        <x:v>Pending</x:v>
      </x:c>
      <x:c r="F397" s="13" t="str"/>
      <x:c r="G397" s="13" t="str"/>
      <x:c r="H397" s="13" t="str"/>
      <x:c r="I397" s="7" t="str">
        <x:v>Was this person reviewed? If rejected, give the actual rule and evidence. If acceptable, correct the omission. Confirm the Life-qualification gate and any record change since selection.</x:v>
      </x:c>
      <x:c r="J397" s="7" t="str">
        <x:v>L1</x:v>
      </x:c>
      <x:c r="K397" s="7" t="str">
        <x:v>Verified qualifications do not include active general Life. Current target-pool mismatch; actual historical omission reason unknown.</x:v>
      </x:c>
      <x:c r="L397" s="7" t="str">
        <x:v>Not supplied; membership is known, motive is not</x:v>
      </x:c>
      <x:c r="M397" s="7" t="n">
        <x:v>7</x:v>
      </x:c>
      <x:c r="N397" s="7" t="str">
        <x:v>Outside current general-Life recruiting pool</x:v>
      </x:c>
      <x:c r="O397" s="7" t="str">
        <x:v>Not displayed</x:v>
      </x:c>
      <x:c r="P397" s="7" t="str"/>
      <x:c r="Q397" s="7" t="str"/>
      <x:c r="R397" s="7" t="str"/>
      <x:c r="S397" s="15" t="str">
        <x:v>562-927-6111</x:v>
      </x:c>
      <x:c r="T397" s="7" t="str">
        <x:v>Current CDI</x:v>
      </x:c>
      <x:c r="U397" s="7" t="str">
        <x:v>5861 FIRESTONE BLVD STE B SOUTH GATE CA, 90280</x:v>
      </x:c>
      <x:c r="V397" s="7" t="str">
        <x:v>Resident</x:v>
      </x:c>
      <x:c r="W397" s="7" t="str">
        <x:v>CA</x:v>
      </x:c>
      <x:c r="X397" s="7" t="str"/>
      <x:c r="Y397" s="7" t="str"/>
      <x:c r="Z397" s="7" t="str"/>
      <x:c r="AA397" s="7" t="str"/>
      <x:c r="AB397" s="7" t="str"/>
      <x:c r="AC397" s="7" t="str"/>
      <x:c r="AD397" s="7" t="str">
        <x:v>No agency or insurer displayed: onboarding opportunity possible; existing business unknown</x:v>
      </x:c>
      <x:c r="AE397" s="7" t="str"/>
      <x:c r="AF397" s="16" t="str"/>
      <x:c r="AG397" s="17" t="str"/>
      <x:c r="AH397" s="7" t="str"/>
      <x:c r="AI397" s="7" t="str">
        <x:v>English</x:v>
      </x:c>
      <x:c r="AJ397" s="7" t="str"/>
      <x:c r="AK397" s="15" t="str"/>
      <x:c r="AL397" s="7" t="str"/>
      <x:c r="AM397" s="7" t="str">
        <x:v>AGUILAR  ERICA</x:v>
      </x:c>
      <x:c r="AN397" s="7" t="str">
        <x:v>https://cdicloud.insurance.ca.gov/cal/LicenseDetail?SearchType=IND&amp;SearchLicNbr=4119079&amp;SearchIndvId=4119079</x:v>
      </x:c>
      <x:c r="AO397" s="7" t="str">
        <x:v>2026-10-08</x:v>
      </x:c>
      <x:c r="AP397" s="7" t="str">
        <x:v>c53df0b27e5fdb9fdf433ee7bc2f11aa9bee57d2742c69466ac9f11f99a28314</x:v>
      </x:c>
      <x:c r="AQ397" s="7" t="str">
        <x:v>Limited Lines Automobile / Inactive / 04/22/2021 / 04/30/2023 / 04/30/2023</x:v>
      </x:c>
      <x:c r="AR397" s="7" t="str">
        <x:v>Inactive</x:v>
      </x:c>
      <x:c r="AS397" s="7" t="str">
        <x:v>Current detail page</x:v>
      </x:c>
    </x:row>
    <x:row r="398" ht="52" customHeight="1">
      <x:c r="A398" s="7" t="str">
        <x:v>AGUILAR ERICA</x:v>
      </x:c>
      <x:c r="B398" s="14" t="str">
        <x:f>"4204618"</x:f>
        <x:v>4204618</x:v>
      </x:c>
      <x:c r="C398" s="7" t="str">
        <x:v>Omitted</x:v>
      </x:c>
      <x:c r="D398" s="7" t="str">
        <x:v>FAIL</x:v>
      </x:c>
      <x:c r="E398" s="13" t="str">
        <x:v>Pending</x:v>
      </x:c>
      <x:c r="F398" s="13" t="str"/>
      <x:c r="G398" s="13" t="str"/>
      <x:c r="H398" s="13" t="str"/>
      <x:c r="I398" s="7" t="str">
        <x:v>Was this person reviewed? If rejected, give the actual rule and evidence. If acceptable, correct the omission. Confirm the Life-qualification gate and any record change since selection.</x:v>
      </x:c>
      <x:c r="J398" s="7" t="str">
        <x:v>L1</x:v>
      </x:c>
      <x:c r="K398" s="7" t="str">
        <x:v>Verified qualifications do not include active general Life. Current target-pool mismatch; actual historical omission reason unknown.</x:v>
      </x:c>
      <x:c r="L398" s="7" t="str">
        <x:v>Not supplied; membership is known, motive is not</x:v>
      </x:c>
      <x:c r="M398" s="7" t="n">
        <x:v>7</x:v>
      </x:c>
      <x:c r="N398" s="7" t="str">
        <x:v>Outside current general-Life recruiting pool</x:v>
      </x:c>
      <x:c r="O398" s="7" t="str">
        <x:v>Not displayed</x:v>
      </x:c>
      <x:c r="P398" s="7" t="str"/>
      <x:c r="Q398" s="7" t="str"/>
      <x:c r="R398" s="7" t="str">
        <x:v>Personal Lines</x:v>
      </x:c>
      <x:c r="S398" s="15" t="str"/>
      <x:c r="T398" s="7" t="str">
        <x:v>No public business phone in collected record</x:v>
      </x:c>
      <x:c r="U398" s="7" t="str">
        <x:v>11971 DIEGO RIVERA DR EL PASO TX, 79936-7148</x:v>
      </x:c>
      <x:c r="V398" s="7" t="str">
        <x:v>Non-resident</x:v>
      </x:c>
      <x:c r="W398" s="7" t="str">
        <x:v>TX</x:v>
      </x:c>
      <x:c r="X398" s="7" t="str"/>
      <x:c r="Y398" s="7" t="str">
        <x:v>STATE FARM FIRE AND CASUALTY COMPANY / Personal Lines / 09/19/2024
STATE FARM GENERAL INSURANCE COMPANY / Personal Lines / 09/19/2024
STATE FARM MUTUAL AUTOMOBILE INSURANCE COMPANY / Personal Lines / 09/19/2024</x:v>
      </x:c>
      <x:c r="Z398" s="7" t="str"/>
      <x:c r="AA398" s="7" t="str"/>
      <x:c r="AB398" s="7" t="str"/>
      <x:c r="AC398" s="7" t="str"/>
      <x:c r="AD398" s="7" t="str"/>
      <x:c r="AE398"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398" s="16" t="str"/>
      <x:c r="AG398" s="17" t="str"/>
      <x:c r="AH398" s="7" t="str"/>
      <x:c r="AI398" s="7" t="str"/>
      <x:c r="AJ398" s="7" t="str"/>
      <x:c r="AK398" s="15" t="str"/>
      <x:c r="AL398" s="7" t="str"/>
      <x:c r="AM398" s="7" t="str">
        <x:v>AGUILAR  ERICA</x:v>
      </x:c>
      <x:c r="AN398" s="7" t="str">
        <x:v>https://cdicloud.insurance.ca.gov/cal/LicenseDetail?SearchType=IND&amp;SearchLicNbr=4204618&amp;SearchIndvId=4204618</x:v>
      </x:c>
      <x:c r="AO398" s="7" t="str">
        <x:v>2026-10-08</x:v>
      </x:c>
      <x:c r="AP398" s="7" t="str">
        <x:v>317a1c847e2c7f5ec0f271a64f9bfff0063a7eb6a46994dd8dcf594b8cdfd603</x:v>
      </x:c>
      <x:c r="AQ398" s="7" t="str">
        <x:v>Personal Lines / Active / 04/21/2022 / 09/04/2024 / 04/30/2028</x:v>
      </x:c>
      <x:c r="AR398" s="7" t="str">
        <x:v>Active</x:v>
      </x:c>
      <x:c r="AS398" s="7" t="str">
        <x:v>Current detail page</x:v>
      </x:c>
    </x:row>
    <x:row r="399" ht="52" customHeight="1">
      <x:c r="A399" s="7" t="str">
        <x:v>AGUILAR ERICA MONIC</x:v>
      </x:c>
      <x:c r="B399" s="14" t="str">
        <x:f>"0G68435"</x:f>
        <x:v>0G68435</x:v>
      </x:c>
      <x:c r="C399" s="7" t="str">
        <x:v>Omitted</x:v>
      </x:c>
      <x:c r="D399" s="7" t="str">
        <x:v>FAIL</x:v>
      </x:c>
      <x:c r="E399" s="13" t="str">
        <x:v>Pending</x:v>
      </x:c>
      <x:c r="F399" s="13" t="str"/>
      <x:c r="G399" s="13" t="str"/>
      <x:c r="H399" s="13" t="str"/>
      <x:c r="I399" s="7" t="str">
        <x:v>Was this person reviewed? If rejected, give the actual rule and evidence. If acceptable, correct the omission. Confirm the Life-qualification gate and any record change since selection.</x:v>
      </x:c>
      <x:c r="J399" s="7" t="str">
        <x:v>L1</x:v>
      </x:c>
      <x:c r="K399" s="7" t="str">
        <x:v>Verified qualifications do not include active general Life. Current target-pool mismatch; actual historical omission reason unknown.</x:v>
      </x:c>
      <x:c r="L399" s="7" t="str">
        <x:v>Not supplied; membership is known, motive is not</x:v>
      </x:c>
      <x:c r="M399" s="7" t="n">
        <x:v>7</x:v>
      </x:c>
      <x:c r="N399" s="7" t="str">
        <x:v>Outside current general-Life recruiting pool</x:v>
      </x:c>
      <x:c r="O399" s="7" t="str">
        <x:v>Not displayed</x:v>
      </x:c>
      <x:c r="P399" s="7" t="str"/>
      <x:c r="Q399" s="7" t="str"/>
      <x:c r="R399" s="7" t="str"/>
      <x:c r="S399" s="15" t="str"/>
      <x:c r="T399" s="7" t="str">
        <x:v>No public business phone in collected record</x:v>
      </x:c>
      <x:c r="U399" s="7" t="str"/>
      <x:c r="V399" s="7" t="str">
        <x:v>Resident</x:v>
      </x:c>
      <x:c r="W399" s="7" t="str">
        <x:v>CA</x:v>
      </x:c>
      <x:c r="X399" s="7" t="str"/>
      <x:c r="Y399" s="7" t="str"/>
      <x:c r="Z399" s="7" t="str"/>
      <x:c r="AA399" s="7" t="str"/>
      <x:c r="AB399" s="7" t="str"/>
      <x:c r="AC399" s="7" t="str"/>
      <x:c r="AD399" s="7" t="str">
        <x:v>No agency or insurer displayed: onboarding opportunity possible; existing business unknown</x:v>
      </x:c>
      <x:c r="AE399" s="7" t="str">
        <x:v>No public business phone: contact enrichment needed, not proof of poor recruiting fit</x:v>
      </x:c>
      <x:c r="AF399" s="16" t="str"/>
      <x:c r="AG399" s="17" t="str"/>
      <x:c r="AH399" s="7" t="str"/>
      <x:c r="AI399" s="7" t="str"/>
      <x:c r="AJ399" s="7" t="str"/>
      <x:c r="AK399" s="15" t="str"/>
      <x:c r="AL399" s="7" t="str"/>
      <x:c r="AM399" s="7" t="str">
        <x:v>AGUILAR MONIC ERICA</x:v>
      </x:c>
      <x:c r="AN399" s="7" t="str">
        <x:v>https://cdicloud.insurance.ca.gov/cal/LicenseDetail?SearchType=IND&amp;SearchLicNbr=0G68435&amp;SearchIndvId=1272798</x:v>
      </x:c>
      <x:c r="AO399" s="7" t="str">
        <x:v>2026-10-08</x:v>
      </x:c>
      <x:c r="AP399" s="7" t="str">
        <x:v>70d1457ab25fb736843ee4dca6a1c4ff8ba85195d4b278859857ff4bf4d83321</x:v>
      </x:c>
      <x:c r="AQ399" s="7" t="str">
        <x:v>Casualty Broker-Agent / Inactive / 07/14/2009 / 07/31/2019 / 07/31/2019
Property Broker-Agent / Inactive / 07/14/2009 / 07/31/2019 / 07/31/2019</x:v>
      </x:c>
      <x:c r="AR399" s="7" t="str">
        <x:v>Inactive</x:v>
      </x:c>
      <x:c r="AS399" s="7" t="str">
        <x:v>Current detail page</x:v>
      </x:c>
    </x:row>
    <x:row r="400" ht="52" customHeight="1">
      <x:c r="A400" s="7" t="str">
        <x:v>AGUILAR ERICKA YURIRIA</x:v>
      </x:c>
      <x:c r="B400" s="14" t="str">
        <x:f>"0L85299"</x:f>
        <x:v>0L85299</x:v>
      </x:c>
      <x:c r="C400" s="7" t="str">
        <x:v>Omitted</x:v>
      </x:c>
      <x:c r="D400" s="7" t="str">
        <x:v>FAIL</x:v>
      </x:c>
      <x:c r="E400" s="13" t="str">
        <x:v>Pending</x:v>
      </x:c>
      <x:c r="F400" s="13" t="str"/>
      <x:c r="G400" s="13" t="str"/>
      <x:c r="H400" s="13" t="str"/>
      <x:c r="I400" s="7" t="str">
        <x:v>Was this person reviewed? If rejected, give the actual rule and evidence. If acceptable, correct the omission. Confirm the Life-qualification gate and any record change since selection.</x:v>
      </x:c>
      <x:c r="J400" s="7" t="str">
        <x:v>L1</x:v>
      </x:c>
      <x:c r="K400" s="7" t="str">
        <x:v>Verified qualifications do not include active general Life. Current target-pool mismatch; actual historical omission reason unknown.</x:v>
      </x:c>
      <x:c r="L400" s="7" t="str">
        <x:v>Not supplied; membership is known, motive is not</x:v>
      </x:c>
      <x:c r="M400" s="7" t="n">
        <x:v>7</x:v>
      </x:c>
      <x:c r="N400" s="7" t="str">
        <x:v>Outside current general-Life recruiting pool</x:v>
      </x:c>
      <x:c r="O400" s="7" t="str">
        <x:v>Not displayed</x:v>
      </x:c>
      <x:c r="P400" s="7" t="str"/>
      <x:c r="Q400" s="7" t="str"/>
      <x:c r="R400" s="7" t="str"/>
      <x:c r="S400" s="15" t="str"/>
      <x:c r="T400" s="7" t="str">
        <x:v>No public business phone in collected record</x:v>
      </x:c>
      <x:c r="U400" s="7" t="str"/>
      <x:c r="V400" s="7" t="str">
        <x:v>Resident</x:v>
      </x:c>
      <x:c r="W400" s="7" t="str">
        <x:v>CA</x:v>
      </x:c>
      <x:c r="X400" s="7" t="str"/>
      <x:c r="Y400" s="7" t="str"/>
      <x:c r="Z400" s="7" t="str"/>
      <x:c r="AA400" s="7" t="str"/>
      <x:c r="AB400" s="7" t="str"/>
      <x:c r="AC400" s="7" t="str"/>
      <x:c r="AD400" s="7" t="str">
        <x:v>No agency or insurer displayed: onboarding opportunity possible; existing business unknown</x:v>
      </x:c>
      <x:c r="AE400" s="7" t="str">
        <x:v>No public business phone: contact enrichment needed, not proof of poor recruiting fit</x:v>
      </x:c>
      <x:c r="AF400" s="16" t="str"/>
      <x:c r="AG400" s="17" t="str"/>
      <x:c r="AH400" s="7" t="str"/>
      <x:c r="AI400" s="7" t="str"/>
      <x:c r="AJ400" s="7" t="str"/>
      <x:c r="AK400" s="15" t="str"/>
      <x:c r="AL400" s="7" t="str"/>
      <x:c r="AM400" s="7" t="str">
        <x:v>Aguilar Y Ericka | AGUILAR YURIRIA ERICKA</x:v>
      </x:c>
      <x:c r="AN400" s="7" t="str">
        <x:v>https://cdicloud.insurance.ca.gov/cal/LicenseDetail?SearchType=IND&amp;SearchLicNbr=0L85299&amp;SearchIndvId=1952203</x:v>
      </x:c>
      <x:c r="AO400" s="7" t="str">
        <x:v>2026-10-08</x:v>
      </x:c>
      <x:c r="AP400" s="7" t="str">
        <x:v>cfa47a8794024a3d3ca69a2ea441ed3fb2db75bf07bd2fa78263b999fc5a833d</x:v>
      </x:c>
      <x:c r="AQ400" s="7" t="str">
        <x:v>Life-Only / Inactive / 07/27/2017 / 07/31/2019 / 07/31/2019</x:v>
      </x:c>
      <x:c r="AR400" s="7" t="str">
        <x:v>Inactive</x:v>
      </x:c>
      <x:c r="AS400" s="7" t="str">
        <x:v>Current detail page</x:v>
      </x:c>
    </x:row>
    <x:row r="401" ht="52" customHeight="1">
      <x:c r="A401" s="7" t="str">
        <x:v>AGUILAR ERIK</x:v>
      </x:c>
      <x:c r="B401" s="14" t="str">
        <x:f>"4569303"</x:f>
        <x:v>4569303</x:v>
      </x:c>
      <x:c r="C401" s="7" t="str">
        <x:v>Omitted</x:v>
      </x:c>
      <x:c r="D401" s="7" t="str">
        <x:v>FAIL</x:v>
      </x:c>
      <x:c r="E401" s="13" t="str">
        <x:v>Pending</x:v>
      </x:c>
      <x:c r="F401" s="13" t="str"/>
      <x:c r="G401" s="13" t="str"/>
      <x:c r="H401" s="13" t="str"/>
      <x:c r="I401" s="7" t="str">
        <x:v>Was this person reviewed? If rejected, give the actual rule and evidence. If acceptable, correct the omission. Confirm the Life-qualification gate and any record change since selection.</x:v>
      </x:c>
      <x:c r="J401" s="7" t="str">
        <x:v>L1</x:v>
      </x:c>
      <x:c r="K401" s="7" t="str">
        <x:v>Verified qualifications do not include active general Life. Current target-pool mismatch; actual historical omission reason unknown.</x:v>
      </x:c>
      <x:c r="L401" s="7" t="str">
        <x:v>Not supplied; membership is known, motive is not</x:v>
      </x:c>
      <x:c r="M401" s="7" t="n">
        <x:v>7</x:v>
      </x:c>
      <x:c r="N401" s="7" t="str">
        <x:v>Outside current general-Life recruiting pool</x:v>
      </x:c>
      <x:c r="O401" s="7" t="str">
        <x:v>Not displayed</x:v>
      </x:c>
      <x:c r="P401" s="7" t="str"/>
      <x:c r="Q401" s="7" t="str"/>
      <x:c r="R401" s="7" t="str">
        <x:v>Casualty; Property</x:v>
      </x:c>
      <x:c r="S401" s="15" t="str">
        <x:v>310-295-5579</x:v>
      </x:c>
      <x:c r="T401" s="7" t="str">
        <x:v>Current CDI</x:v>
      </x:c>
      <x:c r="U401" s="7" t="str">
        <x:v>815 FAIRVIEW AVE ARCADIA CA, 91007-6691</x:v>
      </x:c>
      <x:c r="V401" s="7" t="str">
        <x:v>Resident</x:v>
      </x:c>
      <x:c r="W401" s="7" t="str">
        <x:v>CA</x:v>
      </x:c>
      <x:c r="X401" s="7" t="str">
        <x:v>CEASTA ASSURANCE INC. / Casualty / 08/17/2026
CEASTA ASSURANCE INC. / Property / 08/17/2026</x:v>
      </x:c>
      <x:c r="Y401" s="7" t="str"/>
      <x:c r="Z401" s="7" t="str"/>
      <x:c r="AA401" s="7" t="str"/>
      <x:c r="AB401" s="7" t="str"/>
      <x:c r="AC401" s="7" t="str"/>
      <x:c r="AD401" s="7" t="str"/>
      <x:c r="AE401" s="7" t="str">
        <x:v>P&amp;C/Personal Lines authority without displayed core Life appointments; mixed profile requires review</x:v>
      </x:c>
      <x:c r="AF401" s="16" t="str"/>
      <x:c r="AG401" s="17" t="str"/>
      <x:c r="AH401" s="7" t="str"/>
      <x:c r="AI401" s="7" t="str">
        <x:v>English</x:v>
      </x:c>
      <x:c r="AJ401" s="7" t="str"/>
      <x:c r="AK401" s="15" t="str"/>
      <x:c r="AL401" s="7" t="str"/>
      <x:c r="AM401" s="7" t="str">
        <x:v>AGUILAR  ERIK</x:v>
      </x:c>
      <x:c r="AN401" s="7" t="str">
        <x:v>https://cdicloud.insurance.ca.gov/cal/LicenseDetail?SearchType=IND&amp;SearchLicNbr=4569303&amp;SearchIndvId=4569303</x:v>
      </x:c>
      <x:c r="AO401" s="7" t="str">
        <x:v>2026-10-08</x:v>
      </x:c>
      <x:c r="AP401" s="7" t="str">
        <x:v>98a51ff59a54b6fb2edb05751f2841e5764469f4bbc17e2b526710277bd70e9c</x:v>
      </x:c>
      <x:c r="AQ401" s="7" t="str">
        <x:v>Casualty / Active / 08/17/2026 / 08/17/2026 / 08/31/2028
Property / Active / 08/17/2026 / 08/17/2026 / 08/31/2028</x:v>
      </x:c>
      <x:c r="AR401" s="7" t="str">
        <x:v>Active</x:v>
      </x:c>
      <x:c r="AS401" s="7" t="str">
        <x:v>Current detail page</x:v>
      </x:c>
    </x:row>
    <x:row r="402" ht="52" customHeight="1">
      <x:c r="A402" s="7" t="str">
        <x:v>AGUILAR ERIK ALEJANDRO</x:v>
      </x:c>
      <x:c r="B402" s="14" t="str">
        <x:f>"0F33884"</x:f>
        <x:v>0F33884</x:v>
      </x:c>
      <x:c r="C402" s="7" t="str">
        <x:v>Omitted</x:v>
      </x:c>
      <x:c r="D402" s="7" t="str">
        <x:v>FAIL</x:v>
      </x:c>
      <x:c r="E402" s="13" t="str">
        <x:v>Pending</x:v>
      </x:c>
      <x:c r="F402" s="13" t="str"/>
      <x:c r="G402" s="13" t="str"/>
      <x:c r="H402" s="13" t="str"/>
      <x:c r="I402" s="7" t="str">
        <x:v>Was this person reviewed? If rejected, give the actual rule and evidence. If acceptable, correct the omission. Confirm the Life-qualification gate and any record change since selection.</x:v>
      </x:c>
      <x:c r="J402" s="7" t="str">
        <x:v>L1</x:v>
      </x:c>
      <x:c r="K402" s="7" t="str">
        <x:v>Verified qualifications do not include active general Life. Current target-pool mismatch; actual historical omission reason unknown.</x:v>
      </x:c>
      <x:c r="L402" s="7" t="str">
        <x:v>Not supplied; membership is known, motive is not</x:v>
      </x:c>
      <x:c r="M402" s="7" t="n">
        <x:v>7</x:v>
      </x:c>
      <x:c r="N402" s="7" t="str">
        <x:v>Outside current general-Life recruiting pool</x:v>
      </x:c>
      <x:c r="O402" s="7" t="str">
        <x:v>Not displayed</x:v>
      </x:c>
      <x:c r="P402" s="7" t="str"/>
      <x:c r="Q402" s="7" t="str"/>
      <x:c r="R402" s="7" t="str"/>
      <x:c r="S402" s="15" t="str"/>
      <x:c r="T402" s="7" t="str">
        <x:v>No public business phone in collected record</x:v>
      </x:c>
      <x:c r="U402" s="7" t="str"/>
      <x:c r="V402" s="7" t="str">
        <x:v>Resident</x:v>
      </x:c>
      <x:c r="W402" s="7" t="str">
        <x:v>CA</x:v>
      </x:c>
      <x:c r="X402" s="7" t="str"/>
      <x:c r="Y402" s="7" t="str"/>
      <x:c r="Z402" s="7" t="str"/>
      <x:c r="AA402" s="7" t="str"/>
      <x:c r="AB402" s="7" t="str"/>
      <x:c r="AC402" s="7" t="str"/>
      <x:c r="AD402" s="7" t="str">
        <x:v>No agency or insurer displayed: onboarding opportunity possible; existing business unknown</x:v>
      </x:c>
      <x:c r="AE402" s="7" t="str">
        <x:v>No public business phone: contact enrichment needed, not proof of poor recruiting fit</x:v>
      </x:c>
      <x:c r="AF402" s="16" t="str"/>
      <x:c r="AG402" s="17" t="str"/>
      <x:c r="AH402" s="7" t="str"/>
      <x:c r="AI402" s="7" t="str"/>
      <x:c r="AJ402" s="7" t="str"/>
      <x:c r="AK402" s="15" t="str"/>
      <x:c r="AL402" s="7" t="str"/>
      <x:c r="AM402" s="7" t="str">
        <x:v>AGUILAR ALEJANDRO ERIK</x:v>
      </x:c>
      <x:c r="AN402" s="7" t="str">
        <x:v>https://cdicloud.insurance.ca.gov/cal/LicenseDetail?SearchType=IND&amp;SearchLicNbr=0F33884&amp;SearchIndvId=1044806</x:v>
      </x:c>
      <x:c r="AO402" s="7" t="str">
        <x:v>2026-10-08</x:v>
      </x:c>
      <x:c r="AP402" s="7" t="str">
        <x:v>767bb432ebf8789ef71f9e3aaf4773dab7b3fb254eb2751920cebf3ca60e73da</x:v>
      </x:c>
      <x:c r="AQ402" s="7" t="str">
        <x:v>Casualty Broker-Agent / Inactive / 09/13/2006 / 06/04/2009 / 06/04/2009
Property Broker-Agent / Inactive / 09/13/2006 / 06/04/2009 / 06/04/2009</x:v>
      </x:c>
      <x:c r="AR402" s="7" t="str">
        <x:v>Inactive</x:v>
      </x:c>
      <x:c r="AS402" s="7" t="str">
        <x:v>Current detail page</x:v>
      </x:c>
    </x:row>
    <x:row r="403" ht="52" customHeight="1">
      <x:c r="A403" s="7" t="str">
        <x:v>AGUILAR ERIKA</x:v>
      </x:c>
      <x:c r="B403" s="14" t="str">
        <x:f>"4074129"</x:f>
        <x:v>4074129</x:v>
      </x:c>
      <x:c r="C403" s="7" t="str">
        <x:v>Omitted</x:v>
      </x:c>
      <x:c r="D403" s="7" t="str">
        <x:v>FAIL</x:v>
      </x:c>
      <x:c r="E403" s="13" t="str">
        <x:v>Pending</x:v>
      </x:c>
      <x:c r="F403" s="13" t="str"/>
      <x:c r="G403" s="13" t="str"/>
      <x:c r="H403" s="13" t="str"/>
      <x:c r="I403" s="7" t="str">
        <x:v>Was this person reviewed? If rejected, give the actual rule and evidence. If acceptable, correct the omission. Confirm the Life-qualification gate and any record change since selection.</x:v>
      </x:c>
      <x:c r="J403" s="7" t="str">
        <x:v>L1</x:v>
      </x:c>
      <x:c r="K403" s="7" t="str">
        <x:v>Verified qualifications do not include active general Life. Current target-pool mismatch; actual historical omission reason unknown.</x:v>
      </x:c>
      <x:c r="L403" s="7" t="str">
        <x:v>Not supplied; membership is known, motive is not</x:v>
      </x:c>
      <x:c r="M403" s="7" t="n">
        <x:v>7</x:v>
      </x:c>
      <x:c r="N403" s="7" t="str">
        <x:v>Outside current general-Life recruiting pool</x:v>
      </x:c>
      <x:c r="O403" s="7" t="str">
        <x:v>Inactive</x:v>
      </x:c>
      <x:c r="P403" s="7" t="str">
        <x:v>10/15/2020</x:v>
      </x:c>
      <x:c r="Q403" s="7" t="str">
        <x:v>10/31/2022</x:v>
      </x:c>
      <x:c r="R403" s="7" t="str"/>
      <x:c r="S403" s="15" t="str">
        <x:v>562-363-5523</x:v>
      </x:c>
      <x:c r="T403" s="7" t="str">
        <x:v>Current CDI</x:v>
      </x:c>
      <x:c r="U403" s="7" t="str">
        <x:v>161 W VICTORIA ST STE 240 LONG BEACH CA, 90805</x:v>
      </x:c>
      <x:c r="V403" s="7" t="str">
        <x:v>Resident</x:v>
      </x:c>
      <x:c r="W403" s="7" t="str">
        <x:v>CA</x:v>
      </x:c>
      <x:c r="X403" s="7" t="str"/>
      <x:c r="Y403" s="7" t="str"/>
      <x:c r="Z403" s="7" t="str"/>
      <x:c r="AA403" s="7" t="str"/>
      <x:c r="AB403" s="7" t="str"/>
      <x:c r="AC403" s="7" t="str"/>
      <x:c r="AD403" s="7" t="str">
        <x:v>No agency or insurer displayed: onboarding opportunity possible; existing business unknown</x:v>
      </x:c>
      <x:c r="AE403" s="7" t="str"/>
      <x:c r="AF403" s="16" t="str"/>
      <x:c r="AG403" s="17" t="str"/>
      <x:c r="AH403" s="7" t="str"/>
      <x:c r="AI403" s="7" t="str">
        <x:v>English</x:v>
      </x:c>
      <x:c r="AJ403" s="7" t="str"/>
      <x:c r="AK403" s="15" t="str"/>
      <x:c r="AL403" s="7" t="str"/>
      <x:c r="AM403" s="7" t="str">
        <x:v>AGUILAR  ERIKA</x:v>
      </x:c>
      <x:c r="AN403" s="7" t="str">
        <x:v>https://cdicloud.insurance.ca.gov/cal/LicenseDetail?SearchType=IND&amp;SearchLicNbr=4074129&amp;SearchIndvId=4074129</x:v>
      </x:c>
      <x:c r="AO403" s="7" t="str">
        <x:v>2026-10-08</x:v>
      </x:c>
      <x:c r="AP403" s="7" t="str">
        <x:v>23383d64ae2d01fc0a5f8f559c3ced2a2811f89a077f5919f4e85a99ef13f072</x:v>
      </x:c>
      <x:c r="AQ403" s="7" t="str">
        <x:v>Life / Inactive / 10/15/2020 / 10/31/2022 / 10/31/2022</x:v>
      </x:c>
      <x:c r="AR403" s="7" t="str">
        <x:v>Inactive</x:v>
      </x:c>
      <x:c r="AS403" s="7" t="str">
        <x:v>Current detail page</x:v>
      </x:c>
    </x:row>
    <x:row r="404" ht="52" customHeight="1">
      <x:c r="A404" s="7" t="str">
        <x:v>AGUILAR ERIKA ALEJANDRA</x:v>
      </x:c>
      <x:c r="B404" s="14" t="str">
        <x:f>"0M51969"</x:f>
        <x:v>0M51969</x:v>
      </x:c>
      <x:c r="C404" s="7" t="str">
        <x:v>Omitted</x:v>
      </x:c>
      <x:c r="D404" s="7" t="str">
        <x:v>FAIL</x:v>
      </x:c>
      <x:c r="E404" s="13" t="str">
        <x:v>Pending</x:v>
      </x:c>
      <x:c r="F404" s="13" t="str"/>
      <x:c r="G404" s="13" t="str"/>
      <x:c r="H404" s="13" t="str"/>
      <x:c r="I404" s="7" t="str">
        <x:v>Was this person reviewed? If rejected, give the actual rule and evidence. If acceptable, correct the omission. Confirm the Life-qualification gate and any record change since selection.</x:v>
      </x:c>
      <x:c r="J404" s="7" t="str">
        <x:v>L1</x:v>
      </x:c>
      <x:c r="K404" s="7" t="str">
        <x:v>Verified qualifications do not include active general Life. Current target-pool mismatch; actual historical omission reason unknown.</x:v>
      </x:c>
      <x:c r="L404" s="7" t="str">
        <x:v>Not supplied; membership is known, motive is not</x:v>
      </x:c>
      <x:c r="M404" s="7" t="n">
        <x:v>7</x:v>
      </x:c>
      <x:c r="N404" s="7" t="str">
        <x:v>Outside current general-Life recruiting pool</x:v>
      </x:c>
      <x:c r="O404" s="7" t="str">
        <x:v>Inactive</x:v>
      </x:c>
      <x:c r="P404" s="7" t="str">
        <x:v>08/22/2018</x:v>
      </x:c>
      <x:c r="Q404" s="7" t="str">
        <x:v>08/31/2022</x:v>
      </x:c>
      <x:c r="R404" s="7" t="str"/>
      <x:c r="S404" s="15" t="str">
        <x:v>951-786-0003</x:v>
      </x:c>
      <x:c r="T404" s="7" t="str">
        <x:v>Current CDI</x:v>
      </x:c>
      <x:c r="U404" s="7" t="str">
        <x:v>1855 CHICAGO AVE RIVERSIDE CA, 92507</x:v>
      </x:c>
      <x:c r="V404" s="7" t="str">
        <x:v>Resident</x:v>
      </x:c>
      <x:c r="W404" s="7" t="str">
        <x:v>CA</x:v>
      </x:c>
      <x:c r="X404" s="7" t="str"/>
      <x:c r="Y404" s="7" t="str"/>
      <x:c r="Z404" s="7" t="str">
        <x:v>ORDER ID: &lt;OBS3369&gt; A APPLICATION FOR LICENSE TO ACT AS AN INSURANCE PRODUCER IS HEREBY DENIED; ISSUE IN LIEU THEREOF A RESTRICTED LICENSE. MONETARY PENALTY IN THE AMOUNT OF FIVE HUNDRED (500) DOLLARS. / 08/22/2018</x:v>
      </x:c>
      <x:c r="AA404" s="7" t="str"/>
      <x:c r="AB404" s="7" t="str"/>
      <x:c r="AC404" s="7" t="str"/>
      <x:c r="AD404" s="7" t="str">
        <x:v>No agency or insurer displayed: onboarding opportunity possible; existing business unknown</x:v>
      </x:c>
      <x:c r="AE404" s="7" t="str">
        <x:v>Enforcement order requires direct review; latest displayed order is not a removal order</x:v>
      </x:c>
      <x:c r="AF404" s="16" t="str"/>
      <x:c r="AG404" s="17" t="str"/>
      <x:c r="AH404" s="7" t="str"/>
      <x:c r="AI404" s="7" t="str">
        <x:v>English</x:v>
      </x:c>
      <x:c r="AJ404" s="7" t="str"/>
      <x:c r="AK404" s="15" t="str"/>
      <x:c r="AL404" s="7" t="str"/>
      <x:c r="AM404" s="7" t="str">
        <x:v>AGUILAR ALEJANDRA ERIKA</x:v>
      </x:c>
      <x:c r="AN404" s="7" t="str">
        <x:v>https://cdicloud.insurance.ca.gov/cal/LicenseDetail?SearchType=IND&amp;SearchLicNbr=0M51969&amp;SearchIndvId=2006689</x:v>
      </x:c>
      <x:c r="AO404" s="7" t="str">
        <x:v>2026-10-08</x:v>
      </x:c>
      <x:c r="AP404" s="7" t="str">
        <x:v>f5751cbc26d06c6d4b63386c6c03425de39bdc41b477384355da097869fb4aed</x:v>
      </x:c>
      <x:c r="AQ404" s="7" t="str">
        <x:v>Life / Inactive / 08/22/2018 / 08/31/2022 / 08/31/2022</x:v>
      </x:c>
      <x:c r="AR404" s="7" t="str">
        <x:v>Inactive</x:v>
      </x:c>
      <x:c r="AS404" s="7" t="str">
        <x:v>Current detail page</x:v>
      </x:c>
    </x:row>
    <x:row r="405" ht="52" customHeight="1">
      <x:c r="A405" s="7" t="str">
        <x:v>AGUILAR ERIKA CARMEN</x:v>
      </x:c>
      <x:c r="B405" s="14" t="str">
        <x:f>"0I38373"</x:f>
        <x:v>0I38373</x:v>
      </x:c>
      <x:c r="C405" s="7" t="str">
        <x:v>Omitted</x:v>
      </x:c>
      <x:c r="D405" s="7" t="str">
        <x:v>FAIL</x:v>
      </x:c>
      <x:c r="E405" s="13" t="str">
        <x:v>Pending</x:v>
      </x:c>
      <x:c r="F405" s="13" t="str"/>
      <x:c r="G405" s="13" t="str"/>
      <x:c r="H405" s="13" t="str"/>
      <x:c r="I405" s="7" t="str">
        <x:v>Was this person reviewed? If rejected, give the actual rule and evidence. If acceptable, correct the omission. Confirm the Life-qualification gate and any record change since selection.</x:v>
      </x:c>
      <x:c r="J405" s="7" t="str">
        <x:v>L1</x:v>
      </x:c>
      <x:c r="K405" s="7" t="str">
        <x:v>Verified qualifications do not include active general Life. Current target-pool mismatch; actual historical omission reason unknown.</x:v>
      </x:c>
      <x:c r="L405" s="7" t="str">
        <x:v>Not supplied; membership is known, motive is not</x:v>
      </x:c>
      <x:c r="M405" s="7" t="n">
        <x:v>7</x:v>
      </x:c>
      <x:c r="N405" s="7" t="str">
        <x:v>Outside current general-Life recruiting pool</x:v>
      </x:c>
      <x:c r="O405" s="7" t="str">
        <x:v>Not displayed</x:v>
      </x:c>
      <x:c r="P405" s="7" t="str"/>
      <x:c r="Q405" s="7" t="str"/>
      <x:c r="R405" s="7" t="str"/>
      <x:c r="S405" s="15" t="str"/>
      <x:c r="T405" s="7" t="str">
        <x:v>No public business phone in collected record</x:v>
      </x:c>
      <x:c r="U405" s="7" t="str"/>
      <x:c r="V405" s="7" t="str">
        <x:v>Resident</x:v>
      </x:c>
      <x:c r="W405" s="7" t="str">
        <x:v>CA</x:v>
      </x:c>
      <x:c r="X405" s="7" t="str"/>
      <x:c r="Y405" s="7" t="str"/>
      <x:c r="Z405" s="7" t="str">
        <x:v>ORDER ID: &lt;LBB007632&gt; AP(AR) APPLICATION FOR LICENSE TO ACT AS AN INSURANCE AGENT IS HEREBY DENIED; ISSUE IN LIEU THEREOF A RESTRICTED LICENSE. MONETARY PENALTY IN THE AMOUNT OF TWO HUNDRED FIFTY (250) DOLLARS. / 06/13/2013
ORDER ID: &lt;LBB007632&gt; B LICENSE AND LICENSING RIGHTS OF RESPONDENT ARE HEREBY SUSPENDED FOR 14 DAYS FROM JUNE 1, 2017 THROUGH JUNE 14, 2017. / 06/01/2017</x:v>
      </x:c>
      <x:c r="AA405" s="7" t="str"/>
      <x:c r="AB405" s="7" t="str"/>
      <x:c r="AC405" s="7" t="str"/>
      <x:c r="AD405" s="7" t="str">
        <x:v>No agency or insurer displayed: onboarding opportunity possible; existing business unknown</x:v>
      </x:c>
      <x:c r="AE405" s="7" t="str">
        <x:v>Enforcement order requires direct review; latest displayed order is not a removal order | No public business phone: contact enrichment needed, not proof of poor recruiting fit</x:v>
      </x:c>
      <x:c r="AF405" s="16" t="str"/>
      <x:c r="AG405" s="17" t="str"/>
      <x:c r="AH405" s="7" t="str"/>
      <x:c r="AI405" s="7" t="str"/>
      <x:c r="AJ405" s="7" t="str"/>
      <x:c r="AK405" s="15" t="str"/>
      <x:c r="AL405" s="7" t="str"/>
      <x:c r="AM405" s="7" t="str">
        <x:v>AGUILAR CARMEN ERIKA</x:v>
      </x:c>
      <x:c r="AN405" s="7" t="str">
        <x:v>https://cdicloud.insurance.ca.gov/cal/LicenseDetail?SearchType=IND&amp;SearchLicNbr=0I38373&amp;SearchIndvId=1543680</x:v>
      </x:c>
      <x:c r="AO405" s="7" t="str">
        <x:v>2026-10-08</x:v>
      </x:c>
      <x:c r="AP405" s="7" t="str">
        <x:v>4f4c63c1745f0546a24e2c8126c23ee06f7e9504f90a52fead10d059aa7b54c2</x:v>
      </x:c>
      <x:c r="AQ405" s="7" t="str">
        <x:v>Life-Only / Inactive / 06/13/2013 / 06/01/2017 / 06/01/2017</x:v>
      </x:c>
      <x:c r="AR405" s="7" t="str">
        <x:v>Inactive</x:v>
      </x:c>
      <x:c r="AS405" s="7" t="str">
        <x:v>Current detail page</x:v>
      </x:c>
    </x:row>
    <x:row r="406" ht="52" customHeight="1">
      <x:c r="A406" s="7" t="str">
        <x:v>AGUILAR ERIKA CECILIA</x:v>
      </x:c>
      <x:c r="B406" s="14" t="str">
        <x:f>"4261390"</x:f>
        <x:v>4261390</x:v>
      </x:c>
      <x:c r="C406" s="7" t="str">
        <x:v>Omitted</x:v>
      </x:c>
      <x:c r="D406" s="7" t="str">
        <x:v>FAIL</x:v>
      </x:c>
      <x:c r="E406" s="13" t="str">
        <x:v>Pending</x:v>
      </x:c>
      <x:c r="F406" s="13" t="str"/>
      <x:c r="G406" s="13" t="str"/>
      <x:c r="H406" s="13" t="str"/>
      <x:c r="I406" s="7" t="str">
        <x:v>Was this person reviewed? If rejected, give the actual rule and evidence. If acceptable, correct the omission. Confirm the Life-qualification gate and any record change since selection.</x:v>
      </x:c>
      <x:c r="J406" s="7" t="str">
        <x:v>L1</x:v>
      </x:c>
      <x:c r="K406" s="7" t="str">
        <x:v>Verified qualifications do not include active general Life. Current target-pool mismatch; actual historical omission reason unknown.</x:v>
      </x:c>
      <x:c r="L406" s="7" t="str">
        <x:v>Not supplied; membership is known, motive is not</x:v>
      </x:c>
      <x:c r="M406" s="7" t="n">
        <x:v>7</x:v>
      </x:c>
      <x:c r="N406" s="7" t="str">
        <x:v>Outside current general-Life recruiting pool</x:v>
      </x:c>
      <x:c r="O406" s="7" t="str">
        <x:v>Not displayed</x:v>
      </x:c>
      <x:c r="P406" s="7" t="str"/>
      <x:c r="Q406" s="7" t="str"/>
      <x:c r="R406" s="7" t="str">
        <x:v>Personal Lines</x:v>
      </x:c>
      <x:c r="S406" s="15" t="str"/>
      <x:c r="T406" s="7" t="str">
        <x:v>No public business phone in collected record</x:v>
      </x:c>
      <x:c r="U406" s="7" t="str">
        <x:v>6303 OWENSMOUTH AVE WOODLAND HILLS CA, 91367</x:v>
      </x:c>
      <x:c r="V406" s="7" t="str">
        <x:v>Non-resident</x:v>
      </x:c>
      <x:c r="W406" s="7" t="str">
        <x:v>CA</x:v>
      </x:c>
      <x:c r="X406" s="7" t="str">
        <x:v>FX INSURANCE AGENCY, LLC / Personal Lines / 12/15/2022</x:v>
      </x:c>
      <x:c r="Y406" s="7" t="str">
        <x:v>FARMERS DIRECT PROPERTY AND CASUALTY INSURANCE COMPANY / Personal Lines / 05/27/2025</x:v>
      </x:c>
      <x:c r="Z406" s="7" t="str"/>
      <x:c r="AA406" s="7" t="str"/>
      <x:c r="AB406" s="7" t="str"/>
      <x:c r="AC406" s="7" t="str"/>
      <x:c r="AD406" s="7" t="str"/>
      <x:c r="AE406"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406" s="16" t="str"/>
      <x:c r="AG406" s="17" t="str"/>
      <x:c r="AH406" s="7" t="str"/>
      <x:c r="AI406" s="7" t="str"/>
      <x:c r="AJ406" s="7" t="str"/>
      <x:c r="AK406" s="15" t="str"/>
      <x:c r="AL406" s="7" t="str"/>
      <x:c r="AM406" s="7" t="str">
        <x:v>AGUILAR CECILIA ERIKA</x:v>
      </x:c>
      <x:c r="AN406" s="7" t="str">
        <x:v>https://cdicloud.insurance.ca.gov/cal/LicenseDetail?SearchType=IND&amp;SearchLicNbr=4261390&amp;SearchIndvId=4261390</x:v>
      </x:c>
      <x:c r="AO406" s="7" t="str">
        <x:v>2026-10-08</x:v>
      </x:c>
      <x:c r="AP406" s="7" t="str">
        <x:v>c87c25d3274214ce010d119ac2bf443ca4104a28d1346895e88711397747c349</x:v>
      </x:c>
      <x:c r="AQ406" s="7" t="str">
        <x:v>Personal Lines / Active / 12/14/2022 / 12/14/2022 / 12/31/2026</x:v>
      </x:c>
      <x:c r="AR406" s="7" t="str">
        <x:v>Active</x:v>
      </x:c>
      <x:c r="AS406" s="7" t="str">
        <x:v>Current detail page</x:v>
      </x:c>
    </x:row>
    <x:row r="407" ht="52" customHeight="1">
      <x:c r="A407" s="7" t="str">
        <x:v>AGUILAR ERIKA MERARI</x:v>
      </x:c>
      <x:c r="B407" s="14" t="str">
        <x:f>"0K15694"</x:f>
        <x:v>0K15694</x:v>
      </x:c>
      <x:c r="C407" s="7" t="str">
        <x:v>Omitted</x:v>
      </x:c>
      <x:c r="D407" s="7" t="str">
        <x:v>FAIL</x:v>
      </x:c>
      <x:c r="E407" s="13" t="str">
        <x:v>Pending</x:v>
      </x:c>
      <x:c r="F407" s="13" t="str"/>
      <x:c r="G407" s="13" t="str"/>
      <x:c r="H407" s="13" t="str"/>
      <x:c r="I407" s="7" t="str">
        <x:v>Was this person reviewed? If rejected, give the actual rule and evidence. If acceptable, correct the omission. Confirm the Life-qualification gate and any record change since selection.</x:v>
      </x:c>
      <x:c r="J407" s="7" t="str">
        <x:v>L1</x:v>
      </x:c>
      <x:c r="K407" s="7" t="str">
        <x:v>Verified qualifications do not include active general Life. Current target-pool mismatch; actual historical omission reason unknown.</x:v>
      </x:c>
      <x:c r="L407" s="7" t="str">
        <x:v>Not supplied; membership is known, motive is not</x:v>
      </x:c>
      <x:c r="M407" s="7" t="n">
        <x:v>7</x:v>
      </x:c>
      <x:c r="N407" s="7" t="str">
        <x:v>Outside current general-Life recruiting pool</x:v>
      </x:c>
      <x:c r="O407" s="7" t="str">
        <x:v>Not displayed</x:v>
      </x:c>
      <x:c r="P407" s="7" t="str"/>
      <x:c r="Q407" s="7" t="str"/>
      <x:c r="R407" s="7" t="str"/>
      <x:c r="S407" s="15" t="str"/>
      <x:c r="T407" s="7" t="str">
        <x:v>No public business phone in collected record</x:v>
      </x:c>
      <x:c r="U407" s="7" t="str"/>
      <x:c r="V407" s="7" t="str">
        <x:v>Resident</x:v>
      </x:c>
      <x:c r="W407" s="7" t="str">
        <x:v>CA</x:v>
      </x:c>
      <x:c r="X407" s="7" t="str"/>
      <x:c r="Y407" s="7" t="str"/>
      <x:c r="Z407" s="7" t="str"/>
      <x:c r="AA407" s="7" t="str"/>
      <x:c r="AB407" s="7" t="str"/>
      <x:c r="AC407" s="7" t="str"/>
      <x:c r="AD407" s="7" t="str">
        <x:v>No agency or insurer displayed: onboarding opportunity possible; existing business unknown</x:v>
      </x:c>
      <x:c r="AE407" s="7" t="str">
        <x:v>No public business phone: contact enrichment needed, not proof of poor recruiting fit</x:v>
      </x:c>
      <x:c r="AF407" s="16" t="str"/>
      <x:c r="AG407" s="17" t="str"/>
      <x:c r="AH407" s="7" t="str"/>
      <x:c r="AI407" s="7" t="str">
        <x:v>English</x:v>
      </x:c>
      <x:c r="AJ407" s="7" t="str"/>
      <x:c r="AK407" s="15" t="str"/>
      <x:c r="AL407" s="7" t="str"/>
      <x:c r="AM407" s="7" t="str">
        <x:v>aguilar m erika | AGUILAR MERARI ERIKA</x:v>
      </x:c>
      <x:c r="AN407" s="7" t="str">
        <x:v>https://cdicloud.insurance.ca.gov/cal/LicenseDetail?SearchType=IND&amp;SearchLicNbr=0K15694&amp;SearchIndvId=1735241</x:v>
      </x:c>
      <x:c r="AO407" s="7" t="str">
        <x:v>2026-10-08</x:v>
      </x:c>
      <x:c r="AP407" s="7" t="str">
        <x:v>501be588946d2dae2f87b1d8765fa711f168abde8fc30a39d7639f57d660a173</x:v>
      </x:c>
      <x:c r="AQ407" s="7" t="str">
        <x:v>Accident and Health / Inactive / 03/24/2015 / 03/31/2021 / 03/31/2021
Life-Only / Inactive / 03/24/2015 / 03/31/2021 / 03/31/2021</x:v>
      </x:c>
      <x:c r="AR407" s="7" t="str">
        <x:v>Inactive</x:v>
      </x:c>
      <x:c r="AS407" s="7" t="str">
        <x:v>Current detail page</x:v>
      </x:c>
    </x:row>
    <x:row r="408" ht="52" customHeight="1">
      <x:c r="A408" s="7" t="str">
        <x:v>AGUILAR ERMA ALEXANDRA</x:v>
      </x:c>
      <x:c r="B408" s="14" t="str">
        <x:f>"4155014"</x:f>
        <x:v>4155014</x:v>
      </x:c>
      <x:c r="C408" s="7" t="str">
        <x:v>Omitted</x:v>
      </x:c>
      <x:c r="D408" s="7" t="str">
        <x:v>FAIL</x:v>
      </x:c>
      <x:c r="E408" s="13" t="str">
        <x:v>Pending</x:v>
      </x:c>
      <x:c r="F408" s="13" t="str"/>
      <x:c r="G408" s="13" t="str"/>
      <x:c r="H408" s="13" t="str"/>
      <x:c r="I408" s="7" t="str">
        <x:v>Was this person reviewed? If rejected, give the actual rule and evidence. If acceptable, correct the omission. Confirm the Life-qualification gate and any record change since selection.</x:v>
      </x:c>
      <x:c r="J408" s="7" t="str">
        <x:v>L1</x:v>
      </x:c>
      <x:c r="K408" s="7" t="str">
        <x:v>Verified qualifications do not include active general Life. Current target-pool mismatch; actual historical omission reason unknown.</x:v>
      </x:c>
      <x:c r="L408" s="7" t="str">
        <x:v>Not supplied; membership is known, motive is not</x:v>
      </x:c>
      <x:c r="M408" s="7" t="n">
        <x:v>7</x:v>
      </x:c>
      <x:c r="N408" s="7" t="str">
        <x:v>Outside current general-Life recruiting pool</x:v>
      </x:c>
      <x:c r="O408" s="7" t="str">
        <x:v>Inactive</x:v>
      </x:c>
      <x:c r="P408" s="7" t="str">
        <x:v>09/28/2021</x:v>
      </x:c>
      <x:c r="Q408" s="7" t="str">
        <x:v>09/30/2023</x:v>
      </x:c>
      <x:c r="R408" s="7" t="str"/>
      <x:c r="S408" s="15" t="str">
        <x:v>559-453-7710</x:v>
      </x:c>
      <x:c r="T408" s="7" t="str">
        <x:v>Current CDI</x:v>
      </x:c>
      <x:c r="U408" s="7" t="str">
        <x:v>2565 ALLUVIAL AVE STE 102 CLOVIS CA, 93611</x:v>
      </x:c>
      <x:c r="V408" s="7" t="str">
        <x:v>Resident</x:v>
      </x:c>
      <x:c r="W408" s="7" t="str">
        <x:v>CA</x:v>
      </x:c>
      <x:c r="X408" s="7" t="str"/>
      <x:c r="Y408" s="7" t="str"/>
      <x:c r="Z408" s="7" t="str"/>
      <x:c r="AA408" s="7" t="str"/>
      <x:c r="AB408" s="7" t="str"/>
      <x:c r="AC408" s="7" t="str"/>
      <x:c r="AD408" s="7" t="str">
        <x:v>No agency or insurer displayed: onboarding opportunity possible; existing business unknown</x:v>
      </x:c>
      <x:c r="AE408" s="7" t="str"/>
      <x:c r="AF408" s="16" t="str"/>
      <x:c r="AG408" s="17" t="str"/>
      <x:c r="AH408" s="7" t="str"/>
      <x:c r="AI408" s="7" t="str">
        <x:v>English</x:v>
      </x:c>
      <x:c r="AJ408" s="7" t="str"/>
      <x:c r="AK408" s="15" t="str"/>
      <x:c r="AL408" s="7" t="str"/>
      <x:c r="AM408" s="7" t="str">
        <x:v>AGUILAR ALEXANDRA ERMA</x:v>
      </x:c>
      <x:c r="AN408" s="7" t="str">
        <x:v>https://cdicloud.insurance.ca.gov/cal/LicenseDetail?SearchType=IND&amp;SearchLicNbr=4155014&amp;SearchIndvId=4155014</x:v>
      </x:c>
      <x:c r="AO408" s="7" t="str">
        <x:v>2026-10-08</x:v>
      </x:c>
      <x:c r="AP408" s="7" t="str">
        <x:v>a4991f325718eff2e2698917da15f2cd38c1ca42cc8d7c563241399258b76260</x:v>
      </x:c>
      <x:c r="AQ408" s="7" t="str">
        <x:v>Life / Inactive / 09/28/2021 / 09/30/2023 / 09/30/2023</x:v>
      </x:c>
      <x:c r="AR408" s="7" t="str">
        <x:v>Inactive</x:v>
      </x:c>
      <x:c r="AS408" s="7" t="str">
        <x:v>Current detail page</x:v>
      </x:c>
    </x:row>
    <x:row r="409" ht="52" customHeight="1">
      <x:c r="A409" s="7" t="str">
        <x:v>AGUILAR ERNESTO</x:v>
      </x:c>
      <x:c r="B409" s="14" t="str">
        <x:f>"1853768"</x:f>
        <x:v>1853768</x:v>
      </x:c>
      <x:c r="C409" s="7" t="str">
        <x:v>Omitted</x:v>
      </x:c>
      <x:c r="D409" s="7" t="str">
        <x:v>FAIL</x:v>
      </x:c>
      <x:c r="E409" s="13" t="str">
        <x:v>Pending</x:v>
      </x:c>
      <x:c r="F409" s="13" t="str"/>
      <x:c r="G409" s="13" t="str"/>
      <x:c r="H409" s="13" t="str"/>
      <x:c r="I409" s="7" t="str">
        <x:v>Was this person reviewed? If rejected, give the actual rule and evidence. If acceptable, correct the omission. Confirm the Life-qualification gate and any record change since selection.</x:v>
      </x:c>
      <x:c r="J409" s="7" t="str">
        <x:v>L1</x:v>
      </x:c>
      <x:c r="K409" s="7" t="str">
        <x:v>Verified qualifications do not include active general Life. Current target-pool mismatch; actual historical omission reason unknown.</x:v>
      </x:c>
      <x:c r="L409" s="7" t="str">
        <x:v>Not supplied; membership is known, motive is not</x:v>
      </x:c>
      <x:c r="M409" s="7" t="n">
        <x:v>7</x:v>
      </x:c>
      <x:c r="N409" s="7" t="str">
        <x:v>Outside current general-Life recruiting pool</x:v>
      </x:c>
      <x:c r="O409" s="7" t="str">
        <x:v>Inactive</x:v>
      </x:c>
      <x:c r="P409" s="7" t="str">
        <x:v>12/27/2022</x:v>
      </x:c>
      <x:c r="Q409" s="7" t="str">
        <x:v>12/31/2024</x:v>
      </x:c>
      <x:c r="R409" s="7" t="str"/>
      <x:c r="S409" s="15" t="str"/>
      <x:c r="T409" s="7" t="str">
        <x:v>No public business phone in collected record</x:v>
      </x:c>
      <x:c r="U409" s="7" t="str">
        <x:v>4321 KENSINGTON AVE BAKERSFIELD CA, 93309</x:v>
      </x:c>
      <x:c r="V409" s="7" t="str">
        <x:v>Resident</x:v>
      </x:c>
      <x:c r="W409" s="7" t="str">
        <x:v>CA</x:v>
      </x:c>
      <x:c r="X409" s="7" t="str"/>
      <x:c r="Y409" s="7" t="str"/>
      <x:c r="Z409" s="7" t="str"/>
      <x:c r="AA409" s="7" t="str"/>
      <x:c r="AB409" s="7" t="str"/>
      <x:c r="AC409" s="7" t="str"/>
      <x:c r="AD409" s="7" t="str">
        <x:v>No agency or insurer displayed: onboarding opportunity possible; existing business unknown</x:v>
      </x:c>
      <x:c r="AE409" s="7" t="str">
        <x:v>No public business phone: contact enrichment needed, not proof of poor recruiting fit</x:v>
      </x:c>
      <x:c r="AF409" s="16" t="str"/>
      <x:c r="AG409" s="17" t="str"/>
      <x:c r="AH409" s="7" t="str"/>
      <x:c r="AI409" s="7" t="str"/>
      <x:c r="AJ409" s="7" t="str"/>
      <x:c r="AK409" s="15" t="str"/>
      <x:c r="AL409" s="7" t="str"/>
      <x:c r="AM409" s="7" t="str">
        <x:v>AGUILAR  ERNESTO</x:v>
      </x:c>
      <x:c r="AN409" s="7" t="str">
        <x:v>https://cdicloud.insurance.ca.gov/cal/LicenseDetail?SearchType=IND&amp;SearchLicNbr=1853768&amp;SearchIndvId=1853768</x:v>
      </x:c>
      <x:c r="AO409" s="7" t="str">
        <x:v>2026-10-08</x:v>
      </x:c>
      <x:c r="AP409" s="7" t="str">
        <x:v>2f387ecd397f9a01fa38f2690aa1dc695ee14797239ff7a777388f960b9ce02e</x:v>
      </x:c>
      <x:c r="AQ409" s="7" t="str">
        <x:v>Accident &amp; Health or Sickness / Inactive / 12/27/2022 / 12/31/2024 / 12/31/2024
Life / Inactive / 12/27/2022 / 12/31/2024 / 12/31/2024</x:v>
      </x:c>
      <x:c r="AR409" s="7" t="str">
        <x:v>Inactive</x:v>
      </x:c>
      <x:c r="AS409" s="7" t="str">
        <x:v>Current detail page</x:v>
      </x:c>
    </x:row>
    <x:row r="410" ht="52" customHeight="1">
      <x:c r="A410" s="7" t="str">
        <x:v>AGUILAR ERNESTO VITELIO</x:v>
      </x:c>
      <x:c r="B410" s="14" t="str">
        <x:f>"0B11592"</x:f>
        <x:v>0B11592</x:v>
      </x:c>
      <x:c r="C410" s="7" t="str">
        <x:v>Omitted</x:v>
      </x:c>
      <x:c r="D410" s="7" t="str">
        <x:v>FAIL</x:v>
      </x:c>
      <x:c r="E410" s="13" t="str">
        <x:v>Pending</x:v>
      </x:c>
      <x:c r="F410" s="13" t="str"/>
      <x:c r="G410" s="13" t="str"/>
      <x:c r="H410" s="13" t="str"/>
      <x:c r="I410" s="7" t="str">
        <x:v>Was this person reviewed? If rejected, give the actual rule and evidence. If acceptable, correct the omission. Confirm the Life-qualification gate and any record change since selection.</x:v>
      </x:c>
      <x:c r="J410" s="7" t="str">
        <x:v>L1</x:v>
      </x:c>
      <x:c r="K410" s="7" t="str">
        <x:v>Verified qualifications do not include active general Life. Current target-pool mismatch; actual historical omission reason unknown.</x:v>
      </x:c>
      <x:c r="L410" s="7" t="str">
        <x:v>Not supplied; membership is known, motive is not</x:v>
      </x:c>
      <x:c r="M410" s="7" t="n">
        <x:v>7</x:v>
      </x:c>
      <x:c r="N410" s="7" t="str">
        <x:v>Outside current general-Life recruiting pool</x:v>
      </x:c>
      <x:c r="O410" s="7" t="str">
        <x:v>Not displayed</x:v>
      </x:c>
      <x:c r="P410" s="7" t="str"/>
      <x:c r="Q410" s="7" t="str"/>
      <x:c r="R410" s="7" t="str"/>
      <x:c r="S410" s="15" t="str"/>
      <x:c r="T410" s="7" t="str">
        <x:v>No public business phone in collected record</x:v>
      </x:c>
      <x:c r="U410" s="7" t="str"/>
      <x:c r="V410" s="7" t="str">
        <x:v>Resident</x:v>
      </x:c>
      <x:c r="W410" s="7" t="str">
        <x:v>CA</x:v>
      </x:c>
      <x:c r="X410" s="7" t="str"/>
      <x:c r="Y410" s="7" t="str"/>
      <x:c r="Z410" s="7" t="str"/>
      <x:c r="AA410" s="7" t="str"/>
      <x:c r="AB410" s="7" t="str"/>
      <x:c r="AC410" s="7" t="str"/>
      <x:c r="AD410" s="7" t="str">
        <x:v>No agency or insurer displayed: onboarding opportunity possible; existing business unknown</x:v>
      </x:c>
      <x:c r="AE410" s="7" t="str">
        <x:v>No public business phone: contact enrichment needed, not proof of poor recruiting fit</x:v>
      </x:c>
      <x:c r="AF410" s="16" t="str"/>
      <x:c r="AG410" s="17" t="str"/>
      <x:c r="AH410" s="7" t="str"/>
      <x:c r="AI410" s="7" t="str"/>
      <x:c r="AJ410" s="7" t="str"/>
      <x:c r="AK410" s="15" t="str"/>
      <x:c r="AL410" s="7" t="str"/>
      <x:c r="AM410" s="7" t="str">
        <x:v>AGUILAR VITELIO ERNESTO</x:v>
      </x:c>
      <x:c r="AN410" s="7" t="str">
        <x:v>https://cdicloud.insurance.ca.gov/cal/LicenseDetail?SearchType=IND&amp;SearchLicNbr=0B11592&amp;SearchIndvId=193163</x:v>
      </x:c>
      <x:c r="AO410" s="7" t="str">
        <x:v>2026-10-08</x:v>
      </x:c>
      <x:c r="AP410" s="7" t="str">
        <x:v>e44b534504e4458795ac0d59f7e762a0a978919ffcd49f7e3fec43b0f95ec706</x:v>
      </x:c>
      <x:c r="AQ410" s="7" t="str">
        <x:v>Accident and Health / Inactive / 03/15/1993 / 03/31/1995 / 03/31/1995
Life-Only / Inactive / 03/15/1993 / 03/31/1995 / 03/31/1995</x:v>
      </x:c>
      <x:c r="AR410" s="7" t="str">
        <x:v>Inactive</x:v>
      </x:c>
      <x:c r="AS410" s="7" t="str">
        <x:v>Current detail page</x:v>
      </x:c>
    </x:row>
    <x:row r="411" ht="52" customHeight="1">
      <x:c r="A411" s="7" t="str">
        <x:v>AGUILAR ESMERALDA BRIANNA</x:v>
      </x:c>
      <x:c r="B411" s="14" t="str">
        <x:f>"4453313"</x:f>
        <x:v>4453313</x:v>
      </x:c>
      <x:c r="C411" s="7" t="str">
        <x:v>Omitted</x:v>
      </x:c>
      <x:c r="D411" s="7" t="str">
        <x:v>FAIL</x:v>
      </x:c>
      <x:c r="E411" s="13" t="str">
        <x:v>Pending</x:v>
      </x:c>
      <x:c r="F411" s="13" t="str"/>
      <x:c r="G411" s="13" t="str"/>
      <x:c r="H411" s="13" t="str"/>
      <x:c r="I411" s="7" t="str">
        <x:v>Was this person reviewed? If rejected, give the actual rule and evidence. If acceptable, correct the omission. Confirm the Life-qualification gate and any record change since selection.</x:v>
      </x:c>
      <x:c r="J411" s="7" t="str">
        <x:v>L1</x:v>
      </x:c>
      <x:c r="K411" s="7" t="str">
        <x:v>Verified qualifications do not include active general Life. Current target-pool mismatch; actual historical omission reason unknown.</x:v>
      </x:c>
      <x:c r="L411" s="7" t="str">
        <x:v>Not supplied; membership is known, motive is not</x:v>
      </x:c>
      <x:c r="M411" s="7" t="n">
        <x:v>7</x:v>
      </x:c>
      <x:c r="N411" s="7" t="str">
        <x:v>Outside current general-Life recruiting pool</x:v>
      </x:c>
      <x:c r="O411" s="7" t="str">
        <x:v>Not displayed</x:v>
      </x:c>
      <x:c r="P411" s="7" t="str"/>
      <x:c r="Q411" s="7" t="str"/>
      <x:c r="R411" s="7" t="str">
        <x:v>Casualty; Property</x:v>
      </x:c>
      <x:c r="S411" s="15" t="str"/>
      <x:c r="T411" s="7" t="str">
        <x:v>No public business phone in collected record</x:v>
      </x:c>
      <x:c r="U411" s="7" t="str">
        <x:v>16000 STUEBNER AIRLINE NO 350 SPRING TX, 77379</x:v>
      </x:c>
      <x:c r="V411" s="7" t="str">
        <x:v>Non-resident</x:v>
      </x:c>
      <x:c r="W411" s="7" t="str">
        <x:v>TX</x:v>
      </x:c>
      <x:c r="X411" s="7" t="str">
        <x:v>BONE, ROBERTSON &amp; MCBRIDE, INC. / Property / 09/24/2025
BONE, ROBERTSON &amp; MCBRIDE, INC. / Casualty / 09/24/2025</x:v>
      </x:c>
      <x:c r="Y411" s="7" t="str"/>
      <x:c r="Z411" s="7" t="str"/>
      <x:c r="AA411" s="7" t="str"/>
      <x:c r="AB411" s="7" t="str"/>
      <x:c r="AC411" s="7" t="str"/>
      <x:c r="AD411" s="7" t="str"/>
      <x:c r="AE411"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411" s="16" t="str"/>
      <x:c r="AG411" s="17" t="str"/>
      <x:c r="AH411" s="7" t="str"/>
      <x:c r="AI411" s="7" t="str"/>
      <x:c r="AJ411" s="7" t="str"/>
      <x:c r="AK411" s="15" t="str"/>
      <x:c r="AL411" s="7" t="str"/>
      <x:c r="AM411" s="7" t="str">
        <x:v>AGUILAR BRIANNA ESMERALDA</x:v>
      </x:c>
      <x:c r="AN411" s="7" t="str">
        <x:v>https://cdicloud.insurance.ca.gov/cal/LicenseDetail?SearchType=IND&amp;SearchLicNbr=4453313&amp;SearchIndvId=4453313</x:v>
      </x:c>
      <x:c r="AO411" s="7" t="str">
        <x:v>2026-10-08</x:v>
      </x:c>
      <x:c r="AP411" s="7" t="str">
        <x:v>428c273dd80d3df02906716595b5a326a064a78b6c656214897deb1287d32709</x:v>
      </x:c>
      <x:c r="AQ411" s="7" t="str">
        <x:v>Casualty / Active / 04/03/2025 / 04/03/2025 / 04/30/2027
Property / Active / 04/03/2025 / 04/03/2025 / 04/30/2027</x:v>
      </x:c>
      <x:c r="AR411" s="7" t="str">
        <x:v>Active</x:v>
      </x:c>
      <x:c r="AS411" s="7" t="str">
        <x:v>Current detail page</x:v>
      </x:c>
    </x:row>
    <x:row r="412" ht="52" customHeight="1">
      <x:c r="A412" s="7" t="str">
        <x:v>AGUILAR ESPERANZA</x:v>
      </x:c>
      <x:c r="B412" s="14" t="str">
        <x:f>"0F76383"</x:f>
        <x:v>0F76383</x:v>
      </x:c>
      <x:c r="C412" s="7" t="str">
        <x:v>Omitted</x:v>
      </x:c>
      <x:c r="D412" s="7" t="str">
        <x:v>FAIL</x:v>
      </x:c>
      <x:c r="E412" s="13" t="str">
        <x:v>Pending</x:v>
      </x:c>
      <x:c r="F412" s="13" t="str"/>
      <x:c r="G412" s="13" t="str"/>
      <x:c r="H412" s="13" t="str"/>
      <x:c r="I412" s="7" t="str">
        <x:v>Was this person reviewed? If rejected, give the actual rule and evidence. If acceptable, correct the omission. Confirm the Life-qualification gate and any record change since selection.</x:v>
      </x:c>
      <x:c r="J412" s="7" t="str">
        <x:v>L1</x:v>
      </x:c>
      <x:c r="K412" s="7" t="str">
        <x:v>Verified qualifications do not include active general Life. Current target-pool mismatch; actual historical omission reason unknown.</x:v>
      </x:c>
      <x:c r="L412" s="7" t="str">
        <x:v>Not supplied; membership is known, motive is not</x:v>
      </x:c>
      <x:c r="M412" s="7" t="n">
        <x:v>7</x:v>
      </x:c>
      <x:c r="N412" s="7" t="str">
        <x:v>Outside current general-Life recruiting pool</x:v>
      </x:c>
      <x:c r="O412" s="7" t="str">
        <x:v>Not displayed</x:v>
      </x:c>
      <x:c r="P412" s="7" t="str"/>
      <x:c r="Q412" s="7" t="str"/>
      <x:c r="R412" s="7" t="str"/>
      <x:c r="S412" s="15" t="str"/>
      <x:c r="T412" s="7" t="str">
        <x:v>No public business phone in collected record</x:v>
      </x:c>
      <x:c r="U412" s="7" t="str"/>
      <x:c r="V412" s="7" t="str">
        <x:v>Resident</x:v>
      </x:c>
      <x:c r="W412" s="7" t="str">
        <x:v>CA</x:v>
      </x:c>
      <x:c r="X412" s="7" t="str"/>
      <x:c r="Y412" s="7" t="str"/>
      <x:c r="Z412" s="7" t="str"/>
      <x:c r="AA412" s="7" t="str"/>
      <x:c r="AB412" s="7" t="str"/>
      <x:c r="AC412" s="7" t="str"/>
      <x:c r="AD412" s="7" t="str">
        <x:v>No agency or insurer displayed: onboarding opportunity possible; existing business unknown</x:v>
      </x:c>
      <x:c r="AE412" s="7" t="str">
        <x:v>No public business phone: contact enrichment needed, not proof of poor recruiting fit</x:v>
      </x:c>
      <x:c r="AF412" s="16" t="str"/>
      <x:c r="AG412" s="17" t="str"/>
      <x:c r="AH412" s="7" t="str"/>
      <x:c r="AI412" s="7" t="str"/>
      <x:c r="AJ412" s="7" t="str"/>
      <x:c r="AK412" s="15" t="str"/>
      <x:c r="AL412" s="7" t="str"/>
      <x:c r="AM412" s="7" t="str">
        <x:v>AGUILAR  ESPERANZA</x:v>
      </x:c>
      <x:c r="AN412" s="7" t="str">
        <x:v>https://cdicloud.insurance.ca.gov/cal/LicenseDetail?SearchType=IND&amp;SearchLicNbr=0F76383&amp;SearchIndvId=1100446</x:v>
      </x:c>
      <x:c r="AO412" s="7" t="str">
        <x:v>2026-10-08</x:v>
      </x:c>
      <x:c r="AP412" s="7" t="str">
        <x:v>8b3bf8be0ddde2f8ed8ba459df0bd8db612a9edb1b29baa76edb13245b241d5b</x:v>
      </x:c>
      <x:c r="AQ412" s="7" t="str">
        <x:v>Casualty Broker-Agent / Inactive / 09/07/2007 / 09/30/2011 / 09/30/2011
Property Broker-Agent / Inactive / 09/07/2007 / 09/30/2011 / 09/30/2011</x:v>
      </x:c>
      <x:c r="AR412" s="7" t="str">
        <x:v>Inactive</x:v>
      </x:c>
      <x:c r="AS412" s="7" t="str">
        <x:v>Current detail page</x:v>
      </x:c>
    </x:row>
    <x:row r="413" ht="52" customHeight="1">
      <x:c r="A413" s="7" t="str">
        <x:v>AGUILAR ESPINOZA LIZBETH</x:v>
      </x:c>
      <x:c r="B413" s="14" t="str">
        <x:f>"E4434679"</x:f>
        <x:v>E4434679</x:v>
      </x:c>
      <x:c r="C413" s="7" t="str">
        <x:v>Omitted</x:v>
      </x:c>
      <x:c r="D413" s="7" t="str">
        <x:v>REVIEW</x:v>
      </x:c>
      <x:c r="E413" s="13" t="str">
        <x:v>Pending</x:v>
      </x:c>
      <x:c r="F413" s="13" t="str"/>
      <x:c r="G413" s="13" t="str"/>
      <x:c r="H413" s="13" t="str"/>
      <x:c r="I413" s="7" t="str">
        <x:v>Was this record reviewed? The detail page provides no qualifications. Verify the actual license type and Life authority before deciding; do not reject for missing data.</x:v>
      </x:c>
      <x:c r="J413" s="7" t="str">
        <x:v>L1</x:v>
      </x:c>
      <x:c r="K413" s="7" t="str">
        <x:v>Detail page displays no qualification information. Life authority cannot be verified; missing data is not a qualification failure. Historical omission reason unknown.</x:v>
      </x:c>
      <x:c r="L413" s="7" t="str">
        <x:v>Not supplied; membership is known, motive is not</x:v>
      </x:c>
      <x:c r="M413" s="7" t="n">
        <x:v>7</x:v>
      </x:c>
      <x:c r="N413" s="7" t="str">
        <x:v>Outside current general-Life recruiting pool</x:v>
      </x:c>
      <x:c r="O413" s="7" t="str">
        <x:v>Not displayed</x:v>
      </x:c>
      <x:c r="P413" s="7" t="str"/>
      <x:c r="Q413" s="7" t="str"/>
      <x:c r="R413" s="7" t="str"/>
      <x:c r="S413" s="15" t="str"/>
      <x:c r="T413" s="7" t="str">
        <x:v>No public business phone in collected record</x:v>
      </x:c>
      <x:c r="U413" s="7" t="str"/>
      <x:c r="V413" s="7" t="str">
        <x:v>Resident</x:v>
      </x:c>
      <x:c r="W413" s="7" t="str">
        <x:v>CA</x:v>
      </x:c>
      <x:c r="X413" s="7" t="str"/>
      <x:c r="Y413" s="7" t="str"/>
      <x:c r="Z413" s="7" t="str"/>
      <x:c r="AA413" s="7" t="str"/>
      <x:c r="AB413" s="7" t="str"/>
      <x:c r="AC413" s="7" t="str"/>
      <x:c r="AD413" s="7" t="str">
        <x:v>No agency or insurer displayed: onboarding opportunity possible; existing business unknown</x:v>
      </x:c>
      <x:c r="AE413" s="7" t="str">
        <x:v>No public business phone: contact enrichment needed, not proof of poor recruiting fit</x:v>
      </x:c>
      <x:c r="AF413" s="16" t="str"/>
      <x:c r="AG413" s="17" t="str"/>
      <x:c r="AH413" s="7" t="str"/>
      <x:c r="AI413" s="7" t="str">
        <x:v>English</x:v>
      </x:c>
      <x:c r="AJ413" s="7" t="str"/>
      <x:c r="AK413" s="15" t="str"/>
      <x:c r="AL413" s="7" t="str"/>
      <x:c r="AM413" s="7" t="str">
        <x:v>AGUILAR ESPINOZA  LIZBETH</x:v>
      </x:c>
      <x:c r="AN413" s="7" t="str">
        <x:v>https://cdicloud.insurance.ca.gov/cal/LicenseDetail?SearchType=IND&amp;SearchLicNbr=E4434679&amp;SearchIndvId=4434679</x:v>
      </x:c>
      <x:c r="AO413" s="7" t="str">
        <x:v>2026-10-08</x:v>
      </x:c>
      <x:c r="AP413" s="7" t="str">
        <x:v>b508844dba1c669e686beb971a701c7d2093a1e39ca19e391ea88476daaf34cf</x:v>
      </x:c>
      <x:c r="AQ413" s="7" t="str"/>
      <x:c r="AR413" s="7" t="str">
        <x:v>Active</x:v>
      </x:c>
      <x:c r="AS413" s="7" t="str">
        <x:v>Current detail page</x:v>
      </x:c>
    </x:row>
    <x:row r="414" ht="52" customHeight="1">
      <x:c r="A414" s="7" t="str">
        <x:v>AGUILAR ESQUER CLARA</x:v>
      </x:c>
      <x:c r="B414" s="14" t="str">
        <x:f>"0M35142"</x:f>
        <x:v>0M35142</x:v>
      </x:c>
      <x:c r="C414" s="7" t="str">
        <x:v>Omitted</x:v>
      </x:c>
      <x:c r="D414" s="7" t="str">
        <x:v>FAIL</x:v>
      </x:c>
      <x:c r="E414" s="13" t="str">
        <x:v>Pending</x:v>
      </x:c>
      <x:c r="F414" s="13" t="str"/>
      <x:c r="G414" s="13" t="str"/>
      <x:c r="H414" s="13" t="str"/>
      <x:c r="I414" s="7" t="str">
        <x:v>Was this person reviewed? If rejected, give the actual rule and evidence. If acceptable, correct the omission. Confirm the Life-qualification gate and any record change since selection.</x:v>
      </x:c>
      <x:c r="J414" s="7" t="str">
        <x:v>L1</x:v>
      </x:c>
      <x:c r="K414" s="7" t="str">
        <x:v>Verified qualifications do not include active general Life. Current target-pool mismatch; actual historical omission reason unknown.</x:v>
      </x:c>
      <x:c r="L414" s="7" t="str">
        <x:v>Not supplied; membership is known, motive is not</x:v>
      </x:c>
      <x:c r="M414" s="7" t="n">
        <x:v>7</x:v>
      </x:c>
      <x:c r="N414" s="7" t="str">
        <x:v>Outside current general-Life recruiting pool</x:v>
      </x:c>
      <x:c r="O414" s="7" t="str">
        <x:v>Not displayed</x:v>
      </x:c>
      <x:c r="P414" s="7" t="str"/>
      <x:c r="Q414" s="7" t="str"/>
      <x:c r="R414" s="7" t="str"/>
      <x:c r="S414" s="15" t="str"/>
      <x:c r="T414" s="7" t="str">
        <x:v>No public business phone in collected record</x:v>
      </x:c>
      <x:c r="U414" s="7" t="str"/>
      <x:c r="V414" s="7" t="str">
        <x:v>Resident</x:v>
      </x:c>
      <x:c r="W414" s="7" t="str">
        <x:v>CA</x:v>
      </x:c>
      <x:c r="X414" s="7" t="str"/>
      <x:c r="Y414" s="7" t="str"/>
      <x:c r="Z414" s="7" t="str"/>
      <x:c r="AA414" s="7" t="str"/>
      <x:c r="AB414" s="7" t="str"/>
      <x:c r="AC414" s="7" t="str"/>
      <x:c r="AD414" s="7" t="str">
        <x:v>No agency or insurer displayed: onboarding opportunity possible; existing business unknown</x:v>
      </x:c>
      <x:c r="AE414" s="7" t="str">
        <x:v>No public business phone: contact enrichment needed, not proof of poor recruiting fit</x:v>
      </x:c>
      <x:c r="AF414" s="16" t="str"/>
      <x:c r="AG414" s="17" t="str"/>
      <x:c r="AH414" s="7" t="str"/>
      <x:c r="AI414" s="7" t="str"/>
      <x:c r="AJ414" s="7" t="str"/>
      <x:c r="AK414" s="15" t="str"/>
      <x:c r="AL414" s="7" t="str"/>
      <x:c r="AM414" s="7" t="str">
        <x:v>AGUILAR  CLARA | AGUILAR ESQUER  CLARA | Aguilar Esquer  Clara</x:v>
      </x:c>
      <x:c r="AN414" s="7" t="str">
        <x:v>https://cdicloud.insurance.ca.gov/cal/LicenseDetail?SearchType=IND&amp;SearchLicNbr=0M35142&amp;SearchIndvId=2018072</x:v>
      </x:c>
      <x:c r="AO414" s="7" t="str">
        <x:v>2026-10-08</x:v>
      </x:c>
      <x:c r="AP414" s="7" t="str">
        <x:v>3c3a8a7d6dea1e333d77d0e2e4cdcded3f3f1d851901114ee0a1a977f4ccb2b8</x:v>
      </x:c>
      <x:c r="AQ414" s="7" t="str">
        <x:v>Accident and Health / Inactive / 05/16/2018 / 05/31/2020 / 05/31/2020
Life-Only / Inactive / 05/16/2018 / 05/31/2020 / 05/31/2020</x:v>
      </x:c>
      <x:c r="AR414" s="7" t="str">
        <x:v>Inactive</x:v>
      </x:c>
      <x:c r="AS414" s="7" t="str">
        <x:v>Current detail page</x:v>
      </x:c>
    </x:row>
    <x:row r="415" ht="52" customHeight="1">
      <x:c r="A415" s="7" t="str">
        <x:v>AGUILAR ESTELA</x:v>
      </x:c>
      <x:c r="B415" s="14" t="str">
        <x:f>"0K08106"</x:f>
        <x:v>0K08106</x:v>
      </x:c>
      <x:c r="C415" s="7" t="str">
        <x:v>Omitted</x:v>
      </x:c>
      <x:c r="D415" s="7" t="str">
        <x:v>FAIL</x:v>
      </x:c>
      <x:c r="E415" s="13" t="str">
        <x:v>Pending</x:v>
      </x:c>
      <x:c r="F415" s="13" t="str"/>
      <x:c r="G415" s="13" t="str"/>
      <x:c r="H415" s="13" t="str"/>
      <x:c r="I415" s="7" t="str">
        <x:v>Was this person reviewed? If rejected, give the actual rule and evidence. If acceptable, correct the omission. Confirm the Life-qualification gate and any record change since selection.</x:v>
      </x:c>
      <x:c r="J415" s="7" t="str">
        <x:v>L1</x:v>
      </x:c>
      <x:c r="K415" s="7" t="str">
        <x:v>Verified qualifications do not include active general Life. Current target-pool mismatch; actual historical omission reason unknown.</x:v>
      </x:c>
      <x:c r="L415" s="7" t="str">
        <x:v>Not supplied; membership is known, motive is not</x:v>
      </x:c>
      <x:c r="M415" s="7" t="n">
        <x:v>7</x:v>
      </x:c>
      <x:c r="N415" s="7" t="str">
        <x:v>Outside current general-Life recruiting pool</x:v>
      </x:c>
      <x:c r="O415" s="7" t="str">
        <x:v>Not displayed</x:v>
      </x:c>
      <x:c r="P415" s="7" t="str"/>
      <x:c r="Q415" s="7" t="str"/>
      <x:c r="R415" s="7" t="str"/>
      <x:c r="S415" s="15" t="str"/>
      <x:c r="T415" s="7" t="str">
        <x:v>No public business phone in collected record</x:v>
      </x:c>
      <x:c r="U415" s="7" t="str"/>
      <x:c r="V415" s="7" t="str">
        <x:v>Resident</x:v>
      </x:c>
      <x:c r="W415" s="7" t="str">
        <x:v>CA</x:v>
      </x:c>
      <x:c r="X415" s="7" t="str"/>
      <x:c r="Y415" s="7" t="str"/>
      <x:c r="Z415" s="7" t="str"/>
      <x:c r="AA415" s="7" t="str"/>
      <x:c r="AB415" s="7" t="str"/>
      <x:c r="AC415" s="7" t="str"/>
      <x:c r="AD415" s="7" t="str">
        <x:v>No agency or insurer displayed: onboarding opportunity possible; existing business unknown</x:v>
      </x:c>
      <x:c r="AE415" s="7" t="str">
        <x:v>No public business phone: contact enrichment needed, not proof of poor recruiting fit</x:v>
      </x:c>
      <x:c r="AF415" s="16" t="str"/>
      <x:c r="AG415" s="17" t="str"/>
      <x:c r="AH415" s="7" t="str"/>
      <x:c r="AI415" s="7" t="str"/>
      <x:c r="AJ415" s="7" t="str"/>
      <x:c r="AK415" s="15" t="str"/>
      <x:c r="AL415" s="7" t="str"/>
      <x:c r="AM415" s="7" t="str">
        <x:v>AGUILAR  ESTELA</x:v>
      </x:c>
      <x:c r="AN415" s="7" t="str">
        <x:v>https://cdicloud.insurance.ca.gov/cal/LicenseDetail?SearchType=IND&amp;SearchLicNbr=0K08106&amp;SearchIndvId=1736819</x:v>
      </x:c>
      <x:c r="AO415" s="7" t="str">
        <x:v>2026-10-08</x:v>
      </x:c>
      <x:c r="AP415" s="7" t="str">
        <x:v>27b4fb7f99b5773861b4c052934893f0d46d072c77d6f663294d616ef54605df</x:v>
      </x:c>
      <x:c r="AQ415" s="7" t="str">
        <x:v>Life Limited-Funeral &amp; Burial / Inactive / 02/03/2015 / 02/28/2017 / 02/28/2017</x:v>
      </x:c>
      <x:c r="AR415" s="7" t="str">
        <x:v>Inactive</x:v>
      </x:c>
      <x:c r="AS415" s="7" t="str">
        <x:v>Current detail page</x:v>
      </x:c>
    </x:row>
    <x:row r="416" ht="52" customHeight="1">
      <x:c r="A416" s="7" t="str">
        <x:v>AGUILAR EUGENE</x:v>
      </x:c>
      <x:c r="B416" s="14" t="str">
        <x:f>"1N13307"</x:f>
        <x:v>1N13307</x:v>
      </x:c>
      <x:c r="C416" s="7" t="str">
        <x:v>Omitted</x:v>
      </x:c>
      <x:c r="D416" s="7" t="str">
        <x:v>FAIL</x:v>
      </x:c>
      <x:c r="E416" s="13" t="str">
        <x:v>Pending</x:v>
      </x:c>
      <x:c r="F416" s="13" t="str"/>
      <x:c r="G416" s="13" t="str"/>
      <x:c r="H416" s="13" t="str"/>
      <x:c r="I416" s="7" t="str">
        <x:v>Was this person reviewed? If rejected, give the actual rule and evidence. If acceptable, correct the omission. Confirm the Life-qualification gate and any record change since selection.</x:v>
      </x:c>
      <x:c r="J416" s="7" t="str">
        <x:v>L1</x:v>
      </x:c>
      <x:c r="K416" s="7" t="str">
        <x:v>Verified qualifications do not include active general Life. Current target-pool mismatch; actual historical omission reason unknown.</x:v>
      </x:c>
      <x:c r="L416" s="7" t="str">
        <x:v>Not supplied; membership is known, motive is not</x:v>
      </x:c>
      <x:c r="M416" s="7" t="n">
        <x:v>7</x:v>
      </x:c>
      <x:c r="N416" s="7" t="str">
        <x:v>Outside current general-Life recruiting pool</x:v>
      </x:c>
      <x:c r="O416" s="7" t="str">
        <x:v>Not displayed</x:v>
      </x:c>
      <x:c r="P416" s="7" t="str"/>
      <x:c r="Q416" s="7" t="str"/>
      <x:c r="R416" s="7" t="str">
        <x:v>Bail Agent</x:v>
      </x:c>
      <x:c r="S416" s="15" t="str">
        <x:v>562-282-2503</x:v>
      </x:c>
      <x:c r="T416" s="7" t="str">
        <x:v>Current CDI</x:v>
      </x:c>
      <x:c r="U416" s="7" t="str">
        <x:v>9066 RAMONA ST BELLFLOWER CA, 90706</x:v>
      </x:c>
      <x:c r="V416" s="7" t="str">
        <x:v>Resident</x:v>
      </x:c>
      <x:c r="W416" s="7" t="str">
        <x:v>CA</x:v>
      </x:c>
      <x:c r="X416" s="7" t="str"/>
      <x:c r="Y416" s="7" t="str">
        <x:v>AMERICAN SURETY COMPANY / Bail Agent / 03/06/2025
LEXINGTON NATIONAL INSURANCE CORPORATION / Bail Agent / 01/09/2023</x:v>
      </x:c>
      <x:c r="Z416" s="7" t="str"/>
      <x:c r="AA416" s="7" t="str"/>
      <x:c r="AB416" s="7" t="str"/>
      <x:c r="AC416" s="7" t="str"/>
      <x:c r="AD416" s="7" t="str"/>
      <x:c r="AE416" s="7" t="str"/>
      <x:c r="AF416" s="16" t="str"/>
      <x:c r="AG416" s="17" t="str"/>
      <x:c r="AH416" s="7" t="str"/>
      <x:c r="AI416" s="7" t="str">
        <x:v>English</x:v>
      </x:c>
      <x:c r="AJ416" s="7" t="str"/>
      <x:c r="AK416" s="15" t="str"/>
      <x:c r="AL416" s="7" t="str"/>
      <x:c r="AM416" s="7" t="str">
        <x:v>AGUILAR  EUGENE</x:v>
      </x:c>
      <x:c r="AN416" s="7" t="str">
        <x:v>https://cdicloud.insurance.ca.gov/cal/LicenseDetail?SearchType=IND&amp;SearchLicNbr=1N13307&amp;SearchIndvId=4252172</x:v>
      </x:c>
      <x:c r="AO416" s="7" t="str">
        <x:v>2026-10-08</x:v>
      </x:c>
      <x:c r="AP416" s="7" t="str">
        <x:v>b7d513a82998dc0644503d0d1b0b019e1df2a4131fce23655fa7194292969f3a</x:v>
      </x:c>
      <x:c r="AQ416" s="7" t="str">
        <x:v>Bail Agent / Active / 01/09/2023 / 01/09/2023 / 01/31/2027</x:v>
      </x:c>
      <x:c r="AR416" s="7" t="str">
        <x:v>Active</x:v>
      </x:c>
      <x:c r="AS416" s="7" t="str">
        <x:v>Search result only; detail-page name blank</x:v>
      </x:c>
    </x:row>
    <x:row r="417" ht="52" customHeight="1">
      <x:c r="A417" s="7" t="str">
        <x:v>AGUILAR EULALIA MATA</x:v>
      </x:c>
      <x:c r="B417" s="14" t="str">
        <x:f>"0M76032"</x:f>
        <x:v>0M76032</x:v>
      </x:c>
      <x:c r="C417" s="7" t="str">
        <x:v>Omitted</x:v>
      </x:c>
      <x:c r="D417" s="7" t="str">
        <x:v>FAIL</x:v>
      </x:c>
      <x:c r="E417" s="13" t="str">
        <x:v>Pending</x:v>
      </x:c>
      <x:c r="F417" s="13" t="str"/>
      <x:c r="G417" s="13" t="str"/>
      <x:c r="H417" s="13" t="str"/>
      <x:c r="I417" s="7" t="str">
        <x:v>Was this person reviewed? If rejected, give the actual rule and evidence. If acceptable, correct the omission. Confirm the Life-qualification gate and any record change since selection.</x:v>
      </x:c>
      <x:c r="J417" s="7" t="str">
        <x:v>L1</x:v>
      </x:c>
      <x:c r="K417" s="7" t="str">
        <x:v>Verified qualifications do not include active general Life. Current target-pool mismatch; actual historical omission reason unknown.</x:v>
      </x:c>
      <x:c r="L417" s="7" t="str">
        <x:v>Not supplied; membership is known, motive is not</x:v>
      </x:c>
      <x:c r="M417" s="7" t="n">
        <x:v>7</x:v>
      </x:c>
      <x:c r="N417" s="7" t="str">
        <x:v>Outside current general-Life recruiting pool</x:v>
      </x:c>
      <x:c r="O417" s="7" t="str">
        <x:v>Inactive</x:v>
      </x:c>
      <x:c r="P417" s="7" t="str">
        <x:v>01/03/2019</x:v>
      </x:c>
      <x:c r="Q417" s="7" t="str">
        <x:v>01/31/2023</x:v>
      </x:c>
      <x:c r="R417" s="7" t="str"/>
      <x:c r="S417" s="15" t="str">
        <x:v>951-786-0003</x:v>
      </x:c>
      <x:c r="T417" s="7" t="str">
        <x:v>Current CDI</x:v>
      </x:c>
      <x:c r="U417" s="7" t="str">
        <x:v>1855 CHICAGO AVE RIVERSIDE CA, 92507</x:v>
      </x:c>
      <x:c r="V417" s="7" t="str">
        <x:v>Resident</x:v>
      </x:c>
      <x:c r="W417" s="7" t="str">
        <x:v>CA</x:v>
      </x:c>
      <x:c r="X417" s="7" t="str"/>
      <x:c r="Y417" s="7" t="str"/>
      <x:c r="Z417" s="7" t="str"/>
      <x:c r="AA417" s="7" t="str"/>
      <x:c r="AB417" s="7" t="str"/>
      <x:c r="AC417" s="7" t="str"/>
      <x:c r="AD417" s="7" t="str">
        <x:v>No agency or insurer displayed: onboarding opportunity possible; existing business unknown</x:v>
      </x:c>
      <x:c r="AE417" s="7" t="str"/>
      <x:c r="AF417" s="16" t="str"/>
      <x:c r="AG417" s="17" t="str"/>
      <x:c r="AH417" s="7" t="str"/>
      <x:c r="AI417" s="7" t="str">
        <x:v>English</x:v>
      </x:c>
      <x:c r="AJ417" s="7" t="str"/>
      <x:c r="AK417" s="15" t="str"/>
      <x:c r="AL417" s="7" t="str"/>
      <x:c r="AM417" s="7" t="str">
        <x:v>Aguilar M Eulalia | AGUILAR MATA EULALIA</x:v>
      </x:c>
      <x:c r="AN417" s="7" t="str">
        <x:v>https://cdicloud.insurance.ca.gov/cal/LicenseDetail?SearchType=IND&amp;SearchLicNbr=0M76032&amp;SearchIndvId=2063672</x:v>
      </x:c>
      <x:c r="AO417" s="7" t="str">
        <x:v>2026-10-08</x:v>
      </x:c>
      <x:c r="AP417" s="7" t="str">
        <x:v>18339ba9d484ca5c715b31b6bb2f099dfcecba23f5da535ee0a23dc20fed67ad</x:v>
      </x:c>
      <x:c r="AQ417" s="7" t="str">
        <x:v>Life / Inactive / 01/03/2019 / 01/31/2023 / 01/31/2023</x:v>
      </x:c>
      <x:c r="AR417" s="7" t="str">
        <x:v>Inactive</x:v>
      </x:c>
      <x:c r="AS417" s="7" t="str">
        <x:v>Current detail page</x:v>
      </x:c>
    </x:row>
    <x:row r="418" ht="52" customHeight="1">
      <x:c r="A418" s="7" t="str">
        <x:v>AGUILAR EUNISE ANGELINA</x:v>
      </x:c>
      <x:c r="B418" s="14" t="str">
        <x:f>"0G08250"</x:f>
        <x:v>0G08250</x:v>
      </x:c>
      <x:c r="C418" s="7" t="str">
        <x:v>Omitted</x:v>
      </x:c>
      <x:c r="D418" s="7" t="str">
        <x:v>FAIL</x:v>
      </x:c>
      <x:c r="E418" s="13" t="str">
        <x:v>Pending</x:v>
      </x:c>
      <x:c r="F418" s="13" t="str"/>
      <x:c r="G418" s="13" t="str"/>
      <x:c r="H418" s="13" t="str"/>
      <x:c r="I418" s="7" t="str">
        <x:v>Was this person reviewed? If rejected, give the actual rule and evidence. If acceptable, correct the omission. Confirm the Life-qualification gate and any record change since selection.</x:v>
      </x:c>
      <x:c r="J418" s="7" t="str">
        <x:v>L1</x:v>
      </x:c>
      <x:c r="K418" s="7" t="str">
        <x:v>Verified qualifications do not include active general Life. Current target-pool mismatch; actual historical omission reason unknown.</x:v>
      </x:c>
      <x:c r="L418" s="7" t="str">
        <x:v>Not supplied; membership is known, motive is not</x:v>
      </x:c>
      <x:c r="M418" s="7" t="n">
        <x:v>7</x:v>
      </x:c>
      <x:c r="N418" s="7" t="str">
        <x:v>Outside current general-Life recruiting pool</x:v>
      </x:c>
      <x:c r="O418" s="7" t="str">
        <x:v>Not displayed</x:v>
      </x:c>
      <x:c r="P418" s="7" t="str"/>
      <x:c r="Q418" s="7" t="str"/>
      <x:c r="R418" s="7" t="str"/>
      <x:c r="S418" s="15" t="str"/>
      <x:c r="T418" s="7" t="str">
        <x:v>No public business phone in collected record</x:v>
      </x:c>
      <x:c r="U418" s="7" t="str"/>
      <x:c r="V418" s="7" t="str">
        <x:v>Resident</x:v>
      </x:c>
      <x:c r="W418" s="7" t="str">
        <x:v>CA</x:v>
      </x:c>
      <x:c r="X418" s="7" t="str"/>
      <x:c r="Y418" s="7" t="str"/>
      <x:c r="Z418" s="7" t="str"/>
      <x:c r="AA418" s="7" t="str"/>
      <x:c r="AB418" s="7" t="str"/>
      <x:c r="AC418" s="7" t="str"/>
      <x:c r="AD418" s="7" t="str">
        <x:v>No agency or insurer displayed: onboarding opportunity possible; existing business unknown</x:v>
      </x:c>
      <x:c r="AE418" s="7" t="str">
        <x:v>No public business phone: contact enrichment needed, not proof of poor recruiting fit</x:v>
      </x:c>
      <x:c r="AF418" s="16" t="str"/>
      <x:c r="AG418" s="17" t="str"/>
      <x:c r="AH418" s="7" t="str"/>
      <x:c r="AI418" s="7" t="str"/>
      <x:c r="AJ418" s="7" t="str"/>
      <x:c r="AK418" s="15" t="str"/>
      <x:c r="AL418" s="7" t="str"/>
      <x:c r="AM418" s="7" t="str">
        <x:v>AGUILAR ANGELINA EUNISE</x:v>
      </x:c>
      <x:c r="AN418" s="7" t="str">
        <x:v>https://cdicloud.insurance.ca.gov/cal/LicenseDetail?SearchType=IND&amp;SearchLicNbr=0G08250&amp;SearchIndvId=1132703</x:v>
      </x:c>
      <x:c r="AO418" s="7" t="str">
        <x:v>2026-10-08</x:v>
      </x:c>
      <x:c r="AP418" s="7" t="str">
        <x:v>64d134d0bf0366acbdb1c93013e3a058ec127426189f6eb76680e2182d09783c</x:v>
      </x:c>
      <x:c r="AQ418" s="7" t="str">
        <x:v>Casualty Broker-Agent / Inactive / 04/08/2008 / 04/30/2012 / 04/30/2012
Property Broker-Agent / Inactive / 04/08/2008 / 04/30/2012 / 04/30/2012</x:v>
      </x:c>
      <x:c r="AR418" s="7" t="str">
        <x:v>Inactive</x:v>
      </x:c>
      <x:c r="AS418" s="7" t="str">
        <x:v>Current detail page</x:v>
      </x:c>
    </x:row>
    <x:row r="419" ht="52" customHeight="1">
      <x:c r="A419" s="7" t="str">
        <x:v>AGUILAR EVANGELINA</x:v>
      </x:c>
      <x:c r="B419" s="14" t="str">
        <x:f>"4154178"</x:f>
        <x:v>4154178</x:v>
      </x:c>
      <x:c r="C419" s="7" t="str">
        <x:v>Omitted</x:v>
      </x:c>
      <x:c r="D419" s="7" t="str">
        <x:v>FAIL</x:v>
      </x:c>
      <x:c r="E419" s="13" t="str">
        <x:v>Pending</x:v>
      </x:c>
      <x:c r="F419" s="13" t="str"/>
      <x:c r="G419" s="13" t="str"/>
      <x:c r="H419" s="13" t="str"/>
      <x:c r="I419" s="7" t="str">
        <x:v>Was this person reviewed? If rejected, give the actual rule and evidence. If acceptable, correct the omission. Confirm the Life-qualification gate and any record change since selection.</x:v>
      </x:c>
      <x:c r="J419" s="7" t="str">
        <x:v>L1</x:v>
      </x:c>
      <x:c r="K419" s="7" t="str">
        <x:v>Verified qualifications do not include active general Life. Current target-pool mismatch; actual historical omission reason unknown.</x:v>
      </x:c>
      <x:c r="L419" s="7" t="str">
        <x:v>Not supplied; membership is known, motive is not</x:v>
      </x:c>
      <x:c r="M419" s="7" t="n">
        <x:v>7</x:v>
      </x:c>
      <x:c r="N419" s="7" t="str">
        <x:v>Outside current general-Life recruiting pool</x:v>
      </x:c>
      <x:c r="O419" s="7" t="str">
        <x:v>Not displayed</x:v>
      </x:c>
      <x:c r="P419" s="7" t="str"/>
      <x:c r="Q419" s="7" t="str"/>
      <x:c r="R419" s="7" t="str"/>
      <x:c r="S419" s="15" t="str">
        <x:v>559-625-2318</x:v>
      </x:c>
      <x:c r="T419" s="7" t="str">
        <x:v>Current CDI</x:v>
      </x:c>
      <x:c r="U419" s="7" t="str">
        <x:v>5127 W. WALNUT AVE. VISALIA CA, 93277</x:v>
      </x:c>
      <x:c r="V419" s="7" t="str">
        <x:v>Resident</x:v>
      </x:c>
      <x:c r="W419" s="7" t="str">
        <x:v>CA</x:v>
      </x:c>
      <x:c r="X419" s="7" t="str"/>
      <x:c r="Y419" s="7" t="str"/>
      <x:c r="Z419" s="7" t="str"/>
      <x:c r="AA419" s="7" t="str"/>
      <x:c r="AB419" s="7" t="str"/>
      <x:c r="AC419" s="7" t="str"/>
      <x:c r="AD419" s="7" t="str">
        <x:v>No agency or insurer displayed: onboarding opportunity possible; existing business unknown</x:v>
      </x:c>
      <x:c r="AE419" s="7" t="str"/>
      <x:c r="AF419" s="16" t="str"/>
      <x:c r="AG419" s="17" t="str"/>
      <x:c r="AH419" s="7" t="str"/>
      <x:c r="AI419" s="7" t="str">
        <x:v>English</x:v>
      </x:c>
      <x:c r="AJ419" s="7" t="str"/>
      <x:c r="AK419" s="15" t="str"/>
      <x:c r="AL419" s="7" t="str"/>
      <x:c r="AM419" s="7" t="str">
        <x:v>AGUILAR  EVANGELINA</x:v>
      </x:c>
      <x:c r="AN419" s="7" t="str">
        <x:v>https://cdicloud.insurance.ca.gov/cal/LicenseDetail?SearchType=IND&amp;SearchLicNbr=4154178&amp;SearchIndvId=4154178</x:v>
      </x:c>
      <x:c r="AO419" s="7" t="str">
        <x:v>2026-10-08</x:v>
      </x:c>
      <x:c r="AP419" s="7" t="str">
        <x:v>a3add6454addf967b7e4605c7bf2eee0191b02cc87224de4a4250faa1629e1f8</x:v>
      </x:c>
      <x:c r="AQ419" s="7" t="str">
        <x:v>Personal Lines / Inactive / 09/16/2021 / 09/30/2023 / 09/30/2023</x:v>
      </x:c>
      <x:c r="AR419" s="7" t="str">
        <x:v>Inactive</x:v>
      </x:c>
      <x:c r="AS419" s="7" t="str">
        <x:v>Current detail page</x:v>
      </x:c>
    </x:row>
    <x:row r="420" ht="52" customHeight="1">
      <x:c r="A420" s="7" t="str">
        <x:v>AGUILAR EVELIA</x:v>
      </x:c>
      <x:c r="B420" s="14" t="str">
        <x:f>"0H06492"</x:f>
        <x:v>0H06492</x:v>
      </x:c>
      <x:c r="C420" s="7" t="str">
        <x:v>Omitted</x:v>
      </x:c>
      <x:c r="D420" s="7" t="str">
        <x:v>FAIL</x:v>
      </x:c>
      <x:c r="E420" s="13" t="str">
        <x:v>Pending</x:v>
      </x:c>
      <x:c r="F420" s="13" t="str"/>
      <x:c r="G420" s="13" t="str"/>
      <x:c r="H420" s="13" t="str"/>
      <x:c r="I420" s="7" t="str">
        <x:v>Was this person reviewed? If rejected, give the actual rule and evidence. If acceptable, correct the omission. Confirm the Life-qualification gate and any record change since selection.</x:v>
      </x:c>
      <x:c r="J420" s="7" t="str">
        <x:v>L1</x:v>
      </x:c>
      <x:c r="K420" s="7" t="str">
        <x:v>Verified qualifications do not include active general Life. Current target-pool mismatch; actual historical omission reason unknown.</x:v>
      </x:c>
      <x:c r="L420" s="7" t="str">
        <x:v>Not supplied; membership is known, motive is not</x:v>
      </x:c>
      <x:c r="M420" s="7" t="n">
        <x:v>7</x:v>
      </x:c>
      <x:c r="N420" s="7" t="str">
        <x:v>Outside current general-Life recruiting pool</x:v>
      </x:c>
      <x:c r="O420" s="7" t="str">
        <x:v>Not displayed</x:v>
      </x:c>
      <x:c r="P420" s="7" t="str"/>
      <x:c r="Q420" s="7" t="str"/>
      <x:c r="R420" s="7" t="str"/>
      <x:c r="S420" s="15" t="str"/>
      <x:c r="T420" s="7" t="str">
        <x:v>No public business phone in collected record</x:v>
      </x:c>
      <x:c r="U420" s="7" t="str"/>
      <x:c r="V420" s="7" t="str">
        <x:v>Resident</x:v>
      </x:c>
      <x:c r="W420" s="7" t="str">
        <x:v>CA</x:v>
      </x:c>
      <x:c r="X420" s="7" t="str"/>
      <x:c r="Y420" s="7" t="str"/>
      <x:c r="Z420" s="7" t="str"/>
      <x:c r="AA420" s="7" t="str"/>
      <x:c r="AB420" s="7" t="str"/>
      <x:c r="AC420" s="7" t="str"/>
      <x:c r="AD420" s="7" t="str">
        <x:v>No agency or insurer displayed: onboarding opportunity possible; existing business unknown</x:v>
      </x:c>
      <x:c r="AE420" s="7" t="str">
        <x:v>No public business phone: contact enrichment needed, not proof of poor recruiting fit</x:v>
      </x:c>
      <x:c r="AF420" s="16" t="str"/>
      <x:c r="AG420" s="17" t="str"/>
      <x:c r="AH420" s="7" t="str"/>
      <x:c r="AI420" s="7" t="str"/>
      <x:c r="AJ420" s="7" t="str"/>
      <x:c r="AK420" s="15" t="str"/>
      <x:c r="AL420" s="7" t="str"/>
      <x:c r="AM420" s="7" t="str">
        <x:v>AGUILAR  EVELIA</x:v>
      </x:c>
      <x:c r="AN420" s="7" t="str">
        <x:v>https://cdicloud.insurance.ca.gov/cal/LicenseDetail?SearchType=IND&amp;SearchLicNbr=0H06492&amp;SearchIndvId=1345550</x:v>
      </x:c>
      <x:c r="AO420" s="7" t="str">
        <x:v>2026-10-08</x:v>
      </x:c>
      <x:c r="AP420" s="7" t="str">
        <x:v>1b5b15b921d43440a46ce2907047c3afa37a5316c078c37e90bf07d0c3283a39</x:v>
      </x:c>
      <x:c r="AQ420" s="7" t="str">
        <x:v>Life-Only / Inactive / 08/03/2010 / 08/31/2012 / 08/31/2012</x:v>
      </x:c>
      <x:c r="AR420" s="7" t="str">
        <x:v>Inactive</x:v>
      </x:c>
      <x:c r="AS420" s="7" t="str">
        <x:v>Current detail page</x:v>
      </x:c>
    </x:row>
    <x:row r="421" ht="52" customHeight="1">
      <x:c r="A421" s="7" t="str">
        <x:v>AGUILAR EVELYN</x:v>
      </x:c>
      <x:c r="B421" s="14" t="str">
        <x:f>"0E28064"</x:f>
        <x:v>0E28064</x:v>
      </x:c>
      <x:c r="C421" s="7" t="str">
        <x:v>Omitted</x:v>
      </x:c>
      <x:c r="D421" s="7" t="str">
        <x:v>FAIL</x:v>
      </x:c>
      <x:c r="E421" s="13" t="str">
        <x:v>Pending</x:v>
      </x:c>
      <x:c r="F421" s="13" t="str"/>
      <x:c r="G421" s="13" t="str"/>
      <x:c r="H421" s="13" t="str"/>
      <x:c r="I421" s="7" t="str">
        <x:v>Was this person reviewed? If rejected, give the actual rule and evidence. If acceptable, correct the omission. Confirm the Life-qualification gate and any record change since selection.</x:v>
      </x:c>
      <x:c r="J421" s="7" t="str">
        <x:v>L1</x:v>
      </x:c>
      <x:c r="K421" s="7" t="str">
        <x:v>Verified qualifications do not include active general Life. Current target-pool mismatch; actual historical omission reason unknown.</x:v>
      </x:c>
      <x:c r="L421" s="7" t="str">
        <x:v>Not supplied; membership is known, motive is not</x:v>
      </x:c>
      <x:c r="M421" s="7" t="n">
        <x:v>7</x:v>
      </x:c>
      <x:c r="N421" s="7" t="str">
        <x:v>Outside current general-Life recruiting pool</x:v>
      </x:c>
      <x:c r="O421" s="7" t="str">
        <x:v>Not displayed</x:v>
      </x:c>
      <x:c r="P421" s="7" t="str"/>
      <x:c r="Q421" s="7" t="str"/>
      <x:c r="R421" s="7" t="str"/>
      <x:c r="S421" s="15" t="str"/>
      <x:c r="T421" s="7" t="str">
        <x:v>No public business phone in collected record</x:v>
      </x:c>
      <x:c r="U421" s="7" t="str"/>
      <x:c r="V421" s="7" t="str">
        <x:v>Non-resident</x:v>
      </x:c>
      <x:c r="W421" s="7" t="str">
        <x:v>TX</x:v>
      </x:c>
      <x:c r="X421" s="7" t="str"/>
      <x:c r="Y421" s="7" t="str"/>
      <x:c r="Z421" s="7" t="str"/>
      <x:c r="AA421" s="7" t="str"/>
      <x:c r="AB421" s="7" t="str"/>
      <x:c r="AC421" s="7" t="str"/>
      <x:c r="AD421" s="7" t="str">
        <x:v>No agency or insurer displayed: onboarding opportunity possible; existing business unknown</x:v>
      </x:c>
      <x:c r="AE421" s="7" t="str">
        <x:v>Nonresident or address state outside CA; confirm geographic recruiting scope | No public business phone: contact enrichment needed, not proof of poor recruiting fit</x:v>
      </x:c>
      <x:c r="AF421" s="16" t="str"/>
      <x:c r="AG421" s="17" t="str"/>
      <x:c r="AH421" s="7" t="str"/>
      <x:c r="AI421" s="7" t="str"/>
      <x:c r="AJ421" s="7" t="str"/>
      <x:c r="AK421" s="15" t="str"/>
      <x:c r="AL421" s="7" t="str"/>
      <x:c r="AM421" s="7" t="str">
        <x:v>AGUILAR  EVELYN</x:v>
      </x:c>
      <x:c r="AN421" s="7" t="str">
        <x:v>https://cdicloud.insurance.ca.gov/cal/LicenseDetail?SearchType=IND&amp;SearchLicNbr=0E28064&amp;SearchIndvId=878703</x:v>
      </x:c>
      <x:c r="AO421" s="7" t="str">
        <x:v>2026-10-08</x:v>
      </x:c>
      <x:c r="AP421" s="7" t="str">
        <x:v>45423ac82807f2fccdf9315b677e3d4134237708790c632af72d01451f657f34</x:v>
      </x:c>
      <x:c r="AQ421" s="7" t="str">
        <x:v>Accident and Health / Inactive / 01/07/2004 / 01/31/2006 / 01/31/2006
Life-Only / Inactive / 01/07/2004 / 01/31/2006 / 01/31/2006</x:v>
      </x:c>
      <x:c r="AR421" s="7" t="str">
        <x:v>Inactive</x:v>
      </x:c>
      <x:c r="AS421" s="7" t="str">
        <x:v>Current detail page</x:v>
      </x:c>
    </x:row>
    <x:row r="422" ht="52" customHeight="1">
      <x:c r="A422" s="7" t="str">
        <x:v>AGUILAR EVERARDO FRANCCESCO</x:v>
      </x:c>
      <x:c r="B422" s="14" t="str">
        <x:f>"0M89463"</x:f>
        <x:v>0M89463</x:v>
      </x:c>
      <x:c r="C422" s="7" t="str">
        <x:v>Omitted</x:v>
      </x:c>
      <x:c r="D422" s="7" t="str">
        <x:v>FAIL</x:v>
      </x:c>
      <x:c r="E422" s="13" t="str">
        <x:v>Pending</x:v>
      </x:c>
      <x:c r="F422" s="13" t="str"/>
      <x:c r="G422" s="13" t="str"/>
      <x:c r="H422" s="13" t="str"/>
      <x:c r="I422" s="7" t="str">
        <x:v>Was this person reviewed? If rejected, give the actual rule and evidence. If acceptable, correct the omission. Confirm the Life-qualification gate and any record change since selection.</x:v>
      </x:c>
      <x:c r="J422" s="7" t="str">
        <x:v>L1</x:v>
      </x:c>
      <x:c r="K422" s="7" t="str">
        <x:v>Verified qualifications do not include active general Life. Current target-pool mismatch; actual historical omission reason unknown.</x:v>
      </x:c>
      <x:c r="L422" s="7" t="str">
        <x:v>Not supplied; membership is known, motive is not</x:v>
      </x:c>
      <x:c r="M422" s="7" t="n">
        <x:v>7</x:v>
      </x:c>
      <x:c r="N422" s="7" t="str">
        <x:v>Outside current general-Life recruiting pool</x:v>
      </x:c>
      <x:c r="O422" s="7" t="str">
        <x:v>Not displayed</x:v>
      </x:c>
      <x:c r="P422" s="7" t="str"/>
      <x:c r="Q422" s="7" t="str"/>
      <x:c r="R422" s="7" t="str"/>
      <x:c r="S422" s="15" t="str"/>
      <x:c r="T422" s="7" t="str">
        <x:v>No public business phone in collected record</x:v>
      </x:c>
      <x:c r="U422" s="7" t="str"/>
      <x:c r="V422" s="7" t="str">
        <x:v>Resident</x:v>
      </x:c>
      <x:c r="W422" s="7" t="str">
        <x:v>CA</x:v>
      </x:c>
      <x:c r="X422" s="7" t="str"/>
      <x:c r="Y422" s="7" t="str"/>
      <x:c r="Z422" s="7" t="str"/>
      <x:c r="AA422" s="7" t="str"/>
      <x:c r="AB422" s="7" t="str"/>
      <x:c r="AC422" s="7" t="str"/>
      <x:c r="AD422" s="7" t="str">
        <x:v>No agency or insurer displayed: onboarding opportunity possible; existing business unknown</x:v>
      </x:c>
      <x:c r="AE422" s="7" t="str">
        <x:v>No public business phone: contact enrichment needed, not proof of poor recruiting fit</x:v>
      </x:c>
      <x:c r="AF422" s="16" t="str"/>
      <x:c r="AG422" s="17" t="str"/>
      <x:c r="AH422" s="7" t="str"/>
      <x:c r="AI422" s="7" t="str">
        <x:v>English, Spanish, Spanish</x:v>
      </x:c>
      <x:c r="AJ422" s="7" t="str"/>
      <x:c r="AK422" s="15" t="str"/>
      <x:c r="AL422" s="7" t="str"/>
      <x:c r="AM422" s="7" t="str">
        <x:v>Aguilar F Everardo | AGUILAR FRANCCESCO EVERARDO</x:v>
      </x:c>
      <x:c r="AN422" s="7" t="str">
        <x:v>https://cdicloud.insurance.ca.gov/cal/LicenseDetail?SearchType=IND&amp;SearchLicNbr=0M89463&amp;SearchIndvId=2094661</x:v>
      </x:c>
      <x:c r="AO422" s="7" t="str">
        <x:v>2026-10-08</x:v>
      </x:c>
      <x:c r="AP422" s="7" t="str">
        <x:v>82b05c83118c2ed0d722c1ce8aa1de893ac8a559705f2bcf8ed51fa77a1a8d77</x:v>
      </x:c>
      <x:c r="AQ422" s="7" t="str">
        <x:v>Life-Only / Inactive / 03/26/2019 / 03/31/2021 / 03/31/2021</x:v>
      </x:c>
      <x:c r="AR422" s="7" t="str">
        <x:v>Inactive</x:v>
      </x:c>
      <x:c r="AS422" s="7" t="str">
        <x:v>Current detail page</x:v>
      </x:c>
    </x:row>
    <x:row r="423" ht="52" customHeight="1">
      <x:c r="A423" s="7" t="str">
        <x:v>AGUILAR FERNANDEZ IVONE</x:v>
      </x:c>
      <x:c r="B423" s="14" t="str">
        <x:f>"4336762"</x:f>
        <x:v>4336762</x:v>
      </x:c>
      <x:c r="C423" s="7" t="str">
        <x:v>Omitted</x:v>
      </x:c>
      <x:c r="D423" s="7" t="str">
        <x:v>FAIL</x:v>
      </x:c>
      <x:c r="E423" s="13" t="str">
        <x:v>Pending</x:v>
      </x:c>
      <x:c r="F423" s="13" t="str"/>
      <x:c r="G423" s="13" t="str"/>
      <x:c r="H423" s="13" t="str"/>
      <x:c r="I423" s="7" t="str">
        <x:v>Was this person reviewed? If rejected, give the actual rule and evidence. If acceptable, correct the omission. Confirm the Life-qualification gate and any record change since selection.</x:v>
      </x:c>
      <x:c r="J423" s="7" t="str">
        <x:v>L1</x:v>
      </x:c>
      <x:c r="K423" s="7" t="str">
        <x:v>Verified qualifications do not include active general Life. Current target-pool mismatch; actual historical omission reason unknown.</x:v>
      </x:c>
      <x:c r="L423" s="7" t="str">
        <x:v>Not supplied; membership is known, motive is not</x:v>
      </x:c>
      <x:c r="M423" s="7" t="n">
        <x:v>7</x:v>
      </x:c>
      <x:c r="N423" s="7" t="str">
        <x:v>Outside current general-Life recruiting pool</x:v>
      </x:c>
      <x:c r="O423" s="7" t="str">
        <x:v>Not displayed</x:v>
      </x:c>
      <x:c r="P423" s="7" t="str"/>
      <x:c r="Q423" s="7" t="str"/>
      <x:c r="R423" s="7" t="str"/>
      <x:c r="S423" s="15" t="str">
        <x:v>909-291-4040</x:v>
      </x:c>
      <x:c r="T423" s="7" t="str">
        <x:v>Current CDI</x:v>
      </x:c>
      <x:c r="U423" s="7" t="str">
        <x:v>9445 CHARLES SMITH AVE RANCHO CUCAMONGA CA, 91730</x:v>
      </x:c>
      <x:c r="V423" s="7" t="str">
        <x:v>Resident</x:v>
      </x:c>
      <x:c r="W423" s="7" t="str">
        <x:v>CA</x:v>
      </x:c>
      <x:c r="X423" s="7" t="str"/>
      <x:c r="Y423" s="7" t="str"/>
      <x:c r="Z423" s="7" t="str"/>
      <x:c r="AA423" s="7" t="str"/>
      <x:c r="AB423" s="7" t="str"/>
      <x:c r="AC423" s="7" t="str"/>
      <x:c r="AD423" s="7" t="str">
        <x:v>No agency or insurer displayed: onboarding opportunity possible; existing business unknown</x:v>
      </x:c>
      <x:c r="AE423" s="7" t="str"/>
      <x:c r="AF423" s="16" t="str"/>
      <x:c r="AG423" s="17" t="str"/>
      <x:c r="AH423" s="7" t="str"/>
      <x:c r="AI423" s="7" t="str">
        <x:v>English</x:v>
      </x:c>
      <x:c r="AJ423" s="7" t="str"/>
      <x:c r="AK423" s="15" t="str"/>
      <x:c r="AL423" s="7" t="str"/>
      <x:c r="AM423" s="7" t="str">
        <x:v>Aguilar Fernandez  Ivone | AGUILAR FERNANDEZ  IVONE</x:v>
      </x:c>
      <x:c r="AN423" s="7" t="str">
        <x:v>https://cdicloud.insurance.ca.gov/cal/LicenseDetail?SearchType=IND&amp;SearchLicNbr=4336762&amp;SearchIndvId=4336762</x:v>
      </x:c>
      <x:c r="AO423" s="7" t="str">
        <x:v>2026-10-08</x:v>
      </x:c>
      <x:c r="AP423" s="7" t="str">
        <x:v>8f59e73cc2ad97dd9b62cec22c1c7568dc7032af3f39d965e2ca913937eea251</x:v>
      </x:c>
      <x:c r="AQ423" s="7" t="str">
        <x:v>Personal Lines / Inactive / 10/27/2023 / 10/31/2025 / 10/31/2025</x:v>
      </x:c>
      <x:c r="AR423" s="7" t="str">
        <x:v>Inactive</x:v>
      </x:c>
      <x:c r="AS423" s="7" t="str">
        <x:v>Current detail page</x:v>
      </x:c>
    </x:row>
    <x:row r="424" ht="52" customHeight="1">
      <x:c r="A424" s="7" t="str">
        <x:v>AGUILAR FERNANDO</x:v>
      </x:c>
      <x:c r="B424" s="14" t="str">
        <x:f>"0E30710"</x:f>
        <x:v>0E30710</x:v>
      </x:c>
      <x:c r="C424" s="7" t="str">
        <x:v>Omitted</x:v>
      </x:c>
      <x:c r="D424" s="7" t="str">
        <x:v>FAIL</x:v>
      </x:c>
      <x:c r="E424" s="13" t="str">
        <x:v>Pending</x:v>
      </x:c>
      <x:c r="F424" s="13" t="str"/>
      <x:c r="G424" s="13" t="str"/>
      <x:c r="H424" s="13" t="str"/>
      <x:c r="I424" s="7" t="str">
        <x:v>Was this person reviewed? If rejected, give the actual rule and evidence. If acceptable, correct the omission. Confirm the Life-qualification gate and any record change since selection.</x:v>
      </x:c>
      <x:c r="J424" s="7" t="str">
        <x:v>L1</x:v>
      </x:c>
      <x:c r="K424" s="7" t="str">
        <x:v>Verified qualifications do not include active general Life. Current target-pool mismatch; actual historical omission reason unknown.</x:v>
      </x:c>
      <x:c r="L424" s="7" t="str">
        <x:v>Not supplied; membership is known, motive is not</x:v>
      </x:c>
      <x:c r="M424" s="7" t="n">
        <x:v>7</x:v>
      </x:c>
      <x:c r="N424" s="7" t="str">
        <x:v>Outside current general-Life recruiting pool</x:v>
      </x:c>
      <x:c r="O424" s="7" t="str">
        <x:v>Not displayed</x:v>
      </x:c>
      <x:c r="P424" s="7" t="str"/>
      <x:c r="Q424" s="7" t="str"/>
      <x:c r="R424" s="7" t="str"/>
      <x:c r="S424" s="15" t="str"/>
      <x:c r="T424" s="7" t="str">
        <x:v>No public business phone in collected record</x:v>
      </x:c>
      <x:c r="U424" s="7" t="str"/>
      <x:c r="V424" s="7" t="str">
        <x:v>Resident</x:v>
      </x:c>
      <x:c r="W424" s="7" t="str">
        <x:v>CA</x:v>
      </x:c>
      <x:c r="X424" s="7" t="str"/>
      <x:c r="Y424" s="7" t="str"/>
      <x:c r="Z424" s="7" t="str"/>
      <x:c r="AA424" s="7" t="str"/>
      <x:c r="AB424" s="7" t="str"/>
      <x:c r="AC424" s="7" t="str"/>
      <x:c r="AD424" s="7" t="str">
        <x:v>No agency or insurer displayed: onboarding opportunity possible; existing business unknown</x:v>
      </x:c>
      <x:c r="AE424" s="7" t="str">
        <x:v>No public business phone: contact enrichment needed, not proof of poor recruiting fit</x:v>
      </x:c>
      <x:c r="AF424" s="16" t="str"/>
      <x:c r="AG424" s="17" t="str"/>
      <x:c r="AH424" s="7" t="str"/>
      <x:c r="AI424" s="7" t="str"/>
      <x:c r="AJ424" s="7" t="str"/>
      <x:c r="AK424" s="15" t="str"/>
      <x:c r="AL424" s="7" t="str"/>
      <x:c r="AM424" s="7" t="str">
        <x:v>AGUILAR  FERNANDO</x:v>
      </x:c>
      <x:c r="AN424" s="7" t="str">
        <x:v>https://cdicloud.insurance.ca.gov/cal/LicenseDetail?SearchType=IND&amp;SearchLicNbr=0E30710&amp;SearchIndvId=881211</x:v>
      </x:c>
      <x:c r="AO424" s="7" t="str">
        <x:v>2026-10-08</x:v>
      </x:c>
      <x:c r="AP424" s="7" t="str">
        <x:v>eb26cf8477a60150fe00de0e4b7e9c73b572b63d1368c92965667d9e91b63180</x:v>
      </x:c>
      <x:c r="AQ424" s="7" t="str">
        <x:v>Accident and Health / Inactive / 01/23/2004 / 01/31/2006 / 01/31/2006
Life-Only / Inactive / 01/23/2004 / 01/31/2006 / 01/31/2006</x:v>
      </x:c>
      <x:c r="AR424" s="7" t="str">
        <x:v>Inactive</x:v>
      </x:c>
      <x:c r="AS424" s="7" t="str">
        <x:v>Current detail page</x:v>
      </x:c>
    </x:row>
    <x:row r="425" ht="52" customHeight="1">
      <x:c r="A425" s="7" t="str">
        <x:v>AGUILAR FERNANDO</x:v>
      </x:c>
      <x:c r="B425" s="14" t="str">
        <x:f>"0F35228"</x:f>
        <x:v>0F35228</x:v>
      </x:c>
      <x:c r="C425" s="7" t="str">
        <x:v>Omitted</x:v>
      </x:c>
      <x:c r="D425" s="7" t="str">
        <x:v>FAIL</x:v>
      </x:c>
      <x:c r="E425" s="13" t="str">
        <x:v>Pending</x:v>
      </x:c>
      <x:c r="F425" s="13" t="str"/>
      <x:c r="G425" s="13" t="str"/>
      <x:c r="H425" s="13" t="str"/>
      <x:c r="I425" s="7" t="str">
        <x:v>Was this person reviewed? If rejected, give the actual rule and evidence. If acceptable, correct the omission. Confirm the Life-qualification gate and any record change since selection.</x:v>
      </x:c>
      <x:c r="J425" s="7" t="str">
        <x:v>L1</x:v>
      </x:c>
      <x:c r="K425" s="7" t="str">
        <x:v>Verified qualifications do not include active general Life. Current target-pool mismatch; actual historical omission reason unknown.</x:v>
      </x:c>
      <x:c r="L425" s="7" t="str">
        <x:v>Not supplied; membership is known, motive is not</x:v>
      </x:c>
      <x:c r="M425" s="7" t="n">
        <x:v>7</x:v>
      </x:c>
      <x:c r="N425" s="7" t="str">
        <x:v>Outside current general-Life recruiting pool</x:v>
      </x:c>
      <x:c r="O425" s="7" t="str">
        <x:v>Not displayed</x:v>
      </x:c>
      <x:c r="P425" s="7" t="str"/>
      <x:c r="Q425" s="7" t="str"/>
      <x:c r="R425" s="7" t="str"/>
      <x:c r="S425" s="15" t="str"/>
      <x:c r="T425" s="7" t="str">
        <x:v>No public business phone in collected record</x:v>
      </x:c>
      <x:c r="U425" s="7" t="str"/>
      <x:c r="V425" s="7" t="str">
        <x:v>Resident</x:v>
      </x:c>
      <x:c r="W425" s="7" t="str">
        <x:v>CA</x:v>
      </x:c>
      <x:c r="X425" s="7" t="str"/>
      <x:c r="Y425" s="7" t="str"/>
      <x:c r="Z425" s="7" t="str"/>
      <x:c r="AA425" s="7" t="str"/>
      <x:c r="AB425" s="7" t="str"/>
      <x:c r="AC425" s="7" t="str"/>
      <x:c r="AD425" s="7" t="str">
        <x:v>No agency or insurer displayed: onboarding opportunity possible; existing business unknown</x:v>
      </x:c>
      <x:c r="AE425" s="7" t="str">
        <x:v>No public business phone: contact enrichment needed, not proof of poor recruiting fit</x:v>
      </x:c>
      <x:c r="AF425" s="16" t="str"/>
      <x:c r="AG425" s="17" t="str"/>
      <x:c r="AH425" s="7" t="str"/>
      <x:c r="AI425" s="7" t="str"/>
      <x:c r="AJ425" s="7" t="str"/>
      <x:c r="AK425" s="15" t="str"/>
      <x:c r="AL425" s="7" t="str"/>
      <x:c r="AM425" s="7" t="str">
        <x:v>AGUILAR  FERNANDO</x:v>
      </x:c>
      <x:c r="AN425" s="7" t="str">
        <x:v>https://cdicloud.insurance.ca.gov/cal/LicenseDetail?SearchType=IND&amp;SearchLicNbr=0F35228&amp;SearchIndvId=865784</x:v>
      </x:c>
      <x:c r="AO425" s="7" t="str">
        <x:v>2026-10-08</x:v>
      </x:c>
      <x:c r="AP425" s="7" t="str">
        <x:v>c2aa90df6253fbd84cfdc84ae3260e9dab218059fda93470b257de0264604a05</x:v>
      </x:c>
      <x:c r="AQ425" s="7" t="str">
        <x:v>Accident and Health / Inactive / 09/18/2006 / 09/30/2008 / 09/30/2008
Life-Only / Inactive / 09/18/2006 / 09/30/2008 / 09/30/2008</x:v>
      </x:c>
      <x:c r="AR425" s="7" t="str">
        <x:v>Inactive</x:v>
      </x:c>
      <x:c r="AS425" s="7" t="str">
        <x:v>Current detail page</x:v>
      </x:c>
    </x:row>
    <x:row r="426" ht="52" customHeight="1">
      <x:c r="A426" s="7" t="str">
        <x:v>AGUILAR FIMBRES ALEJANDRA</x:v>
      </x:c>
      <x:c r="B426" s="14" t="str">
        <x:f>"4209736"</x:f>
        <x:v>4209736</x:v>
      </x:c>
      <x:c r="C426" s="7" t="str">
        <x:v>Omitted</x:v>
      </x:c>
      <x:c r="D426" s="7" t="str">
        <x:v>FAIL</x:v>
      </x:c>
      <x:c r="E426" s="13" t="str">
        <x:v>Pending</x:v>
      </x:c>
      <x:c r="F426" s="13" t="str"/>
      <x:c r="G426" s="13" t="str"/>
      <x:c r="H426" s="13" t="str"/>
      <x:c r="I426" s="7" t="str">
        <x:v>Was this person reviewed? If rejected, give the actual rule and evidence. If acceptable, correct the omission. Confirm the Life-qualification gate and any record change since selection.</x:v>
      </x:c>
      <x:c r="J426" s="7" t="str">
        <x:v>L1</x:v>
      </x:c>
      <x:c r="K426" s="7" t="str">
        <x:v>Verified qualifications do not include active general Life. Current target-pool mismatch; actual historical omission reason unknown.</x:v>
      </x:c>
      <x:c r="L426" s="7" t="str">
        <x:v>Not supplied; membership is known, motive is not</x:v>
      </x:c>
      <x:c r="M426" s="7" t="n">
        <x:v>7</x:v>
      </x:c>
      <x:c r="N426" s="7" t="str">
        <x:v>Outside current general-Life recruiting pool</x:v>
      </x:c>
      <x:c r="O426" s="7" t="str">
        <x:v>Not displayed</x:v>
      </x:c>
      <x:c r="P426" s="7" t="str"/>
      <x:c r="Q426" s="7" t="str"/>
      <x:c r="R426" s="7" t="str"/>
      <x:c r="S426" s="15" t="str"/>
      <x:c r="T426" s="7" t="str">
        <x:v>No public business phone in collected record</x:v>
      </x:c>
      <x:c r="U426" s="7" t="str">
        <x:v>GEICO LICENSING DEPT 3050 S. M L KING JR WAY TUCSON AZ, 85713</x:v>
      </x:c>
      <x:c r="V426" s="7" t="str">
        <x:v>Non-resident</x:v>
      </x:c>
      <x:c r="W426" s="7" t="str">
        <x:v>AZ</x:v>
      </x:c>
      <x:c r="X426" s="7" t="str"/>
      <x:c r="Y426" s="7" t="str"/>
      <x:c r="Z426" s="7" t="str"/>
      <x:c r="AA426" s="7" t="str"/>
      <x:c r="AB426" s="7" t="str"/>
      <x:c r="AC426" s="7" t="str"/>
      <x:c r="AD426" s="7" t="str">
        <x:v>No agency or insurer displayed: onboarding opportunity possible; existing business unknown</x:v>
      </x:c>
      <x:c r="AE426" s="7" t="str">
        <x:v>Nonresident or address state outside CA; confirm geographic recruiting scope | No public business phone: contact enrichment needed, not proof of poor recruiting fit</x:v>
      </x:c>
      <x:c r="AF426" s="16" t="str"/>
      <x:c r="AG426" s="17" t="str"/>
      <x:c r="AH426" s="7" t="str"/>
      <x:c r="AI426" s="7" t="str"/>
      <x:c r="AJ426" s="7" t="str"/>
      <x:c r="AK426" s="15" t="str"/>
      <x:c r="AL426" s="7" t="str"/>
      <x:c r="AM426" s="7" t="str">
        <x:v>AGUILAR FIMBRES  ALEJANDRA</x:v>
      </x:c>
      <x:c r="AN426" s="7" t="str">
        <x:v>https://cdicloud.insurance.ca.gov/cal/LicenseDetail?SearchType=IND&amp;SearchLicNbr=4209736&amp;SearchIndvId=4209736</x:v>
      </x:c>
      <x:c r="AO426" s="7" t="str">
        <x:v>2026-10-08</x:v>
      </x:c>
      <x:c r="AP426" s="7" t="str">
        <x:v>dd4f23b232e79c5163e2cb3bf89e64ff07eb06ce30d2583b4f7b4903c5ec397d</x:v>
      </x:c>
      <x:c r="AQ426" s="7" t="str">
        <x:v>Personal Lines / Inactive / 05/09/2022 / 05/31/2026 / 05/31/2026</x:v>
      </x:c>
      <x:c r="AR426" s="7" t="str">
        <x:v>Inactive</x:v>
      </x:c>
      <x:c r="AS426" s="7" t="str">
        <x:v>Current detail page</x:v>
      </x:c>
    </x:row>
    <x:row r="427" ht="52" customHeight="1">
      <x:c r="A427" s="7" t="str">
        <x:v>AGUILAR FLAVIO</x:v>
      </x:c>
      <x:c r="B427" s="14" t="str">
        <x:f>"0G91569"</x:f>
        <x:v>0G91569</x:v>
      </x:c>
      <x:c r="C427" s="7" t="str">
        <x:v>Omitted</x:v>
      </x:c>
      <x:c r="D427" s="7" t="str">
        <x:v>FAIL</x:v>
      </x:c>
      <x:c r="E427" s="13" t="str">
        <x:v>Pending</x:v>
      </x:c>
      <x:c r="F427" s="13" t="str"/>
      <x:c r="G427" s="13" t="str"/>
      <x:c r="H427" s="13" t="str"/>
      <x:c r="I427" s="7" t="str">
        <x:v>Was this person reviewed? If rejected, give the actual rule and evidence. If acceptable, correct the omission. Confirm the Life-qualification gate and any record change since selection.</x:v>
      </x:c>
      <x:c r="J427" s="7" t="str">
        <x:v>L1</x:v>
      </x:c>
      <x:c r="K427" s="7" t="str">
        <x:v>Verified qualifications do not include active general Life. Current target-pool mismatch; actual historical omission reason unknown.</x:v>
      </x:c>
      <x:c r="L427" s="7" t="str">
        <x:v>Not supplied; membership is known, motive is not</x:v>
      </x:c>
      <x:c r="M427" s="7" t="n">
        <x:v>7</x:v>
      </x:c>
      <x:c r="N427" s="7" t="str">
        <x:v>Outside current general-Life recruiting pool</x:v>
      </x:c>
      <x:c r="O427" s="7" t="str">
        <x:v>Not displayed</x:v>
      </x:c>
      <x:c r="P427" s="7" t="str"/>
      <x:c r="Q427" s="7" t="str"/>
      <x:c r="R427" s="7" t="str"/>
      <x:c r="S427" s="15" t="str"/>
      <x:c r="T427" s="7" t="str">
        <x:v>No public business phone in collected record</x:v>
      </x:c>
      <x:c r="U427" s="7" t="str"/>
      <x:c r="V427" s="7" t="str">
        <x:v>Resident</x:v>
      </x:c>
      <x:c r="W427" s="7" t="str">
        <x:v>CA</x:v>
      </x:c>
      <x:c r="X427" s="7" t="str"/>
      <x:c r="Y427" s="7" t="str"/>
      <x:c r="Z427" s="7" t="str"/>
      <x:c r="AA427" s="7" t="str"/>
      <x:c r="AB427" s="7" t="str"/>
      <x:c r="AC427" s="7" t="str"/>
      <x:c r="AD427" s="7" t="str">
        <x:v>No agency or insurer displayed: onboarding opportunity possible; existing business unknown</x:v>
      </x:c>
      <x:c r="AE427" s="7" t="str">
        <x:v>No public business phone: contact enrichment needed, not proof of poor recruiting fit</x:v>
      </x:c>
      <x:c r="AF427" s="16" t="str"/>
      <x:c r="AG427" s="17" t="str"/>
      <x:c r="AH427" s="7" t="str"/>
      <x:c r="AI427" s="7" t="str"/>
      <x:c r="AJ427" s="7" t="str"/>
      <x:c r="AK427" s="15" t="str"/>
      <x:c r="AL427" s="7" t="str"/>
      <x:c r="AM427" s="7" t="str">
        <x:v>AGUILAR  FLAVIO</x:v>
      </x:c>
      <x:c r="AN427" s="7" t="str">
        <x:v>https://cdicloud.insurance.ca.gov/cal/LicenseDetail?SearchType=IND&amp;SearchLicNbr=0G91569&amp;SearchIndvId=1325820</x:v>
      </x:c>
      <x:c r="AO427" s="7" t="str">
        <x:v>2026-10-08</x:v>
      </x:c>
      <x:c r="AP427" s="7" t="str">
        <x:v>6c4812b71ed782cbc7c79fae65eb91aad4e52d888a2c56a45a3559434b3f6f6f</x:v>
      </x:c>
      <x:c r="AQ427" s="7" t="str">
        <x:v>Life-Only / Inactive / 03/22/2010 / 03/31/2012 / 03/31/2012</x:v>
      </x:c>
      <x:c r="AR427" s="7" t="str">
        <x:v>Inactive</x:v>
      </x:c>
      <x:c r="AS427" s="7" t="str">
        <x:v>Current detail page</x:v>
      </x:c>
    </x:row>
    <x:row r="428" ht="52" customHeight="1">
      <x:c r="A428" s="7" t="str">
        <x:v>AGUILAR FLORENTINO</x:v>
      </x:c>
      <x:c r="B428" s="14" t="str">
        <x:f>"465626"</x:f>
        <x:v>465626</x:v>
      </x:c>
      <x:c r="C428" s="7" t="str">
        <x:v>Omitted</x:v>
      </x:c>
      <x:c r="D428" s="7" t="str">
        <x:v>FAIL</x:v>
      </x:c>
      <x:c r="E428" s="13" t="str">
        <x:v>Pending</x:v>
      </x:c>
      <x:c r="F428" s="13" t="str"/>
      <x:c r="G428" s="13" t="str"/>
      <x:c r="H428" s="13" t="str"/>
      <x:c r="I428" s="7" t="str">
        <x:v>Was this person reviewed? If rejected, give the actual rule and evidence. If acceptable, correct the omission. Confirm the Life-qualification gate and any record change since selection.</x:v>
      </x:c>
      <x:c r="J428" s="7" t="str">
        <x:v>L1</x:v>
      </x:c>
      <x:c r="K428" s="7" t="str">
        <x:v>Verified qualifications do not include active general Life. Current target-pool mismatch; actual historical omission reason unknown.</x:v>
      </x:c>
      <x:c r="L428" s="7" t="str">
        <x:v>Not supplied; membership is known, motive is not</x:v>
      </x:c>
      <x:c r="M428" s="7" t="n">
        <x:v>7</x:v>
      </x:c>
      <x:c r="N428" s="7" t="str">
        <x:v>Outside current general-Life recruiting pool</x:v>
      </x:c>
      <x:c r="O428" s="7" t="str">
        <x:v>Inactive</x:v>
      </x:c>
      <x:c r="P428" s="7" t="str">
        <x:v>05/27/2020</x:v>
      </x:c>
      <x:c r="Q428" s="7" t="str">
        <x:v>05/31/2026</x:v>
      </x:c>
      <x:c r="R428" s="7" t="str"/>
      <x:c r="S428" s="15" t="str">
        <x:v>714-894-2808</x:v>
      </x:c>
      <x:c r="T428" s="7" t="str">
        <x:v>Current CDI</x:v>
      </x:c>
      <x:c r="U428" s="7" t="str">
        <x:v>16541 GOTHARD ST STE 109 HUNTINGTON BEACH CA, 92647</x:v>
      </x:c>
      <x:c r="V428" s="7" t="str">
        <x:v>Resident</x:v>
      </x:c>
      <x:c r="W428" s="7" t="str">
        <x:v>CA</x:v>
      </x:c>
      <x:c r="X428" s="7" t="str"/>
      <x:c r="Y428" s="7" t="str"/>
      <x:c r="Z428" s="7" t="str"/>
      <x:c r="AA428" s="7" t="str"/>
      <x:c r="AB428" s="7" t="str"/>
      <x:c r="AC428" s="7" t="str"/>
      <x:c r="AD428" s="7" t="str">
        <x:v>No agency or insurer displayed: onboarding opportunity possible; existing business unknown</x:v>
      </x:c>
      <x:c r="AE428" s="7" t="str"/>
      <x:c r="AF428" s="16" t="str"/>
      <x:c r="AG428" s="17" t="str"/>
      <x:c r="AH428" s="7" t="str"/>
      <x:c r="AI428" s="7" t="str">
        <x:v>English</x:v>
      </x:c>
      <x:c r="AJ428" s="7" t="str"/>
      <x:c r="AK428" s="15" t="str"/>
      <x:c r="AL428" s="7" t="str"/>
      <x:c r="AM428" s="7" t="str">
        <x:v>AGUILAR  FLORENTINO</x:v>
      </x:c>
      <x:c r="AN428" s="7" t="str">
        <x:v>https://cdicloud.insurance.ca.gov/cal/LicenseDetail?SearchType=IND&amp;SearchLicNbr=465626&amp;SearchIndvId=465626</x:v>
      </x:c>
      <x:c r="AO428" s="7" t="str">
        <x:v>2026-10-08</x:v>
      </x:c>
      <x:c r="AP428" s="7" t="str">
        <x:v>215af63123c826677ec95f0b10ee63c9a625a1584d69e7dad320ea9452f6d43a</x:v>
      </x:c>
      <x:c r="AQ428" s="7" t="str">
        <x:v>Life / Inactive / 05/27/2020 / 05/31/2026 / 05/31/2026</x:v>
      </x:c>
      <x:c r="AR428" s="7" t="str">
        <x:v>Inactive</x:v>
      </x:c>
      <x:c r="AS428" s="7" t="str">
        <x:v>Current detail page</x:v>
      </x:c>
    </x:row>
    <x:row r="429" ht="52" customHeight="1">
      <x:c r="A429" s="7" t="str">
        <x:v>AGUILAR FLORES FATIMA</x:v>
      </x:c>
      <x:c r="B429" s="14" t="str">
        <x:f>"4527845"</x:f>
        <x:v>4527845</x:v>
      </x:c>
      <x:c r="C429" s="7" t="str">
        <x:v>Omitted</x:v>
      </x:c>
      <x:c r="D429" s="7" t="str">
        <x:v>FAIL</x:v>
      </x:c>
      <x:c r="E429" s="13" t="str">
        <x:v>Pending</x:v>
      </x:c>
      <x:c r="F429" s="13" t="str"/>
      <x:c r="G429" s="13" t="str"/>
      <x:c r="H429" s="13" t="str"/>
      <x:c r="I429" s="7" t="str">
        <x:v>Was this person reviewed? If rejected, give the actual rule and evidence. If acceptable, correct the omission. Confirm the Life-qualification gate and any record change since selection.</x:v>
      </x:c>
      <x:c r="J429" s="7" t="str">
        <x:v>L1</x:v>
      </x:c>
      <x:c r="K429" s="7" t="str">
        <x:v>Verified qualifications do not include active general Life. Current target-pool mismatch; actual historical omission reason unknown.</x:v>
      </x:c>
      <x:c r="L429" s="7" t="str">
        <x:v>Not supplied; membership is known, motive is not</x:v>
      </x:c>
      <x:c r="M429" s="7" t="n">
        <x:v>7</x:v>
      </x:c>
      <x:c r="N429" s="7" t="str">
        <x:v>Outside current general-Life recruiting pool</x:v>
      </x:c>
      <x:c r="O429" s="7" t="str">
        <x:v>Not displayed</x:v>
      </x:c>
      <x:c r="P429" s="7" t="str"/>
      <x:c r="Q429" s="7" t="str"/>
      <x:c r="R429" s="7" t="str">
        <x:v>Casualty; Property</x:v>
      </x:c>
      <x:c r="S429" s="15" t="str"/>
      <x:c r="T429" s="7" t="str">
        <x:v>No public business phone in collected record</x:v>
      </x:c>
      <x:c r="U429" s="7" t="str">
        <x:v>1130 140TH AVE. NE STE. 200 BELLEVUE WA, 98005</x:v>
      </x:c>
      <x:c r="V429" s="7" t="str">
        <x:v>Non-resident</x:v>
      </x:c>
      <x:c r="W429" s="7" t="str">
        <x:v>WA</x:v>
      </x:c>
      <x:c r="X429" s="7" t="str"/>
      <x:c r="Y429" s="7" t="str">
        <x:v>COAST NATIONAL INSURANCE COMPANY / Casualty / 04/14/2026
COAST NATIONAL INSURANCE COMPANY / Property / 04/14/2026
FARMERS INSURANCE EXCHANGE / Casualty / 04/14/2026
FARMERS INSURANCE EXCHANGE / Property / 04/14/2026
FIRE INSURANCE EXCHANGE / Casualty / 04/14/2026
FIRE INSURANCE EXCHANGE / Property / 04/14/2026
FOREMOST INSURANCE COMPANY GRAND RAPIDS, MICHIGAN / Casualty / 04/14/2026
FOREMOST INSURANCE COMPANY GRAND RAPIDS, MICHIGAN / Property / 04/14/2026
MID-CENTURY INSURANCE COMPANY / Casualty / 04/14/2026
MID-CENTURY INSURANCE COMPANY / Property / 04/14/2026
TRUCK INSURANCE EXCHANGE / Casualty / 04/14/2026
TRUCK INSURANCE EXCHANGE / Property / 04/14/2026</x:v>
      </x:c>
      <x:c r="Z429" s="7" t="str"/>
      <x:c r="AA429" s="7" t="str"/>
      <x:c r="AB429" s="7" t="str"/>
      <x:c r="AC429" s="7" t="str"/>
      <x:c r="AD429" s="7" t="str"/>
      <x:c r="AE429"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429" s="16" t="str"/>
      <x:c r="AG429" s="17" t="str"/>
      <x:c r="AH429" s="7" t="str"/>
      <x:c r="AI429" s="7" t="str"/>
      <x:c r="AJ429" s="7" t="str"/>
      <x:c r="AK429" s="15" t="str"/>
      <x:c r="AL429" s="7" t="str"/>
      <x:c r="AM429" s="7" t="str">
        <x:v>AGUILAR FLORES  FATIMA</x:v>
      </x:c>
      <x:c r="AN429" s="7" t="str">
        <x:v>https://cdicloud.insurance.ca.gov/cal/LicenseDetail?SearchType=IND&amp;SearchLicNbr=4527845&amp;SearchIndvId=4527845</x:v>
      </x:c>
      <x:c r="AO429" s="7" t="str">
        <x:v>2026-10-08</x:v>
      </x:c>
      <x:c r="AP429" s="7" t="str">
        <x:v>6d8b426e9b8dd053a2614f7b01f6118585f213ea49aacb31a5440e9e8fa79179</x:v>
      </x:c>
      <x:c r="AQ429" s="7" t="str">
        <x:v>Casualty / Active / 02/09/2026 / 02/09/2026 / 02/29/2028
Property / Active / 02/09/2026 / 02/09/2026 / 02/29/2028</x:v>
      </x:c>
      <x:c r="AR429" s="7" t="str">
        <x:v>Active</x:v>
      </x:c>
      <x:c r="AS429" s="7" t="str">
        <x:v>Current detail page</x:v>
      </x:c>
    </x:row>
    <x:row r="430" ht="52" customHeight="1">
      <x:c r="A430" s="7" t="str">
        <x:v>AGUILAR FRANCES</x:v>
      </x:c>
      <x:c r="B430" s="14" t="str">
        <x:f>"0J09455"</x:f>
        <x:v>0J09455</x:v>
      </x:c>
      <x:c r="C430" s="7" t="str">
        <x:v>Omitted</x:v>
      </x:c>
      <x:c r="D430" s="7" t="str">
        <x:v>FAIL</x:v>
      </x:c>
      <x:c r="E430" s="13" t="str">
        <x:v>Pending</x:v>
      </x:c>
      <x:c r="F430" s="13" t="str"/>
      <x:c r="G430" s="13" t="str"/>
      <x:c r="H430" s="13" t="str"/>
      <x:c r="I430" s="7" t="str">
        <x:v>Was this person reviewed? If rejected, give the actual rule and evidence. If acceptable, correct the omission. Confirm the Life-qualification gate and any record change since selection.</x:v>
      </x:c>
      <x:c r="J430" s="7" t="str">
        <x:v>L1</x:v>
      </x:c>
      <x:c r="K430" s="7" t="str">
        <x:v>Verified qualifications do not include active general Life. Current target-pool mismatch; actual historical omission reason unknown.</x:v>
      </x:c>
      <x:c r="L430" s="7" t="str">
        <x:v>Not supplied; membership is known, motive is not</x:v>
      </x:c>
      <x:c r="M430" s="7" t="n">
        <x:v>7</x:v>
      </x:c>
      <x:c r="N430" s="7" t="str">
        <x:v>Outside current general-Life recruiting pool</x:v>
      </x:c>
      <x:c r="O430" s="7" t="str">
        <x:v>Not displayed</x:v>
      </x:c>
      <x:c r="P430" s="7" t="str"/>
      <x:c r="Q430" s="7" t="str"/>
      <x:c r="R430" s="7" t="str"/>
      <x:c r="S430" s="15" t="str"/>
      <x:c r="T430" s="7" t="str">
        <x:v>No public business phone in collected record</x:v>
      </x:c>
      <x:c r="U430" s="7" t="str"/>
      <x:c r="V430" s="7" t="str">
        <x:v>Resident</x:v>
      </x:c>
      <x:c r="W430" s="7" t="str">
        <x:v>CA</x:v>
      </x:c>
      <x:c r="X430" s="7" t="str"/>
      <x:c r="Y430" s="7" t="str"/>
      <x:c r="Z430" s="7" t="str"/>
      <x:c r="AA430" s="7" t="str"/>
      <x:c r="AB430" s="7" t="str"/>
      <x:c r="AC430" s="7" t="str"/>
      <x:c r="AD430" s="7" t="str">
        <x:v>No agency or insurer displayed: onboarding opportunity possible; existing business unknown</x:v>
      </x:c>
      <x:c r="AE430" s="7" t="str">
        <x:v>No public business phone: contact enrichment needed, not proof of poor recruiting fit</x:v>
      </x:c>
      <x:c r="AF430" s="16" t="str"/>
      <x:c r="AG430" s="17" t="str"/>
      <x:c r="AH430" s="7" t="str"/>
      <x:c r="AI430" s="7" t="str"/>
      <x:c r="AJ430" s="7" t="str"/>
      <x:c r="AK430" s="15" t="str"/>
      <x:c r="AL430" s="7" t="str"/>
      <x:c r="AM430" s="7" t="str">
        <x:v>AGUILAR  FRANCES</x:v>
      </x:c>
      <x:c r="AN430" s="7" t="str">
        <x:v>https://cdicloud.insurance.ca.gov/cal/LicenseDetail?SearchType=IND&amp;SearchLicNbr=0J09455&amp;SearchIndvId=1701766</x:v>
      </x:c>
      <x:c r="AO430" s="7" t="str">
        <x:v>2026-10-08</x:v>
      </x:c>
      <x:c r="AP430" s="7" t="str">
        <x:v>aa5ca2c530ff32dbb9d57c9eb718170d990295b8f70248ce7537ec760fcd946e</x:v>
      </x:c>
      <x:c r="AQ430" s="7" t="str">
        <x:v>Life-Only / Inactive / 09/25/2014 / 09/30/2016 / 09/30/2016</x:v>
      </x:c>
      <x:c r="AR430" s="7" t="str">
        <x:v>Inactive</x:v>
      </x:c>
      <x:c r="AS430" s="7" t="str">
        <x:v>Current detail page</x:v>
      </x:c>
    </x:row>
    <x:row r="431" ht="52" customHeight="1">
      <x:c r="A431" s="7" t="str">
        <x:v>AGUILAR FRANCISCO</x:v>
      </x:c>
      <x:c r="B431" s="14" t="str">
        <x:f>"0L44996"</x:f>
        <x:v>0L44996</x:v>
      </x:c>
      <x:c r="C431" s="7" t="str">
        <x:v>Omitted</x:v>
      </x:c>
      <x:c r="D431" s="7" t="str">
        <x:v>FAIL</x:v>
      </x:c>
      <x:c r="E431" s="13" t="str">
        <x:v>Pending</x:v>
      </x:c>
      <x:c r="F431" s="13" t="str"/>
      <x:c r="G431" s="13" t="str"/>
      <x:c r="H431" s="13" t="str"/>
      <x:c r="I431" s="7" t="str">
        <x:v>Was this person reviewed? If rejected, give the actual rule and evidence. If acceptable, correct the omission. Confirm the Life-qualification gate and any record change since selection.</x:v>
      </x:c>
      <x:c r="J431" s="7" t="str">
        <x:v>L1</x:v>
      </x:c>
      <x:c r="K431" s="7" t="str">
        <x:v>Verified qualifications do not include active general Life. Current target-pool mismatch; actual historical omission reason unknown.</x:v>
      </x:c>
      <x:c r="L431" s="7" t="str">
        <x:v>Not supplied; membership is known, motive is not</x:v>
      </x:c>
      <x:c r="M431" s="7" t="n">
        <x:v>7</x:v>
      </x:c>
      <x:c r="N431" s="7" t="str">
        <x:v>Outside current general-Life recruiting pool</x:v>
      </x:c>
      <x:c r="O431" s="7" t="str">
        <x:v>Not displayed</x:v>
      </x:c>
      <x:c r="P431" s="7" t="str"/>
      <x:c r="Q431" s="7" t="str"/>
      <x:c r="R431" s="7" t="str"/>
      <x:c r="S431" s="15" t="str"/>
      <x:c r="T431" s="7" t="str">
        <x:v>No public business phone in collected record</x:v>
      </x:c>
      <x:c r="U431" s="7" t="str"/>
      <x:c r="V431" s="7" t="str">
        <x:v>Non-resident</x:v>
      </x:c>
      <x:c r="W431" s="7" t="str">
        <x:v>TX</x:v>
      </x:c>
      <x:c r="X431" s="7" t="str"/>
      <x:c r="Y431" s="7" t="str"/>
      <x:c r="Z431" s="7" t="str"/>
      <x:c r="AA431" s="7" t="str"/>
      <x:c r="AB431" s="7" t="str"/>
      <x:c r="AC431" s="7" t="str"/>
      <x:c r="AD431" s="7" t="str">
        <x:v>No agency or insurer displayed: onboarding opportunity possible; existing business unknown</x:v>
      </x:c>
      <x:c r="AE431" s="7" t="str">
        <x:v>Nonresident or address state outside CA; confirm geographic recruiting scope | No public business phone: contact enrichment needed, not proof of poor recruiting fit</x:v>
      </x:c>
      <x:c r="AF431" s="16" t="str"/>
      <x:c r="AG431" s="17" t="str"/>
      <x:c r="AH431" s="7" t="str"/>
      <x:c r="AI431" s="7" t="str"/>
      <x:c r="AJ431" s="7" t="str"/>
      <x:c r="AK431" s="15" t="str"/>
      <x:c r="AL431" s="7" t="str"/>
      <x:c r="AM431" s="7" t="str">
        <x:v>AGUILAR  FRANCISCO</x:v>
      </x:c>
      <x:c r="AN431" s="7" t="str">
        <x:v>https://cdicloud.insurance.ca.gov/cal/LicenseDetail?SearchType=IND&amp;SearchLicNbr=0L44996&amp;SearchIndvId=1898711</x:v>
      </x:c>
      <x:c r="AO431" s="7" t="str">
        <x:v>2026-10-08</x:v>
      </x:c>
      <x:c r="AP431" s="7" t="str">
        <x:v>4b5ca3456737464b37149f4de54fd06f64bd27a445fedfd340a5519fda00b621</x:v>
      </x:c>
      <x:c r="AQ431" s="7" t="str">
        <x:v>Casualty Broker-Agent / Inactive / 12/15/2016 / 12/31/2018 / 12/31/2018
Property Broker-Agent / Inactive / 12/15/2016 / 12/31/2018 / 12/31/2018</x:v>
      </x:c>
      <x:c r="AR431" s="7" t="str">
        <x:v>Inactive</x:v>
      </x:c>
      <x:c r="AS431" s="7" t="str">
        <x:v>Current detail page</x:v>
      </x:c>
    </x:row>
    <x:row r="432" ht="52" customHeight="1">
      <x:c r="A432" s="7" t="str">
        <x:v>AGUILAR FRANCISCO AGUILAR</x:v>
      </x:c>
      <x:c r="B432" s="14" t="str">
        <x:f>"4084787"</x:f>
        <x:v>4084787</x:v>
      </x:c>
      <x:c r="C432" s="7" t="str">
        <x:v>Omitted</x:v>
      </x:c>
      <x:c r="D432" s="7" t="str">
        <x:v>FAIL</x:v>
      </x:c>
      <x:c r="E432" s="13" t="str">
        <x:v>Pending</x:v>
      </x:c>
      <x:c r="F432" s="13" t="str"/>
      <x:c r="G432" s="13" t="str"/>
      <x:c r="H432" s="13" t="str"/>
      <x:c r="I432" s="7" t="str">
        <x:v>Was this person reviewed? If rejected, give the actual rule and evidence. If acceptable, correct the omission. Confirm the Life-qualification gate and any record change since selection.</x:v>
      </x:c>
      <x:c r="J432" s="7" t="str">
        <x:v>L1</x:v>
      </x:c>
      <x:c r="K432" s="7" t="str">
        <x:v>Verified qualifications do not include active general Life. Current target-pool mismatch; actual historical omission reason unknown.</x:v>
      </x:c>
      <x:c r="L432" s="7" t="str">
        <x:v>Not supplied; membership is known, motive is not</x:v>
      </x:c>
      <x:c r="M432" s="7" t="n">
        <x:v>7</x:v>
      </x:c>
      <x:c r="N432" s="7" t="str">
        <x:v>Outside current general-Life recruiting pool</x:v>
      </x:c>
      <x:c r="O432" s="7" t="str">
        <x:v>Not displayed</x:v>
      </x:c>
      <x:c r="P432" s="7" t="str"/>
      <x:c r="Q432" s="7" t="str"/>
      <x:c r="R432" s="7" t="str">
        <x:v>Casualty; Property</x:v>
      </x:c>
      <x:c r="S432" s="15" t="str">
        <x:v>310-200-2544</x:v>
      </x:c>
      <x:c r="T432" s="7" t="str">
        <x:v>Current CDI</x:v>
      </x:c>
      <x:c r="U432" s="7" t="str">
        <x:v>1712 W 149TH #A GARDENA CA, 90247</x:v>
      </x:c>
      <x:c r="V432" s="7" t="str">
        <x:v>Resident</x:v>
      </x:c>
      <x:c r="W432" s="7" t="str">
        <x:v>CA</x:v>
      </x:c>
      <x:c r="X432" s="7" t="str"/>
      <x:c r="Y432" s="7" t="str">
        <x:v>AMERICAN PET INSURANCE COMPANY / Casualty / 12/08/2020
AMERICAN PET INSURANCE COMPANY / Property / 12/08/2020</x:v>
      </x:c>
      <x:c r="Z432" s="7" t="str"/>
      <x:c r="AA432" s="7" t="str"/>
      <x:c r="AB432" s="7" t="str"/>
      <x:c r="AC432" s="7" t="str"/>
      <x:c r="AD432" s="7" t="str"/>
      <x:c r="AE432" s="7" t="str">
        <x:v>P&amp;C/Personal Lines authority without displayed core Life appointments; mixed profile requires review</x:v>
      </x:c>
      <x:c r="AF432" s="16" t="str"/>
      <x:c r="AG432" s="17" t="str"/>
      <x:c r="AH432" s="7" t="str"/>
      <x:c r="AI432" s="7" t="str">
        <x:v>English</x:v>
      </x:c>
      <x:c r="AJ432" s="7" t="str"/>
      <x:c r="AK432" s="15" t="str"/>
      <x:c r="AL432" s="7" t="str"/>
      <x:c r="AM432" s="7" t="str">
        <x:v>AGUILAR AGUILAR FRANCISCO | Aguilar E Francisco</x:v>
      </x:c>
      <x:c r="AN432" s="7" t="str">
        <x:v>https://cdicloud.insurance.ca.gov/cal/LicenseDetail?SearchType=IND&amp;SearchLicNbr=4084787&amp;SearchIndvId=4084787</x:v>
      </x:c>
      <x:c r="AO432" s="7" t="str">
        <x:v>2026-10-08</x:v>
      </x:c>
      <x:c r="AP432" s="7" t="str">
        <x:v>40e03213c27d09312ed5a3c891cccaf55e87fea163c2605e0908059527822ab6</x:v>
      </x:c>
      <x:c r="AQ432" s="7" t="str">
        <x:v>Casualty / Active / 12/02/2020 / 12/02/2020 / 12/31/2026
Property / Active / 12/02/2020 / 12/02/2020 / 12/31/2026</x:v>
      </x:c>
      <x:c r="AR432" s="7" t="str">
        <x:v>Active</x:v>
      </x:c>
      <x:c r="AS432" s="7" t="str">
        <x:v>Current detail page</x:v>
      </x:c>
    </x:row>
    <x:row r="433" ht="52" customHeight="1">
      <x:c r="A433" s="7" t="str">
        <x:v>AGUILAR FRANCISCO DANIEL</x:v>
      </x:c>
      <x:c r="B433" s="14" t="str">
        <x:f>"4085030"</x:f>
        <x:v>4085030</x:v>
      </x:c>
      <x:c r="C433" s="7" t="str">
        <x:v>Omitted</x:v>
      </x:c>
      <x:c r="D433" s="7" t="str">
        <x:v>FAIL</x:v>
      </x:c>
      <x:c r="E433" s="13" t="str">
        <x:v>Pending</x:v>
      </x:c>
      <x:c r="F433" s="13" t="str"/>
      <x:c r="G433" s="13" t="str"/>
      <x:c r="H433" s="13" t="str"/>
      <x:c r="I433" s="7" t="str">
        <x:v>Was this person reviewed? If rejected, give the actual rule and evidence. If acceptable, correct the omission. Confirm the Life-qualification gate and any record change since selection.</x:v>
      </x:c>
      <x:c r="J433" s="7" t="str">
        <x:v>L1</x:v>
      </x:c>
      <x:c r="K433" s="7" t="str">
        <x:v>Verified qualifications do not include active general Life. Current target-pool mismatch; actual historical omission reason unknown.</x:v>
      </x:c>
      <x:c r="L433" s="7" t="str">
        <x:v>Not supplied; membership is known, motive is not</x:v>
      </x:c>
      <x:c r="M433" s="7" t="n">
        <x:v>7</x:v>
      </x:c>
      <x:c r="N433" s="7" t="str">
        <x:v>Outside current general-Life recruiting pool</x:v>
      </x:c>
      <x:c r="O433" s="7" t="str">
        <x:v>Not displayed</x:v>
      </x:c>
      <x:c r="P433" s="7" t="str"/>
      <x:c r="Q433" s="7" t="str"/>
      <x:c r="R433" s="7" t="str">
        <x:v>Personal Lines</x:v>
      </x:c>
      <x:c r="S433" s="15" t="str"/>
      <x:c r="T433" s="7" t="str">
        <x:v>No public business phone in collected record</x:v>
      </x:c>
      <x:c r="U433" s="7" t="str">
        <x:v>903 E 35TH ST TUCSON AZ, 85713-4938</x:v>
      </x:c>
      <x:c r="V433" s="7" t="str">
        <x:v>Non-resident</x:v>
      </x:c>
      <x:c r="W433" s="7" t="str">
        <x:v>AZ</x:v>
      </x:c>
      <x:c r="X433" s="7" t="str">
        <x:v>GEICO INSURANCE AGENCY, LLC / Personal Lines / 08/18/2026</x:v>
      </x:c>
      <x:c r="Y433" s="7" t="str">
        <x:v>GEICO PROTECTION INSURANCE COMPANY / Personal Lines / 01/03/2026</x:v>
      </x:c>
      <x:c r="Z433" s="7" t="str"/>
      <x:c r="AA433" s="7" t="str"/>
      <x:c r="AB433" s="7" t="str"/>
      <x:c r="AC433" s="7" t="str"/>
      <x:c r="AD433" s="7" t="str"/>
      <x:c r="AE433"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433" s="16" t="str"/>
      <x:c r="AG433" s="17" t="str"/>
      <x:c r="AH433" s="7" t="str"/>
      <x:c r="AI433" s="7" t="str"/>
      <x:c r="AJ433" s="7" t="str"/>
      <x:c r="AK433" s="15" t="str"/>
      <x:c r="AL433" s="7" t="str"/>
      <x:c r="AM433" s="7" t="str">
        <x:v>AGUILAR DANIEL FRANCISCO</x:v>
      </x:c>
      <x:c r="AN433" s="7" t="str">
        <x:v>https://cdicloud.insurance.ca.gov/cal/LicenseDetail?SearchType=IND&amp;SearchLicNbr=4085030&amp;SearchIndvId=4085030</x:v>
      </x:c>
      <x:c r="AO433" s="7" t="str">
        <x:v>2026-10-08</x:v>
      </x:c>
      <x:c r="AP433" s="7" t="str">
        <x:v>de246f94b6d4c343c42c3a1a6fb193567ca1964acf334b2e6cc39aa4a821b0f7</x:v>
      </x:c>
      <x:c r="AQ433" s="7" t="str">
        <x:v>Personal Lines / Active / 12/16/2025 / 12/16/2025 / 12/31/2027
Accident &amp; Health or Sickness / Inactive / 11/02/2020 / 11/30/2024 / 11/30/2024</x:v>
      </x:c>
      <x:c r="AR433" s="7" t="str">
        <x:v>Active</x:v>
      </x:c>
      <x:c r="AS433" s="7" t="str">
        <x:v>Current detail page</x:v>
      </x:c>
    </x:row>
    <x:row r="434" ht="52" customHeight="1">
      <x:c r="A434" s="7" t="str">
        <x:v>AGUILAR FRANCO</x:v>
      </x:c>
      <x:c r="B434" s="14" t="str">
        <x:f>"4430148"</x:f>
        <x:v>4430148</x:v>
      </x:c>
      <x:c r="C434" s="7" t="str">
        <x:v>Omitted</x:v>
      </x:c>
      <x:c r="D434" s="7" t="str">
        <x:v>FAIL</x:v>
      </x:c>
      <x:c r="E434" s="13" t="str">
        <x:v>Pending</x:v>
      </x:c>
      <x:c r="F434" s="13" t="str"/>
      <x:c r="G434" s="13" t="str"/>
      <x:c r="H434" s="13" t="str"/>
      <x:c r="I434" s="7" t="str">
        <x:v>Was this person reviewed? If rejected, give the actual rule and evidence. If acceptable, correct the omission. Confirm the Life-qualification gate and any record change since selection.</x:v>
      </x:c>
      <x:c r="J434" s="7" t="str">
        <x:v>L1</x:v>
      </x:c>
      <x:c r="K434" s="7" t="str">
        <x:v>Verified qualifications do not include active general Life. Current target-pool mismatch; actual historical omission reason unknown.</x:v>
      </x:c>
      <x:c r="L434" s="7" t="str">
        <x:v>Not supplied; membership is known, motive is not</x:v>
      </x:c>
      <x:c r="M434" s="7" t="n">
        <x:v>7</x:v>
      </x:c>
      <x:c r="N434" s="7" t="str">
        <x:v>Outside current general-Life recruiting pool</x:v>
      </x:c>
      <x:c r="O434" s="7" t="str">
        <x:v>Not displayed</x:v>
      </x:c>
      <x:c r="P434" s="7" t="str"/>
      <x:c r="Q434" s="7" t="str"/>
      <x:c r="R434" s="7" t="str">
        <x:v>Personal Lines</x:v>
      </x:c>
      <x:c r="S434" s="15" t="str"/>
      <x:c r="T434" s="7" t="str">
        <x:v>No public business phone in collected record</x:v>
      </x:c>
      <x:c r="U434" s="7" t="str">
        <x:v>1855 TELSTAR DRIVE COLORADO SPRINGS CO, 80920</x:v>
      </x:c>
      <x:c r="V434" s="7" t="str">
        <x:v>Non-resident</x:v>
      </x:c>
      <x:c r="W434" s="7" t="str">
        <x:v>CO</x:v>
      </x:c>
      <x:c r="X434" s="7" t="str"/>
      <x:c r="Y434" s="7" t="str">
        <x:v>GARRISON PROPERTY AND CASUALTY INSURANCE COMPANY / Personal Lines / 01/23/2025
UNITED SERVICES AUTOMOBILE ASSOCIATION / Personal Lines / 01/23/2025
USAA CASUALTY INSURANCE COMPANY / Personal Lines / 01/23/2025
USAA GENERAL INDEMNITY COMPANY / Personal Lines / 01/23/2025</x:v>
      </x:c>
      <x:c r="Z434" s="7" t="str"/>
      <x:c r="AA434" s="7" t="str"/>
      <x:c r="AB434" s="7" t="str"/>
      <x:c r="AC434" s="7" t="str"/>
      <x:c r="AD434" s="7" t="str"/>
      <x:c r="AE434"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434" s="16" t="str"/>
      <x:c r="AG434" s="17" t="str"/>
      <x:c r="AH434" s="7" t="str"/>
      <x:c r="AI434" s="7" t="str"/>
      <x:c r="AJ434" s="7" t="str"/>
      <x:c r="AK434" s="15" t="str"/>
      <x:c r="AL434" s="7" t="str"/>
      <x:c r="AM434" s="7" t="str">
        <x:v>AGUILAR  FRANCO</x:v>
      </x:c>
      <x:c r="AN434" s="7" t="str">
        <x:v>https://cdicloud.insurance.ca.gov/cal/LicenseDetail?SearchType=IND&amp;SearchLicNbr=4430148&amp;SearchIndvId=4430148</x:v>
      </x:c>
      <x:c r="AO434" s="7" t="str">
        <x:v>2026-10-08</x:v>
      </x:c>
      <x:c r="AP434" s="7" t="str">
        <x:v>864c1711d4df4d63d070f40e69b7f807a97dcefc3cf9f089d27a032f98183035</x:v>
      </x:c>
      <x:c r="AQ434" s="7" t="str">
        <x:v>Personal Lines / Active / 01/21/2025 / 01/21/2025 / 01/31/2027</x:v>
      </x:c>
      <x:c r="AR434" s="7" t="str">
        <x:v>Active</x:v>
      </x:c>
      <x:c r="AS434" s="7" t="str">
        <x:v>Current detail page</x:v>
      </x:c>
    </x:row>
    <x:row r="435" ht="52" customHeight="1">
      <x:c r="A435" s="7" t="str">
        <x:v>AGUILAR FRANK</x:v>
      </x:c>
      <x:c r="B435" s="14" t="str">
        <x:f>"0L09317"</x:f>
        <x:v>0L09317</x:v>
      </x:c>
      <x:c r="C435" s="7" t="str">
        <x:v>Omitted</x:v>
      </x:c>
      <x:c r="D435" s="7" t="str">
        <x:v>FAIL</x:v>
      </x:c>
      <x:c r="E435" s="13" t="str">
        <x:v>Pending</x:v>
      </x:c>
      <x:c r="F435" s="13" t="str"/>
      <x:c r="G435" s="13" t="str"/>
      <x:c r="H435" s="13" t="str"/>
      <x:c r="I435" s="7" t="str">
        <x:v>Was this person reviewed? If rejected, give the actual rule and evidence. If acceptable, correct the omission. Confirm the Life-qualification gate and any record change since selection.</x:v>
      </x:c>
      <x:c r="J435" s="7" t="str">
        <x:v>L1</x:v>
      </x:c>
      <x:c r="K435" s="7" t="str">
        <x:v>Verified qualifications do not include active general Life. Current target-pool mismatch; actual historical omission reason unknown.</x:v>
      </x:c>
      <x:c r="L435" s="7" t="str">
        <x:v>Not supplied; membership is known, motive is not</x:v>
      </x:c>
      <x:c r="M435" s="7" t="n">
        <x:v>7</x:v>
      </x:c>
      <x:c r="N435" s="7" t="str">
        <x:v>Outside current general-Life recruiting pool</x:v>
      </x:c>
      <x:c r="O435" s="7" t="str">
        <x:v>Not displayed</x:v>
      </x:c>
      <x:c r="P435" s="7" t="str"/>
      <x:c r="Q435" s="7" t="str"/>
      <x:c r="R435" s="7" t="str"/>
      <x:c r="S435" s="15" t="str"/>
      <x:c r="T435" s="7" t="str">
        <x:v>No public business phone in collected record</x:v>
      </x:c>
      <x:c r="U435" s="7" t="str"/>
      <x:c r="V435" s="7" t="str">
        <x:v>Non-resident</x:v>
      </x:c>
      <x:c r="W435" s="7" t="str">
        <x:v>NV</x:v>
      </x:c>
      <x:c r="X435" s="7" t="str"/>
      <x:c r="Y435" s="7" t="str"/>
      <x:c r="Z435" s="7" t="str"/>
      <x:c r="AA435" s="7" t="str"/>
      <x:c r="AB435" s="7" t="str"/>
      <x:c r="AC435" s="7" t="str"/>
      <x:c r="AD435" s="7" t="str">
        <x:v>No agency or insurer displayed: onboarding opportunity possible; existing business unknown</x:v>
      </x:c>
      <x:c r="AE435" s="7" t="str">
        <x:v>Nonresident or address state outside CA; confirm geographic recruiting scope | No public business phone: contact enrichment needed, not proof of poor recruiting fit</x:v>
      </x:c>
      <x:c r="AF435" s="16" t="str"/>
      <x:c r="AG435" s="17" t="str"/>
      <x:c r="AH435" s="7" t="str"/>
      <x:c r="AI435" s="7" t="str"/>
      <x:c r="AJ435" s="7" t="str"/>
      <x:c r="AK435" s="15" t="str"/>
      <x:c r="AL435" s="7" t="str"/>
      <x:c r="AM435" s="7" t="str">
        <x:v>AGUILAR  FRANK</x:v>
      </x:c>
      <x:c r="AN435" s="7" t="str">
        <x:v>https://cdicloud.insurance.ca.gov/cal/LicenseDetail?SearchType=IND&amp;SearchLicNbr=0L09317&amp;SearchIndvId=1854128</x:v>
      </x:c>
      <x:c r="AO435" s="7" t="str">
        <x:v>2026-10-08</x:v>
      </x:c>
      <x:c r="AP435" s="7" t="str">
        <x:v>55455fffbe01bab46b1ffe486e7a7a95e6b91f803d606423463baa55643cffaf</x:v>
      </x:c>
      <x:c r="AQ435" s="7" t="str">
        <x:v>Accident and Health / Inactive / 08/30/2016 / 08/31/2020 / 08/31/2020
Life-Only / Inactive / 08/30/2016 / 08/31/2020 / 08/31/2020
Variable Contracts / Inactive / 08/30/2016 / 08/31/2020 / 08/31/2020</x:v>
      </x:c>
      <x:c r="AR435" s="7" t="str">
        <x:v>Inactive</x:v>
      </x:c>
      <x:c r="AS435" s="7" t="str">
        <x:v>Current detail page</x:v>
      </x:c>
    </x:row>
    <x:row r="436" ht="52" customHeight="1">
      <x:c r="A436" s="7" t="str">
        <x:v>AGUILAR FRED RAMOS</x:v>
      </x:c>
      <x:c r="B436" s="14" t="str">
        <x:f>"0597786"</x:f>
        <x:v>0597786</x:v>
      </x:c>
      <x:c r="C436" s="7" t="str">
        <x:v>Omitted</x:v>
      </x:c>
      <x:c r="D436" s="7" t="str">
        <x:v>FAIL</x:v>
      </x:c>
      <x:c r="E436" s="13" t="str">
        <x:v>Pending</x:v>
      </x:c>
      <x:c r="F436" s="13" t="str"/>
      <x:c r="G436" s="13" t="str"/>
      <x:c r="H436" s="13" t="str"/>
      <x:c r="I436" s="7" t="str">
        <x:v>Was this person reviewed? If rejected, give the actual rule and evidence. If acceptable, correct the omission. Confirm the Life-qualification gate and any record change since selection.</x:v>
      </x:c>
      <x:c r="J436" s="7" t="str">
        <x:v>L1</x:v>
      </x:c>
      <x:c r="K436" s="7" t="str">
        <x:v>Verified qualifications do not include active general Life. Current target-pool mismatch; actual historical omission reason unknown.</x:v>
      </x:c>
      <x:c r="L436" s="7" t="str">
        <x:v>Not supplied; membership is known, motive is not</x:v>
      </x:c>
      <x:c r="M436" s="7" t="n">
        <x:v>7</x:v>
      </x:c>
      <x:c r="N436" s="7" t="str">
        <x:v>Outside current general-Life recruiting pool</x:v>
      </x:c>
      <x:c r="O436" s="7" t="str">
        <x:v>Not displayed</x:v>
      </x:c>
      <x:c r="P436" s="7" t="str"/>
      <x:c r="Q436" s="7" t="str"/>
      <x:c r="R436" s="7" t="str"/>
      <x:c r="S436" s="15" t="str"/>
      <x:c r="T436" s="7" t="str">
        <x:v>No public business phone in collected record</x:v>
      </x:c>
      <x:c r="U436" s="7" t="str"/>
      <x:c r="V436" s="7" t="str">
        <x:v>Resident</x:v>
      </x:c>
      <x:c r="W436" s="7" t="str">
        <x:v>CA</x:v>
      </x:c>
      <x:c r="X436" s="7" t="str"/>
      <x:c r="Y436" s="7" t="str"/>
      <x:c r="Z436" s="7" t="str"/>
      <x:c r="AA436" s="7" t="str"/>
      <x:c r="AB436" s="7" t="str"/>
      <x:c r="AC436" s="7" t="str"/>
      <x:c r="AD436" s="7" t="str">
        <x:v>No agency or insurer displayed: onboarding opportunity possible; existing business unknown</x:v>
      </x:c>
      <x:c r="AE436" s="7" t="str">
        <x:v>No public business phone: contact enrichment needed, not proof of poor recruiting fit</x:v>
      </x:c>
      <x:c r="AF436" s="16" t="str"/>
      <x:c r="AG436" s="17" t="str"/>
      <x:c r="AH436" s="7" t="str"/>
      <x:c r="AI436" s="7" t="str"/>
      <x:c r="AJ436" s="7" t="str"/>
      <x:c r="AK436" s="15" t="str"/>
      <x:c r="AL436" s="7" t="str"/>
      <x:c r="AM436" s="7" t="str">
        <x:v>AGUILAR RAMOS FRED</x:v>
      </x:c>
      <x:c r="AN436" s="7" t="str">
        <x:v>https://cdicloud.insurance.ca.gov/cal/LicenseDetail?SearchType=IND&amp;SearchLicNbr=0597786&amp;SearchIndvId=388962</x:v>
      </x:c>
      <x:c r="AO436" s="7" t="str">
        <x:v>2026-10-08</x:v>
      </x:c>
      <x:c r="AP436" s="7" t="str">
        <x:v>de7df6e388775bb7f024f42e27ff569e6a9d92c4d361a60a02c52b06dc78c5d1</x:v>
      </x:c>
      <x:c r="AQ436" s="7" t="str">
        <x:v>Accident and Health / Voluntary Surrender / 01/19/1984 / 10/18/2004 / 10/18/2004
Casualty Broker-Agent / Voluntary Surrender / 12/16/1980 / 10/18/2004 / 10/18/2004
Life-Only / Voluntary Surrender / 01/19/1984 / 10/18/2004 / 10/18/2004
Property Broker-Agent / Voluntary Surrender / 12/16/1980 / 10/18/2004 / 10/18/2004
Variable Contracts / Voluntary Surrender / 11/08/1989 / 10/18/2004 / 10/18/2004</x:v>
      </x:c>
      <x:c r="AR436" s="7" t="str">
        <x:v>Voluntary Surrender</x:v>
      </x:c>
      <x:c r="AS436" s="7" t="str">
        <x:v>Current detail page</x:v>
      </x:c>
    </x:row>
    <x:row r="437" ht="52" customHeight="1">
      <x:c r="A437" s="7" t="str">
        <x:v>AGUILAR GABRIEL</x:v>
      </x:c>
      <x:c r="B437" s="14" t="str">
        <x:f>"4317636"</x:f>
        <x:v>4317636</x:v>
      </x:c>
      <x:c r="C437" s="7" t="str">
        <x:v>Omitted</x:v>
      </x:c>
      <x:c r="D437" s="7" t="str">
        <x:v>FAIL</x:v>
      </x:c>
      <x:c r="E437" s="13" t="str">
        <x:v>Pending</x:v>
      </x:c>
      <x:c r="F437" s="13" t="str"/>
      <x:c r="G437" s="13" t="str"/>
      <x:c r="H437" s="13" t="str"/>
      <x:c r="I437" s="7" t="str">
        <x:v>Was this person reviewed? If rejected, give the actual rule and evidence. If acceptable, correct the omission. Confirm the Life-qualification gate and any record change since selection.</x:v>
      </x:c>
      <x:c r="J437" s="7" t="str">
        <x:v>L1</x:v>
      </x:c>
      <x:c r="K437" s="7" t="str">
        <x:v>Verified qualifications do not include active general Life. Current target-pool mismatch; actual historical omission reason unknown.</x:v>
      </x:c>
      <x:c r="L437" s="7" t="str">
        <x:v>Not supplied; membership is known, motive is not</x:v>
      </x:c>
      <x:c r="M437" s="7" t="n">
        <x:v>7</x:v>
      </x:c>
      <x:c r="N437" s="7" t="str">
        <x:v>Outside current general-Life recruiting pool</x:v>
      </x:c>
      <x:c r="O437" s="7" t="str">
        <x:v>Inactive</x:v>
      </x:c>
      <x:c r="P437" s="7" t="str">
        <x:v>08/29/2023</x:v>
      </x:c>
      <x:c r="Q437" s="7" t="str">
        <x:v>08/31/2025</x:v>
      </x:c>
      <x:c r="R437" s="7" t="str"/>
      <x:c r="S437" s="15" t="str"/>
      <x:c r="T437" s="7" t="str">
        <x:v>No public business phone in collected record</x:v>
      </x:c>
      <x:c r="U437" s="7" t="str">
        <x:v>1105 14TH ST MODESTO CA, 95354</x:v>
      </x:c>
      <x:c r="V437" s="7" t="str">
        <x:v>Resident</x:v>
      </x:c>
      <x:c r="W437" s="7" t="str">
        <x:v>CA</x:v>
      </x:c>
      <x:c r="X437" s="7" t="str"/>
      <x:c r="Y437" s="7" t="str"/>
      <x:c r="Z437" s="7" t="str"/>
      <x:c r="AA437" s="7" t="str"/>
      <x:c r="AB437" s="7" t="str"/>
      <x:c r="AC437" s="7" t="str"/>
      <x:c r="AD437" s="7" t="str">
        <x:v>No agency or insurer displayed: onboarding opportunity possible; existing business unknown</x:v>
      </x:c>
      <x:c r="AE437" s="7" t="str">
        <x:v>No public business phone: contact enrichment needed, not proof of poor recruiting fit</x:v>
      </x:c>
      <x:c r="AF437" s="16" t="str"/>
      <x:c r="AG437" s="17" t="str"/>
      <x:c r="AH437" s="7" t="str"/>
      <x:c r="AI437" s="7" t="str">
        <x:v>English</x:v>
      </x:c>
      <x:c r="AJ437" s="7" t="str"/>
      <x:c r="AK437" s="15" t="str"/>
      <x:c r="AL437" s="7" t="str"/>
      <x:c r="AM437" s="7" t="str">
        <x:v>AGUILAR  GABRIEL</x:v>
      </x:c>
      <x:c r="AN437" s="7" t="str">
        <x:v>https://cdicloud.insurance.ca.gov/cal/LicenseDetail?SearchType=IND&amp;SearchLicNbr=4317636&amp;SearchIndvId=4317636</x:v>
      </x:c>
      <x:c r="AO437" s="7" t="str">
        <x:v>2026-10-08</x:v>
      </x:c>
      <x:c r="AP437" s="7" t="str">
        <x:v>9d31ccd747895e44f5d52a6f9d34544569beb7cf650999a54b5e1df4e925deba</x:v>
      </x:c>
      <x:c r="AQ437" s="7" t="str">
        <x:v>Life / Inactive / 08/29/2023 / 08/31/2025 / 08/31/2025</x:v>
      </x:c>
      <x:c r="AR437" s="7" t="str">
        <x:v>Inactive</x:v>
      </x:c>
      <x:c r="AS437" s="7" t="str">
        <x:v>Current detail page</x:v>
      </x:c>
    </x:row>
    <x:row r="438" ht="52" customHeight="1">
      <x:c r="A438" s="7" t="str">
        <x:v>AGUILAR GABRIEL ELI</x:v>
      </x:c>
      <x:c r="B438" s="14" t="str">
        <x:f>"0F77586"</x:f>
        <x:v>0F77586</x:v>
      </x:c>
      <x:c r="C438" s="7" t="str">
        <x:v>Omitted</x:v>
      </x:c>
      <x:c r="D438" s="7" t="str">
        <x:v>FAIL</x:v>
      </x:c>
      <x:c r="E438" s="13" t="str">
        <x:v>Pending</x:v>
      </x:c>
      <x:c r="F438" s="13" t="str"/>
      <x:c r="G438" s="13" t="str"/>
      <x:c r="H438" s="13" t="str"/>
      <x:c r="I438" s="7" t="str">
        <x:v>Was this person reviewed? If rejected, give the actual rule and evidence. If acceptable, correct the omission. Confirm the Life-qualification gate and any record change since selection.</x:v>
      </x:c>
      <x:c r="J438" s="7" t="str">
        <x:v>L1</x:v>
      </x:c>
      <x:c r="K438" s="7" t="str">
        <x:v>Verified qualifications do not include active general Life. Current target-pool mismatch; actual historical omission reason unknown.</x:v>
      </x:c>
      <x:c r="L438" s="7" t="str">
        <x:v>Not supplied; membership is known, motive is not</x:v>
      </x:c>
      <x:c r="M438" s="7" t="n">
        <x:v>7</x:v>
      </x:c>
      <x:c r="N438" s="7" t="str">
        <x:v>Outside current general-Life recruiting pool</x:v>
      </x:c>
      <x:c r="O438" s="7" t="str">
        <x:v>Not displayed</x:v>
      </x:c>
      <x:c r="P438" s="7" t="str"/>
      <x:c r="Q438" s="7" t="str"/>
      <x:c r="R438" s="7" t="str"/>
      <x:c r="S438" s="15" t="str"/>
      <x:c r="T438" s="7" t="str">
        <x:v>No public business phone in collected record</x:v>
      </x:c>
      <x:c r="U438" s="7" t="str"/>
      <x:c r="V438" s="7" t="str">
        <x:v>Resident</x:v>
      </x:c>
      <x:c r="W438" s="7" t="str">
        <x:v>CA</x:v>
      </x:c>
      <x:c r="X438" s="7" t="str"/>
      <x:c r="Y438" s="7" t="str"/>
      <x:c r="Z438" s="7" t="str"/>
      <x:c r="AA438" s="7" t="str"/>
      <x:c r="AB438" s="7" t="str"/>
      <x:c r="AC438" s="7" t="str"/>
      <x:c r="AD438" s="7" t="str">
        <x:v>No agency or insurer displayed: onboarding opportunity possible; existing business unknown</x:v>
      </x:c>
      <x:c r="AE438" s="7" t="str">
        <x:v>No public business phone: contact enrichment needed, not proof of poor recruiting fit</x:v>
      </x:c>
      <x:c r="AF438" s="16" t="str"/>
      <x:c r="AG438" s="17" t="str"/>
      <x:c r="AH438" s="7" t="str"/>
      <x:c r="AI438" s="7" t="str"/>
      <x:c r="AJ438" s="7" t="str"/>
      <x:c r="AK438" s="15" t="str"/>
      <x:c r="AL438" s="7" t="str"/>
      <x:c r="AM438" s="7" t="str">
        <x:v>AGUILAR ELI GABRIEL</x:v>
      </x:c>
      <x:c r="AN438" s="7" t="str">
        <x:v>https://cdicloud.insurance.ca.gov/cal/LicenseDetail?SearchType=IND&amp;SearchLicNbr=0F77586&amp;SearchIndvId=1097095</x:v>
      </x:c>
      <x:c r="AO438" s="7" t="str">
        <x:v>2026-10-08</x:v>
      </x:c>
      <x:c r="AP438" s="7" t="str">
        <x:v>6a056d8f1389448ff96d2eee08a3e0658104df474ecbf85ef64b1ca891c1b6b6</x:v>
      </x:c>
      <x:c r="AQ438" s="7" t="str">
        <x:v>Accident and Health / Inactive / 08/16/2007 / 08/31/2009 / 08/31/2009
Life-Only / Inactive / 08/16/2007 / 08/31/2009 / 08/31/2009</x:v>
      </x:c>
      <x:c r="AR438" s="7" t="str">
        <x:v>Inactive</x:v>
      </x:c>
      <x:c r="AS438" s="7" t="str">
        <x:v>Current detail page</x:v>
      </x:c>
    </x:row>
    <x:row r="439" ht="52" customHeight="1">
      <x:c r="A439" s="7" t="str">
        <x:v>AGUILAR GABRIEL IVAN</x:v>
      </x:c>
      <x:c r="B439" s="14" t="str">
        <x:f>"0F15542"</x:f>
        <x:v>0F15542</x:v>
      </x:c>
      <x:c r="C439" s="7" t="str">
        <x:v>Omitted</x:v>
      </x:c>
      <x:c r="D439" s="7" t="str">
        <x:v>FAIL</x:v>
      </x:c>
      <x:c r="E439" s="13" t="str">
        <x:v>Pending</x:v>
      </x:c>
      <x:c r="F439" s="13" t="str"/>
      <x:c r="G439" s="13" t="str"/>
      <x:c r="H439" s="13" t="str"/>
      <x:c r="I439" s="7" t="str">
        <x:v>Was this person reviewed? If rejected, give the actual rule and evidence. If acceptable, correct the omission. Confirm the Life-qualification gate and any record change since selection.</x:v>
      </x:c>
      <x:c r="J439" s="7" t="str">
        <x:v>L1</x:v>
      </x:c>
      <x:c r="K439" s="7" t="str">
        <x:v>Verified qualifications do not include active general Life. Current target-pool mismatch; actual historical omission reason unknown.</x:v>
      </x:c>
      <x:c r="L439" s="7" t="str">
        <x:v>Not supplied; membership is known, motive is not</x:v>
      </x:c>
      <x:c r="M439" s="7" t="n">
        <x:v>7</x:v>
      </x:c>
      <x:c r="N439" s="7" t="str">
        <x:v>Outside current general-Life recruiting pool</x:v>
      </x:c>
      <x:c r="O439" s="7" t="str">
        <x:v>Not displayed</x:v>
      </x:c>
      <x:c r="P439" s="7" t="str"/>
      <x:c r="Q439" s="7" t="str"/>
      <x:c r="R439" s="7" t="str"/>
      <x:c r="S439" s="15" t="str"/>
      <x:c r="T439" s="7" t="str">
        <x:v>No public business phone in collected record</x:v>
      </x:c>
      <x:c r="U439" s="7" t="str"/>
      <x:c r="V439" s="7" t="str">
        <x:v>Non-resident</x:v>
      </x:c>
      <x:c r="W439" s="7" t="str">
        <x:v>MO</x:v>
      </x:c>
      <x:c r="X439" s="7" t="str"/>
      <x:c r="Y439" s="7" t="str"/>
      <x:c r="Z439" s="7" t="str"/>
      <x:c r="AA439" s="7" t="str"/>
      <x:c r="AB439" s="7" t="str"/>
      <x:c r="AC439" s="7" t="str"/>
      <x:c r="AD439" s="7" t="str">
        <x:v>No agency or insurer displayed: onboarding opportunity possible; existing business unknown</x:v>
      </x:c>
      <x:c r="AE439" s="7" t="str">
        <x:v>Nonresident or address state outside CA; confirm geographic recruiting scope | No public business phone: contact enrichment needed, not proof of poor recruiting fit</x:v>
      </x:c>
      <x:c r="AF439" s="16" t="str"/>
      <x:c r="AG439" s="17" t="str"/>
      <x:c r="AH439" s="7" t="str"/>
      <x:c r="AI439" s="7" t="str"/>
      <x:c r="AJ439" s="7" t="str"/>
      <x:c r="AK439" s="15" t="str"/>
      <x:c r="AL439" s="7" t="str"/>
      <x:c r="AM439" s="7" t="str">
        <x:v>AGUILAR IVAN GABRIEL</x:v>
      </x:c>
      <x:c r="AN439" s="7" t="str">
        <x:v>https://cdicloud.insurance.ca.gov/cal/LicenseDetail?SearchType=IND&amp;SearchLicNbr=0F15542&amp;SearchIndvId=1004321</x:v>
      </x:c>
      <x:c r="AO439" s="7" t="str">
        <x:v>2026-10-08</x:v>
      </x:c>
      <x:c r="AP439" s="7" t="str">
        <x:v>1e5e4301c7ed1958cc176959438e4a762fb39da7a6b25374bb2ae7813fca3b48</x:v>
      </x:c>
      <x:c r="AQ439" s="7" t="str">
        <x:v>Casualty Broker-Agent / Inactive / 04/12/2006 / 04/30/2008 / 04/30/2008
Property Broker-Agent / Inactive / 04/12/2006 / 04/30/2008 / 04/30/2008</x:v>
      </x:c>
      <x:c r="AR439" s="7" t="str">
        <x:v>Inactive</x:v>
      </x:c>
      <x:c r="AS439" s="7" t="str">
        <x:v>Current detail page</x:v>
      </x:c>
    </x:row>
    <x:row r="440" ht="52" customHeight="1">
      <x:c r="A440" s="7" t="str">
        <x:v>AGUILAR GABRIEL L</x:v>
      </x:c>
      <x:c r="B440" s="14" t="str">
        <x:f>"4087212"</x:f>
        <x:v>4087212</x:v>
      </x:c>
      <x:c r="C440" s="7" t="str">
        <x:v>Omitted</x:v>
      </x:c>
      <x:c r="D440" s="7" t="str">
        <x:v>FAIL</x:v>
      </x:c>
      <x:c r="E440" s="13" t="str">
        <x:v>Pending</x:v>
      </x:c>
      <x:c r="F440" s="13" t="str"/>
      <x:c r="G440" s="13" t="str"/>
      <x:c r="H440" s="13" t="str"/>
      <x:c r="I440" s="7" t="str">
        <x:v>Was this person reviewed? If rejected, give the actual rule and evidence. If acceptable, correct the omission. Confirm the Life-qualification gate and any record change since selection.</x:v>
      </x:c>
      <x:c r="J440" s="7" t="str">
        <x:v>L1</x:v>
      </x:c>
      <x:c r="K440" s="7" t="str">
        <x:v>Verified qualifications do not include active general Life. Current target-pool mismatch; actual historical omission reason unknown.</x:v>
      </x:c>
      <x:c r="L440" s="7" t="str">
        <x:v>Not supplied; membership is known, motive is not</x:v>
      </x:c>
      <x:c r="M440" s="7" t="n">
        <x:v>7</x:v>
      </x:c>
      <x:c r="N440" s="7" t="str">
        <x:v>Outside current general-Life recruiting pool</x:v>
      </x:c>
      <x:c r="O440" s="7" t="str">
        <x:v>Not displayed</x:v>
      </x:c>
      <x:c r="P440" s="7" t="str"/>
      <x:c r="Q440" s="7" t="str"/>
      <x:c r="R440" s="7" t="str"/>
      <x:c r="S440" s="15" t="str"/>
      <x:c r="T440" s="7" t="str">
        <x:v>No public business phone in collected record</x:v>
      </x:c>
      <x:c r="U440" s="7" t="str">
        <x:v>452 EAST HAVEN CREST ROAD DRAPER UT, 84020</x:v>
      </x:c>
      <x:c r="V440" s="7" t="str">
        <x:v>Non-resident</x:v>
      </x:c>
      <x:c r="W440" s="7" t="str">
        <x:v>UT</x:v>
      </x:c>
      <x:c r="X440" s="7" t="str"/>
      <x:c r="Y440" s="7" t="str"/>
      <x:c r="Z440" s="7" t="str"/>
      <x:c r="AA440" s="7" t="str"/>
      <x:c r="AB440" s="7" t="str"/>
      <x:c r="AC440" s="7" t="str"/>
      <x:c r="AD440" s="7" t="str">
        <x:v>No agency or insurer displayed: onboarding opportunity possible; existing business unknown</x:v>
      </x:c>
      <x:c r="AE440" s="7" t="str">
        <x:v>Nonresident or address state outside CA; confirm geographic recruiting scope | No public business phone: contact enrichment needed, not proof of poor recruiting fit</x:v>
      </x:c>
      <x:c r="AF440" s="16" t="str"/>
      <x:c r="AG440" s="17" t="str"/>
      <x:c r="AH440" s="7" t="str"/>
      <x:c r="AI440" s="7" t="str"/>
      <x:c r="AJ440" s="7" t="str"/>
      <x:c r="AK440" s="15" t="str"/>
      <x:c r="AL440" s="7" t="str"/>
      <x:c r="AM440" s="7" t="str">
        <x:v>AGUILAR L GABRIEL</x:v>
      </x:c>
      <x:c r="AN440" s="7" t="str">
        <x:v>https://cdicloud.insurance.ca.gov/cal/LicenseDetail?SearchType=IND&amp;SearchLicNbr=4087212&amp;SearchIndvId=4087212</x:v>
      </x:c>
      <x:c r="AO440" s="7" t="str">
        <x:v>2026-10-08</x:v>
      </x:c>
      <x:c r="AP440" s="7" t="str">
        <x:v>6746fe2053e24cd0948f7fb71bb3fea161ccc949a41cce0e4fa924c7fd6fa055</x:v>
      </x:c>
      <x:c r="AQ440" s="7" t="str">
        <x:v>Accident &amp; Health or Sickness / Inactive / 11/10/2020 / 11/30/2022 / 11/30/2022</x:v>
      </x:c>
      <x:c r="AR440" s="7" t="str">
        <x:v>Inactive</x:v>
      </x:c>
      <x:c r="AS440" s="7" t="str">
        <x:v>Current detail page</x:v>
      </x:c>
    </x:row>
    <x:row r="441" ht="52" customHeight="1">
      <x:c r="A441" s="7" t="str">
        <x:v>AGUILAR GABRIEL ROSALIO</x:v>
      </x:c>
      <x:c r="B441" s="14" t="str">
        <x:f>"0H13014"</x:f>
        <x:v>0H13014</x:v>
      </x:c>
      <x:c r="C441" s="7" t="str">
        <x:v>Omitted</x:v>
      </x:c>
      <x:c r="D441" s="7" t="str">
        <x:v>FAIL</x:v>
      </x:c>
      <x:c r="E441" s="13" t="str">
        <x:v>Pending</x:v>
      </x:c>
      <x:c r="F441" s="13" t="str"/>
      <x:c r="G441" s="13" t="str"/>
      <x:c r="H441" s="13" t="str"/>
      <x:c r="I441" s="7" t="str">
        <x:v>Was this person reviewed? If rejected, give the actual rule and evidence. If acceptable, correct the omission. Confirm the Life-qualification gate and any record change since selection.</x:v>
      </x:c>
      <x:c r="J441" s="7" t="str">
        <x:v>L1</x:v>
      </x:c>
      <x:c r="K441" s="7" t="str">
        <x:v>Verified qualifications do not include active general Life. Current target-pool mismatch; actual historical omission reason unknown.</x:v>
      </x:c>
      <x:c r="L441" s="7" t="str">
        <x:v>Not supplied; membership is known, motive is not</x:v>
      </x:c>
      <x:c r="M441" s="7" t="n">
        <x:v>7</x:v>
      </x:c>
      <x:c r="N441" s="7" t="str">
        <x:v>Outside current general-Life recruiting pool</x:v>
      </x:c>
      <x:c r="O441" s="7" t="str">
        <x:v>Not displayed</x:v>
      </x:c>
      <x:c r="P441" s="7" t="str"/>
      <x:c r="Q441" s="7" t="str"/>
      <x:c r="R441" s="7" t="str">
        <x:v>Casualty; Property</x:v>
      </x:c>
      <x:c r="S441" s="15" t="str"/>
      <x:c r="T441" s="7" t="str">
        <x:v>No public business phone in collected record</x:v>
      </x:c>
      <x:c r="U441" s="7" t="str">
        <x:v>100 N STANTON EL PASO TX, 79901</x:v>
      </x:c>
      <x:c r="V441" s="7" t="str">
        <x:v>Non-resident</x:v>
      </x:c>
      <x:c r="W441" s="7" t="str">
        <x:v>TX</x:v>
      </x:c>
      <x:c r="X441" s="7" t="str"/>
      <x:c r="Y441" s="7" t="str">
        <x:v>FIDELITY AND GUARANTY INSURANCE COMPANY / Casualty / 12/29/2025
FIDELITY AND GUARANTY INSURANCE COMPANY / Property / 12/29/2025
HARTFORD CASUALTY INSURANCE COMPANY / Casualty / 12/24/2024
HARTFORD CASUALTY INSURANCE COMPANY / Property / 12/24/2024
NORGUARD INSURANCE COMPANY / Casualty / 07/08/2026
PACIFIC COMPENSATION INSURANCE COMPANY / Casualty / 05/02/2025
PACIFIC COMPENSATION INSURANCE COMPANY / Property / 05/02/2025
TRAVELERS CASUALTY COMPANY OF CONNECTICUT / Casualty / 07/31/2026
TRAVELERS CASUALTY COMPANY OF CONNECTICUT / Property / 07/31/2026
TRAVELERS PROPERTY CASUALTY COMPANY OF AMERICA / Casualty / 12/29/2025
TRAVELERS PROPERTY CASUALTY COMPANY OF AMERICA / Property / 12/29/2025</x:v>
      </x:c>
      <x:c r="Z441" s="7" t="str"/>
      <x:c r="AA441" s="7" t="str"/>
      <x:c r="AB441" s="7" t="str"/>
      <x:c r="AC441" s="7" t="str"/>
      <x:c r="AD441" s="7" t="str"/>
      <x:c r="AE441"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441" s="16" t="str"/>
      <x:c r="AG441" s="17" t="str"/>
      <x:c r="AH441" s="7" t="str"/>
      <x:c r="AI441" s="7" t="str"/>
      <x:c r="AJ441" s="7" t="str"/>
      <x:c r="AK441" s="15" t="str"/>
      <x:c r="AL441" s="7" t="str"/>
      <x:c r="AM441" s="7" t="str">
        <x:v>AGUILAR ROSALIO GABRIEL</x:v>
      </x:c>
      <x:c r="AN441" s="7" t="str">
        <x:v>https://cdicloud.insurance.ca.gov/cal/LicenseDetail?SearchType=IND&amp;SearchLicNbr=0H13014&amp;SearchIndvId=1350089</x:v>
      </x:c>
      <x:c r="AO441" s="7" t="str">
        <x:v>2026-10-08</x:v>
      </x:c>
      <x:c r="AP441" s="7" t="str">
        <x:v>f89784cb9b17d72a6df0cff869e1c4965da753fd6a3f789be0e2e58b096fad08</x:v>
      </x:c>
      <x:c r="AQ441" s="7" t="str">
        <x:v>Casualty / Active / 08/26/2010 / 09/03/2024 / 08/31/2028
Property / Active / 08/26/2010 / 09/03/2024 / 08/31/2028</x:v>
      </x:c>
      <x:c r="AR441" s="7" t="str">
        <x:v>Active</x:v>
      </x:c>
      <x:c r="AS441" s="7" t="str">
        <x:v>Current detail page</x:v>
      </x:c>
    </x:row>
    <x:row r="442" ht="52" customHeight="1">
      <x:c r="A442" s="7" t="str">
        <x:v>AGUILAR GABRIEL STEVEN</x:v>
      </x:c>
      <x:c r="B442" s="14" t="str">
        <x:f>"1846421"</x:f>
        <x:v>1846421</x:v>
      </x:c>
      <x:c r="C442" s="7" t="str">
        <x:v>Omitted</x:v>
      </x:c>
      <x:c r="D442" s="7" t="str">
        <x:v>FAIL</x:v>
      </x:c>
      <x:c r="E442" s="13" t="str">
        <x:v>Pending</x:v>
      </x:c>
      <x:c r="F442" s="13" t="str"/>
      <x:c r="G442" s="13" t="str"/>
      <x:c r="H442" s="13" t="str"/>
      <x:c r="I442" s="7" t="str">
        <x:v>Was this person reviewed? If rejected, give the actual rule and evidence. If acceptable, correct the omission. Confirm the Life-qualification gate and any record change since selection.</x:v>
      </x:c>
      <x:c r="J442" s="7" t="str">
        <x:v>L1</x:v>
      </x:c>
      <x:c r="K442" s="7" t="str">
        <x:v>Verified qualifications do not include active general Life. Current target-pool mismatch; actual historical omission reason unknown.</x:v>
      </x:c>
      <x:c r="L442" s="7" t="str">
        <x:v>Not supplied; membership is known, motive is not</x:v>
      </x:c>
      <x:c r="M442" s="7" t="n">
        <x:v>7</x:v>
      </x:c>
      <x:c r="N442" s="7" t="str">
        <x:v>Outside current general-Life recruiting pool</x:v>
      </x:c>
      <x:c r="O442" s="7" t="str">
        <x:v>Inactive</x:v>
      </x:c>
      <x:c r="P442" s="7" t="str">
        <x:v>12/14/2017</x:v>
      </x:c>
      <x:c r="Q442" s="7" t="str">
        <x:v>12/31/2025</x:v>
      </x:c>
      <x:c r="R442" s="7" t="str"/>
      <x:c r="S442" s="15" t="str">
        <x:v>760-880-8419</x:v>
      </x:c>
      <x:c r="T442" s="7" t="str">
        <x:v>Current CDI</x:v>
      </x:c>
      <x:c r="U442" s="7" t="str">
        <x:v>82365 US HIGHWAY 111, SUITE 1 INDIO CA, 92201</x:v>
      </x:c>
      <x:c r="V442" s="7" t="str">
        <x:v>Resident</x:v>
      </x:c>
      <x:c r="W442" s="7" t="str">
        <x:v>CA</x:v>
      </x:c>
      <x:c r="X442" s="7" t="str"/>
      <x:c r="Y442" s="7" t="str"/>
      <x:c r="Z442" s="7" t="str"/>
      <x:c r="AA442" s="7" t="str"/>
      <x:c r="AB442" s="7" t="str"/>
      <x:c r="AC442" s="7" t="str"/>
      <x:c r="AD442" s="7" t="str">
        <x:v>No agency or insurer displayed: onboarding opportunity possible; existing business unknown</x:v>
      </x:c>
      <x:c r="AE442" s="7" t="str"/>
      <x:c r="AF442" s="16" t="str"/>
      <x:c r="AG442" s="17" t="str"/>
      <x:c r="AH442" s="7" t="str"/>
      <x:c r="AI442" s="7" t="str">
        <x:v>English</x:v>
      </x:c>
      <x:c r="AJ442" s="7" t="str"/>
      <x:c r="AK442" s="15" t="str"/>
      <x:c r="AL442" s="7" t="str"/>
      <x:c r="AM442" s="7" t="str">
        <x:v>Aguilar S Gabriel | AGUILAR STEVEN GABRIEL</x:v>
      </x:c>
      <x:c r="AN442" s="7" t="str">
        <x:v>https://cdicloud.insurance.ca.gov/cal/LicenseDetail?SearchType=IND&amp;SearchLicNbr=1846421&amp;SearchIndvId=1592963</x:v>
      </x:c>
      <x:c r="AO442" s="7" t="str">
        <x:v>2026-10-08</x:v>
      </x:c>
      <x:c r="AP442" s="7" t="str">
        <x:v>97e8d48172f4f825233439fec98ba72bdcd7cd80514dec5c3bd9b0c27cb326d1</x:v>
      </x:c>
      <x:c r="AQ442" s="7" t="str">
        <x:v>Bail Agent / Inactive / 08/08/2013 / 08/31/2015 / 08/31/2015
Accident &amp; Health or Sickness / Inactive / 12/14/2017 / 12/31/2025 / 12/31/2025
Life / Inactive / 12/14/2017 / 12/31/2025 / 12/31/2025</x:v>
      </x:c>
      <x:c r="AR442" s="7" t="str">
        <x:v>Inactive</x:v>
      </x:c>
      <x:c r="AS442" s="7" t="str">
        <x:v>Current detail page</x:v>
      </x:c>
    </x:row>
    <x:row r="443" ht="52" customHeight="1">
      <x:c r="A443" s="7" t="str">
        <x:v>AGUILAR GABRIELA</x:v>
      </x:c>
      <x:c r="B443" s="14" t="str">
        <x:f>"0H78954"</x:f>
        <x:v>0H78954</x:v>
      </x:c>
      <x:c r="C443" s="7" t="str">
        <x:v>Omitted</x:v>
      </x:c>
      <x:c r="D443" s="7" t="str">
        <x:v>FAIL</x:v>
      </x:c>
      <x:c r="E443" s="13" t="str">
        <x:v>Pending</x:v>
      </x:c>
      <x:c r="F443" s="13" t="str"/>
      <x:c r="G443" s="13" t="str"/>
      <x:c r="H443" s="13" t="str"/>
      <x:c r="I443" s="7" t="str">
        <x:v>Was this person reviewed? If rejected, give the actual rule and evidence. If acceptable, correct the omission. Confirm the Life-qualification gate and any record change since selection.</x:v>
      </x:c>
      <x:c r="J443" s="7" t="str">
        <x:v>L1</x:v>
      </x:c>
      <x:c r="K443" s="7" t="str">
        <x:v>Verified qualifications do not include active general Life. Current target-pool mismatch; actual historical omission reason unknown.</x:v>
      </x:c>
      <x:c r="L443" s="7" t="str">
        <x:v>Not supplied; membership is known, motive is not</x:v>
      </x:c>
      <x:c r="M443" s="7" t="n">
        <x:v>7</x:v>
      </x:c>
      <x:c r="N443" s="7" t="str">
        <x:v>Outside current general-Life recruiting pool</x:v>
      </x:c>
      <x:c r="O443" s="7" t="str">
        <x:v>Not displayed</x:v>
      </x:c>
      <x:c r="P443" s="7" t="str"/>
      <x:c r="Q443" s="7" t="str"/>
      <x:c r="R443" s="7" t="str"/>
      <x:c r="S443" s="15" t="str"/>
      <x:c r="T443" s="7" t="str">
        <x:v>No public business phone in collected record</x:v>
      </x:c>
      <x:c r="U443" s="7" t="str"/>
      <x:c r="V443" s="7" t="str">
        <x:v>Resident</x:v>
      </x:c>
      <x:c r="W443" s="7" t="str">
        <x:v>CA</x:v>
      </x:c>
      <x:c r="X443" s="7" t="str"/>
      <x:c r="Y443" s="7" t="str"/>
      <x:c r="Z443" s="7" t="str"/>
      <x:c r="AA443" s="7" t="str"/>
      <x:c r="AB443" s="7" t="str"/>
      <x:c r="AC443" s="7" t="str"/>
      <x:c r="AD443" s="7" t="str">
        <x:v>No agency or insurer displayed: onboarding opportunity possible; existing business unknown</x:v>
      </x:c>
      <x:c r="AE443" s="7" t="str">
        <x:v>No public business phone: contact enrichment needed, not proof of poor recruiting fit</x:v>
      </x:c>
      <x:c r="AF443" s="16" t="str"/>
      <x:c r="AG443" s="17" t="str"/>
      <x:c r="AH443" s="7" t="str"/>
      <x:c r="AI443" s="7" t="str"/>
      <x:c r="AJ443" s="7" t="str"/>
      <x:c r="AK443" s="15" t="str"/>
      <x:c r="AL443" s="7" t="str"/>
      <x:c r="AM443" s="7" t="str">
        <x:v>AGUILAR  GABRIELA</x:v>
      </x:c>
      <x:c r="AN443" s="7" t="str">
        <x:v>https://cdicloud.insurance.ca.gov/cal/LicenseDetail?SearchType=IND&amp;SearchLicNbr=0H78954&amp;SearchIndvId=1502367</x:v>
      </x:c>
      <x:c r="AO443" s="7" t="str">
        <x:v>2026-10-08</x:v>
      </x:c>
      <x:c r="AP443" s="7" t="str">
        <x:v>30cab3de3fbb2e13a3f49197a3f8a93f54d8f1bbc4f3dd47debc4b1105840dd1</x:v>
      </x:c>
      <x:c r="AQ443" s="7" t="str">
        <x:v>Life-Only / Inactive / 03/05/2012 / 03/31/2018 / 03/31/2018</x:v>
      </x:c>
      <x:c r="AR443" s="7" t="str">
        <x:v>Inactive</x:v>
      </x:c>
      <x:c r="AS443" s="7" t="str">
        <x:v>Current detail page</x:v>
      </x:c>
    </x:row>
    <x:row r="444" ht="52" customHeight="1">
      <x:c r="A444" s="7" t="str">
        <x:v>AGUILAR GABRIELA</x:v>
      </x:c>
      <x:c r="B444" s="14" t="str">
        <x:f>"0K55733"</x:f>
        <x:v>0K55733</x:v>
      </x:c>
      <x:c r="C444" s="7" t="str">
        <x:v>Omitted</x:v>
      </x:c>
      <x:c r="D444" s="7" t="str">
        <x:v>FAIL</x:v>
      </x:c>
      <x:c r="E444" s="13" t="str">
        <x:v>Pending</x:v>
      </x:c>
      <x:c r="F444" s="13" t="str"/>
      <x:c r="G444" s="13" t="str"/>
      <x:c r="H444" s="13" t="str"/>
      <x:c r="I444" s="7" t="str">
        <x:v>Was this person reviewed? If rejected, give the actual rule and evidence. If acceptable, correct the omission. Confirm the Life-qualification gate and any record change since selection.</x:v>
      </x:c>
      <x:c r="J444" s="7" t="str">
        <x:v>L1</x:v>
      </x:c>
      <x:c r="K444" s="7" t="str">
        <x:v>Verified qualifications do not include active general Life. Current target-pool mismatch; actual historical omission reason unknown.</x:v>
      </x:c>
      <x:c r="L444" s="7" t="str">
        <x:v>Not supplied; membership is known, motive is not</x:v>
      </x:c>
      <x:c r="M444" s="7" t="n">
        <x:v>7</x:v>
      </x:c>
      <x:c r="N444" s="7" t="str">
        <x:v>Outside current general-Life recruiting pool</x:v>
      </x:c>
      <x:c r="O444" s="7" t="str">
        <x:v>Not displayed</x:v>
      </x:c>
      <x:c r="P444" s="7" t="str"/>
      <x:c r="Q444" s="7" t="str"/>
      <x:c r="R444" s="7" t="str"/>
      <x:c r="S444" s="15" t="str"/>
      <x:c r="T444" s="7" t="str">
        <x:v>No public business phone in collected record</x:v>
      </x:c>
      <x:c r="U444" s="7" t="str"/>
      <x:c r="V444" s="7" t="str">
        <x:v>Resident</x:v>
      </x:c>
      <x:c r="W444" s="7" t="str">
        <x:v>CA</x:v>
      </x:c>
      <x:c r="X444" s="7" t="str"/>
      <x:c r="Y444" s="7" t="str"/>
      <x:c r="Z444" s="7" t="str"/>
      <x:c r="AA444" s="7" t="str"/>
      <x:c r="AB444" s="7" t="str"/>
      <x:c r="AC444" s="7" t="str"/>
      <x:c r="AD444" s="7" t="str">
        <x:v>No agency or insurer displayed: onboarding opportunity possible; existing business unknown</x:v>
      </x:c>
      <x:c r="AE444" s="7" t="str">
        <x:v>No public business phone: contact enrichment needed, not proof of poor recruiting fit</x:v>
      </x:c>
      <x:c r="AF444" s="16" t="str"/>
      <x:c r="AG444" s="17" t="str"/>
      <x:c r="AH444" s="7" t="str"/>
      <x:c r="AI444" s="7" t="str"/>
      <x:c r="AJ444" s="7" t="str"/>
      <x:c r="AK444" s="15" t="str"/>
      <x:c r="AL444" s="7" t="str"/>
      <x:c r="AM444" s="7" t="str">
        <x:v>AGUILAR  GABRIELA</x:v>
      </x:c>
      <x:c r="AN444" s="7" t="str">
        <x:v>https://cdicloud.insurance.ca.gov/cal/LicenseDetail?SearchType=IND&amp;SearchLicNbr=0K55733&amp;SearchIndvId=1782640</x:v>
      </x:c>
      <x:c r="AO444" s="7" t="str">
        <x:v>2026-10-08</x:v>
      </x:c>
      <x:c r="AP444" s="7" t="str">
        <x:v>10d91cfab657d1d0215a040b46da2566fbf9978bbb1968b6045eadbcdffda5df</x:v>
      </x:c>
      <x:c r="AQ444" s="7" t="str">
        <x:v>Life-Only / Inactive / 10/22/2015 / 10/31/2017 / 10/31/2017</x:v>
      </x:c>
      <x:c r="AR444" s="7" t="str">
        <x:v>Inactive</x:v>
      </x:c>
      <x:c r="AS444" s="7" t="str">
        <x:v>Current detail page</x:v>
      </x:c>
    </x:row>
    <x:row r="445" ht="52" customHeight="1">
      <x:c r="A445" s="7" t="str">
        <x:v>AGUILAR GABRIELA</x:v>
      </x:c>
      <x:c r="B445" s="14" t="str">
        <x:f>"0L03474"</x:f>
        <x:v>0L03474</x:v>
      </x:c>
      <x:c r="C445" s="7" t="str">
        <x:v>Omitted</x:v>
      </x:c>
      <x:c r="D445" s="7" t="str">
        <x:v>FAIL</x:v>
      </x:c>
      <x:c r="E445" s="13" t="str">
        <x:v>Pending</x:v>
      </x:c>
      <x:c r="F445" s="13" t="str"/>
      <x:c r="G445" s="13" t="str"/>
      <x:c r="H445" s="13" t="str"/>
      <x:c r="I445" s="7" t="str">
        <x:v>Was this person reviewed? If rejected, give the actual rule and evidence. If acceptable, correct the omission. Confirm the Life-qualification gate and any record change since selection.</x:v>
      </x:c>
      <x:c r="J445" s="7" t="str">
        <x:v>L1</x:v>
      </x:c>
      <x:c r="K445" s="7" t="str">
        <x:v>Verified qualifications do not include active general Life. Current target-pool mismatch; actual historical omission reason unknown.</x:v>
      </x:c>
      <x:c r="L445" s="7" t="str">
        <x:v>Not supplied; membership is known, motive is not</x:v>
      </x:c>
      <x:c r="M445" s="7" t="n">
        <x:v>7</x:v>
      </x:c>
      <x:c r="N445" s="7" t="str">
        <x:v>Outside current general-Life recruiting pool</x:v>
      </x:c>
      <x:c r="O445" s="7" t="str">
        <x:v>Not displayed</x:v>
      </x:c>
      <x:c r="P445" s="7" t="str"/>
      <x:c r="Q445" s="7" t="str"/>
      <x:c r="R445" s="7" t="str"/>
      <x:c r="S445" s="15" t="str"/>
      <x:c r="T445" s="7" t="str">
        <x:v>No public business phone in collected record</x:v>
      </x:c>
      <x:c r="U445" s="7" t="str"/>
      <x:c r="V445" s="7" t="str">
        <x:v>Resident</x:v>
      </x:c>
      <x:c r="W445" s="7" t="str">
        <x:v>CA</x:v>
      </x:c>
      <x:c r="X445" s="7" t="str"/>
      <x:c r="Y445" s="7" t="str"/>
      <x:c r="Z445" s="7" t="str"/>
      <x:c r="AA445" s="7" t="str"/>
      <x:c r="AB445" s="7" t="str"/>
      <x:c r="AC445" s="7" t="str"/>
      <x:c r="AD445" s="7" t="str">
        <x:v>No agency or insurer displayed: onboarding opportunity possible; existing business unknown</x:v>
      </x:c>
      <x:c r="AE445" s="7" t="str">
        <x:v>No public business phone: contact enrichment needed, not proof of poor recruiting fit</x:v>
      </x:c>
      <x:c r="AF445" s="16" t="str"/>
      <x:c r="AG445" s="17" t="str"/>
      <x:c r="AH445" s="7" t="str"/>
      <x:c r="AI445" s="7" t="str"/>
      <x:c r="AJ445" s="7" t="str"/>
      <x:c r="AK445" s="15" t="str"/>
      <x:c r="AL445" s="7" t="str"/>
      <x:c r="AM445" s="7" t="str">
        <x:v>AGUILAR  GABRIELA</x:v>
      </x:c>
      <x:c r="AN445" s="7" t="str">
        <x:v>https://cdicloud.insurance.ca.gov/cal/LicenseDetail?SearchType=IND&amp;SearchLicNbr=0L03474&amp;SearchIndvId=1853303</x:v>
      </x:c>
      <x:c r="AO445" s="7" t="str">
        <x:v>2026-10-08</x:v>
      </x:c>
      <x:c r="AP445" s="7" t="str">
        <x:v>9ac1ca1fb0ba82c0b267073d0b13f8ac110310b00140a920517dddf65cb6b0a3</x:v>
      </x:c>
      <x:c r="AQ445" s="7" t="str">
        <x:v>Accident and Health / Inactive / 08/03/2016 / 08/31/2018 / 08/31/2018
Life-Only / Inactive / 08/03/2016 / 08/31/2018 / 08/31/2018</x:v>
      </x:c>
      <x:c r="AR445" s="7" t="str">
        <x:v>Inactive</x:v>
      </x:c>
      <x:c r="AS445" s="7" t="str">
        <x:v>Current detail page</x:v>
      </x:c>
    </x:row>
    <x:row r="446" ht="52" customHeight="1">
      <x:c r="A446" s="7" t="str">
        <x:v>AGUILAR GABRIELA</x:v>
      </x:c>
      <x:c r="B446" s="14" t="str">
        <x:f>"4109886"</x:f>
        <x:v>4109886</x:v>
      </x:c>
      <x:c r="C446" s="7" t="str">
        <x:v>Omitted</x:v>
      </x:c>
      <x:c r="D446" s="7" t="str">
        <x:v>FAIL</x:v>
      </x:c>
      <x:c r="E446" s="13" t="str">
        <x:v>Pending</x:v>
      </x:c>
      <x:c r="F446" s="13" t="str"/>
      <x:c r="G446" s="13" t="str"/>
      <x:c r="H446" s="13" t="str"/>
      <x:c r="I446" s="7" t="str">
        <x:v>Was this person reviewed? If rejected, give the actual rule and evidence. If acceptable, correct the omission. Confirm the Life-qualification gate and any record change since selection.</x:v>
      </x:c>
      <x:c r="J446" s="7" t="str">
        <x:v>L1</x:v>
      </x:c>
      <x:c r="K446" s="7" t="str">
        <x:v>Verified qualifications do not include active general Life. Current target-pool mismatch; actual historical omission reason unknown.</x:v>
      </x:c>
      <x:c r="L446" s="7" t="str">
        <x:v>Not supplied; membership is known, motive is not</x:v>
      </x:c>
      <x:c r="M446" s="7" t="n">
        <x:v>7</x:v>
      </x:c>
      <x:c r="N446" s="7" t="str">
        <x:v>Outside current general-Life recruiting pool</x:v>
      </x:c>
      <x:c r="O446" s="7" t="str">
        <x:v>Not displayed</x:v>
      </x:c>
      <x:c r="P446" s="7" t="str"/>
      <x:c r="Q446" s="7" t="str"/>
      <x:c r="R446" s="7" t="str"/>
      <x:c r="S446" s="15" t="str">
        <x:v>559-595-0400</x:v>
      </x:c>
      <x:c r="T446" s="7" t="str">
        <x:v>Current CDI</x:v>
      </x:c>
      <x:c r="U446" s="7" t="str">
        <x:v>870 W EL MONTE WAY SUITE E DINUBA CA, 93618</x:v>
      </x:c>
      <x:c r="V446" s="7" t="str">
        <x:v>Resident</x:v>
      </x:c>
      <x:c r="W446" s="7" t="str">
        <x:v>CA</x:v>
      </x:c>
      <x:c r="X446" s="7" t="str"/>
      <x:c r="Y446" s="7" t="str"/>
      <x:c r="Z446" s="7" t="str"/>
      <x:c r="AA446" s="7" t="str"/>
      <x:c r="AB446" s="7" t="str"/>
      <x:c r="AC446" s="7" t="str"/>
      <x:c r="AD446" s="7" t="str">
        <x:v>No agency or insurer displayed: onboarding opportunity possible; existing business unknown</x:v>
      </x:c>
      <x:c r="AE446" s="7" t="str"/>
      <x:c r="AF446" s="16" t="str"/>
      <x:c r="AG446" s="17" t="str"/>
      <x:c r="AH446" s="7" t="str"/>
      <x:c r="AI446" s="7" t="str">
        <x:v>English</x:v>
      </x:c>
      <x:c r="AJ446" s="7" t="str"/>
      <x:c r="AK446" s="15" t="str"/>
      <x:c r="AL446" s="7" t="str"/>
      <x:c r="AM446" s="7" t="str">
        <x:v>AGUILAR  GABRIELA</x:v>
      </x:c>
      <x:c r="AN446" s="7" t="str">
        <x:v>https://cdicloud.insurance.ca.gov/cal/LicenseDetail?SearchType=IND&amp;SearchLicNbr=4109886&amp;SearchIndvId=4109886</x:v>
      </x:c>
      <x:c r="AO446" s="7" t="str">
        <x:v>2026-10-08</x:v>
      </x:c>
      <x:c r="AP446" s="7" t="str">
        <x:v>e17e511eded034f36c5728772e88e4f9cbf01e6cc32c832c37d05909bb5f8927</x:v>
      </x:c>
      <x:c r="AQ446" s="7" t="str">
        <x:v>Limited Lines Automobile / Inactive / 03/10/2021 / 03/31/2023 / 03/31/2023</x:v>
      </x:c>
      <x:c r="AR446" s="7" t="str">
        <x:v>Inactive</x:v>
      </x:c>
      <x:c r="AS446" s="7" t="str">
        <x:v>Current detail page</x:v>
      </x:c>
    </x:row>
    <x:row r="447" ht="52" customHeight="1">
      <x:c r="A447" s="7" t="str">
        <x:v>AGUILAR GARCIA LUIGI JOSUE</x:v>
      </x:c>
      <x:c r="B447" s="14" t="str">
        <x:f>"4337428"</x:f>
        <x:v>4337428</x:v>
      </x:c>
      <x:c r="C447" s="7" t="str">
        <x:v>Omitted</x:v>
      </x:c>
      <x:c r="D447" s="7" t="str">
        <x:v>FAIL</x:v>
      </x:c>
      <x:c r="E447" s="13" t="str">
        <x:v>Pending</x:v>
      </x:c>
      <x:c r="F447" s="13" t="str"/>
      <x:c r="G447" s="13" t="str"/>
      <x:c r="H447" s="13" t="str"/>
      <x:c r="I447" s="7" t="str">
        <x:v>Was this person reviewed? If rejected, give the actual rule and evidence. If acceptable, correct the omission. Confirm the Life-qualification gate and any record change since selection.</x:v>
      </x:c>
      <x:c r="J447" s="7" t="str">
        <x:v>L1</x:v>
      </x:c>
      <x:c r="K447" s="7" t="str">
        <x:v>Verified qualifications do not include active general Life. Current target-pool mismatch; actual historical omission reason unknown.</x:v>
      </x:c>
      <x:c r="L447" s="7" t="str">
        <x:v>Not supplied; membership is known, motive is not</x:v>
      </x:c>
      <x:c r="M447" s="7" t="n">
        <x:v>7</x:v>
      </x:c>
      <x:c r="N447" s="7" t="str">
        <x:v>Outside current general-Life recruiting pool</x:v>
      </x:c>
      <x:c r="O447" s="7" t="str">
        <x:v>Inactive</x:v>
      </x:c>
      <x:c r="P447" s="7" t="str">
        <x:v>11/06/2023</x:v>
      </x:c>
      <x:c r="Q447" s="7" t="str">
        <x:v>11/30/2025</x:v>
      </x:c>
      <x:c r="R447" s="7" t="str"/>
      <x:c r="S447" s="15" t="str">
        <x:v>415-504-0189</x:v>
      </x:c>
      <x:c r="T447" s="7" t="str">
        <x:v>Current CDI</x:v>
      </x:c>
      <x:c r="U447" s="7" t="str">
        <x:v>1045 MISSION ST APT 473 SAN FRANCISCO CA, 94103</x:v>
      </x:c>
      <x:c r="V447" s="7" t="str">
        <x:v>Resident</x:v>
      </x:c>
      <x:c r="W447" s="7" t="str">
        <x:v>CA</x:v>
      </x:c>
      <x:c r="X447" s="7" t="str"/>
      <x:c r="Y447" s="7" t="str"/>
      <x:c r="Z447" s="7" t="str"/>
      <x:c r="AA447" s="7" t="str"/>
      <x:c r="AB447" s="7" t="str"/>
      <x:c r="AC447" s="7" t="str"/>
      <x:c r="AD447" s="7" t="str">
        <x:v>No agency or insurer displayed: onboarding opportunity possible; existing business unknown</x:v>
      </x:c>
      <x:c r="AE447" s="7" t="str"/>
      <x:c r="AF447" s="16" t="str"/>
      <x:c r="AG447" s="17" t="str"/>
      <x:c r="AH447" s="7" t="str"/>
      <x:c r="AI447" s="7" t="str">
        <x:v>English</x:v>
      </x:c>
      <x:c r="AJ447" s="7" t="str"/>
      <x:c r="AK447" s="15" t="str"/>
      <x:c r="AL447" s="7" t="str"/>
      <x:c r="AM447" s="7" t="str">
        <x:v>AGUILAR JOSUE LUIGI | AGUILAR GARCIA JOSUE LUIGI</x:v>
      </x:c>
      <x:c r="AN447" s="7" t="str">
        <x:v>https://cdicloud.insurance.ca.gov/cal/LicenseDetail?SearchType=IND&amp;SearchLicNbr=4337428&amp;SearchIndvId=4337428</x:v>
      </x:c>
      <x:c r="AO447" s="7" t="str">
        <x:v>2026-10-08</x:v>
      </x:c>
      <x:c r="AP447" s="7" t="str">
        <x:v>c2acd48d310029a4c83d1d66b7f2d671ebf0e39086f922e6439636360fb1fb2d</x:v>
      </x:c>
      <x:c r="AQ447" s="7" t="str">
        <x:v>Accident &amp; Health or Sickness / Inactive / 11/06/2023 / 11/30/2025 / 11/30/2025
Life / Inactive / 11/06/2023 / 11/30/2025 / 11/30/2025</x:v>
      </x:c>
      <x:c r="AR447" s="7" t="str">
        <x:v>Inactive</x:v>
      </x:c>
      <x:c r="AS447" s="7" t="str">
        <x:v>Current detail page</x:v>
      </x:c>
    </x:row>
    <x:row r="448" ht="52" customHeight="1">
      <x:c r="A448" s="7" t="str">
        <x:v>AGUILAR GARY ABEL II</x:v>
      </x:c>
      <x:c r="B448" s="14" t="str">
        <x:f>"0J22411"</x:f>
        <x:v>0J22411</x:v>
      </x:c>
      <x:c r="C448" s="7" t="str">
        <x:v>Omitted</x:v>
      </x:c>
      <x:c r="D448" s="7" t="str">
        <x:v>FAIL</x:v>
      </x:c>
      <x:c r="E448" s="13" t="str">
        <x:v>Pending</x:v>
      </x:c>
      <x:c r="F448" s="13" t="str"/>
      <x:c r="G448" s="13" t="str"/>
      <x:c r="H448" s="13" t="str"/>
      <x:c r="I448" s="7" t="str">
        <x:v>Was this person reviewed? If rejected, give the actual rule and evidence. If acceptable, correct the omission. Confirm the Life-qualification gate and any record change since selection.</x:v>
      </x:c>
      <x:c r="J448" s="7" t="str">
        <x:v>L1</x:v>
      </x:c>
      <x:c r="K448" s="7" t="str">
        <x:v>Verified qualifications do not include active general Life. Current target-pool mismatch; actual historical omission reason unknown.</x:v>
      </x:c>
      <x:c r="L448" s="7" t="str">
        <x:v>Not supplied; membership is known, motive is not</x:v>
      </x:c>
      <x:c r="M448" s="7" t="n">
        <x:v>7</x:v>
      </x:c>
      <x:c r="N448" s="7" t="str">
        <x:v>Outside current general-Life recruiting pool</x:v>
      </x:c>
      <x:c r="O448" s="7" t="str">
        <x:v>Not displayed</x:v>
      </x:c>
      <x:c r="P448" s="7" t="str"/>
      <x:c r="Q448" s="7" t="str"/>
      <x:c r="R448" s="7" t="str"/>
      <x:c r="S448" s="15" t="str"/>
      <x:c r="T448" s="7" t="str">
        <x:v>No public business phone in collected record</x:v>
      </x:c>
      <x:c r="U448" s="7" t="str"/>
      <x:c r="V448" s="7" t="str">
        <x:v>Non-resident</x:v>
      </x:c>
      <x:c r="W448" s="7" t="str">
        <x:v>TX</x:v>
      </x:c>
      <x:c r="X448" s="7" t="str"/>
      <x:c r="Y448" s="7" t="str"/>
      <x:c r="Z448" s="7" t="str"/>
      <x:c r="AA448" s="7" t="str"/>
      <x:c r="AB448" s="7" t="str"/>
      <x:c r="AC448" s="7" t="str"/>
      <x:c r="AD448" s="7" t="str">
        <x:v>No agency or insurer displayed: onboarding opportunity possible; existing business unknown</x:v>
      </x:c>
      <x:c r="AE448" s="7" t="str">
        <x:v>Nonresident or address state outside CA; confirm geographic recruiting scope | No public business phone: contact enrichment needed, not proof of poor recruiting fit</x:v>
      </x:c>
      <x:c r="AF448" s="16" t="str"/>
      <x:c r="AG448" s="17" t="str"/>
      <x:c r="AH448" s="7" t="str"/>
      <x:c r="AI448" s="7" t="str"/>
      <x:c r="AJ448" s="7" t="str"/>
      <x:c r="AK448" s="15" t="str"/>
      <x:c r="AL448" s="7" t="str"/>
      <x:c r="AM448" s="7" t="str">
        <x:v>AGUILAR ABEL GARY</x:v>
      </x:c>
      <x:c r="AN448" s="7" t="str">
        <x:v>https://cdicloud.insurance.ca.gov/cal/LicenseDetail?SearchType=IND&amp;SearchLicNbr=0J22411&amp;SearchIndvId=1721606</x:v>
      </x:c>
      <x:c r="AO448" s="7" t="str">
        <x:v>2026-10-08</x:v>
      </x:c>
      <x:c r="AP448" s="7" t="str">
        <x:v>d7908d7a95928c2a6b9c96ab04996b08970ba274b64498bbedb83534b245f819</x:v>
      </x:c>
      <x:c r="AQ448" s="7" t="str">
        <x:v>Personal Lines Broker-Agent / Inactive / 11/25/2014 / 11/09/2018 / 11/09/2018</x:v>
      </x:c>
      <x:c r="AR448" s="7" t="str">
        <x:v>Inactive</x:v>
      </x:c>
      <x:c r="AS448" s="7" t="str">
        <x:v>Current detail page</x:v>
      </x:c>
    </x:row>
    <x:row r="449" ht="52" customHeight="1">
      <x:c r="A449" s="7" t="str">
        <x:v>AGUILAR GARZA MARCELO</x:v>
      </x:c>
      <x:c r="B449" s="14" t="str">
        <x:f>"4395936"</x:f>
        <x:v>4395936</x:v>
      </x:c>
      <x:c r="C449" s="7" t="str">
        <x:v>Omitted</x:v>
      </x:c>
      <x:c r="D449" s="7" t="str">
        <x:v>FAIL</x:v>
      </x:c>
      <x:c r="E449" s="13" t="str">
        <x:v>Pending</x:v>
      </x:c>
      <x:c r="F449" s="13" t="str"/>
      <x:c r="G449" s="13" t="str"/>
      <x:c r="H449" s="13" t="str"/>
      <x:c r="I449" s="7" t="str">
        <x:v>Was this person reviewed? If rejected, give the actual rule and evidence. If acceptable, correct the omission. Confirm the Life-qualification gate and any record change since selection.</x:v>
      </x:c>
      <x:c r="J449" s="7" t="str">
        <x:v>L1</x:v>
      </x:c>
      <x:c r="K449" s="7" t="str">
        <x:v>Verified qualifications do not include active general Life. Current target-pool mismatch; actual historical omission reason unknown.</x:v>
      </x:c>
      <x:c r="L449" s="7" t="str">
        <x:v>Not supplied; membership is known, motive is not</x:v>
      </x:c>
      <x:c r="M449" s="7" t="n">
        <x:v>7</x:v>
      </x:c>
      <x:c r="N449" s="7" t="str">
        <x:v>Outside current general-Life recruiting pool</x:v>
      </x:c>
      <x:c r="O449" s="7" t="str">
        <x:v>Not displayed</x:v>
      </x:c>
      <x:c r="P449" s="7" t="str"/>
      <x:c r="Q449" s="7" t="str"/>
      <x:c r="R449" s="7" t="str"/>
      <x:c r="S449" s="15" t="str"/>
      <x:c r="T449" s="7" t="str">
        <x:v>No public business phone in collected record</x:v>
      </x:c>
      <x:c r="U449" s="7" t="str">
        <x:v>14839 VANCE JACKSON RD UNIT 304 SAN ANTONIO TX, 78249-4998</x:v>
      </x:c>
      <x:c r="V449" s="7" t="str">
        <x:v>Non-resident</x:v>
      </x:c>
      <x:c r="W449" s="7" t="str">
        <x:v>TX</x:v>
      </x:c>
      <x:c r="X449" s="7" t="str"/>
      <x:c r="Y449" s="7" t="str"/>
      <x:c r="Z449" s="7" t="str"/>
      <x:c r="AA449" s="7" t="str"/>
      <x:c r="AB449" s="7" t="str"/>
      <x:c r="AC449" s="7" t="str"/>
      <x:c r="AD449" s="7" t="str">
        <x:v>No agency or insurer displayed: onboarding opportunity possible; existing business unknown</x:v>
      </x:c>
      <x:c r="AE449" s="7" t="str">
        <x:v>Nonresident or address state outside CA; confirm geographic recruiting scope | No public business phone: contact enrichment needed, not proof of poor recruiting fit</x:v>
      </x:c>
      <x:c r="AF449" s="16" t="str"/>
      <x:c r="AG449" s="17" t="str"/>
      <x:c r="AH449" s="7" t="str"/>
      <x:c r="AI449" s="7" t="str"/>
      <x:c r="AJ449" s="7" t="str"/>
      <x:c r="AK449" s="15" t="str"/>
      <x:c r="AL449" s="7" t="str"/>
      <x:c r="AM449" s="7" t="str">
        <x:v>AGUILAR GARZA  MARCELO</x:v>
      </x:c>
      <x:c r="AN449" s="7" t="str">
        <x:v>https://cdicloud.insurance.ca.gov/cal/LicenseDetail?SearchType=IND&amp;SearchLicNbr=4395936&amp;SearchIndvId=4395936</x:v>
      </x:c>
      <x:c r="AO449" s="7" t="str">
        <x:v>2026-10-08</x:v>
      </x:c>
      <x:c r="AP449" s="7" t="str">
        <x:v>08eae46435e0587409fde76a2dd1704b36943d09271d65d7da30534666052cf3</x:v>
      </x:c>
      <x:c r="AQ449" s="7" t="str">
        <x:v>Personal Lines / Inactive / 07/23/2024 / 07/31/2026 / 07/31/2026</x:v>
      </x:c>
      <x:c r="AR449" s="7" t="str">
        <x:v>Inactive</x:v>
      </x:c>
      <x:c r="AS449" s="7" t="str">
        <x:v>Current detail page</x:v>
      </x:c>
    </x:row>
    <x:row r="450" ht="52" customHeight="1">
      <x:c r="A450" s="7" t="str">
        <x:v>AGUILAR GENIVERE MARGARET</x:v>
      </x:c>
      <x:c r="B450" s="14" t="str">
        <x:f>"0E40664"</x:f>
        <x:v>0E40664</x:v>
      </x:c>
      <x:c r="C450" s="7" t="str">
        <x:v>Omitted</x:v>
      </x:c>
      <x:c r="D450" s="7" t="str">
        <x:v>FAIL</x:v>
      </x:c>
      <x:c r="E450" s="13" t="str">
        <x:v>Pending</x:v>
      </x:c>
      <x:c r="F450" s="13" t="str"/>
      <x:c r="G450" s="13" t="str"/>
      <x:c r="H450" s="13" t="str"/>
      <x:c r="I450" s="7" t="str">
        <x:v>Was this person reviewed? If rejected, give the actual rule and evidence. If acceptable, correct the omission. Confirm the Life-qualification gate and any record change since selection.</x:v>
      </x:c>
      <x:c r="J450" s="7" t="str">
        <x:v>L1</x:v>
      </x:c>
      <x:c r="K450" s="7" t="str">
        <x:v>Verified qualifications do not include active general Life. Current target-pool mismatch; actual historical omission reason unknown.</x:v>
      </x:c>
      <x:c r="L450" s="7" t="str">
        <x:v>Not supplied; membership is known, motive is not</x:v>
      </x:c>
      <x:c r="M450" s="7" t="n">
        <x:v>7</x:v>
      </x:c>
      <x:c r="N450" s="7" t="str">
        <x:v>Outside current general-Life recruiting pool</x:v>
      </x:c>
      <x:c r="O450" s="7" t="str">
        <x:v>Inactive</x:v>
      </x:c>
      <x:c r="P450" s="7" t="str">
        <x:v>04/24/2004</x:v>
      </x:c>
      <x:c r="Q450" s="7" t="str">
        <x:v>04/30/2022</x:v>
      </x:c>
      <x:c r="R450" s="7" t="str"/>
      <x:c r="S450" s="15" t="str">
        <x:v>760-330-0509</x:v>
      </x:c>
      <x:c r="T450" s="7" t="str">
        <x:v>Current CDI</x:v>
      </x:c>
      <x:c r="U450" s="7" t="str">
        <x:v>4704 RIM ROCK ROAD OCEANSIDE CA, 92056-3016</x:v>
      </x:c>
      <x:c r="V450" s="7" t="str">
        <x:v>Resident</x:v>
      </x:c>
      <x:c r="W450" s="7" t="str">
        <x:v>CA</x:v>
      </x:c>
      <x:c r="X450" s="7" t="str"/>
      <x:c r="Y450" s="7" t="str"/>
      <x:c r="Z450" s="7" t="str"/>
      <x:c r="AA450" s="7" t="str"/>
      <x:c r="AB450" s="7" t="str"/>
      <x:c r="AC450" s="7" t="str"/>
      <x:c r="AD450" s="7" t="str">
        <x:v>No agency or insurer displayed: onboarding opportunity possible; existing business unknown</x:v>
      </x:c>
      <x:c r="AE450" s="7" t="str"/>
      <x:c r="AF450" s="16" t="str"/>
      <x:c r="AG450" s="17" t="str"/>
      <x:c r="AH450" s="7" t="str"/>
      <x:c r="AI450" s="7" t="str">
        <x:v>English, Spanish, Spanish</x:v>
      </x:c>
      <x:c r="AJ450" s="7" t="str"/>
      <x:c r="AK450" s="15" t="str"/>
      <x:c r="AL450" s="7" t="str"/>
      <x:c r="AM450" s="7" t="str">
        <x:v>AGUILAR MARGARET GENIVERE</x:v>
      </x:c>
      <x:c r="AN450" s="7" t="str">
        <x:v>https://cdicloud.insurance.ca.gov/cal/LicenseDetail?SearchType=IND&amp;SearchLicNbr=0E40664&amp;SearchIndvId=894287</x:v>
      </x:c>
      <x:c r="AO450" s="7" t="str">
        <x:v>2026-10-08</x:v>
      </x:c>
      <x:c r="AP450" s="7" t="str">
        <x:v>5637a43dc13868a1d2f62438c432accdec1b5cc7671b27994f76c112a9fdd3a8</x:v>
      </x:c>
      <x:c r="AQ450" s="7" t="str">
        <x:v>Accident &amp; Health or Sickness / Inactive / 04/24/2004 / 04/30/2022 / 04/30/2022
Life / Inactive / 04/24/2004 / 04/30/2022 / 04/30/2022</x:v>
      </x:c>
      <x:c r="AR450" s="7" t="str">
        <x:v>Inactive</x:v>
      </x:c>
      <x:c r="AS450" s="7" t="str">
        <x:v>Current detail page</x:v>
      </x:c>
    </x:row>
    <x:row r="451" ht="52" customHeight="1">
      <x:c r="A451" s="7" t="str">
        <x:v>AGUILAR GEORGE GIANCARLO</x:v>
      </x:c>
      <x:c r="B451" s="14" t="str">
        <x:f>"0E61080"</x:f>
        <x:v>0E61080</x:v>
      </x:c>
      <x:c r="C451" s="7" t="str">
        <x:v>Omitted</x:v>
      </x:c>
      <x:c r="D451" s="7" t="str">
        <x:v>FAIL</x:v>
      </x:c>
      <x:c r="E451" s="13" t="str">
        <x:v>Pending</x:v>
      </x:c>
      <x:c r="F451" s="13" t="str"/>
      <x:c r="G451" s="13" t="str"/>
      <x:c r="H451" s="13" t="str"/>
      <x:c r="I451" s="7" t="str">
        <x:v>Was this person reviewed? If rejected, give the actual rule and evidence. If acceptable, correct the omission. Confirm the Life-qualification gate and any record change since selection.</x:v>
      </x:c>
      <x:c r="J451" s="7" t="str">
        <x:v>L1</x:v>
      </x:c>
      <x:c r="K451" s="7" t="str">
        <x:v>Verified qualifications do not include active general Life. Current target-pool mismatch; actual historical omission reason unknown.</x:v>
      </x:c>
      <x:c r="L451" s="7" t="str">
        <x:v>Not supplied; membership is known, motive is not</x:v>
      </x:c>
      <x:c r="M451" s="7" t="n">
        <x:v>7</x:v>
      </x:c>
      <x:c r="N451" s="7" t="str">
        <x:v>Outside current general-Life recruiting pool</x:v>
      </x:c>
      <x:c r="O451" s="7" t="str">
        <x:v>Not displayed</x:v>
      </x:c>
      <x:c r="P451" s="7" t="str"/>
      <x:c r="Q451" s="7" t="str"/>
      <x:c r="R451" s="7" t="str"/>
      <x:c r="S451" s="15" t="str"/>
      <x:c r="T451" s="7" t="str">
        <x:v>No public business phone in collected record</x:v>
      </x:c>
      <x:c r="U451" s="7" t="str"/>
      <x:c r="V451" s="7" t="str">
        <x:v>Non-resident</x:v>
      </x:c>
      <x:c r="W451" s="7" t="str">
        <x:v>NC</x:v>
      </x:c>
      <x:c r="X451" s="7" t="str"/>
      <x:c r="Y451" s="7" t="str"/>
      <x:c r="Z451" s="7" t="str"/>
      <x:c r="AA451" s="7" t="str"/>
      <x:c r="AB451" s="7" t="str"/>
      <x:c r="AC451" s="7" t="str"/>
      <x:c r="AD451" s="7" t="str">
        <x:v>No agency or insurer displayed: onboarding opportunity possible; existing business unknown</x:v>
      </x:c>
      <x:c r="AE451" s="7" t="str">
        <x:v>Nonresident or address state outside CA; confirm geographic recruiting scope | No public business phone: contact enrichment needed, not proof of poor recruiting fit</x:v>
      </x:c>
      <x:c r="AF451" s="16" t="str"/>
      <x:c r="AG451" s="17" t="str"/>
      <x:c r="AH451" s="7" t="str"/>
      <x:c r="AI451" s="7" t="str"/>
      <x:c r="AJ451" s="7" t="str"/>
      <x:c r="AK451" s="15" t="str"/>
      <x:c r="AL451" s="7" t="str"/>
      <x:c r="AM451" s="7" t="str">
        <x:v>AGUILAR GIANCARLO GEORGE</x:v>
      </x:c>
      <x:c r="AN451" s="7" t="str">
        <x:v>https://cdicloud.insurance.ca.gov/cal/LicenseDetail?SearchType=IND&amp;SearchLicNbr=0E61080&amp;SearchIndvId=944429</x:v>
      </x:c>
      <x:c r="AO451" s="7" t="str">
        <x:v>2026-10-08</x:v>
      </x:c>
      <x:c r="AP451" s="7" t="str">
        <x:v>589c38d9b65e1866758359ecacbbe4620d62c1ae38252ef2b4d92cf36687cb6b</x:v>
      </x:c>
      <x:c r="AQ451" s="7" t="str">
        <x:v>Casualty Broker-Agent / Inactive / 03/29/2005 / 03/31/2007 / 03/31/2007
Property Broker-Agent / Inactive / 03/29/2005 / 03/31/2007 / 03/31/2007</x:v>
      </x:c>
      <x:c r="AR451" s="7" t="str">
        <x:v>Inactive</x:v>
      </x:c>
      <x:c r="AS451" s="7" t="str">
        <x:v>Current detail page</x:v>
      </x:c>
    </x:row>
    <x:row r="452" ht="52" customHeight="1">
      <x:c r="A452" s="7" t="str">
        <x:v>AGUILAR GERALDEE</x:v>
      </x:c>
      <x:c r="B452" s="14" t="str">
        <x:f>"4579008"</x:f>
        <x:v>4579008</x:v>
      </x:c>
      <x:c r="C452" s="7" t="str">
        <x:v>Omitted</x:v>
      </x:c>
      <x:c r="D452" s="7" t="str">
        <x:v>FAIL</x:v>
      </x:c>
      <x:c r="E452" s="13" t="str">
        <x:v>Pending</x:v>
      </x:c>
      <x:c r="F452" s="13" t="str"/>
      <x:c r="G452" s="13" t="str"/>
      <x:c r="H452" s="13" t="str"/>
      <x:c r="I452" s="7" t="str">
        <x:v>Was this person reviewed? If rejected, give the actual rule and evidence. If acceptable, correct the omission. Confirm the Life-qualification gate and any record change since selection.</x:v>
      </x:c>
      <x:c r="J452" s="7" t="str">
        <x:v>L1</x:v>
      </x:c>
      <x:c r="K452" s="7" t="str">
        <x:v>Verified qualifications do not include active general Life. Current target-pool mismatch; actual historical omission reason unknown.</x:v>
      </x:c>
      <x:c r="L452" s="7" t="str">
        <x:v>Not supplied; membership is known, motive is not</x:v>
      </x:c>
      <x:c r="M452" s="7" t="n">
        <x:v>7</x:v>
      </x:c>
      <x:c r="N452" s="7" t="str">
        <x:v>Outside current general-Life recruiting pool</x:v>
      </x:c>
      <x:c r="O452" s="7" t="str">
        <x:v>Not displayed</x:v>
      </x:c>
      <x:c r="P452" s="7" t="str"/>
      <x:c r="Q452" s="7" t="str"/>
      <x:c r="R452" s="7" t="str">
        <x:v>Limited Lines Automobile</x:v>
      </x:c>
      <x:c r="S452" s="15" t="str">
        <x:v>559-635-1440</x:v>
      </x:c>
      <x:c r="T452" s="7" t="str">
        <x:v>Current CDI</x:v>
      </x:c>
      <x:c r="U452" s="7" t="str">
        <x:v>1941 N DINUBA BLVD, STE G VISALIA CA, 93277</x:v>
      </x:c>
      <x:c r="V452" s="7" t="str">
        <x:v>Resident</x:v>
      </x:c>
      <x:c r="W452" s="7" t="str">
        <x:v>CA</x:v>
      </x:c>
      <x:c r="X452" s="7" t="str">
        <x:v>FRED LOYA INSURANCE AGENCY, INC. / Limited Lines Automobile / 09/14/2026</x:v>
      </x:c>
      <x:c r="Y452" s="7" t="str"/>
      <x:c r="Z452" s="7" t="str"/>
      <x:c r="AA452" s="7" t="str"/>
      <x:c r="AB452" s="7" t="str"/>
      <x:c r="AC452" s="7" t="str"/>
      <x:c r="AD452" s="7" t="str"/>
      <x:c r="AE452" s="7" t="str"/>
      <x:c r="AF452" s="16" t="str"/>
      <x:c r="AG452" s="17" t="str"/>
      <x:c r="AH452" s="7" t="str"/>
      <x:c r="AI452" s="7" t="str">
        <x:v>English</x:v>
      </x:c>
      <x:c r="AJ452" s="7" t="str"/>
      <x:c r="AK452" s="15" t="str"/>
      <x:c r="AL452" s="7" t="str"/>
      <x:c r="AM452" s="7" t="str">
        <x:v>AGUILAR  GERALDEE</x:v>
      </x:c>
      <x:c r="AN452" s="7" t="str">
        <x:v>https://cdicloud.insurance.ca.gov/cal/LicenseDetail?SearchType=IND&amp;SearchLicNbr=4579008&amp;SearchIndvId=4579008</x:v>
      </x:c>
      <x:c r="AO452" s="7" t="str">
        <x:v>2026-10-08</x:v>
      </x:c>
      <x:c r="AP452" s="7" t="str">
        <x:v>9f208bf1aeb65b074ca19b453ac1bbad5447a8a28b5f582202c5326d7848c8a6</x:v>
      </x:c>
      <x:c r="AQ452" s="7" t="str">
        <x:v>Limited Lines Automobile / Active / 09/14/2026 / 09/14/2026 / 09/30/2028</x:v>
      </x:c>
      <x:c r="AR452" s="7" t="str">
        <x:v>Active</x:v>
      </x:c>
      <x:c r="AS452" s="7" t="str">
        <x:v>Current detail page</x:v>
      </x:c>
    </x:row>
    <x:row r="453" ht="52" customHeight="1">
      <x:c r="A453" s="7" t="str">
        <x:v>AGUILAR GERALDINE VENTOCILLA</x:v>
      </x:c>
      <x:c r="B453" s="14" t="str">
        <x:f>"0G65195"</x:f>
        <x:v>0G65195</x:v>
      </x:c>
      <x:c r="C453" s="7" t="str">
        <x:v>Omitted</x:v>
      </x:c>
      <x:c r="D453" s="7" t="str">
        <x:v>FAIL</x:v>
      </x:c>
      <x:c r="E453" s="13" t="str">
        <x:v>Pending</x:v>
      </x:c>
      <x:c r="F453" s="13" t="str"/>
      <x:c r="G453" s="13" t="str"/>
      <x:c r="H453" s="13" t="str"/>
      <x:c r="I453" s="7" t="str">
        <x:v>Was this person reviewed? If rejected, give the actual rule and evidence. If acceptable, correct the omission. Confirm the Life-qualification gate and any record change since selection.</x:v>
      </x:c>
      <x:c r="J453" s="7" t="str">
        <x:v>L1</x:v>
      </x:c>
      <x:c r="K453" s="7" t="str">
        <x:v>Verified qualifications do not include active general Life. Current target-pool mismatch; actual historical omission reason unknown.</x:v>
      </x:c>
      <x:c r="L453" s="7" t="str">
        <x:v>Not supplied; membership is known, motive is not</x:v>
      </x:c>
      <x:c r="M453" s="7" t="n">
        <x:v>7</x:v>
      </x:c>
      <x:c r="N453" s="7" t="str">
        <x:v>Outside current general-Life recruiting pool</x:v>
      </x:c>
      <x:c r="O453" s="7" t="str">
        <x:v>Not displayed</x:v>
      </x:c>
      <x:c r="P453" s="7" t="str"/>
      <x:c r="Q453" s="7" t="str"/>
      <x:c r="R453" s="7" t="str"/>
      <x:c r="S453" s="15" t="str"/>
      <x:c r="T453" s="7" t="str">
        <x:v>No public business phone in collected record</x:v>
      </x:c>
      <x:c r="U453" s="7" t="str"/>
      <x:c r="V453" s="7" t="str">
        <x:v>Resident</x:v>
      </x:c>
      <x:c r="W453" s="7" t="str">
        <x:v>CA</x:v>
      </x:c>
      <x:c r="X453" s="7" t="str"/>
      <x:c r="Y453" s="7" t="str"/>
      <x:c r="Z453" s="7" t="str"/>
      <x:c r="AA453" s="7" t="str"/>
      <x:c r="AB453" s="7" t="str"/>
      <x:c r="AC453" s="7" t="str"/>
      <x:c r="AD453" s="7" t="str">
        <x:v>No agency or insurer displayed: onboarding opportunity possible; existing business unknown</x:v>
      </x:c>
      <x:c r="AE453" s="7" t="str">
        <x:v>No public business phone: contact enrichment needed, not proof of poor recruiting fit</x:v>
      </x:c>
      <x:c r="AF453" s="16" t="str"/>
      <x:c r="AG453" s="17" t="str"/>
      <x:c r="AH453" s="7" t="str"/>
      <x:c r="AI453" s="7" t="str"/>
      <x:c r="AJ453" s="7" t="str"/>
      <x:c r="AK453" s="15" t="str"/>
      <x:c r="AL453" s="7" t="str"/>
      <x:c r="AM453" s="7" t="str">
        <x:v>AGUILAR VENTOCILLA GERALDINE</x:v>
      </x:c>
      <x:c r="AN453" s="7" t="str">
        <x:v>https://cdicloud.insurance.ca.gov/cal/LicenseDetail?SearchType=IND&amp;SearchLicNbr=0G65195&amp;SearchIndvId=1269284</x:v>
      </x:c>
      <x:c r="AO453" s="7" t="str">
        <x:v>2026-10-08</x:v>
      </x:c>
      <x:c r="AP453" s="7" t="str">
        <x:v>7e5252171db37d0f737cf42adfafbd9ff2d3063ca9f665d4b06c4af56d22a0b0</x:v>
      </x:c>
      <x:c r="AQ453" s="7" t="str">
        <x:v>Accident and Health / Inactive / 06/18/2009 / 06/30/2013 / 06/30/2013
Casualty Broker-Agent / Inactive / 07/10/2012 / 06/30/2013 / 06/30/2013
Life-Only / Inactive / 06/18/2009 / 06/30/2013 / 06/30/2013
Property Broker-Agent / Inactive / 07/10/2012 / 06/30/2013 / 06/30/2013</x:v>
      </x:c>
      <x:c r="AR453" s="7" t="str">
        <x:v>Inactive</x:v>
      </x:c>
      <x:c r="AS453" s="7" t="str">
        <x:v>Current detail page</x:v>
      </x:c>
    </x:row>
    <x:row r="454" ht="52" customHeight="1">
      <x:c r="A454" s="7" t="str">
        <x:v>AGUILAR GERARDO</x:v>
      </x:c>
      <x:c r="B454" s="14" t="str">
        <x:f>"0H25963"</x:f>
        <x:v>0H25963</x:v>
      </x:c>
      <x:c r="C454" s="7" t="str">
        <x:v>Omitted</x:v>
      </x:c>
      <x:c r="D454" s="7" t="str">
        <x:v>FAIL</x:v>
      </x:c>
      <x:c r="E454" s="13" t="str">
        <x:v>Pending</x:v>
      </x:c>
      <x:c r="F454" s="13" t="str"/>
      <x:c r="G454" s="13" t="str"/>
      <x:c r="H454" s="13" t="str"/>
      <x:c r="I454" s="7" t="str">
        <x:v>Was this person reviewed? If rejected, give the actual rule and evidence. If acceptable, correct the omission. Confirm the Life-qualification gate and any record change since selection.</x:v>
      </x:c>
      <x:c r="J454" s="7" t="str">
        <x:v>L1</x:v>
      </x:c>
      <x:c r="K454" s="7" t="str">
        <x:v>Verified qualifications do not include active general Life. Current target-pool mismatch; actual historical omission reason unknown.</x:v>
      </x:c>
      <x:c r="L454" s="7" t="str">
        <x:v>Not supplied; membership is known, motive is not</x:v>
      </x:c>
      <x:c r="M454" s="7" t="n">
        <x:v>7</x:v>
      </x:c>
      <x:c r="N454" s="7" t="str">
        <x:v>Outside current general-Life recruiting pool</x:v>
      </x:c>
      <x:c r="O454" s="7" t="str">
        <x:v>Not displayed</x:v>
      </x:c>
      <x:c r="P454" s="7" t="str"/>
      <x:c r="Q454" s="7" t="str"/>
      <x:c r="R454" s="7" t="str"/>
      <x:c r="S454" s="15" t="str"/>
      <x:c r="T454" s="7" t="str">
        <x:v>No public business phone in collected record</x:v>
      </x:c>
      <x:c r="U454" s="7" t="str"/>
      <x:c r="V454" s="7" t="str">
        <x:v>Resident</x:v>
      </x:c>
      <x:c r="W454" s="7" t="str">
        <x:v>CA</x:v>
      </x:c>
      <x:c r="X454" s="7" t="str"/>
      <x:c r="Y454" s="7" t="str"/>
      <x:c r="Z454" s="7" t="str"/>
      <x:c r="AA454" s="7" t="str"/>
      <x:c r="AB454" s="7" t="str"/>
      <x:c r="AC454" s="7" t="str"/>
      <x:c r="AD454" s="7" t="str">
        <x:v>No agency or insurer displayed: onboarding opportunity possible; existing business unknown</x:v>
      </x:c>
      <x:c r="AE454" s="7" t="str">
        <x:v>No public business phone: contact enrichment needed, not proof of poor recruiting fit</x:v>
      </x:c>
      <x:c r="AF454" s="16" t="str"/>
      <x:c r="AG454" s="17" t="str"/>
      <x:c r="AH454" s="7" t="str"/>
      <x:c r="AI454" s="7" t="str"/>
      <x:c r="AJ454" s="7" t="str"/>
      <x:c r="AK454" s="15" t="str"/>
      <x:c r="AL454" s="7" t="str"/>
      <x:c r="AM454" s="7" t="str">
        <x:v>AGUILAR  GERARDO</x:v>
      </x:c>
      <x:c r="AN454" s="7" t="str">
        <x:v>https://cdicloud.insurance.ca.gov/cal/LicenseDetail?SearchType=IND&amp;SearchLicNbr=0H25963&amp;SearchIndvId=1366088</x:v>
      </x:c>
      <x:c r="AO454" s="7" t="str">
        <x:v>2026-10-08</x:v>
      </x:c>
      <x:c r="AP454" s="7" t="str">
        <x:v>ed2658bb710d28315422067cf486a327ee51de52ab47fad33a850e9ebe681e69</x:v>
      </x:c>
      <x:c r="AQ454" s="7" t="str">
        <x:v>Life-Only / Inactive / 12/02/2010 / 12/31/2012 / 12/31/2012</x:v>
      </x:c>
      <x:c r="AR454" s="7" t="str">
        <x:v>Inactive</x:v>
      </x:c>
      <x:c r="AS454" s="7" t="str">
        <x:v>Current detail page</x:v>
      </x:c>
    </x:row>
    <x:row r="455" ht="52" customHeight="1">
      <x:c r="A455" s="7" t="str">
        <x:v>AGUILAR GERARDO</x:v>
      </x:c>
      <x:c r="B455" s="14" t="str">
        <x:f>"0I62983"</x:f>
        <x:v>0I62983</x:v>
      </x:c>
      <x:c r="C455" s="7" t="str">
        <x:v>Omitted</x:v>
      </x:c>
      <x:c r="D455" s="7" t="str">
        <x:v>FAIL</x:v>
      </x:c>
      <x:c r="E455" s="13" t="str">
        <x:v>Pending</x:v>
      </x:c>
      <x:c r="F455" s="13" t="str"/>
      <x:c r="G455" s="13" t="str"/>
      <x:c r="H455" s="13" t="str"/>
      <x:c r="I455" s="7" t="str">
        <x:v>Was this person reviewed? If rejected, give the actual rule and evidence. If acceptable, correct the omission. Confirm the Life-qualification gate and any record change since selection.</x:v>
      </x:c>
      <x:c r="J455" s="7" t="str">
        <x:v>L1</x:v>
      </x:c>
      <x:c r="K455" s="7" t="str">
        <x:v>Verified qualifications do not include active general Life. Current target-pool mismatch; actual historical omission reason unknown.</x:v>
      </x:c>
      <x:c r="L455" s="7" t="str">
        <x:v>Not supplied; membership is known, motive is not</x:v>
      </x:c>
      <x:c r="M455" s="7" t="n">
        <x:v>7</x:v>
      </x:c>
      <x:c r="N455" s="7" t="str">
        <x:v>Outside current general-Life recruiting pool</x:v>
      </x:c>
      <x:c r="O455" s="7" t="str">
        <x:v>Not displayed</x:v>
      </x:c>
      <x:c r="P455" s="7" t="str"/>
      <x:c r="Q455" s="7" t="str"/>
      <x:c r="R455" s="7" t="str"/>
      <x:c r="S455" s="15" t="str"/>
      <x:c r="T455" s="7" t="str">
        <x:v>No public business phone in collected record</x:v>
      </x:c>
      <x:c r="U455" s="7" t="str"/>
      <x:c r="V455" s="7" t="str">
        <x:v>Non-resident</x:v>
      </x:c>
      <x:c r="W455" s="7" t="str">
        <x:v>AZ</x:v>
      </x:c>
      <x:c r="X455" s="7" t="str"/>
      <x:c r="Y455" s="7" t="str"/>
      <x:c r="Z455" s="7" t="str"/>
      <x:c r="AA455" s="7" t="str"/>
      <x:c r="AB455" s="7" t="str"/>
      <x:c r="AC455" s="7" t="str"/>
      <x:c r="AD455" s="7" t="str">
        <x:v>No agency or insurer displayed: onboarding opportunity possible; existing business unknown</x:v>
      </x:c>
      <x:c r="AE455" s="7" t="str">
        <x:v>Nonresident or address state outside CA; confirm geographic recruiting scope | No public business phone: contact enrichment needed, not proof of poor recruiting fit</x:v>
      </x:c>
      <x:c r="AF455" s="16" t="str"/>
      <x:c r="AG455" s="17" t="str"/>
      <x:c r="AH455" s="7" t="str"/>
      <x:c r="AI455" s="7" t="str"/>
      <x:c r="AJ455" s="7" t="str"/>
      <x:c r="AK455" s="15" t="str"/>
      <x:c r="AL455" s="7" t="str"/>
      <x:c r="AM455" s="7" t="str">
        <x:v>AGUILAR  GERARDO</x:v>
      </x:c>
      <x:c r="AN455" s="7" t="str">
        <x:v>https://cdicloud.insurance.ca.gov/cal/LicenseDetail?SearchType=IND&amp;SearchLicNbr=0I62983&amp;SearchIndvId=1625982</x:v>
      </x:c>
      <x:c r="AO455" s="7" t="str">
        <x:v>2026-10-08</x:v>
      </x:c>
      <x:c r="AP455" s="7" t="str">
        <x:v>ed539bbd567ddc505bf8797b39fc807dee67fd9d19a472f881121175b821ad61</x:v>
      </x:c>
      <x:c r="AQ455" s="7" t="str">
        <x:v>Accident and Health / Inactive / 11/13/2013 / 11/30/2017 / 11/30/2017</x:v>
      </x:c>
      <x:c r="AR455" s="7" t="str">
        <x:v>Inactive</x:v>
      </x:c>
      <x:c r="AS455" s="7" t="str">
        <x:v>Current detail page</x:v>
      </x:c>
    </x:row>
    <x:row r="456" ht="52" customHeight="1">
      <x:c r="A456" s="7" t="str">
        <x:v>AGUILAR GERARDO</x:v>
      </x:c>
      <x:c r="B456" s="14" t="str">
        <x:f>"4357755"</x:f>
        <x:v>4357755</x:v>
      </x:c>
      <x:c r="C456" s="7" t="str">
        <x:v>Omitted</x:v>
      </x:c>
      <x:c r="D456" s="7" t="str">
        <x:v>FAIL</x:v>
      </x:c>
      <x:c r="E456" s="13" t="str">
        <x:v>Pending</x:v>
      </x:c>
      <x:c r="F456" s="13" t="str"/>
      <x:c r="G456" s="13" t="str"/>
      <x:c r="H456" s="13" t="str"/>
      <x:c r="I456" s="7" t="str">
        <x:v>Was this person reviewed? If rejected, give the actual rule and evidence. If acceptable, correct the omission. Confirm the Life-qualification gate and any record change since selection.</x:v>
      </x:c>
      <x:c r="J456" s="7" t="str">
        <x:v>L1</x:v>
      </x:c>
      <x:c r="K456" s="7" t="str">
        <x:v>Verified qualifications do not include active general Life. Current target-pool mismatch; actual historical omission reason unknown.</x:v>
      </x:c>
      <x:c r="L456" s="7" t="str">
        <x:v>Not supplied; membership is known, motive is not</x:v>
      </x:c>
      <x:c r="M456" s="7" t="n">
        <x:v>7</x:v>
      </x:c>
      <x:c r="N456" s="7" t="str">
        <x:v>Outside current general-Life recruiting pool</x:v>
      </x:c>
      <x:c r="O456" s="7" t="str">
        <x:v>Inactive</x:v>
      </x:c>
      <x:c r="P456" s="7" t="str">
        <x:v>02/06/2024</x:v>
      </x:c>
      <x:c r="Q456" s="7" t="str">
        <x:v>02/28/2026</x:v>
      </x:c>
      <x:c r="R456" s="7" t="str"/>
      <x:c r="S456" s="15" t="str"/>
      <x:c r="T456" s="7" t="str">
        <x:v>No public business phone in collected record</x:v>
      </x:c>
      <x:c r="U456" s="7" t="str">
        <x:v>546 BALLOUGH RD DAYTONA BEACH FL, 32114</x:v>
      </x:c>
      <x:c r="V456" s="7" t="str">
        <x:v>Non-resident</x:v>
      </x:c>
      <x:c r="W456" s="7" t="str">
        <x:v>FL</x:v>
      </x:c>
      <x:c r="X456" s="7" t="str"/>
      <x:c r="Y456" s="7" t="str"/>
      <x:c r="Z456" s="7" t="str"/>
      <x:c r="AA456" s="7" t="str"/>
      <x:c r="AB456" s="7" t="str"/>
      <x:c r="AC456" s="7" t="str"/>
      <x:c r="AD456" s="7" t="str">
        <x:v>No agency or insurer displayed: onboarding opportunity possible; existing business unknown</x:v>
      </x:c>
      <x:c r="AE456" s="7" t="str">
        <x:v>Nonresident or address state outside CA; confirm geographic recruiting scope | No public business phone: contact enrichment needed, not proof of poor recruiting fit</x:v>
      </x:c>
      <x:c r="AF456" s="16" t="str"/>
      <x:c r="AG456" s="17" t="str"/>
      <x:c r="AH456" s="7" t="str"/>
      <x:c r="AI456" s="7" t="str"/>
      <x:c r="AJ456" s="7" t="str"/>
      <x:c r="AK456" s="15" t="str"/>
      <x:c r="AL456" s="7" t="str"/>
      <x:c r="AM456" s="7" t="str">
        <x:v>AGUILAR  GERARDO</x:v>
      </x:c>
      <x:c r="AN456" s="7" t="str">
        <x:v>https://cdicloud.insurance.ca.gov/cal/LicenseDetail?SearchType=IND&amp;SearchLicNbr=4357755&amp;SearchIndvId=4357755</x:v>
      </x:c>
      <x:c r="AO456" s="7" t="str">
        <x:v>2026-10-08</x:v>
      </x:c>
      <x:c r="AP456" s="7" t="str">
        <x:v>5fbed7cb4a2ff2d81864a4e95b003248f0fffaec2704a6cc98c896b793b65d9a</x:v>
      </x:c>
      <x:c r="AQ456" s="7" t="str">
        <x:v>Accident &amp; Health or Sickness / Inactive / 08/30/2024 / 02/28/2026 / 02/28/2026
Life / Inactive / 02/06/2024 / 02/28/2026 / 02/28/2026</x:v>
      </x:c>
      <x:c r="AR456" s="7" t="str">
        <x:v>Inactive</x:v>
      </x:c>
      <x:c r="AS456" s="7" t="str">
        <x:v>Current detail page</x:v>
      </x:c>
    </x:row>
    <x:row r="457" ht="52" customHeight="1">
      <x:c r="A457" s="7" t="str">
        <x:v>AGUILAR GERARDO</x:v>
      </x:c>
      <x:c r="B457" s="14" t="str">
        <x:f>"E287738"</x:f>
        <x:v>E287738</x:v>
      </x:c>
      <x:c r="C457" s="7" t="str">
        <x:v>Omitted</x:v>
      </x:c>
      <x:c r="D457" s="7" t="str">
        <x:v>REVIEW</x:v>
      </x:c>
      <x:c r="E457" s="13" t="str">
        <x:v>Pending</x:v>
      </x:c>
      <x:c r="F457" s="13" t="str"/>
      <x:c r="G457" s="13" t="str"/>
      <x:c r="H457" s="13" t="str"/>
      <x:c r="I457" s="7" t="str">
        <x:v>Was this record reviewed? The detail page provides no qualifications. Verify the actual license type and Life authority before deciding; do not reject for missing data.</x:v>
      </x:c>
      <x:c r="J457" s="7" t="str">
        <x:v>L1</x:v>
      </x:c>
      <x:c r="K457" s="7" t="str">
        <x:v>Detail page displays no qualification information. Life authority cannot be verified; missing data is not a qualification failure. Historical omission reason unknown.</x:v>
      </x:c>
      <x:c r="L457" s="7" t="str">
        <x:v>Not supplied; membership is known, motive is not</x:v>
      </x:c>
      <x:c r="M457" s="7" t="n">
        <x:v>7</x:v>
      </x:c>
      <x:c r="N457" s="7" t="str">
        <x:v>Outside current general-Life recruiting pool</x:v>
      </x:c>
      <x:c r="O457" s="7" t="str">
        <x:v>Not displayed</x:v>
      </x:c>
      <x:c r="P457" s="7" t="str"/>
      <x:c r="Q457" s="7" t="str"/>
      <x:c r="R457" s="7" t="str"/>
      <x:c r="S457" s="15" t="str"/>
      <x:c r="T457" s="7" t="str">
        <x:v>No public business phone in collected record</x:v>
      </x:c>
      <x:c r="U457" s="7" t="str"/>
      <x:c r="V457" s="7" t="str">
        <x:v>Resident</x:v>
      </x:c>
      <x:c r="W457" s="7" t="str">
        <x:v>CA</x:v>
      </x:c>
      <x:c r="X457" s="7" t="str"/>
      <x:c r="Y457" s="7" t="str"/>
      <x:c r="Z457" s="7" t="str"/>
      <x:c r="AA457" s="7" t="str"/>
      <x:c r="AB457" s="7" t="str"/>
      <x:c r="AC457" s="7" t="str"/>
      <x:c r="AD457" s="7" t="str">
        <x:v>No agency or insurer displayed: onboarding opportunity possible; existing business unknown</x:v>
      </x:c>
      <x:c r="AE457" s="7" t="str">
        <x:v>No public business phone: contact enrichment needed, not proof of poor recruiting fit</x:v>
      </x:c>
      <x:c r="AF457" s="16" t="str"/>
      <x:c r="AG457" s="17" t="str"/>
      <x:c r="AH457" s="7" t="str"/>
      <x:c r="AI457" s="7" t="str">
        <x:v>English</x:v>
      </x:c>
      <x:c r="AJ457" s="7" t="str"/>
      <x:c r="AK457" s="15" t="str"/>
      <x:c r="AL457" s="7" t="str"/>
      <x:c r="AM457" s="7" t="str">
        <x:v>AGUILAR  GERARDO</x:v>
      </x:c>
      <x:c r="AN457" s="7" t="str">
        <x:v>https://cdicloud.insurance.ca.gov/cal/LicenseDetail?SearchType=IND&amp;SearchLicNbr=E287738&amp;SearchIndvId=4287738</x:v>
      </x:c>
      <x:c r="AO457" s="7" t="str">
        <x:v>2026-10-08</x:v>
      </x:c>
      <x:c r="AP457" s="7" t="str">
        <x:v>39f94840059c7156a96bfe680b7c264780ecd67dbc9d6ae8b25a0238750e195f</x:v>
      </x:c>
      <x:c r="AQ457" s="7" t="str"/>
      <x:c r="AR457" s="7" t="str">
        <x:v>Active</x:v>
      </x:c>
      <x:c r="AS457" s="7" t="str">
        <x:v>Current detail page</x:v>
      </x:c>
    </x:row>
    <x:row r="458" ht="52" customHeight="1">
      <x:c r="A458" s="7" t="str">
        <x:v>AGUILAR GERMAN</x:v>
      </x:c>
      <x:c r="B458" s="14" t="str">
        <x:f>"4283703"</x:f>
        <x:v>4283703</x:v>
      </x:c>
      <x:c r="C458" s="7" t="str">
        <x:v>Omitted</x:v>
      </x:c>
      <x:c r="D458" s="7" t="str">
        <x:v>FAIL</x:v>
      </x:c>
      <x:c r="E458" s="13" t="str">
        <x:v>Pending</x:v>
      </x:c>
      <x:c r="F458" s="13" t="str"/>
      <x:c r="G458" s="13" t="str"/>
      <x:c r="H458" s="13" t="str"/>
      <x:c r="I458" s="7" t="str">
        <x:v>Was this person reviewed? If rejected, give the actual rule and evidence. If acceptable, correct the omission. Confirm the Life-qualification gate and any record change since selection.</x:v>
      </x:c>
      <x:c r="J458" s="7" t="str">
        <x:v>L1</x:v>
      </x:c>
      <x:c r="K458" s="7" t="str">
        <x:v>Verified qualifications do not include active general Life. Current target-pool mismatch; actual historical omission reason unknown.</x:v>
      </x:c>
      <x:c r="L458" s="7" t="str">
        <x:v>Not supplied; membership is known, motive is not</x:v>
      </x:c>
      <x:c r="M458" s="7" t="n">
        <x:v>7</x:v>
      </x:c>
      <x:c r="N458" s="7" t="str">
        <x:v>Outside current general-Life recruiting pool</x:v>
      </x:c>
      <x:c r="O458" s="7" t="str">
        <x:v>Inactive</x:v>
      </x:c>
      <x:c r="P458" s="7" t="str">
        <x:v>04/04/2023</x:v>
      </x:c>
      <x:c r="Q458" s="7" t="str">
        <x:v>04/30/2025</x:v>
      </x:c>
      <x:c r="R458" s="7" t="str"/>
      <x:c r="S458" s="15" t="str"/>
      <x:c r="T458" s="7" t="str">
        <x:v>No public business phone in collected record</x:v>
      </x:c>
      <x:c r="U458" s="7" t="str">
        <x:v>1855 CHICAGO AVE RIVERSIDE CA, 92507</x:v>
      </x:c>
      <x:c r="V458" s="7" t="str">
        <x:v>Resident</x:v>
      </x:c>
      <x:c r="W458" s="7" t="str">
        <x:v>CA</x:v>
      </x:c>
      <x:c r="X458" s="7" t="str"/>
      <x:c r="Y458" s="7" t="str"/>
      <x:c r="Z458" s="7" t="str"/>
      <x:c r="AA458" s="7" t="str"/>
      <x:c r="AB458" s="7" t="str"/>
      <x:c r="AC458" s="7" t="str"/>
      <x:c r="AD458" s="7" t="str">
        <x:v>No agency or insurer displayed: onboarding opportunity possible; existing business unknown</x:v>
      </x:c>
      <x:c r="AE458" s="7" t="str">
        <x:v>No public business phone: contact enrichment needed, not proof of poor recruiting fit</x:v>
      </x:c>
      <x:c r="AF458" s="16" t="str"/>
      <x:c r="AG458" s="17" t="str"/>
      <x:c r="AH458" s="7" t="str"/>
      <x:c r="AI458" s="7" t="str"/>
      <x:c r="AJ458" s="7" t="str"/>
      <x:c r="AK458" s="15" t="str"/>
      <x:c r="AL458" s="7" t="str"/>
      <x:c r="AM458" s="7" t="str">
        <x:v>AGUILAR  GERMAN</x:v>
      </x:c>
      <x:c r="AN458" s="7" t="str">
        <x:v>https://cdicloud.insurance.ca.gov/cal/LicenseDetail?SearchType=IND&amp;SearchLicNbr=4283703&amp;SearchIndvId=4283703</x:v>
      </x:c>
      <x:c r="AO458" s="7" t="str">
        <x:v>2026-10-08</x:v>
      </x:c>
      <x:c r="AP458" s="7" t="str">
        <x:v>e73d859f2a180bf94a2af512d6f6b87d3daf58c5d37693dec259e72ccce8189a</x:v>
      </x:c>
      <x:c r="AQ458" s="7" t="str">
        <x:v>Life / Inactive / 04/04/2023 / 04/30/2025 / 04/30/2025</x:v>
      </x:c>
      <x:c r="AR458" s="7" t="str">
        <x:v>Inactive</x:v>
      </x:c>
      <x:c r="AS458" s="7" t="str">
        <x:v>Current detail page</x:v>
      </x:c>
    </x:row>
    <x:row r="459" ht="52" customHeight="1">
      <x:c r="A459" s="7" t="str">
        <x:v>AGUILAR GERRY ORLANDO</x:v>
      </x:c>
      <x:c r="B459" s="14" t="str">
        <x:f>"0F61195"</x:f>
        <x:v>0F61195</x:v>
      </x:c>
      <x:c r="C459" s="7" t="str">
        <x:v>Omitted</x:v>
      </x:c>
      <x:c r="D459" s="7" t="str">
        <x:v>FAIL</x:v>
      </x:c>
      <x:c r="E459" s="13" t="str">
        <x:v>Pending</x:v>
      </x:c>
      <x:c r="F459" s="13" t="str"/>
      <x:c r="G459" s="13" t="str"/>
      <x:c r="H459" s="13" t="str"/>
      <x:c r="I459" s="7" t="str">
        <x:v>Was this person reviewed? If rejected, give the actual rule and evidence. If acceptable, correct the omission. Confirm the Life-qualification gate and any record change since selection.</x:v>
      </x:c>
      <x:c r="J459" s="7" t="str">
        <x:v>L1</x:v>
      </x:c>
      <x:c r="K459" s="7" t="str">
        <x:v>Verified qualifications do not include active general Life. Current target-pool mismatch; actual historical omission reason unknown.</x:v>
      </x:c>
      <x:c r="L459" s="7" t="str">
        <x:v>Not supplied; membership is known, motive is not</x:v>
      </x:c>
      <x:c r="M459" s="7" t="n">
        <x:v>7</x:v>
      </x:c>
      <x:c r="N459" s="7" t="str">
        <x:v>Outside current general-Life recruiting pool</x:v>
      </x:c>
      <x:c r="O459" s="7" t="str">
        <x:v>Not displayed</x:v>
      </x:c>
      <x:c r="P459" s="7" t="str"/>
      <x:c r="Q459" s="7" t="str"/>
      <x:c r="R459" s="7" t="str"/>
      <x:c r="S459" s="15" t="str"/>
      <x:c r="T459" s="7" t="str">
        <x:v>No public business phone in collected record</x:v>
      </x:c>
      <x:c r="U459" s="7" t="str"/>
      <x:c r="V459" s="7" t="str">
        <x:v>Resident</x:v>
      </x:c>
      <x:c r="W459" s="7" t="str">
        <x:v>CA</x:v>
      </x:c>
      <x:c r="X459" s="7" t="str"/>
      <x:c r="Y459" s="7" t="str"/>
      <x:c r="Z459" s="7" t="str"/>
      <x:c r="AA459" s="7" t="str"/>
      <x:c r="AB459" s="7" t="str"/>
      <x:c r="AC459" s="7" t="str"/>
      <x:c r="AD459" s="7" t="str">
        <x:v>No agency or insurer displayed: onboarding opportunity possible; existing business unknown</x:v>
      </x:c>
      <x:c r="AE459" s="7" t="str">
        <x:v>No public business phone: contact enrichment needed, not proof of poor recruiting fit</x:v>
      </x:c>
      <x:c r="AF459" s="16" t="str"/>
      <x:c r="AG459" s="17" t="str"/>
      <x:c r="AH459" s="7" t="str"/>
      <x:c r="AI459" s="7" t="str"/>
      <x:c r="AJ459" s="7" t="str"/>
      <x:c r="AK459" s="15" t="str"/>
      <x:c r="AL459" s="7" t="str"/>
      <x:c r="AM459" s="7" t="str">
        <x:v>AGUILAR ORLANDO GERARDO | AGUILAR ORLANDO GERRY</x:v>
      </x:c>
      <x:c r="AN459" s="7" t="str">
        <x:v>https://cdicloud.insurance.ca.gov/cal/LicenseDetail?SearchType=IND&amp;SearchLicNbr=0F61195&amp;SearchIndvId=1079797</x:v>
      </x:c>
      <x:c r="AO459" s="7" t="str">
        <x:v>2026-10-08</x:v>
      </x:c>
      <x:c r="AP459" s="7" t="str">
        <x:v>a7dfb3cc52928995db2045251e109e5485ce9829fcc60b6c5c589cfba79f8c23</x:v>
      </x:c>
      <x:c r="AQ459" s="7" t="str">
        <x:v>Accident and Health / Inactive / 05/22/2007 / 04/30/2009 / 04/30/2009
Casualty Broker-Agent / Inactive / 04/26/2007 / 04/30/2009 / 04/30/2009
Life-Only / Inactive / 05/22/2007 / 04/30/2009 / 04/30/2009
Property Broker-Agent / Inactive / 04/26/2007 / 04/30/2009 / 04/30/2009</x:v>
      </x:c>
      <x:c r="AR459" s="7" t="str">
        <x:v>Inactive</x:v>
      </x:c>
      <x:c r="AS459" s="7" t="str">
        <x:v>Current detail page</x:v>
      </x:c>
    </x:row>
    <x:row r="460" ht="52" customHeight="1">
      <x:c r="A460" s="7" t="str">
        <x:v>AGUILAR GILBERT LEO</x:v>
      </x:c>
      <x:c r="B460" s="14" t="str">
        <x:f>"0A81997"</x:f>
        <x:v>0A81997</x:v>
      </x:c>
      <x:c r="C460" s="7" t="str">
        <x:v>Omitted</x:v>
      </x:c>
      <x:c r="D460" s="7" t="str">
        <x:v>FAIL</x:v>
      </x:c>
      <x:c r="E460" s="13" t="str">
        <x:v>Pending</x:v>
      </x:c>
      <x:c r="F460" s="13" t="str"/>
      <x:c r="G460" s="13" t="str"/>
      <x:c r="H460" s="13" t="str"/>
      <x:c r="I460" s="7" t="str">
        <x:v>Was this person reviewed? If rejected, give the actual rule and evidence. If acceptable, correct the omission. Confirm the Life-qualification gate and any record change since selection.</x:v>
      </x:c>
      <x:c r="J460" s="7" t="str">
        <x:v>L1</x:v>
      </x:c>
      <x:c r="K460" s="7" t="str">
        <x:v>Verified qualifications do not include active general Life. Current target-pool mismatch; actual historical omission reason unknown.</x:v>
      </x:c>
      <x:c r="L460" s="7" t="str">
        <x:v>Not supplied; membership is known, motive is not</x:v>
      </x:c>
      <x:c r="M460" s="7" t="n">
        <x:v>7</x:v>
      </x:c>
      <x:c r="N460" s="7" t="str">
        <x:v>Outside current general-Life recruiting pool</x:v>
      </x:c>
      <x:c r="O460" s="7" t="str">
        <x:v>Not displayed</x:v>
      </x:c>
      <x:c r="P460" s="7" t="str"/>
      <x:c r="Q460" s="7" t="str"/>
      <x:c r="R460" s="7" t="str"/>
      <x:c r="S460" s="15" t="str"/>
      <x:c r="T460" s="7" t="str">
        <x:v>No public business phone in collected record</x:v>
      </x:c>
      <x:c r="U460" s="7" t="str"/>
      <x:c r="V460" s="7" t="str">
        <x:v>Resident</x:v>
      </x:c>
      <x:c r="W460" s="7" t="str"/>
      <x:c r="X460" s="7" t="str"/>
      <x:c r="Y460" s="7" t="str"/>
      <x:c r="Z460" s="7" t="str"/>
      <x:c r="AA460" s="7" t="str"/>
      <x:c r="AB460" s="7" t="str"/>
      <x:c r="AC460" s="7" t="str"/>
      <x:c r="AD460" s="7" t="str">
        <x:v>No agency or insurer displayed: onboarding opportunity possible; existing business unknown</x:v>
      </x:c>
      <x:c r="AE460" s="7" t="str">
        <x:v>Nonresident or address state outside CA; confirm geographic recruiting scope | No public business phone: contact enrichment needed, not proof of poor recruiting fit</x:v>
      </x:c>
      <x:c r="AF460" s="16" t="str"/>
      <x:c r="AG460" s="17" t="str"/>
      <x:c r="AH460" s="7" t="str"/>
      <x:c r="AI460" s="7" t="str"/>
      <x:c r="AJ460" s="7" t="str"/>
      <x:c r="AK460" s="15" t="str"/>
      <x:c r="AL460" s="7" t="str"/>
      <x:c r="AM460" s="7" t="str">
        <x:v>AGUILAR LEO GILBERT</x:v>
      </x:c>
      <x:c r="AN460" s="7" t="str">
        <x:v>https://cdicloud.insurance.ca.gov/cal/LicenseDetail?SearchType=IND&amp;SearchLicNbr=0A81997&amp;SearchIndvId=172087</x:v>
      </x:c>
      <x:c r="AO460" s="7" t="str">
        <x:v>2026-10-08</x:v>
      </x:c>
      <x:c r="AP460" s="7" t="str">
        <x:v>0bc71aea29dc2b32221bfad8ab66beef8ff2adfb5a07c9ab245bbd6e383d7088</x:v>
      </x:c>
      <x:c r="AQ460" s="7" t="str">
        <x:v>Accident and Health / Inactive / 06/27/1991 / 04/30/1995 / 04/30/1995
Life-Only / Inactive / 06/27/1991 / 04/30/1995 / 04/30/1995</x:v>
      </x:c>
      <x:c r="AR460" s="7" t="str">
        <x:v>Inactive</x:v>
      </x:c>
      <x:c r="AS460" s="7" t="str">
        <x:v>Current detail page</x:v>
      </x:c>
    </x:row>
    <x:row r="461" ht="52" customHeight="1">
      <x:c r="A461" s="7" t="str">
        <x:v>AGUILAR GINGER WALL</x:v>
      </x:c>
      <x:c r="B461" s="14" t="str">
        <x:f>"0603034"</x:f>
        <x:v>0603034</x:v>
      </x:c>
      <x:c r="C461" s="7" t="str">
        <x:v>Omitted</x:v>
      </x:c>
      <x:c r="D461" s="7" t="str">
        <x:v>FAIL</x:v>
      </x:c>
      <x:c r="E461" s="13" t="str">
        <x:v>Pending</x:v>
      </x:c>
      <x:c r="F461" s="13" t="str"/>
      <x:c r="G461" s="13" t="str"/>
      <x:c r="H461" s="13" t="str"/>
      <x:c r="I461" s="7" t="str">
        <x:v>Was this person reviewed? If rejected, give the actual rule and evidence. If acceptable, correct the omission. Confirm the Life-qualification gate and any record change since selection.</x:v>
      </x:c>
      <x:c r="J461" s="7" t="str">
        <x:v>L1</x:v>
      </x:c>
      <x:c r="K461" s="7" t="str">
        <x:v>Verified qualifications do not include active general Life. Current target-pool mismatch; actual historical omission reason unknown.</x:v>
      </x:c>
      <x:c r="L461" s="7" t="str">
        <x:v>Not supplied; membership is known, motive is not</x:v>
      </x:c>
      <x:c r="M461" s="7" t="n">
        <x:v>7</x:v>
      </x:c>
      <x:c r="N461" s="7" t="str">
        <x:v>Outside current general-Life recruiting pool</x:v>
      </x:c>
      <x:c r="O461" s="7" t="str">
        <x:v>Not displayed</x:v>
      </x:c>
      <x:c r="P461" s="7" t="str"/>
      <x:c r="Q461" s="7" t="str"/>
      <x:c r="R461" s="7" t="str"/>
      <x:c r="S461" s="15" t="str"/>
      <x:c r="T461" s="7" t="str">
        <x:v>No public business phone in collected record</x:v>
      </x:c>
      <x:c r="U461" s="7" t="str"/>
      <x:c r="V461" s="7" t="str">
        <x:v>Resident</x:v>
      </x:c>
      <x:c r="W461" s="7" t="str">
        <x:v>CA</x:v>
      </x:c>
      <x:c r="X461" s="7" t="str"/>
      <x:c r="Y461" s="7" t="str"/>
      <x:c r="Z461" s="7" t="str"/>
      <x:c r="AA461" s="7" t="str"/>
      <x:c r="AB461" s="7" t="str"/>
      <x:c r="AC461" s="7" t="str"/>
      <x:c r="AD461" s="7" t="str">
        <x:v>No agency or insurer displayed: onboarding opportunity possible; existing business unknown</x:v>
      </x:c>
      <x:c r="AE461" s="7" t="str">
        <x:v>No public business phone: contact enrichment needed, not proof of poor recruiting fit</x:v>
      </x:c>
      <x:c r="AF461" s="16" t="str"/>
      <x:c r="AG461" s="17" t="str"/>
      <x:c r="AH461" s="7" t="str"/>
      <x:c r="AI461" s="7" t="str"/>
      <x:c r="AJ461" s="7" t="str"/>
      <x:c r="AK461" s="15" t="str"/>
      <x:c r="AL461" s="7" t="str"/>
      <x:c r="AM461" s="7" t="str">
        <x:v>AGUILAR WALL GINGER</x:v>
      </x:c>
      <x:c r="AN461" s="7" t="str">
        <x:v>https://cdicloud.insurance.ca.gov/cal/LicenseDetail?SearchType=IND&amp;SearchLicNbr=0603034&amp;SearchIndvId=389977</x:v>
      </x:c>
      <x:c r="AO461" s="7" t="str">
        <x:v>2026-10-08</x:v>
      </x:c>
      <x:c r="AP461" s="7" t="str">
        <x:v>17a45e4239f56a788b747bc59c9e9b7288dee17f60e9975288b3246750342830</x:v>
      </x:c>
      <x:c r="AQ461" s="7" t="str">
        <x:v>Accident and Health / Inactive / 03/05/1981 / 09/30/1994 / 09/30/1994
Life-Only / Inactive / 03/05/1981 / 09/30/1994 / 09/30/1994</x:v>
      </x:c>
      <x:c r="AR461" s="7" t="str">
        <x:v>Inactive</x:v>
      </x:c>
      <x:c r="AS461" s="7" t="str">
        <x:v>Current detail page</x:v>
      </x:c>
    </x:row>
    <x:row r="462" ht="52" customHeight="1">
      <x:c r="A462" s="7" t="str">
        <x:v>AGUILAR GIOVANNA</x:v>
      </x:c>
      <x:c r="B462" s="14" t="str">
        <x:f>"0K62483"</x:f>
        <x:v>0K62483</x:v>
      </x:c>
      <x:c r="C462" s="7" t="str">
        <x:v>Omitted</x:v>
      </x:c>
      <x:c r="D462" s="7" t="str">
        <x:v>FAIL</x:v>
      </x:c>
      <x:c r="E462" s="13" t="str">
        <x:v>Pending</x:v>
      </x:c>
      <x:c r="F462" s="13" t="str"/>
      <x:c r="G462" s="13" t="str"/>
      <x:c r="H462" s="13" t="str"/>
      <x:c r="I462" s="7" t="str">
        <x:v>Was this person reviewed? If rejected, give the actual rule and evidence. If acceptable, correct the omission. Confirm the Life-qualification gate and any record change since selection.</x:v>
      </x:c>
      <x:c r="J462" s="7" t="str">
        <x:v>L1</x:v>
      </x:c>
      <x:c r="K462" s="7" t="str">
        <x:v>Verified qualifications do not include active general Life. Current target-pool mismatch; actual historical omission reason unknown.</x:v>
      </x:c>
      <x:c r="L462" s="7" t="str">
        <x:v>Not supplied; membership is known, motive is not</x:v>
      </x:c>
      <x:c r="M462" s="7" t="n">
        <x:v>7</x:v>
      </x:c>
      <x:c r="N462" s="7" t="str">
        <x:v>Outside current general-Life recruiting pool</x:v>
      </x:c>
      <x:c r="O462" s="7" t="str">
        <x:v>Not displayed</x:v>
      </x:c>
      <x:c r="P462" s="7" t="str"/>
      <x:c r="Q462" s="7" t="str"/>
      <x:c r="R462" s="7" t="str"/>
      <x:c r="S462" s="15" t="str"/>
      <x:c r="T462" s="7" t="str">
        <x:v>No public business phone in collected record</x:v>
      </x:c>
      <x:c r="U462" s="7" t="str"/>
      <x:c r="V462" s="7" t="str">
        <x:v>Resident</x:v>
      </x:c>
      <x:c r="W462" s="7" t="str">
        <x:v>CA</x:v>
      </x:c>
      <x:c r="X462" s="7" t="str"/>
      <x:c r="Y462" s="7" t="str"/>
      <x:c r="Z462" s="7" t="str"/>
      <x:c r="AA462" s="7" t="str"/>
      <x:c r="AB462" s="7" t="str"/>
      <x:c r="AC462" s="7" t="str"/>
      <x:c r="AD462" s="7" t="str">
        <x:v>No agency or insurer displayed: onboarding opportunity possible; existing business unknown</x:v>
      </x:c>
      <x:c r="AE462" s="7" t="str">
        <x:v>No public business phone: contact enrichment needed, not proof of poor recruiting fit</x:v>
      </x:c>
      <x:c r="AF462" s="16" t="str"/>
      <x:c r="AG462" s="17" t="str"/>
      <x:c r="AH462" s="7" t="str"/>
      <x:c r="AI462" s="7" t="str"/>
      <x:c r="AJ462" s="7" t="str"/>
      <x:c r="AK462" s="15" t="str"/>
      <x:c r="AL462" s="7" t="str"/>
      <x:c r="AM462" s="7" t="str">
        <x:v>AGUILAR  GIOVANNA</x:v>
      </x:c>
      <x:c r="AN462" s="7" t="str">
        <x:v>https://cdicloud.insurance.ca.gov/cal/LicenseDetail?SearchType=IND&amp;SearchLicNbr=0K62483&amp;SearchIndvId=1805643</x:v>
      </x:c>
      <x:c r="AO462" s="7" t="str">
        <x:v>2026-10-08</x:v>
      </x:c>
      <x:c r="AP462" s="7" t="str">
        <x:v>f6e7b034de316bc523dff9f24a8635fc5465b73d17621ee3752bb36d9a25188e</x:v>
      </x:c>
      <x:c r="AQ462" s="7" t="str">
        <x:v>Accident and Health / Inactive / 12/01/2015 / 12/31/2017 / 12/31/2017
Life-Only / Inactive / 12/01/2015 / 12/31/2017 / 12/31/2017</x:v>
      </x:c>
      <x:c r="AR462" s="7" t="str">
        <x:v>Inactive</x:v>
      </x:c>
      <x:c r="AS462" s="7" t="str">
        <x:v>Current detail page</x:v>
      </x:c>
    </x:row>
    <x:row r="463" ht="52" customHeight="1">
      <x:c r="A463" s="7" t="str">
        <x:v>AGUILAR GLADIMIR ANTONIO</x:v>
      </x:c>
      <x:c r="B463" s="14" t="str">
        <x:f>"0I58772"</x:f>
        <x:v>0I58772</x:v>
      </x:c>
      <x:c r="C463" s="7" t="str">
        <x:v>Omitted</x:v>
      </x:c>
      <x:c r="D463" s="7" t="str">
        <x:v>FAIL</x:v>
      </x:c>
      <x:c r="E463" s="13" t="str">
        <x:v>Pending</x:v>
      </x:c>
      <x:c r="F463" s="13" t="str"/>
      <x:c r="G463" s="13" t="str"/>
      <x:c r="H463" s="13" t="str"/>
      <x:c r="I463" s="7" t="str">
        <x:v>Was this person reviewed? If rejected, give the actual rule and evidence. If acceptable, correct the omission. Confirm the Life-qualification gate and any record change since selection.</x:v>
      </x:c>
      <x:c r="J463" s="7" t="str">
        <x:v>L1</x:v>
      </x:c>
      <x:c r="K463" s="7" t="str">
        <x:v>Verified qualifications do not include active general Life. Current target-pool mismatch; actual historical omission reason unknown.</x:v>
      </x:c>
      <x:c r="L463" s="7" t="str">
        <x:v>Not supplied; membership is known, motive is not</x:v>
      </x:c>
      <x:c r="M463" s="7" t="n">
        <x:v>7</x:v>
      </x:c>
      <x:c r="N463" s="7" t="str">
        <x:v>Outside current general-Life recruiting pool</x:v>
      </x:c>
      <x:c r="O463" s="7" t="str">
        <x:v>Not displayed</x:v>
      </x:c>
      <x:c r="P463" s="7" t="str"/>
      <x:c r="Q463" s="7" t="str"/>
      <x:c r="R463" s="7" t="str"/>
      <x:c r="S463" s="15" t="str"/>
      <x:c r="T463" s="7" t="str">
        <x:v>No public business phone in collected record</x:v>
      </x:c>
      <x:c r="U463" s="7" t="str"/>
      <x:c r="V463" s="7" t="str">
        <x:v>Resident</x:v>
      </x:c>
      <x:c r="W463" s="7" t="str">
        <x:v>CA</x:v>
      </x:c>
      <x:c r="X463" s="7" t="str"/>
      <x:c r="Y463" s="7" t="str"/>
      <x:c r="Z463" s="7" t="str"/>
      <x:c r="AA463" s="7" t="str"/>
      <x:c r="AB463" s="7" t="str"/>
      <x:c r="AC463" s="7" t="str"/>
      <x:c r="AD463" s="7" t="str">
        <x:v>No agency or insurer displayed: onboarding opportunity possible; existing business unknown</x:v>
      </x:c>
      <x:c r="AE463" s="7" t="str">
        <x:v>No public business phone: contact enrichment needed, not proof of poor recruiting fit</x:v>
      </x:c>
      <x:c r="AF463" s="16" t="str"/>
      <x:c r="AG463" s="17" t="str"/>
      <x:c r="AH463" s="7" t="str"/>
      <x:c r="AI463" s="7" t="str"/>
      <x:c r="AJ463" s="7" t="str"/>
      <x:c r="AK463" s="15" t="str"/>
      <x:c r="AL463" s="7" t="str"/>
      <x:c r="AM463" s="7" t="str">
        <x:v>Aguilar A Gladimir | AGUILAR ANTONIO GLADIMIR</x:v>
      </x:c>
      <x:c r="AN463" s="7" t="str">
        <x:v>https://cdicloud.insurance.ca.gov/cal/LicenseDetail?SearchType=IND&amp;SearchLicNbr=0I58772&amp;SearchIndvId=1624058</x:v>
      </x:c>
      <x:c r="AO463" s="7" t="str">
        <x:v>2026-10-08</x:v>
      </x:c>
      <x:c r="AP463" s="7" t="str">
        <x:v>37cdb2064ff5bccebb03c18fe6dc427ad9ebbefac6fd0c3f53269b1bea7cfab3</x:v>
      </x:c>
      <x:c r="AQ463" s="7" t="str">
        <x:v>Life-Only / Inactive / 12/03/2013 / 12/31/2015 / 12/31/2015</x:v>
      </x:c>
      <x:c r="AR463" s="7" t="str">
        <x:v>Inactive</x:v>
      </x:c>
      <x:c r="AS463" s="7" t="str">
        <x:v>Current detail page</x:v>
      </x:c>
    </x:row>
    <x:row r="464" ht="52" customHeight="1">
      <x:c r="A464" s="7" t="str">
        <x:v>AGUILAR GLORIA</x:v>
      </x:c>
      <x:c r="B464" s="14" t="str">
        <x:f>"0D21461"</x:f>
        <x:v>0D21461</x:v>
      </x:c>
      <x:c r="C464" s="7" t="str">
        <x:v>Omitted</x:v>
      </x:c>
      <x:c r="D464" s="7" t="str">
        <x:v>FAIL</x:v>
      </x:c>
      <x:c r="E464" s="13" t="str">
        <x:v>Pending</x:v>
      </x:c>
      <x:c r="F464" s="13" t="str"/>
      <x:c r="G464" s="13" t="str"/>
      <x:c r="H464" s="13" t="str"/>
      <x:c r="I464" s="7" t="str">
        <x:v>Was this person reviewed? If rejected, give the actual rule and evidence. If acceptable, correct the omission. Confirm the Life-qualification gate and any record change since selection.</x:v>
      </x:c>
      <x:c r="J464" s="7" t="str">
        <x:v>L1</x:v>
      </x:c>
      <x:c r="K464" s="7" t="str">
        <x:v>Verified qualifications do not include active general Life. Current target-pool mismatch; actual historical omission reason unknown.</x:v>
      </x:c>
      <x:c r="L464" s="7" t="str">
        <x:v>Not supplied; membership is known, motive is not</x:v>
      </x:c>
      <x:c r="M464" s="7" t="n">
        <x:v>7</x:v>
      </x:c>
      <x:c r="N464" s="7" t="str">
        <x:v>Outside current general-Life recruiting pool</x:v>
      </x:c>
      <x:c r="O464" s="7" t="str">
        <x:v>Not displayed</x:v>
      </x:c>
      <x:c r="P464" s="7" t="str"/>
      <x:c r="Q464" s="7" t="str"/>
      <x:c r="R464" s="7" t="str"/>
      <x:c r="S464" s="15" t="str"/>
      <x:c r="T464" s="7" t="str">
        <x:v>No public business phone in collected record</x:v>
      </x:c>
      <x:c r="U464" s="7" t="str"/>
      <x:c r="V464" s="7" t="str">
        <x:v>Resident</x:v>
      </x:c>
      <x:c r="W464" s="7" t="str">
        <x:v>CA</x:v>
      </x:c>
      <x:c r="X464" s="7" t="str"/>
      <x:c r="Y464" s="7" t="str"/>
      <x:c r="Z464" s="7" t="str"/>
      <x:c r="AA464" s="7" t="str"/>
      <x:c r="AB464" s="7" t="str"/>
      <x:c r="AC464" s="7" t="str"/>
      <x:c r="AD464" s="7" t="str">
        <x:v>No agency or insurer displayed: onboarding opportunity possible; existing business unknown</x:v>
      </x:c>
      <x:c r="AE464" s="7" t="str">
        <x:v>No public business phone: contact enrichment needed, not proof of poor recruiting fit</x:v>
      </x:c>
      <x:c r="AF464" s="16" t="str"/>
      <x:c r="AG464" s="17" t="str"/>
      <x:c r="AH464" s="7" t="str"/>
      <x:c r="AI464" s="7" t="str"/>
      <x:c r="AJ464" s="7" t="str"/>
      <x:c r="AK464" s="15" t="str"/>
      <x:c r="AL464" s="7" t="str"/>
      <x:c r="AM464" s="7" t="str">
        <x:v>AGUILAR  GLORIA</x:v>
      </x:c>
      <x:c r="AN464" s="7" t="str">
        <x:v>https://cdicloud.insurance.ca.gov/cal/LicenseDetail?SearchType=IND&amp;SearchLicNbr=0D21461&amp;SearchIndvId=541092</x:v>
      </x:c>
      <x:c r="AO464" s="7" t="str">
        <x:v>2026-10-08</x:v>
      </x:c>
      <x:c r="AP464" s="7" t="str">
        <x:v>d2a0611d246c9ac009894a70a07b1605f0d1eafc343e9ab0d2c1e82386ff89e2</x:v>
      </x:c>
      <x:c r="AQ464" s="7" t="str">
        <x:v>Accident and Health / Inactive / 02/21/2001 / 02/28/2003 / 02/28/2003
Life-Only / Inactive / 02/21/2001 / 02/28/2003 / 02/28/2003</x:v>
      </x:c>
      <x:c r="AR464" s="7" t="str">
        <x:v>Inactive</x:v>
      </x:c>
      <x:c r="AS464" s="7" t="str">
        <x:v>Current detail page</x:v>
      </x:c>
    </x:row>
    <x:row r="465" ht="52" customHeight="1">
      <x:c r="A465" s="7" t="str">
        <x:v>AGUILAR GLORIA</x:v>
      </x:c>
      <x:c r="B465" s="14" t="str">
        <x:f>"0E17580"</x:f>
        <x:v>0E17580</x:v>
      </x:c>
      <x:c r="C465" s="7" t="str">
        <x:v>Omitted</x:v>
      </x:c>
      <x:c r="D465" s="7" t="str">
        <x:v>FAIL</x:v>
      </x:c>
      <x:c r="E465" s="13" t="str">
        <x:v>Pending</x:v>
      </x:c>
      <x:c r="F465" s="13" t="str"/>
      <x:c r="G465" s="13" t="str"/>
      <x:c r="H465" s="13" t="str"/>
      <x:c r="I465" s="7" t="str">
        <x:v>Was this person reviewed? If rejected, give the actual rule and evidence. If acceptable, correct the omission. Confirm the Life-qualification gate and any record change since selection.</x:v>
      </x:c>
      <x:c r="J465" s="7" t="str">
        <x:v>L1</x:v>
      </x:c>
      <x:c r="K465" s="7" t="str">
        <x:v>Verified qualifications do not include active general Life. Current target-pool mismatch; actual historical omission reason unknown.</x:v>
      </x:c>
      <x:c r="L465" s="7" t="str">
        <x:v>Not supplied; membership is known, motive is not</x:v>
      </x:c>
      <x:c r="M465" s="7" t="n">
        <x:v>7</x:v>
      </x:c>
      <x:c r="N465" s="7" t="str">
        <x:v>Outside current general-Life recruiting pool</x:v>
      </x:c>
      <x:c r="O465" s="7" t="str">
        <x:v>Not displayed</x:v>
      </x:c>
      <x:c r="P465" s="7" t="str"/>
      <x:c r="Q465" s="7" t="str"/>
      <x:c r="R465" s="7" t="str"/>
      <x:c r="S465" s="15" t="str"/>
      <x:c r="T465" s="7" t="str">
        <x:v>No public business phone in collected record</x:v>
      </x:c>
      <x:c r="U465" s="7" t="str"/>
      <x:c r="V465" s="7" t="str">
        <x:v>Non-resident</x:v>
      </x:c>
      <x:c r="W465" s="7" t="str">
        <x:v>TX</x:v>
      </x:c>
      <x:c r="X465" s="7" t="str"/>
      <x:c r="Y465" s="7" t="str"/>
      <x:c r="Z465" s="7" t="str"/>
      <x:c r="AA465" s="7" t="str"/>
      <x:c r="AB465" s="7" t="str"/>
      <x:c r="AC465" s="7" t="str"/>
      <x:c r="AD465" s="7" t="str">
        <x:v>No agency or insurer displayed: onboarding opportunity possible; existing business unknown</x:v>
      </x:c>
      <x:c r="AE465" s="7" t="str">
        <x:v>Nonresident or address state outside CA; confirm geographic recruiting scope | No public business phone: contact enrichment needed, not proof of poor recruiting fit</x:v>
      </x:c>
      <x:c r="AF465" s="16" t="str"/>
      <x:c r="AG465" s="17" t="str"/>
      <x:c r="AH465" s="7" t="str"/>
      <x:c r="AI465" s="7" t="str"/>
      <x:c r="AJ465" s="7" t="str"/>
      <x:c r="AK465" s="15" t="str"/>
      <x:c r="AL465" s="7" t="str"/>
      <x:c r="AM465" s="7" t="str">
        <x:v>AGUILAR  GLORIA</x:v>
      </x:c>
      <x:c r="AN465" s="7" t="str">
        <x:v>https://cdicloud.insurance.ca.gov/cal/LicenseDetail?SearchType=IND&amp;SearchLicNbr=0E17580&amp;SearchIndvId=866546</x:v>
      </x:c>
      <x:c r="AO465" s="7" t="str">
        <x:v>2026-10-08</x:v>
      </x:c>
      <x:c r="AP465" s="7" t="str">
        <x:v>4617ac02257c4439bef5ed2bb73d1be565825e7487baede593259fdc5480ade4</x:v>
      </x:c>
      <x:c r="AQ465" s="7" t="str">
        <x:v>Casualty Broker-Agent / Voluntary Surrender / 10/14/2003 / 10/21/2004 / 10/21/2004
Property Broker-Agent / Voluntary Surrender / 10/14/2003 / 10/21/2004 / 10/21/2004</x:v>
      </x:c>
      <x:c r="AR465" s="7" t="str">
        <x:v>Voluntary Surrender</x:v>
      </x:c>
      <x:c r="AS465" s="7" t="str">
        <x:v>Current detail page</x:v>
      </x:c>
    </x:row>
    <x:row r="466" ht="52" customHeight="1">
      <x:c r="A466" s="7" t="str">
        <x:v>AGUILAR GLORIA SALINAS</x:v>
      </x:c>
      <x:c r="B466" s="14" t="str">
        <x:f>"0D63264"</x:f>
        <x:v>0D63264</x:v>
      </x:c>
      <x:c r="C466" s="7" t="str">
        <x:v>Omitted</x:v>
      </x:c>
      <x:c r="D466" s="7" t="str">
        <x:v>FAIL</x:v>
      </x:c>
      <x:c r="E466" s="13" t="str">
        <x:v>Pending</x:v>
      </x:c>
      <x:c r="F466" s="13" t="str"/>
      <x:c r="G466" s="13" t="str"/>
      <x:c r="H466" s="13" t="str"/>
      <x:c r="I466" s="7" t="str">
        <x:v>Was this person reviewed? If rejected, give the actual rule and evidence. If acceptable, correct the omission. Confirm the Life-qualification gate and any record change since selection.</x:v>
      </x:c>
      <x:c r="J466" s="7" t="str">
        <x:v>L1</x:v>
      </x:c>
      <x:c r="K466" s="7" t="str">
        <x:v>Verified qualifications do not include active general Life. Current target-pool mismatch; actual historical omission reason unknown.</x:v>
      </x:c>
      <x:c r="L466" s="7" t="str">
        <x:v>Not supplied; membership is known, motive is not</x:v>
      </x:c>
      <x:c r="M466" s="7" t="n">
        <x:v>7</x:v>
      </x:c>
      <x:c r="N466" s="7" t="str">
        <x:v>Outside current general-Life recruiting pool</x:v>
      </x:c>
      <x:c r="O466" s="7" t="str">
        <x:v>Not displayed</x:v>
      </x:c>
      <x:c r="P466" s="7" t="str"/>
      <x:c r="Q466" s="7" t="str"/>
      <x:c r="R466" s="7" t="str"/>
      <x:c r="S466" s="15" t="str"/>
      <x:c r="T466" s="7" t="str">
        <x:v>No public business phone in collected record</x:v>
      </x:c>
      <x:c r="U466" s="7" t="str"/>
      <x:c r="V466" s="7" t="str">
        <x:v>Resident</x:v>
      </x:c>
      <x:c r="W466" s="7" t="str">
        <x:v>CA</x:v>
      </x:c>
      <x:c r="X466" s="7" t="str"/>
      <x:c r="Y466" s="7" t="str"/>
      <x:c r="Z466" s="7" t="str"/>
      <x:c r="AA466" s="7" t="str"/>
      <x:c r="AB466" s="7" t="str"/>
      <x:c r="AC466" s="7" t="str"/>
      <x:c r="AD466" s="7" t="str">
        <x:v>No agency or insurer displayed: onboarding opportunity possible; existing business unknown</x:v>
      </x:c>
      <x:c r="AE466" s="7" t="str">
        <x:v>No public business phone: contact enrichment needed, not proof of poor recruiting fit</x:v>
      </x:c>
      <x:c r="AF466" s="16" t="str"/>
      <x:c r="AG466" s="17" t="str"/>
      <x:c r="AH466" s="7" t="str"/>
      <x:c r="AI466" s="7" t="str"/>
      <x:c r="AJ466" s="7" t="str"/>
      <x:c r="AK466" s="15" t="str"/>
      <x:c r="AL466" s="7" t="str"/>
      <x:c r="AM466" s="7" t="str">
        <x:v>AGUILAR SALINAS GLORIA</x:v>
      </x:c>
      <x:c r="AN466" s="7" t="str">
        <x:v>https://cdicloud.insurance.ca.gov/cal/LicenseDetail?SearchType=IND&amp;SearchLicNbr=0D63264&amp;SearchIndvId=677131</x:v>
      </x:c>
      <x:c r="AO466" s="7" t="str">
        <x:v>2026-10-08</x:v>
      </x:c>
      <x:c r="AP466" s="7" t="str">
        <x:v>657a1411fff2103f78b9e1e8044edb60cdc67ac35884eac6d257df5ff3e27606</x:v>
      </x:c>
      <x:c r="AQ466" s="7" t="str">
        <x:v>Accident and Health / Inactive / 04/10/2002 / 04/30/2004 / 04/30/2004
Life-Only / Inactive / 04/10/2002 / 04/30/2004 / 04/30/2004</x:v>
      </x:c>
      <x:c r="AR466" s="7" t="str">
        <x:v>Inactive</x:v>
      </x:c>
      <x:c r="AS466" s="7" t="str">
        <x:v>Current detail page</x:v>
      </x:c>
    </x:row>
    <x:row r="467" ht="52" customHeight="1">
      <x:c r="A467" s="7" t="str">
        <x:v>AGUILAR GODOFREDO</x:v>
      </x:c>
      <x:c r="B467" s="14" t="str">
        <x:f>"0B97811"</x:f>
        <x:v>0B97811</x:v>
      </x:c>
      <x:c r="C467" s="7" t="str">
        <x:v>Omitted</x:v>
      </x:c>
      <x:c r="D467" s="7" t="str">
        <x:v>FAIL</x:v>
      </x:c>
      <x:c r="E467" s="13" t="str">
        <x:v>Pending</x:v>
      </x:c>
      <x:c r="F467" s="13" t="str"/>
      <x:c r="G467" s="13" t="str"/>
      <x:c r="H467" s="13" t="str"/>
      <x:c r="I467" s="7" t="str">
        <x:v>Was this person reviewed? If rejected, give the actual rule and evidence. If acceptable, correct the omission. Confirm the Life-qualification gate and any record change since selection.</x:v>
      </x:c>
      <x:c r="J467" s="7" t="str">
        <x:v>L1</x:v>
      </x:c>
      <x:c r="K467" s="7" t="str">
        <x:v>Verified qualifications do not include active general Life. Current target-pool mismatch; actual historical omission reason unknown.</x:v>
      </x:c>
      <x:c r="L467" s="7" t="str">
        <x:v>Not supplied; membership is known, motive is not</x:v>
      </x:c>
      <x:c r="M467" s="7" t="n">
        <x:v>7</x:v>
      </x:c>
      <x:c r="N467" s="7" t="str">
        <x:v>Outside current general-Life recruiting pool</x:v>
      </x:c>
      <x:c r="O467" s="7" t="str">
        <x:v>Not displayed</x:v>
      </x:c>
      <x:c r="P467" s="7" t="str"/>
      <x:c r="Q467" s="7" t="str"/>
      <x:c r="R467" s="7" t="str"/>
      <x:c r="S467" s="15" t="str"/>
      <x:c r="T467" s="7" t="str">
        <x:v>No public business phone in collected record</x:v>
      </x:c>
      <x:c r="U467" s="7" t="str"/>
      <x:c r="V467" s="7" t="str">
        <x:v>Resident</x:v>
      </x:c>
      <x:c r="W467" s="7" t="str">
        <x:v>CA</x:v>
      </x:c>
      <x:c r="X467" s="7" t="str"/>
      <x:c r="Y467" s="7" t="str"/>
      <x:c r="Z467" s="7" t="str"/>
      <x:c r="AA467" s="7" t="str"/>
      <x:c r="AB467" s="7" t="str"/>
      <x:c r="AC467" s="7" t="str"/>
      <x:c r="AD467" s="7" t="str">
        <x:v>No agency or insurer displayed: onboarding opportunity possible; existing business unknown</x:v>
      </x:c>
      <x:c r="AE467" s="7" t="str">
        <x:v>No public business phone: contact enrichment needed, not proof of poor recruiting fit</x:v>
      </x:c>
      <x:c r="AF467" s="16" t="str"/>
      <x:c r="AG467" s="17" t="str"/>
      <x:c r="AH467" s="7" t="str"/>
      <x:c r="AI467" s="7" t="str"/>
      <x:c r="AJ467" s="7" t="str"/>
      <x:c r="AK467" s="15" t="str"/>
      <x:c r="AL467" s="7" t="str"/>
      <x:c r="AM467" s="7" t="str">
        <x:v>AGUILAR  GODOFREDO</x:v>
      </x:c>
      <x:c r="AN467" s="7" t="str">
        <x:v>https://cdicloud.insurance.ca.gov/cal/LicenseDetail?SearchType=IND&amp;SearchLicNbr=0B97811&amp;SearchIndvId=274672</x:v>
      </x:c>
      <x:c r="AO467" s="7" t="str">
        <x:v>2026-10-08</x:v>
      </x:c>
      <x:c r="AP467" s="7" t="str">
        <x:v>53ffb0c7fd7704fe9503624f71ab267cca9d5386d68c39df8504bf4eff2bc92e</x:v>
      </x:c>
      <x:c r="AQ467" s="7" t="str">
        <x:v>Accident and Health / Inactive / 01/24/1997 / 01/31/1999 / 01/31/1999
Life-Only / Inactive / 01/24/1997 / 01/31/1999 / 01/31/1999</x:v>
      </x:c>
      <x:c r="AR467" s="7" t="str">
        <x:v>Inactive</x:v>
      </x:c>
      <x:c r="AS467" s="7" t="str">
        <x:v>Current detail page</x:v>
      </x:c>
    </x:row>
    <x:row r="468" ht="52" customHeight="1">
      <x:c r="A468" s="7" t="str">
        <x:v>AGUILAR GOMEZ JESSICA</x:v>
      </x:c>
      <x:c r="B468" s="14" t="str">
        <x:f>"4233750"</x:f>
        <x:v>4233750</x:v>
      </x:c>
      <x:c r="C468" s="7" t="str">
        <x:v>Omitted</x:v>
      </x:c>
      <x:c r="D468" s="7" t="str">
        <x:v>FAIL</x:v>
      </x:c>
      <x:c r="E468" s="13" t="str">
        <x:v>Pending</x:v>
      </x:c>
      <x:c r="F468" s="13" t="str"/>
      <x:c r="G468" s="13" t="str"/>
      <x:c r="H468" s="13" t="str"/>
      <x:c r="I468" s="7" t="str">
        <x:v>Was this person reviewed? If rejected, give the actual rule and evidence. If acceptable, correct the omission. Confirm the Life-qualification gate and any record change since selection.</x:v>
      </x:c>
      <x:c r="J468" s="7" t="str">
        <x:v>L1</x:v>
      </x:c>
      <x:c r="K468" s="7" t="str">
        <x:v>Verified qualifications do not include active general Life. Current target-pool mismatch; actual historical omission reason unknown.</x:v>
      </x:c>
      <x:c r="L468" s="7" t="str">
        <x:v>Not supplied; membership is known, motive is not</x:v>
      </x:c>
      <x:c r="M468" s="7" t="n">
        <x:v>7</x:v>
      </x:c>
      <x:c r="N468" s="7" t="str">
        <x:v>Outside current general-Life recruiting pool</x:v>
      </x:c>
      <x:c r="O468" s="7" t="str">
        <x:v>Inactive</x:v>
      </x:c>
      <x:c r="P468" s="7" t="str">
        <x:v>08/30/2022</x:v>
      </x:c>
      <x:c r="Q468" s="7" t="str">
        <x:v>08/31/2024</x:v>
      </x:c>
      <x:c r="R468" s="7" t="str"/>
      <x:c r="S468" s="15" t="str"/>
      <x:c r="T468" s="7" t="str">
        <x:v>No public business phone in collected record</x:v>
      </x:c>
      <x:c r="U468" s="7" t="str">
        <x:v>920 5TH AVE STE 3600 SEATTLE WA, 98104</x:v>
      </x:c>
      <x:c r="V468" s="7" t="str">
        <x:v>Non-resident</x:v>
      </x:c>
      <x:c r="W468" s="7" t="str">
        <x:v>WA</x:v>
      </x:c>
      <x:c r="X468" s="7" t="str"/>
      <x:c r="Y468" s="7" t="str"/>
      <x:c r="Z468" s="7" t="str"/>
      <x:c r="AA468" s="7" t="str"/>
      <x:c r="AB468" s="7" t="str"/>
      <x:c r="AC468" s="7" t="str"/>
      <x:c r="AD468" s="7" t="str">
        <x:v>No agency or insurer displayed: onboarding opportunity possible; existing business unknown</x:v>
      </x:c>
      <x:c r="AE468" s="7" t="str">
        <x:v>Nonresident or address state outside CA; confirm geographic recruiting scope | No public business phone: contact enrichment needed, not proof of poor recruiting fit</x:v>
      </x:c>
      <x:c r="AF468" s="16" t="str"/>
      <x:c r="AG468" s="17" t="str"/>
      <x:c r="AH468" s="7" t="str"/>
      <x:c r="AI468" s="7" t="str"/>
      <x:c r="AJ468" s="7" t="str"/>
      <x:c r="AK468" s="15" t="str"/>
      <x:c r="AL468" s="7" t="str"/>
      <x:c r="AM468" s="7" t="str">
        <x:v>AGUILAR GOMEZ  JESSICA</x:v>
      </x:c>
      <x:c r="AN468" s="7" t="str">
        <x:v>https://cdicloud.insurance.ca.gov/cal/LicenseDetail?SearchType=IND&amp;SearchLicNbr=4233750&amp;SearchIndvId=4233750</x:v>
      </x:c>
      <x:c r="AO468" s="7" t="str">
        <x:v>2026-10-08</x:v>
      </x:c>
      <x:c r="AP468" s="7" t="str">
        <x:v>92127c3205aa29115efea628914fd9a1e99dd1ffda8a33796ebd68a79f959e1e</x:v>
      </x:c>
      <x:c r="AQ468" s="7" t="str">
        <x:v>Accident &amp; Health or Sickness / Inactive / 08/30/2022 / 08/31/2024 / 08/31/2024
Life / Inactive / 08/30/2022 / 08/31/2024 / 08/31/2024</x:v>
      </x:c>
      <x:c r="AR468" s="7" t="str">
        <x:v>Inactive</x:v>
      </x:c>
      <x:c r="AS468" s="7" t="str">
        <x:v>Current detail page</x:v>
      </x:c>
    </x:row>
    <x:row r="469" ht="52" customHeight="1">
      <x:c r="A469" s="7" t="str">
        <x:v>AGUILAR GOMEZ KATERINE</x:v>
      </x:c>
      <x:c r="B469" s="14" t="str">
        <x:f>"4563956"</x:f>
        <x:v>4563956</x:v>
      </x:c>
      <x:c r="C469" s="7" t="str">
        <x:v>Omitted</x:v>
      </x:c>
      <x:c r="D469" s="7" t="str">
        <x:v>FAIL</x:v>
      </x:c>
      <x:c r="E469" s="13" t="str">
        <x:v>Pending</x:v>
      </x:c>
      <x:c r="F469" s="13" t="str"/>
      <x:c r="G469" s="13" t="str"/>
      <x:c r="H469" s="13" t="str"/>
      <x:c r="I469" s="7" t="str">
        <x:v>Was this person reviewed? If rejected, give the actual rule and evidence. If acceptable, correct the omission. Confirm the Life-qualification gate and any record change since selection.</x:v>
      </x:c>
      <x:c r="J469" s="7" t="str">
        <x:v>L1</x:v>
      </x:c>
      <x:c r="K469" s="7" t="str">
        <x:v>Verified qualifications do not include active general Life. Current target-pool mismatch; actual historical omission reason unknown.</x:v>
      </x:c>
      <x:c r="L469" s="7" t="str">
        <x:v>Not supplied; membership is known, motive is not</x:v>
      </x:c>
      <x:c r="M469" s="7" t="n">
        <x:v>7</x:v>
      </x:c>
      <x:c r="N469" s="7" t="str">
        <x:v>Outside current general-Life recruiting pool</x:v>
      </x:c>
      <x:c r="O469" s="7" t="str">
        <x:v>Not displayed</x:v>
      </x:c>
      <x:c r="P469" s="7" t="str"/>
      <x:c r="Q469" s="7" t="str"/>
      <x:c r="R469" s="7" t="str">
        <x:v>Accident &amp; Health or Sickness</x:v>
      </x:c>
      <x:c r="S469" s="15" t="str"/>
      <x:c r="T469" s="7" t="str">
        <x:v>No public business phone in collected record</x:v>
      </x:c>
      <x:c r="U469" s="7" t="str">
        <x:v>160 GLASS ONION DRIVE HOWEY IN THE HILLS FL, 34737</x:v>
      </x:c>
      <x:c r="V469" s="7" t="str">
        <x:v>Non-resident</x:v>
      </x:c>
      <x:c r="W469" s="7" t="str">
        <x:v>FL</x:v>
      </x:c>
      <x:c r="X469" s="7" t="str"/>
      <x:c r="Y469" s="7" t="str">
        <x:v>ANTHEM BLUE CROSS LIFE AND HEALTH INSURANCE COMPANY / Accident &amp; Health or Sickness / 07/21/2026
ANTHEM INSURANCE COMPANIES, INC. / Accident &amp; Health or Sickness / 08/03/2026
UNITEDHEALTHCARE INSURANCE COMPANY / Accident &amp; Health or Sickness / 08/27/2026</x:v>
      </x:c>
      <x:c r="Z469" s="7" t="str"/>
      <x:c r="AA469" s="7" t="str"/>
      <x:c r="AB469" s="7" t="str"/>
      <x:c r="AC469" s="7" t="str"/>
      <x:c r="AD469" s="7" t="str">
        <x:v>Active A&amp;H supports optional cross-selling; not necessary for target products</x:v>
      </x:c>
      <x:c r="AE469" s="7" t="str">
        <x:v>Displayed insurer appointments are A&amp;H/disability only despite active Life authority | Nonresident or address state outside CA; confirm geographic recruiting scope | No public business phone: contact enrichment needed, not proof of poor recruiting fit</x:v>
      </x:c>
      <x:c r="AF469" s="16" t="str"/>
      <x:c r="AG469" s="17" t="str"/>
      <x:c r="AH469" s="7" t="str"/>
      <x:c r="AI469" s="7" t="str"/>
      <x:c r="AJ469" s="7" t="str"/>
      <x:c r="AK469" s="15" t="str"/>
      <x:c r="AL469" s="7" t="str"/>
      <x:c r="AM469" s="7" t="str">
        <x:v>AGUILAR GOMEZ  KATERINE</x:v>
      </x:c>
      <x:c r="AN469" s="7" t="str">
        <x:v>https://cdicloud.insurance.ca.gov/cal/LicenseDetail?SearchType=IND&amp;SearchLicNbr=4563956&amp;SearchIndvId=4563956</x:v>
      </x:c>
      <x:c r="AO469" s="7" t="str">
        <x:v>2026-10-08</x:v>
      </x:c>
      <x:c r="AP469" s="7" t="str">
        <x:v>b3be54e54a94d39d8f565ab159aaea28510c093d00562f4a431e47304a306f74</x:v>
      </x:c>
      <x:c r="AQ469" s="7" t="str">
        <x:v>Accident &amp; Health or Sickness / Active / 07/15/2026 / 07/15/2026 / 07/31/2028</x:v>
      </x:c>
      <x:c r="AR469" s="7" t="str">
        <x:v>Active</x:v>
      </x:c>
      <x:c r="AS469" s="7" t="str">
        <x:v>Current detail page</x:v>
      </x:c>
    </x:row>
    <x:row r="470" ht="52" customHeight="1">
      <x:c r="A470" s="7" t="str">
        <x:v>AGUILAR GONZALEZ ALEXANDER ANDREE</x:v>
      </x:c>
      <x:c r="B470" s="14" t="str">
        <x:f>"0N04732"</x:f>
        <x:v>0N04732</x:v>
      </x:c>
      <x:c r="C470" s="7" t="str">
        <x:v>Omitted</x:v>
      </x:c>
      <x:c r="D470" s="7" t="str">
        <x:v>FAIL</x:v>
      </x:c>
      <x:c r="E470" s="13" t="str">
        <x:v>Pending</x:v>
      </x:c>
      <x:c r="F470" s="13" t="str"/>
      <x:c r="G470" s="13" t="str"/>
      <x:c r="H470" s="13" t="str"/>
      <x:c r="I470" s="7" t="str">
        <x:v>Was this person reviewed? If rejected, give the actual rule and evidence. If acceptable, correct the omission. Confirm the Life-qualification gate and any record change since selection.</x:v>
      </x:c>
      <x:c r="J470" s="7" t="str">
        <x:v>L1</x:v>
      </x:c>
      <x:c r="K470" s="7" t="str">
        <x:v>Verified qualifications do not include active general Life. Current target-pool mismatch; actual historical omission reason unknown.</x:v>
      </x:c>
      <x:c r="L470" s="7" t="str">
        <x:v>Not supplied; membership is known, motive is not</x:v>
      </x:c>
      <x:c r="M470" s="7" t="n">
        <x:v>7</x:v>
      </x:c>
      <x:c r="N470" s="7" t="str">
        <x:v>Outside current general-Life recruiting pool</x:v>
      </x:c>
      <x:c r="O470" s="7" t="str">
        <x:v>Inactive</x:v>
      </x:c>
      <x:c r="P470" s="7" t="str">
        <x:v>06/25/2019</x:v>
      </x:c>
      <x:c r="Q470" s="7" t="str">
        <x:v>06/30/2021</x:v>
      </x:c>
      <x:c r="R470" s="7" t="str"/>
      <x:c r="S470" s="15" t="str"/>
      <x:c r="T470" s="7" t="str">
        <x:v>No public business phone in collected record</x:v>
      </x:c>
      <x:c r="U470" s="7" t="str"/>
      <x:c r="V470" s="7" t="str">
        <x:v>Resident</x:v>
      </x:c>
      <x:c r="W470" s="7" t="str">
        <x:v>CA</x:v>
      </x:c>
      <x:c r="X470" s="7" t="str"/>
      <x:c r="Y470" s="7" t="str"/>
      <x:c r="Z470" s="7" t="str"/>
      <x:c r="AA470" s="7" t="str"/>
      <x:c r="AB470" s="7" t="str"/>
      <x:c r="AC470" s="7" t="str"/>
      <x:c r="AD470" s="7" t="str">
        <x:v>No agency or insurer displayed: onboarding opportunity possible; existing business unknown</x:v>
      </x:c>
      <x:c r="AE470" s="7" t="str">
        <x:v>No public business phone: contact enrichment needed, not proof of poor recruiting fit</x:v>
      </x:c>
      <x:c r="AF470" s="16" t="str"/>
      <x:c r="AG470" s="17" t="str"/>
      <x:c r="AH470" s="7" t="str"/>
      <x:c r="AI470" s="7" t="str"/>
      <x:c r="AJ470" s="7" t="str"/>
      <x:c r="AK470" s="15" t="str"/>
      <x:c r="AL470" s="7" t="str"/>
      <x:c r="AM470" s="7" t="str">
        <x:v>AGUILAR A ALEXANDER | AGUILAR ANDREE ALEXANDER | AGUILAR GONZALEZ ANDREE ALEXANDER</x:v>
      </x:c>
      <x:c r="AN470" s="7" t="str">
        <x:v>https://cdicloud.insurance.ca.gov/cal/LicenseDetail?SearchType=IND&amp;SearchLicNbr=0N04732&amp;SearchIndvId=2109470</x:v>
      </x:c>
      <x:c r="AO470" s="7" t="str">
        <x:v>2026-10-08</x:v>
      </x:c>
      <x:c r="AP470" s="7" t="str">
        <x:v>7a7373879452e6859423dfbee08331cebd5597ed960955a2e76c352708633fb3</x:v>
      </x:c>
      <x:c r="AQ470" s="7" t="str">
        <x:v>Accident &amp; Health or Sickness / Inactive / 06/25/2019 / 06/30/2021 / 06/30/2021
Life / Inactive / 06/25/2019 / 06/30/2021 / 06/30/2021</x:v>
      </x:c>
      <x:c r="AR470" s="7" t="str">
        <x:v>Inactive</x:v>
      </x:c>
      <x:c r="AS470" s="7" t="str">
        <x:v>Current detail page</x:v>
      </x:c>
    </x:row>
    <x:row r="471" ht="52" customHeight="1">
      <x:c r="A471" s="7" t="str">
        <x:v>AGUILAR GONZALEZ ALEXIS</x:v>
      </x:c>
      <x:c r="B471" s="14" t="str">
        <x:f>"4206592"</x:f>
        <x:v>4206592</x:v>
      </x:c>
      <x:c r="C471" s="7" t="str">
        <x:v>Omitted</x:v>
      </x:c>
      <x:c r="D471" s="7" t="str">
        <x:v>FAIL</x:v>
      </x:c>
      <x:c r="E471" s="13" t="str">
        <x:v>Pending</x:v>
      </x:c>
      <x:c r="F471" s="13" t="str"/>
      <x:c r="G471" s="13" t="str"/>
      <x:c r="H471" s="13" t="str"/>
      <x:c r="I471" s="7" t="str">
        <x:v>Was this person reviewed? If rejected, give the actual rule and evidence. If acceptable, correct the omission. Confirm the Life-qualification gate and any record change since selection.</x:v>
      </x:c>
      <x:c r="J471" s="7" t="str">
        <x:v>L1</x:v>
      </x:c>
      <x:c r="K471" s="7" t="str">
        <x:v>Verified qualifications do not include active general Life. Current target-pool mismatch; actual historical omission reason unknown.</x:v>
      </x:c>
      <x:c r="L471" s="7" t="str">
        <x:v>Not supplied; membership is known, motive is not</x:v>
      </x:c>
      <x:c r="M471" s="7" t="n">
        <x:v>7</x:v>
      </x:c>
      <x:c r="N471" s="7" t="str">
        <x:v>Outside current general-Life recruiting pool</x:v>
      </x:c>
      <x:c r="O471" s="7" t="str">
        <x:v>Inactive</x:v>
      </x:c>
      <x:c r="P471" s="7" t="str">
        <x:v>05/10/2022</x:v>
      </x:c>
      <x:c r="Q471" s="7" t="str">
        <x:v>05/31/2024</x:v>
      </x:c>
      <x:c r="R471" s="7" t="str"/>
      <x:c r="S471" s="15" t="str"/>
      <x:c r="T471" s="7" t="str">
        <x:v>No public business phone in collected record</x:v>
      </x:c>
      <x:c r="U471" s="7" t="str">
        <x:v>6530 INDEPENDENCE AVE. APT.201 CANOGA PARK CA, 91303</x:v>
      </x:c>
      <x:c r="V471" s="7" t="str">
        <x:v>Resident</x:v>
      </x:c>
      <x:c r="W471" s="7" t="str">
        <x:v>CA</x:v>
      </x:c>
      <x:c r="X471" s="7" t="str"/>
      <x:c r="Y471" s="7" t="str"/>
      <x:c r="Z471" s="7" t="str"/>
      <x:c r="AA471" s="7" t="str"/>
      <x:c r="AB471" s="7" t="str"/>
      <x:c r="AC471" s="7" t="str"/>
      <x:c r="AD471" s="7" t="str">
        <x:v>No agency or insurer displayed: onboarding opportunity possible; existing business unknown</x:v>
      </x:c>
      <x:c r="AE471" s="7" t="str">
        <x:v>No public business phone: contact enrichment needed, not proof of poor recruiting fit</x:v>
      </x:c>
      <x:c r="AF471" s="16" t="str"/>
      <x:c r="AG471" s="17" t="str"/>
      <x:c r="AH471" s="7" t="str"/>
      <x:c r="AI471" s="7" t="str"/>
      <x:c r="AJ471" s="7" t="str"/>
      <x:c r="AK471" s="15" t="str"/>
      <x:c r="AL471" s="7" t="str"/>
      <x:c r="AM471" s="7" t="str">
        <x:v>AGUILAR GONZALEZ  ALEXIS</x:v>
      </x:c>
      <x:c r="AN471" s="7" t="str">
        <x:v>https://cdicloud.insurance.ca.gov/cal/LicenseDetail?SearchType=IND&amp;SearchLicNbr=4206592&amp;SearchIndvId=4206592</x:v>
      </x:c>
      <x:c r="AO471" s="7" t="str">
        <x:v>2026-10-08</x:v>
      </x:c>
      <x:c r="AP471" s="7" t="str">
        <x:v>8edfcb4b1112555777a2c08978a6d90fd401b561f3fa4a866609fdc76b3fbf00</x:v>
      </x:c>
      <x:c r="AQ471" s="7" t="str">
        <x:v>Accident &amp; Health or Sickness / Inactive / 05/10/2022 / 05/31/2024 / 05/31/2024
Life / Inactive / 05/10/2022 / 05/31/2024 / 05/31/2024</x:v>
      </x:c>
      <x:c r="AR471" s="7" t="str">
        <x:v>Inactive</x:v>
      </x:c>
      <x:c r="AS471" s="7" t="str">
        <x:v>Current detail page</x:v>
      </x:c>
    </x:row>
    <x:row r="472" ht="52" customHeight="1">
      <x:c r="A472" s="7" t="str">
        <x:v>AGUILAR GONZALEZ BRIZA</x:v>
      </x:c>
      <x:c r="B472" s="14" t="str">
        <x:f>"4408545"</x:f>
        <x:v>4408545</x:v>
      </x:c>
      <x:c r="C472" s="7" t="str">
        <x:v>Omitted</x:v>
      </x:c>
      <x:c r="D472" s="7" t="str">
        <x:v>FAIL</x:v>
      </x:c>
      <x:c r="E472" s="13" t="str">
        <x:v>Pending</x:v>
      </x:c>
      <x:c r="F472" s="13" t="str"/>
      <x:c r="G472" s="13" t="str"/>
      <x:c r="H472" s="13" t="str"/>
      <x:c r="I472" s="7" t="str">
        <x:v>Was this person reviewed? If rejected, give the actual rule and evidence. If acceptable, correct the omission. Confirm the Life-qualification gate and any record change since selection.</x:v>
      </x:c>
      <x:c r="J472" s="7" t="str">
        <x:v>L1</x:v>
      </x:c>
      <x:c r="K472" s="7" t="str">
        <x:v>Verified qualifications do not include active general Life. Current target-pool mismatch; actual historical omission reason unknown.</x:v>
      </x:c>
      <x:c r="L472" s="7" t="str">
        <x:v>Not supplied; membership is known, motive is not</x:v>
      </x:c>
      <x:c r="M472" s="7" t="n">
        <x:v>7</x:v>
      </x:c>
      <x:c r="N472" s="7" t="str">
        <x:v>Outside current general-Life recruiting pool</x:v>
      </x:c>
      <x:c r="O472" s="7" t="str"/>
      <x:c r="P472" s="7" t="str">
        <x:v>09/13/2024</x:v>
      </x:c>
      <x:c r="Q472" s="7" t="str">
        <x:v>09/30/2026</x:v>
      </x:c>
      <x:c r="R472" s="7" t="str"/>
      <x:c r="S472" s="15" t="str"/>
      <x:c r="T472" s="7" t="str">
        <x:v>No public business phone in collected record</x:v>
      </x:c>
      <x:c r="U472" s="7" t="str"/>
      <x:c r="V472" s="7" t="str">
        <x:v>Resident</x:v>
      </x:c>
      <x:c r="W472" s="7" t="str">
        <x:v>CA</x:v>
      </x:c>
      <x:c r="X472" s="7" t="str"/>
      <x:c r="Y472" s="7" t="str"/>
      <x:c r="Z472" s="7" t="str"/>
      <x:c r="AA472" s="7" t="str"/>
      <x:c r="AB472" s="7" t="str"/>
      <x:c r="AC472" s="7" t="str"/>
      <x:c r="AD472" s="7" t="str">
        <x:v>No agency or insurer displayed: onboarding opportunity possible; existing business unknown</x:v>
      </x:c>
      <x:c r="AE472" s="7" t="str">
        <x:v>No public business phone: contact enrichment needed, not proof of poor recruiting fit</x:v>
      </x:c>
      <x:c r="AF472" s="16" t="str"/>
      <x:c r="AG472" s="17" t="str"/>
      <x:c r="AH472" s="7" t="str"/>
      <x:c r="AI472" s="7" t="str">
        <x:v>English</x:v>
      </x:c>
      <x:c r="AJ472" s="7" t="str"/>
      <x:c r="AK472" s="15" t="str"/>
      <x:c r="AL472" s="7" t="str"/>
      <x:c r="AM472" s="7" t="str">
        <x:v>AGUILAR GONZALEZ  BRIZA</x:v>
      </x:c>
      <x:c r="AN472" s="7" t="str">
        <x:v>https://cdicloud.insurance.ca.gov/cal/LicenseDetail?SearchType=IND&amp;SearchLicNbr=4408545&amp;SearchIndvId=4408545</x:v>
      </x:c>
      <x:c r="AO472" s="7" t="str">
        <x:v>2026-10-08</x:v>
      </x:c>
      <x:c r="AP472" s="7" t="str">
        <x:v>dc53c2a647b424d580d84a4cf360c6a14625b36fb9222531024c3bd99986c544</x:v>
      </x:c>
      <x:c r="AQ472" s="7" t="str">
        <x:v>Life /  / 09/13/2024 / 09/30/2026 / 09/30/2026</x:v>
      </x:c>
      <x:c r="AR472" s="7" t="str"/>
      <x:c r="AS472" s="7" t="str">
        <x:v>Current detail page</x:v>
      </x:c>
    </x:row>
    <x:row r="473" ht="52" customHeight="1">
      <x:c r="A473" s="7" t="str">
        <x:v>AGUILAR GONZALEZ CASSEY</x:v>
      </x:c>
      <x:c r="B473" s="14" t="str">
        <x:f>"4562181"</x:f>
        <x:v>4562181</x:v>
      </x:c>
      <x:c r="C473" s="7" t="str">
        <x:v>Omitted</x:v>
      </x:c>
      <x:c r="D473" s="7" t="str">
        <x:v>FAIL</x:v>
      </x:c>
      <x:c r="E473" s="13" t="str">
        <x:v>Pending</x:v>
      </x:c>
      <x:c r="F473" s="13" t="str"/>
      <x:c r="G473" s="13" t="str"/>
      <x:c r="H473" s="13" t="str"/>
      <x:c r="I473" s="7" t="str">
        <x:v>Was this person reviewed? If rejected, give the actual rule and evidence. If acceptable, correct the omission. Confirm the Life-qualification gate and any record change since selection.</x:v>
      </x:c>
      <x:c r="J473" s="7" t="str">
        <x:v>L1</x:v>
      </x:c>
      <x:c r="K473" s="7" t="str">
        <x:v>Verified qualifications do not include active general Life. Current target-pool mismatch; actual historical omission reason unknown.</x:v>
      </x:c>
      <x:c r="L473" s="7" t="str">
        <x:v>Not supplied; membership is known, motive is not</x:v>
      </x:c>
      <x:c r="M473" s="7" t="n">
        <x:v>7</x:v>
      </x:c>
      <x:c r="N473" s="7" t="str">
        <x:v>Outside current general-Life recruiting pool</x:v>
      </x:c>
      <x:c r="O473" s="7" t="str">
        <x:v>Not displayed</x:v>
      </x:c>
      <x:c r="P473" s="7" t="str"/>
      <x:c r="Q473" s="7" t="str"/>
      <x:c r="R473" s="7" t="str">
        <x:v>Independent Adjuster</x:v>
      </x:c>
      <x:c r="S473" s="15" t="str"/>
      <x:c r="T473" s="7" t="str">
        <x:v>No public business phone in collected record</x:v>
      </x:c>
      <x:c r="U473" s="7" t="str">
        <x:v>1660 RENAISSANCE COMMONS BLVD APT 2427 BOYNTON BEACH FL, 33426-7226</x:v>
      </x:c>
      <x:c r="V473" s="7" t="str">
        <x:v>Non-resident</x:v>
      </x:c>
      <x:c r="W473" s="7" t="str">
        <x:v>FL</x:v>
      </x:c>
      <x:c r="X473" s="7" t="str"/>
      <x:c r="Y473" s="7" t="str"/>
      <x:c r="Z473" s="7" t="str"/>
      <x:c r="AA473" s="7" t="str"/>
      <x:c r="AB473" s="7" t="str"/>
      <x:c r="AC473" s="7" t="str"/>
      <x:c r="AD473" s="7" t="str">
        <x:v>No agency or insurer displayed: onboarding opportunity possible; existing business unknown</x:v>
      </x:c>
      <x:c r="AE473" s="7" t="str">
        <x:v>Nonresident or address state outside CA; confirm geographic recruiting scope | No public business phone: contact enrichment needed, not proof of poor recruiting fit</x:v>
      </x:c>
      <x:c r="AF473" s="16" t="str"/>
      <x:c r="AG473" s="17" t="str"/>
      <x:c r="AH473" s="7" t="str"/>
      <x:c r="AI473" s="7" t="str"/>
      <x:c r="AJ473" s="7" t="str"/>
      <x:c r="AK473" s="15" t="str"/>
      <x:c r="AL473" s="7" t="str"/>
      <x:c r="AM473" s="7" t="str">
        <x:v>Aguilar  Cassey | AGUILAR GONZALEZ  CASSEY</x:v>
      </x:c>
      <x:c r="AN473" s="7" t="str">
        <x:v>https://cdicloud.insurance.ca.gov/cal/LicenseDetail?SearchType=IND&amp;SearchLicNbr=4562181&amp;SearchIndvId=4562181</x:v>
      </x:c>
      <x:c r="AO473" s="7" t="str">
        <x:v>2026-10-08</x:v>
      </x:c>
      <x:c r="AP473" s="7" t="str">
        <x:v>50d4880597680ae1cd6c923fc5834874ac01a30367f6177f220d5d7e7735c825</x:v>
      </x:c>
      <x:c r="AQ473" s="7" t="str">
        <x:v>Independent Adjuster / Active / 07/30/2026 / 07/30/2026 / 07/31/2028</x:v>
      </x:c>
      <x:c r="AR473" s="7" t="str">
        <x:v>Active</x:v>
      </x:c>
      <x:c r="AS473" s="7" t="str">
        <x:v>Current detail page</x:v>
      </x:c>
    </x:row>
    <x:row r="474" ht="52" customHeight="1">
      <x:c r="A474" s="7" t="str">
        <x:v>AGUILAR GONZALEZ MIRIAM GUADALUPE</x:v>
      </x:c>
      <x:c r="B474" s="14" t="str">
        <x:f>"4367747"</x:f>
        <x:v>4367747</x:v>
      </x:c>
      <x:c r="C474" s="7" t="str">
        <x:v>Omitted</x:v>
      </x:c>
      <x:c r="D474" s="7" t="str">
        <x:v>FAIL</x:v>
      </x:c>
      <x:c r="E474" s="13" t="str">
        <x:v>Pending</x:v>
      </x:c>
      <x:c r="F474" s="13" t="str"/>
      <x:c r="G474" s="13" t="str"/>
      <x:c r="H474" s="13" t="str"/>
      <x:c r="I474" s="7" t="str">
        <x:v>Was this person reviewed? If rejected, give the actual rule and evidence. If acceptable, correct the omission. Confirm the Life-qualification gate and any record change since selection.</x:v>
      </x:c>
      <x:c r="J474" s="7" t="str">
        <x:v>L1</x:v>
      </x:c>
      <x:c r="K474" s="7" t="str">
        <x:v>Verified qualifications do not include active general Life. Current target-pool mismatch; actual historical omission reason unknown.</x:v>
      </x:c>
      <x:c r="L474" s="7" t="str">
        <x:v>Not supplied; membership is known, motive is not</x:v>
      </x:c>
      <x:c r="M474" s="7" t="n">
        <x:v>7</x:v>
      </x:c>
      <x:c r="N474" s="7" t="str">
        <x:v>Outside current general-Life recruiting pool</x:v>
      </x:c>
      <x:c r="O474" s="7" t="str">
        <x:v>Inactive</x:v>
      </x:c>
      <x:c r="P474" s="7" t="str">
        <x:v>03/22/2024</x:v>
      </x:c>
      <x:c r="Q474" s="7" t="str">
        <x:v>03/31/2026</x:v>
      </x:c>
      <x:c r="R474" s="7" t="str"/>
      <x:c r="S474" s="15" t="str">
        <x:v>619-400-6790</x:v>
      </x:c>
      <x:c r="T474" s="7" t="str">
        <x:v>Current CDI</x:v>
      </x:c>
      <x:c r="U474" s="7" t="str">
        <x:v>3838 CAMINO DEL RIO NORTH STE 200 SAN DIEGO CA, 92108</x:v>
      </x:c>
      <x:c r="V474" s="7" t="str">
        <x:v>Resident</x:v>
      </x:c>
      <x:c r="W474" s="7" t="str">
        <x:v>CA</x:v>
      </x:c>
      <x:c r="X474" s="7" t="str"/>
      <x:c r="Y474" s="7" t="str"/>
      <x:c r="Z474" s="7" t="str"/>
      <x:c r="AA474" s="7" t="str"/>
      <x:c r="AB474" s="7" t="str"/>
      <x:c r="AC474" s="7" t="str"/>
      <x:c r="AD474" s="7" t="str">
        <x:v>No agency or insurer displayed: onboarding opportunity possible; existing business unknown</x:v>
      </x:c>
      <x:c r="AE474" s="7" t="str"/>
      <x:c r="AF474" s="16" t="str"/>
      <x:c r="AG474" s="17" t="str"/>
      <x:c r="AH474" s="7" t="str"/>
      <x:c r="AI474" s="7" t="str">
        <x:v>English</x:v>
      </x:c>
      <x:c r="AJ474" s="7" t="str"/>
      <x:c r="AK474" s="15" t="str"/>
      <x:c r="AL474" s="7" t="str"/>
      <x:c r="AM474" s="7" t="str">
        <x:v>AGUILAR GONZALEZ GUADALUPE MIRIAM</x:v>
      </x:c>
      <x:c r="AN474" s="7" t="str">
        <x:v>https://cdicloud.insurance.ca.gov/cal/LicenseDetail?SearchType=IND&amp;SearchLicNbr=4367747&amp;SearchIndvId=4367747</x:v>
      </x:c>
      <x:c r="AO474" s="7" t="str">
        <x:v>2026-10-08</x:v>
      </x:c>
      <x:c r="AP474" s="7" t="str">
        <x:v>af8493ac184819379973769000ca9a3f7d3c53fcce271b54cae60761b47c73da</x:v>
      </x:c>
      <x:c r="AQ474" s="7" t="str">
        <x:v>Life / Inactive / 03/22/2024 / 03/31/2026 / 03/31/2026</x:v>
      </x:c>
      <x:c r="AR474" s="7" t="str">
        <x:v>Inactive</x:v>
      </x:c>
      <x:c r="AS474" s="7" t="str">
        <x:v>Current detail page</x:v>
      </x:c>
    </x:row>
    <x:row r="475" ht="52" customHeight="1">
      <x:c r="A475" s="7" t="str">
        <x:v>AGUILAR GONZALEZ NATHALIE BRICEIDA</x:v>
      </x:c>
      <x:c r="B475" s="14" t="str">
        <x:f>"4487094"</x:f>
        <x:v>4487094</x:v>
      </x:c>
      <x:c r="C475" s="7" t="str">
        <x:v>Omitted</x:v>
      </x:c>
      <x:c r="D475" s="7" t="str">
        <x:v>FAIL</x:v>
      </x:c>
      <x:c r="E475" s="13" t="str">
        <x:v>Pending</x:v>
      </x:c>
      <x:c r="F475" s="13" t="str"/>
      <x:c r="G475" s="13" t="str"/>
      <x:c r="H475" s="13" t="str"/>
      <x:c r="I475" s="7" t="str">
        <x:v>Was this person reviewed? If rejected, give the actual rule and evidence. If acceptable, correct the omission. Confirm the Life-qualification gate and any record change since selection.</x:v>
      </x:c>
      <x:c r="J475" s="7" t="str">
        <x:v>L1</x:v>
      </x:c>
      <x:c r="K475" s="7" t="str">
        <x:v>Verified qualifications do not include active general Life. Current target-pool mismatch; actual historical omission reason unknown.</x:v>
      </x:c>
      <x:c r="L475" s="7" t="str">
        <x:v>Not supplied; membership is known, motive is not</x:v>
      </x:c>
      <x:c r="M475" s="7" t="n">
        <x:v>7</x:v>
      </x:c>
      <x:c r="N475" s="7" t="str">
        <x:v>Outside current general-Life recruiting pool</x:v>
      </x:c>
      <x:c r="O475" s="7" t="str">
        <x:v>Not displayed</x:v>
      </x:c>
      <x:c r="P475" s="7" t="str"/>
      <x:c r="Q475" s="7" t="str"/>
      <x:c r="R475" s="7" t="str">
        <x:v>Bail Agent</x:v>
      </x:c>
      <x:c r="S475" s="15" t="str">
        <x:v>650-366-2171</x:v>
      </x:c>
      <x:c r="T475" s="7" t="str">
        <x:v>Current CDI</x:v>
      </x:c>
      <x:c r="U475" s="7" t="str"/>
      <x:c r="V475" s="7" t="str">
        <x:v>Resident</x:v>
      </x:c>
      <x:c r="W475" s="7" t="str"/>
      <x:c r="X475" s="7" t="str">
        <x:v>TWO JINN, INC. / Bail Agent / 08/18/2025
TWO JINN, INC. / Bail Agent / 08/18/2025</x:v>
      </x:c>
      <x:c r="Y475" s="7" t="str">
        <x:v>SEAVIEW INSURANCE COMPANY / Bail Agent / 08/27/2025</x:v>
      </x:c>
      <x:c r="Z475" s="7" t="str"/>
      <x:c r="AA475" s="7" t="str"/>
      <x:c r="AB475" s="7" t="str"/>
      <x:c r="AC475" s="7" t="str"/>
      <x:c r="AD475" s="7" t="str"/>
      <x:c r="AE475" s="7" t="str">
        <x:v>Nonresident or address state outside CA; confirm geographic recruiting scope</x:v>
      </x:c>
      <x:c r="AF475" s="16" t="str"/>
      <x:c r="AG475" s="17" t="str"/>
      <x:c r="AH475" s="7" t="str"/>
      <x:c r="AI475" s="7" t="str">
        <x:v>English</x:v>
      </x:c>
      <x:c r="AJ475" s="7" t="str"/>
      <x:c r="AK475" s="15" t="str"/>
      <x:c r="AL475" s="7" t="str"/>
      <x:c r="AM475" s="7" t="str">
        <x:v>AGUILAR GONZALEZ BRICEIDA NATHALIE</x:v>
      </x:c>
      <x:c r="AN475" s="7" t="str">
        <x:v>https://cdicloud.insurance.ca.gov/cal/LicenseDetail?SearchType=IND&amp;SearchLicNbr=4487094&amp;SearchIndvId=4487094</x:v>
      </x:c>
      <x:c r="AO475" s="7" t="str">
        <x:v>2026-10-08</x:v>
      </x:c>
      <x:c r="AP475" s="7" t="str">
        <x:v>17917609c0a2bc1715991bd8bbc27ce5353e6e335662e36ee11cf0fdf3a954b3</x:v>
      </x:c>
      <x:c r="AQ475" s="7" t="str">
        <x:v>Bail Agent / Active / 08/27/2025 / 08/27/2025 / 08/31/2027</x:v>
      </x:c>
      <x:c r="AR475" s="7" t="str">
        <x:v>Active</x:v>
      </x:c>
      <x:c r="AS475" s="7" t="str">
        <x:v>Current detail page</x:v>
      </x:c>
    </x:row>
    <x:row r="476" ht="52" customHeight="1">
      <x:c r="A476" s="7" t="str">
        <x:v>AGUILAR GONZALO</x:v>
      </x:c>
      <x:c r="B476" s="14" t="str">
        <x:f>"0A70885"</x:f>
        <x:v>0A70885</x:v>
      </x:c>
      <x:c r="C476" s="7" t="str">
        <x:v>Omitted</x:v>
      </x:c>
      <x:c r="D476" s="7" t="str">
        <x:v>FAIL</x:v>
      </x:c>
      <x:c r="E476" s="13" t="str">
        <x:v>Pending</x:v>
      </x:c>
      <x:c r="F476" s="13" t="str"/>
      <x:c r="G476" s="13" t="str"/>
      <x:c r="H476" s="13" t="str"/>
      <x:c r="I476" s="7" t="str">
        <x:v>Was this person reviewed? If rejected, give the actual rule and evidence. If acceptable, correct the omission. Confirm the Life-qualification gate and any record change since selection.</x:v>
      </x:c>
      <x:c r="J476" s="7" t="str">
        <x:v>L1</x:v>
      </x:c>
      <x:c r="K476" s="7" t="str">
        <x:v>Verified qualifications do not include active general Life. Current target-pool mismatch; actual historical omission reason unknown.</x:v>
      </x:c>
      <x:c r="L476" s="7" t="str">
        <x:v>Not supplied; membership is known, motive is not</x:v>
      </x:c>
      <x:c r="M476" s="7" t="n">
        <x:v>7</x:v>
      </x:c>
      <x:c r="N476" s="7" t="str">
        <x:v>Outside current general-Life recruiting pool</x:v>
      </x:c>
      <x:c r="O476" s="7" t="str">
        <x:v>Not displayed</x:v>
      </x:c>
      <x:c r="P476" s="7" t="str"/>
      <x:c r="Q476" s="7" t="str"/>
      <x:c r="R476" s="7" t="str"/>
      <x:c r="S476" s="15" t="str"/>
      <x:c r="T476" s="7" t="str">
        <x:v>No public business phone in collected record</x:v>
      </x:c>
      <x:c r="U476" s="7" t="str"/>
      <x:c r="V476" s="7" t="str">
        <x:v>Resident</x:v>
      </x:c>
      <x:c r="W476" s="7" t="str">
        <x:v>CA</x:v>
      </x:c>
      <x:c r="X476" s="7" t="str"/>
      <x:c r="Y476" s="7" t="str"/>
      <x:c r="Z476" s="7" t="str"/>
      <x:c r="AA476" s="7" t="str"/>
      <x:c r="AB476" s="7" t="str"/>
      <x:c r="AC476" s="7" t="str"/>
      <x:c r="AD476" s="7" t="str">
        <x:v>No agency or insurer displayed: onboarding opportunity possible; existing business unknown</x:v>
      </x:c>
      <x:c r="AE476" s="7" t="str">
        <x:v>No public business phone: contact enrichment needed, not proof of poor recruiting fit</x:v>
      </x:c>
      <x:c r="AF476" s="16" t="str"/>
      <x:c r="AG476" s="17" t="str"/>
      <x:c r="AH476" s="7" t="str"/>
      <x:c r="AI476" s="7" t="str"/>
      <x:c r="AJ476" s="7" t="str"/>
      <x:c r="AK476" s="15" t="str"/>
      <x:c r="AL476" s="7" t="str"/>
      <x:c r="AM476" s="7" t="str">
        <x:v>AGUILAR  GONZALO</x:v>
      </x:c>
      <x:c r="AN476" s="7" t="str">
        <x:v>https://cdicloud.insurance.ca.gov/cal/LicenseDetail?SearchType=IND&amp;SearchLicNbr=0A70885&amp;SearchIndvId=168293</x:v>
      </x:c>
      <x:c r="AO476" s="7" t="str">
        <x:v>2026-10-08</x:v>
      </x:c>
      <x:c r="AP476" s="7" t="str">
        <x:v>b9e77ad48548f6017c37123ed3db59b072664cf1c6bb29ad15d4cbac5cb46aa6</x:v>
      </x:c>
      <x:c r="AQ476" s="7" t="str">
        <x:v>Accident and Health / Inactive / 08/25/1987 / 12/31/1995 / 12/31/1995
Life-Only / Inactive / 08/25/1987 / 12/31/1995 / 12/31/1995</x:v>
      </x:c>
      <x:c r="AR476" s="7" t="str">
        <x:v>Inactive</x:v>
      </x:c>
      <x:c r="AS476" s="7" t="str">
        <x:v>Current detail page</x:v>
      </x:c>
    </x:row>
    <x:row r="477" ht="52" customHeight="1">
      <x:c r="A477" s="7" t="str">
        <x:v>AGUILAR GONZALO II</x:v>
      </x:c>
      <x:c r="B477" s="14" t="str">
        <x:f>"0K72641"</x:f>
        <x:v>0K72641</x:v>
      </x:c>
      <x:c r="C477" s="7" t="str">
        <x:v>Omitted</x:v>
      </x:c>
      <x:c r="D477" s="7" t="str">
        <x:v>FAIL</x:v>
      </x:c>
      <x:c r="E477" s="13" t="str">
        <x:v>Pending</x:v>
      </x:c>
      <x:c r="F477" s="13" t="str"/>
      <x:c r="G477" s="13" t="str"/>
      <x:c r="H477" s="13" t="str"/>
      <x:c r="I477" s="7" t="str">
        <x:v>Was this person reviewed? If rejected, give the actual rule and evidence. If acceptable, correct the omission. Confirm the Life-qualification gate and any record change since selection.</x:v>
      </x:c>
      <x:c r="J477" s="7" t="str">
        <x:v>L1</x:v>
      </x:c>
      <x:c r="K477" s="7" t="str">
        <x:v>Verified qualifications do not include active general Life. Current target-pool mismatch; actual historical omission reason unknown.</x:v>
      </x:c>
      <x:c r="L477" s="7" t="str">
        <x:v>Not supplied; membership is known, motive is not</x:v>
      </x:c>
      <x:c r="M477" s="7" t="n">
        <x:v>7</x:v>
      </x:c>
      <x:c r="N477" s="7" t="str">
        <x:v>Outside current general-Life recruiting pool</x:v>
      </x:c>
      <x:c r="O477" s="7" t="str">
        <x:v>Not displayed</x:v>
      </x:c>
      <x:c r="P477" s="7" t="str"/>
      <x:c r="Q477" s="7" t="str"/>
      <x:c r="R477" s="7" t="str"/>
      <x:c r="S477" s="15" t="str"/>
      <x:c r="T477" s="7" t="str">
        <x:v>No public business phone in collected record</x:v>
      </x:c>
      <x:c r="U477" s="7" t="str"/>
      <x:c r="V477" s="7" t="str">
        <x:v>Resident</x:v>
      </x:c>
      <x:c r="W477" s="7" t="str">
        <x:v>CA</x:v>
      </x:c>
      <x:c r="X477" s="7" t="str"/>
      <x:c r="Y477" s="7" t="str"/>
      <x:c r="Z477" s="7" t="str"/>
      <x:c r="AA477" s="7" t="str"/>
      <x:c r="AB477" s="7" t="str"/>
      <x:c r="AC477" s="7" t="str"/>
      <x:c r="AD477" s="7" t="str">
        <x:v>No agency or insurer displayed: onboarding opportunity possible; existing business unknown</x:v>
      </x:c>
      <x:c r="AE477" s="7" t="str">
        <x:v>No public business phone: contact enrichment needed, not proof of poor recruiting fit</x:v>
      </x:c>
      <x:c r="AF477" s="16" t="str"/>
      <x:c r="AG477" s="17" t="str"/>
      <x:c r="AH477" s="7" t="str"/>
      <x:c r="AI477" s="7" t="str"/>
      <x:c r="AJ477" s="7" t="str"/>
      <x:c r="AK477" s="15" t="str"/>
      <x:c r="AL477" s="7" t="str"/>
      <x:c r="AM477" s="7" t="str">
        <x:v>AGUILAR  GONZALO</x:v>
      </x:c>
      <x:c r="AN477" s="7" t="str">
        <x:v>https://cdicloud.insurance.ca.gov/cal/LicenseDetail?SearchType=IND&amp;SearchLicNbr=0K72641&amp;SearchIndvId=1818390</x:v>
      </x:c>
      <x:c r="AO477" s="7" t="str">
        <x:v>2026-10-08</x:v>
      </x:c>
      <x:c r="AP477" s="7" t="str">
        <x:v>5852b77c2f208c5326b1c6af68b1ee6c2ca54a458440d22af7bf9a7814a8199c</x:v>
      </x:c>
      <x:c r="AQ477" s="7" t="str">
        <x:v>Accident and Health / Inactive / 02/03/2016 / 02/28/2018 / 02/28/2018
Life-Only / Inactive / 02/03/2016 / 02/28/2018 / 02/28/2018</x:v>
      </x:c>
      <x:c r="AR477" s="7" t="str">
        <x:v>Inactive</x:v>
      </x:c>
      <x:c r="AS477" s="7" t="str">
        <x:v>Current detail page</x:v>
      </x:c>
    </x:row>
    <x:row r="478" ht="52" customHeight="1">
      <x:c r="A478" s="7" t="str">
        <x:v>AGUILAR GONZALO J</x:v>
      </x:c>
      <x:c r="B478" s="14" t="str">
        <x:f>"0F52492"</x:f>
        <x:v>0F52492</x:v>
      </x:c>
      <x:c r="C478" s="7" t="str">
        <x:v>Omitted</x:v>
      </x:c>
      <x:c r="D478" s="7" t="str">
        <x:v>FAIL</x:v>
      </x:c>
      <x:c r="E478" s="13" t="str">
        <x:v>Pending</x:v>
      </x:c>
      <x:c r="F478" s="13" t="str"/>
      <x:c r="G478" s="13" t="str"/>
      <x:c r="H478" s="13" t="str"/>
      <x:c r="I478" s="7" t="str">
        <x:v>Was this person reviewed? If rejected, give the actual rule and evidence. If acceptable, correct the omission. Confirm the Life-qualification gate and any record change since selection.</x:v>
      </x:c>
      <x:c r="J478" s="7" t="str">
        <x:v>L1</x:v>
      </x:c>
      <x:c r="K478" s="7" t="str">
        <x:v>Verified qualifications do not include active general Life. Current target-pool mismatch; actual historical omission reason unknown.</x:v>
      </x:c>
      <x:c r="L478" s="7" t="str">
        <x:v>Not supplied; membership is known, motive is not</x:v>
      </x:c>
      <x:c r="M478" s="7" t="n">
        <x:v>7</x:v>
      </x:c>
      <x:c r="N478" s="7" t="str">
        <x:v>Outside current general-Life recruiting pool</x:v>
      </x:c>
      <x:c r="O478" s="7" t="str">
        <x:v>Not displayed</x:v>
      </x:c>
      <x:c r="P478" s="7" t="str"/>
      <x:c r="Q478" s="7" t="str"/>
      <x:c r="R478" s="7" t="str"/>
      <x:c r="S478" s="15" t="str"/>
      <x:c r="T478" s="7" t="str">
        <x:v>No public business phone in collected record</x:v>
      </x:c>
      <x:c r="U478" s="7" t="str"/>
      <x:c r="V478" s="7" t="str">
        <x:v>Non-resident</x:v>
      </x:c>
      <x:c r="W478" s="7" t="str">
        <x:v>PA</x:v>
      </x:c>
      <x:c r="X478" s="7" t="str"/>
      <x:c r="Y478" s="7" t="str"/>
      <x:c r="Z478" s="7" t="str"/>
      <x:c r="AA478" s="7" t="str"/>
      <x:c r="AB478" s="7" t="str"/>
      <x:c r="AC478" s="7" t="str"/>
      <x:c r="AD478" s="7" t="str">
        <x:v>No agency or insurer displayed: onboarding opportunity possible; existing business unknown</x:v>
      </x:c>
      <x:c r="AE478" s="7" t="str">
        <x:v>Nonresident or address state outside CA; confirm geographic recruiting scope | No public business phone: contact enrichment needed, not proof of poor recruiting fit</x:v>
      </x:c>
      <x:c r="AF478" s="16" t="str"/>
      <x:c r="AG478" s="17" t="str"/>
      <x:c r="AH478" s="7" t="str"/>
      <x:c r="AI478" s="7" t="str"/>
      <x:c r="AJ478" s="7" t="str"/>
      <x:c r="AK478" s="15" t="str"/>
      <x:c r="AL478" s="7" t="str"/>
      <x:c r="AM478" s="7" t="str">
        <x:v>AGUILAR J GONZALO</x:v>
      </x:c>
      <x:c r="AN478" s="7" t="str">
        <x:v>https://cdicloud.insurance.ca.gov/cal/LicenseDetail?SearchType=IND&amp;SearchLicNbr=0F52492&amp;SearchIndvId=1067508</x:v>
      </x:c>
      <x:c r="AO478" s="7" t="str">
        <x:v>2026-10-08</x:v>
      </x:c>
      <x:c r="AP478" s="7" t="str">
        <x:v>75ebbe10a18ad75cb339d06a1c2803bb6d998cd17218c02987fb1e30946a5dcc</x:v>
      </x:c>
      <x:c r="AQ478" s="7" t="str">
        <x:v>Casualty Broker-Agent / Inactive / 02/06/2007 / 02/28/2013 / 02/28/2013
Property Broker-Agent / Inactive / 02/06/2007 / 02/28/2013 / 02/28/2013</x:v>
      </x:c>
      <x:c r="AR478" s="7" t="str">
        <x:v>Inactive</x:v>
      </x:c>
      <x:c r="AS478" s="7" t="str">
        <x:v>Current detail page</x:v>
      </x:c>
    </x:row>
    <x:row r="479" ht="52" customHeight="1">
      <x:c r="A479" s="7" t="str">
        <x:v>AGUILAR GREG JOSEPH</x:v>
      </x:c>
      <x:c r="B479" s="14" t="str">
        <x:f>"0C39550"</x:f>
        <x:v>0C39550</x:v>
      </x:c>
      <x:c r="C479" s="7" t="str">
        <x:v>Omitted</x:v>
      </x:c>
      <x:c r="D479" s="7" t="str">
        <x:v>FAIL</x:v>
      </x:c>
      <x:c r="E479" s="13" t="str">
        <x:v>Pending</x:v>
      </x:c>
      <x:c r="F479" s="13" t="str"/>
      <x:c r="G479" s="13" t="str"/>
      <x:c r="H479" s="13" t="str"/>
      <x:c r="I479" s="7" t="str">
        <x:v>Was this person reviewed? If rejected, give the actual rule and evidence. If acceptable, correct the omission. Confirm the Life-qualification gate and any record change since selection.</x:v>
      </x:c>
      <x:c r="J479" s="7" t="str">
        <x:v>L1</x:v>
      </x:c>
      <x:c r="K479" s="7" t="str">
        <x:v>Verified qualifications do not include active general Life. Current target-pool mismatch; actual historical omission reason unknown.</x:v>
      </x:c>
      <x:c r="L479" s="7" t="str">
        <x:v>Not supplied; membership is known, motive is not</x:v>
      </x:c>
      <x:c r="M479" s="7" t="n">
        <x:v>7</x:v>
      </x:c>
      <x:c r="N479" s="7" t="str">
        <x:v>Outside current general-Life recruiting pool</x:v>
      </x:c>
      <x:c r="O479" s="7" t="str">
        <x:v>Not displayed</x:v>
      </x:c>
      <x:c r="P479" s="7" t="str"/>
      <x:c r="Q479" s="7" t="str"/>
      <x:c r="R479" s="7" t="str"/>
      <x:c r="S479" s="15" t="str"/>
      <x:c r="T479" s="7" t="str">
        <x:v>No public business phone in collected record</x:v>
      </x:c>
      <x:c r="U479" s="7" t="str"/>
      <x:c r="V479" s="7" t="str">
        <x:v>Resident</x:v>
      </x:c>
      <x:c r="W479" s="7" t="str">
        <x:v>CA</x:v>
      </x:c>
      <x:c r="X479" s="7" t="str"/>
      <x:c r="Y479" s="7" t="str"/>
      <x:c r="Z479" s="7" t="str"/>
      <x:c r="AA479" s="7" t="str"/>
      <x:c r="AB479" s="7" t="str"/>
      <x:c r="AC479" s="7" t="str"/>
      <x:c r="AD479" s="7" t="str">
        <x:v>No agency or insurer displayed: onboarding opportunity possible; existing business unknown</x:v>
      </x:c>
      <x:c r="AE479" s="7" t="str">
        <x:v>No public business phone: contact enrichment needed, not proof of poor recruiting fit</x:v>
      </x:c>
      <x:c r="AF479" s="16" t="str"/>
      <x:c r="AG479" s="17" t="str"/>
      <x:c r="AH479" s="7" t="str"/>
      <x:c r="AI479" s="7" t="str"/>
      <x:c r="AJ479" s="7" t="str"/>
      <x:c r="AK479" s="15" t="str"/>
      <x:c r="AL479" s="7" t="str"/>
      <x:c r="AM479" s="7" t="str">
        <x:v>AGUILAR JOSEPH GREG</x:v>
      </x:c>
      <x:c r="AN479" s="7" t="str">
        <x:v>https://cdicloud.insurance.ca.gov/cal/LicenseDetail?SearchType=IND&amp;SearchLicNbr=0C39550&amp;SearchIndvId=314156</x:v>
      </x:c>
      <x:c r="AO479" s="7" t="str">
        <x:v>2026-10-08</x:v>
      </x:c>
      <x:c r="AP479" s="7" t="str">
        <x:v>fb0eb5d3ff2246426f7786cd0bfc4ca4a55579df44d2e27ab2a7a54170bb934c</x:v>
      </x:c>
      <x:c r="AQ479" s="7" t="str">
        <x:v>Accident and Health / Inactive / 07/28/1998 / 07/31/2000 / 07/31/2000
Life-Only / Inactive / 07/28/1998 / 07/31/2000 / 07/31/2000</x:v>
      </x:c>
      <x:c r="AR479" s="7" t="str">
        <x:v>Inactive</x:v>
      </x:c>
      <x:c r="AS479" s="7" t="str">
        <x:v>Current detail page</x:v>
      </x:c>
    </x:row>
    <x:row r="480" ht="52" customHeight="1">
      <x:c r="A480" s="7" t="str">
        <x:v>AGUILAR GRIJALVA SABRINA</x:v>
      </x:c>
      <x:c r="B480" s="14" t="str">
        <x:f>"4114626"</x:f>
        <x:v>4114626</x:v>
      </x:c>
      <x:c r="C480" s="7" t="str">
        <x:v>Omitted</x:v>
      </x:c>
      <x:c r="D480" s="7" t="str">
        <x:v>FAIL</x:v>
      </x:c>
      <x:c r="E480" s="13" t="str">
        <x:v>Pending</x:v>
      </x:c>
      <x:c r="F480" s="13" t="str"/>
      <x:c r="G480" s="13" t="str"/>
      <x:c r="H480" s="13" t="str"/>
      <x:c r="I480" s="7" t="str">
        <x:v>Was this person reviewed? If rejected, give the actual rule and evidence. If acceptable, correct the omission. Confirm the Life-qualification gate and any record change since selection.</x:v>
      </x:c>
      <x:c r="J480" s="7" t="str">
        <x:v>L1</x:v>
      </x:c>
      <x:c r="K480" s="7" t="str">
        <x:v>Verified qualifications do not include active general Life. Current target-pool mismatch; actual historical omission reason unknown.</x:v>
      </x:c>
      <x:c r="L480" s="7" t="str">
        <x:v>Not supplied; membership is known, motive is not</x:v>
      </x:c>
      <x:c r="M480" s="7" t="n">
        <x:v>7</x:v>
      </x:c>
      <x:c r="N480" s="7" t="str">
        <x:v>Outside current general-Life recruiting pool</x:v>
      </x:c>
      <x:c r="O480" s="7" t="str">
        <x:v>Inactive</x:v>
      </x:c>
      <x:c r="P480" s="7" t="str">
        <x:v>04/08/2021</x:v>
      </x:c>
      <x:c r="Q480" s="7" t="str">
        <x:v>04/30/2023</x:v>
      </x:c>
      <x:c r="R480" s="7" t="str"/>
      <x:c r="S480" s="15" t="str"/>
      <x:c r="T480" s="7" t="str">
        <x:v>No public business phone in collected record</x:v>
      </x:c>
      <x:c r="U480" s="7" t="str">
        <x:v>50907 SUNCREST ST APT G COACHELLA CA, 92236-3350</x:v>
      </x:c>
      <x:c r="V480" s="7" t="str">
        <x:v>Resident</x:v>
      </x:c>
      <x:c r="W480" s="7" t="str">
        <x:v>CA</x:v>
      </x:c>
      <x:c r="X480" s="7" t="str"/>
      <x:c r="Y480" s="7" t="str"/>
      <x:c r="Z480" s="7" t="str"/>
      <x:c r="AA480" s="7" t="str"/>
      <x:c r="AB480" s="7" t="str"/>
      <x:c r="AC480" s="7" t="str"/>
      <x:c r="AD480" s="7" t="str">
        <x:v>No agency or insurer displayed: onboarding opportunity possible; existing business unknown</x:v>
      </x:c>
      <x:c r="AE480" s="7" t="str">
        <x:v>No public business phone: contact enrichment needed, not proof of poor recruiting fit</x:v>
      </x:c>
      <x:c r="AF480" s="16" t="str"/>
      <x:c r="AG480" s="17" t="str"/>
      <x:c r="AH480" s="7" t="str"/>
      <x:c r="AI480" s="7" t="str">
        <x:v>English</x:v>
      </x:c>
      <x:c r="AJ480" s="7" t="str"/>
      <x:c r="AK480" s="15" t="str"/>
      <x:c r="AL480" s="7" t="str"/>
      <x:c r="AM480" s="7" t="str">
        <x:v>AGUILAR GRIJALVA  SABRINA</x:v>
      </x:c>
      <x:c r="AN480" s="7" t="str">
        <x:v>https://cdicloud.insurance.ca.gov/cal/LicenseDetail?SearchType=IND&amp;SearchLicNbr=4114626&amp;SearchIndvId=4114626</x:v>
      </x:c>
      <x:c r="AO480" s="7" t="str">
        <x:v>2026-10-08</x:v>
      </x:c>
      <x:c r="AP480" s="7" t="str">
        <x:v>3bd52a074be334138ece24f5318bda2f7c979b08b8d83b81fe68335c4531ea5a</x:v>
      </x:c>
      <x:c r="AQ480" s="7" t="str">
        <x:v>Life / Inactive / 04/08/2021 / 04/30/2023 / 04/30/2023</x:v>
      </x:c>
      <x:c r="AR480" s="7" t="str">
        <x:v>Inactive</x:v>
      </x:c>
      <x:c r="AS480" s="7" t="str">
        <x:v>Current detail page</x:v>
      </x:c>
    </x:row>
    <x:row r="481" ht="52" customHeight="1">
      <x:c r="A481" s="7" t="str">
        <x:v>AGUILAR GUADALUPE</x:v>
      </x:c>
      <x:c r="B481" s="14" t="str">
        <x:f>"0M58125"</x:f>
        <x:v>0M58125</x:v>
      </x:c>
      <x:c r="C481" s="7" t="str">
        <x:v>Omitted</x:v>
      </x:c>
      <x:c r="D481" s="7" t="str">
        <x:v>FAIL</x:v>
      </x:c>
      <x:c r="E481" s="13" t="str">
        <x:v>Pending</x:v>
      </x:c>
      <x:c r="F481" s="13" t="str"/>
      <x:c r="G481" s="13" t="str"/>
      <x:c r="H481" s="13" t="str"/>
      <x:c r="I481" s="7" t="str">
        <x:v>Was this person reviewed? If rejected, give the actual rule and evidence. If acceptable, correct the omission. Confirm the Life-qualification gate and any record change since selection.</x:v>
      </x:c>
      <x:c r="J481" s="7" t="str">
        <x:v>L1</x:v>
      </x:c>
      <x:c r="K481" s="7" t="str">
        <x:v>Verified qualifications do not include active general Life. Current target-pool mismatch; actual historical omission reason unknown.</x:v>
      </x:c>
      <x:c r="L481" s="7" t="str">
        <x:v>Not supplied; membership is known, motive is not</x:v>
      </x:c>
      <x:c r="M481" s="7" t="n">
        <x:v>7</x:v>
      </x:c>
      <x:c r="N481" s="7" t="str">
        <x:v>Outside current general-Life recruiting pool</x:v>
      </x:c>
      <x:c r="O481" s="7" t="str">
        <x:v>Not displayed</x:v>
      </x:c>
      <x:c r="P481" s="7" t="str"/>
      <x:c r="Q481" s="7" t="str"/>
      <x:c r="R481" s="7" t="str"/>
      <x:c r="S481" s="15" t="str"/>
      <x:c r="T481" s="7" t="str">
        <x:v>No public business phone in collected record</x:v>
      </x:c>
      <x:c r="U481" s="7" t="str">
        <x:v>100 COMMERCE DRIVE WARWICK RI, 02886</x:v>
      </x:c>
      <x:c r="V481" s="7" t="str">
        <x:v>Non-resident</x:v>
      </x:c>
      <x:c r="W481" s="7" t="str">
        <x:v>RI</x:v>
      </x:c>
      <x:c r="X481" s="7" t="str"/>
      <x:c r="Y481" s="7" t="str"/>
      <x:c r="Z481" s="7" t="str"/>
      <x:c r="AA481" s="7" t="str"/>
      <x:c r="AB481" s="7" t="str"/>
      <x:c r="AC481" s="7" t="str"/>
      <x:c r="AD481" s="7" t="str">
        <x:v>No agency or insurer displayed: onboarding opportunity possible; existing business unknown</x:v>
      </x:c>
      <x:c r="AE481" s="7" t="str">
        <x:v>Nonresident or address state outside CA; confirm geographic recruiting scope | No public business phone: contact enrichment needed, not proof of poor recruiting fit</x:v>
      </x:c>
      <x:c r="AF481" s="16" t="str"/>
      <x:c r="AG481" s="17" t="str"/>
      <x:c r="AH481" s="7" t="str"/>
      <x:c r="AI481" s="7" t="str"/>
      <x:c r="AJ481" s="7" t="str"/>
      <x:c r="AK481" s="15" t="str"/>
      <x:c r="AL481" s="7" t="str"/>
      <x:c r="AM481" s="7" t="str">
        <x:v>AGUILAR  GUADALUPE</x:v>
      </x:c>
      <x:c r="AN481" s="7" t="str">
        <x:v>https://cdicloud.insurance.ca.gov/cal/LicenseDetail?SearchType=IND&amp;SearchLicNbr=0M58125&amp;SearchIndvId=2043300</x:v>
      </x:c>
      <x:c r="AO481" s="7" t="str">
        <x:v>2026-10-08</x:v>
      </x:c>
      <x:c r="AP481" s="7" t="str">
        <x:v>93a27422782e2406a2fb8d2974997bf44291fc2075712bc44745c632115ebb61</x:v>
      </x:c>
      <x:c r="AQ481" s="7" t="str">
        <x:v>Casualty / Inactive / 09/26/2018 / 09/30/2022 / 09/30/2022
Property / Inactive / 09/26/2018 / 09/30/2022 / 09/30/2022</x:v>
      </x:c>
      <x:c r="AR481" s="7" t="str">
        <x:v>Inactive</x:v>
      </x:c>
      <x:c r="AS481" s="7" t="str">
        <x:v>Current detail page</x:v>
      </x:c>
    </x:row>
    <x:row r="482" ht="52" customHeight="1">
      <x:c r="A482" s="7" t="str">
        <x:v>AGUILAR GUADALUPE</x:v>
      </x:c>
      <x:c r="B482" s="14" t="str">
        <x:f>"0M78428"</x:f>
        <x:v>0M78428</x:v>
      </x:c>
      <x:c r="C482" s="7" t="str">
        <x:v>Omitted</x:v>
      </x:c>
      <x:c r="D482" s="7" t="str">
        <x:v>FAIL</x:v>
      </x:c>
      <x:c r="E482" s="13" t="str">
        <x:v>Pending</x:v>
      </x:c>
      <x:c r="F482" s="13" t="str"/>
      <x:c r="G482" s="13" t="str"/>
      <x:c r="H482" s="13" t="str"/>
      <x:c r="I482" s="7" t="str">
        <x:v>Was this person reviewed? If rejected, give the actual rule and evidence. If acceptable, correct the omission. Confirm the Life-qualification gate and any record change since selection.</x:v>
      </x:c>
      <x:c r="J482" s="7" t="str">
        <x:v>L1</x:v>
      </x:c>
      <x:c r="K482" s="7" t="str">
        <x:v>Verified qualifications do not include active general Life. Current target-pool mismatch; actual historical omission reason unknown.</x:v>
      </x:c>
      <x:c r="L482" s="7" t="str">
        <x:v>Not supplied; membership is known, motive is not</x:v>
      </x:c>
      <x:c r="M482" s="7" t="n">
        <x:v>7</x:v>
      </x:c>
      <x:c r="N482" s="7" t="str">
        <x:v>Outside current general-Life recruiting pool</x:v>
      </x:c>
      <x:c r="O482" s="7" t="str">
        <x:v>Not displayed</x:v>
      </x:c>
      <x:c r="P482" s="7" t="str"/>
      <x:c r="Q482" s="7" t="str"/>
      <x:c r="R482" s="7" t="str"/>
      <x:c r="S482" s="15" t="str"/>
      <x:c r="T482" s="7" t="str">
        <x:v>No public business phone in collected record</x:v>
      </x:c>
      <x:c r="U482" s="7" t="str"/>
      <x:c r="V482" s="7" t="str">
        <x:v>Resident</x:v>
      </x:c>
      <x:c r="W482" s="7" t="str">
        <x:v>CA</x:v>
      </x:c>
      <x:c r="X482" s="7" t="str"/>
      <x:c r="Y482" s="7" t="str"/>
      <x:c r="Z482" s="7" t="str"/>
      <x:c r="AA482" s="7" t="str"/>
      <x:c r="AB482" s="7" t="str"/>
      <x:c r="AC482" s="7" t="str"/>
      <x:c r="AD482" s="7" t="str">
        <x:v>No agency or insurer displayed: onboarding opportunity possible; existing business unknown</x:v>
      </x:c>
      <x:c r="AE482" s="7" t="str">
        <x:v>No public business phone: contact enrichment needed, not proof of poor recruiting fit</x:v>
      </x:c>
      <x:c r="AF482" s="16" t="str"/>
      <x:c r="AG482" s="17" t="str"/>
      <x:c r="AH482" s="7" t="str"/>
      <x:c r="AI482" s="7" t="str"/>
      <x:c r="AJ482" s="7" t="str"/>
      <x:c r="AK482" s="15" t="str"/>
      <x:c r="AL482" s="7" t="str"/>
      <x:c r="AM482" s="7" t="str">
        <x:v>AGUILAR  GUADALUPE</x:v>
      </x:c>
      <x:c r="AN482" s="7" t="str">
        <x:v>https://cdicloud.insurance.ca.gov/cal/LicenseDetail?SearchType=IND&amp;SearchLicNbr=0M78428&amp;SearchIndvId=2079887</x:v>
      </x:c>
      <x:c r="AO482" s="7" t="str">
        <x:v>2026-10-08</x:v>
      </x:c>
      <x:c r="AP482" s="7" t="str">
        <x:v>07db32d493d58d8f5b52a68ea71784e8f467574bace38aacfeff085fdce67a5b</x:v>
      </x:c>
      <x:c r="AQ482" s="7" t="str">
        <x:v>Life-Only / Inactive / 01/18/2019 / 01/31/2021 / 01/31/2021</x:v>
      </x:c>
      <x:c r="AR482" s="7" t="str">
        <x:v>Inactive</x:v>
      </x:c>
      <x:c r="AS482" s="7" t="str">
        <x:v>Current detail page</x:v>
      </x:c>
    </x:row>
    <x:row r="483" ht="52" customHeight="1">
      <x:c r="A483" s="7" t="str">
        <x:v>AGUILAR GUILLERMO</x:v>
      </x:c>
      <x:c r="B483" s="14" t="str">
        <x:f>"0G75793"</x:f>
        <x:v>0G75793</x:v>
      </x:c>
      <x:c r="C483" s="7" t="str">
        <x:v>Omitted</x:v>
      </x:c>
      <x:c r="D483" s="7" t="str">
        <x:v>FAIL</x:v>
      </x:c>
      <x:c r="E483" s="13" t="str">
        <x:v>Pending</x:v>
      </x:c>
      <x:c r="F483" s="13" t="str"/>
      <x:c r="G483" s="13" t="str"/>
      <x:c r="H483" s="13" t="str"/>
      <x:c r="I483" s="7" t="str">
        <x:v>Was this person reviewed? If rejected, give the actual rule and evidence. If acceptable, correct the omission. Confirm the Life-qualification gate and any record change since selection.</x:v>
      </x:c>
      <x:c r="J483" s="7" t="str">
        <x:v>L1</x:v>
      </x:c>
      <x:c r="K483" s="7" t="str">
        <x:v>Verified qualifications do not include active general Life. Current target-pool mismatch; actual historical omission reason unknown.</x:v>
      </x:c>
      <x:c r="L483" s="7" t="str">
        <x:v>Not supplied; membership is known, motive is not</x:v>
      </x:c>
      <x:c r="M483" s="7" t="n">
        <x:v>7</x:v>
      </x:c>
      <x:c r="N483" s="7" t="str">
        <x:v>Outside current general-Life recruiting pool</x:v>
      </x:c>
      <x:c r="O483" s="7" t="str">
        <x:v>Not displayed</x:v>
      </x:c>
      <x:c r="P483" s="7" t="str"/>
      <x:c r="Q483" s="7" t="str"/>
      <x:c r="R483" s="7" t="str"/>
      <x:c r="S483" s="15" t="str"/>
      <x:c r="T483" s="7" t="str">
        <x:v>No public business phone in collected record</x:v>
      </x:c>
      <x:c r="U483" s="7" t="str"/>
      <x:c r="V483" s="7" t="str">
        <x:v>Resident</x:v>
      </x:c>
      <x:c r="W483" s="7" t="str">
        <x:v>CA</x:v>
      </x:c>
      <x:c r="X483" s="7" t="str"/>
      <x:c r="Y483" s="7" t="str"/>
      <x:c r="Z483" s="7" t="str"/>
      <x:c r="AA483" s="7" t="str"/>
      <x:c r="AB483" s="7" t="str"/>
      <x:c r="AC483" s="7" t="str"/>
      <x:c r="AD483" s="7" t="str">
        <x:v>No agency or insurer displayed: onboarding opportunity possible; existing business unknown</x:v>
      </x:c>
      <x:c r="AE483" s="7" t="str">
        <x:v>No public business phone: contact enrichment needed, not proof of poor recruiting fit</x:v>
      </x:c>
      <x:c r="AF483" s="16" t="str"/>
      <x:c r="AG483" s="17" t="str"/>
      <x:c r="AH483" s="7" t="str"/>
      <x:c r="AI483" s="7" t="str"/>
      <x:c r="AJ483" s="7" t="str"/>
      <x:c r="AK483" s="15" t="str"/>
      <x:c r="AL483" s="7" t="str"/>
      <x:c r="AM483" s="7" t="str">
        <x:v>AGUILAR  GUILLERMO</x:v>
      </x:c>
      <x:c r="AN483" s="7" t="str">
        <x:v>https://cdicloud.insurance.ca.gov/cal/LicenseDetail?SearchType=IND&amp;SearchLicNbr=0G75793&amp;SearchIndvId=1297211</x:v>
      </x:c>
      <x:c r="AO483" s="7" t="str">
        <x:v>2026-10-08</x:v>
      </x:c>
      <x:c r="AP483" s="7" t="str">
        <x:v>a46e7b3306d752ba2832fdd6ff34447b7627ac4914007def41af5e4fcdd55a30</x:v>
      </x:c>
      <x:c r="AQ483" s="7" t="str">
        <x:v>Life-Only / Inactive / 09/18/2009 / 09/30/2011 / 09/30/2011</x:v>
      </x:c>
      <x:c r="AR483" s="7" t="str">
        <x:v>Inactive</x:v>
      </x:c>
      <x:c r="AS483" s="7" t="str">
        <x:v>Current detail page</x:v>
      </x:c>
    </x:row>
    <x:row r="484" ht="52" customHeight="1">
      <x:c r="A484" s="7" t="str">
        <x:v>AGUILAR GUILLERMO</x:v>
      </x:c>
      <x:c r="B484" s="14" t="str">
        <x:f>"0H08556"</x:f>
        <x:v>0H08556</x:v>
      </x:c>
      <x:c r="C484" s="7" t="str">
        <x:v>Omitted</x:v>
      </x:c>
      <x:c r="D484" s="7" t="str">
        <x:v>FAIL</x:v>
      </x:c>
      <x:c r="E484" s="13" t="str">
        <x:v>Pending</x:v>
      </x:c>
      <x:c r="F484" s="13" t="str"/>
      <x:c r="G484" s="13" t="str"/>
      <x:c r="H484" s="13" t="str"/>
      <x:c r="I484" s="7" t="str">
        <x:v>Was this person reviewed? If rejected, give the actual rule and evidence. If acceptable, correct the omission. Confirm the Life-qualification gate and any record change since selection.</x:v>
      </x:c>
      <x:c r="J484" s="7" t="str">
        <x:v>L1</x:v>
      </x:c>
      <x:c r="K484" s="7" t="str">
        <x:v>Verified qualifications do not include active general Life. Current target-pool mismatch; actual historical omission reason unknown.</x:v>
      </x:c>
      <x:c r="L484" s="7" t="str">
        <x:v>Not supplied; membership is known, motive is not</x:v>
      </x:c>
      <x:c r="M484" s="7" t="n">
        <x:v>7</x:v>
      </x:c>
      <x:c r="N484" s="7" t="str">
        <x:v>Outside current general-Life recruiting pool</x:v>
      </x:c>
      <x:c r="O484" s="7" t="str">
        <x:v>Not displayed</x:v>
      </x:c>
      <x:c r="P484" s="7" t="str"/>
      <x:c r="Q484" s="7" t="str"/>
      <x:c r="R484" s="7" t="str"/>
      <x:c r="S484" s="15" t="str"/>
      <x:c r="T484" s="7" t="str">
        <x:v>No public business phone in collected record</x:v>
      </x:c>
      <x:c r="U484" s="7" t="str"/>
      <x:c r="V484" s="7" t="str">
        <x:v>Resident</x:v>
      </x:c>
      <x:c r="W484" s="7" t="str">
        <x:v>CA</x:v>
      </x:c>
      <x:c r="X484" s="7" t="str"/>
      <x:c r="Y484" s="7" t="str"/>
      <x:c r="Z484" s="7" t="str"/>
      <x:c r="AA484" s="7" t="str"/>
      <x:c r="AB484" s="7" t="str"/>
      <x:c r="AC484" s="7" t="str"/>
      <x:c r="AD484" s="7" t="str">
        <x:v>No agency or insurer displayed: onboarding opportunity possible; existing business unknown</x:v>
      </x:c>
      <x:c r="AE484" s="7" t="str">
        <x:v>No public business phone: contact enrichment needed, not proof of poor recruiting fit</x:v>
      </x:c>
      <x:c r="AF484" s="16" t="str"/>
      <x:c r="AG484" s="17" t="str"/>
      <x:c r="AH484" s="7" t="str"/>
      <x:c r="AI484" s="7" t="str"/>
      <x:c r="AJ484" s="7" t="str"/>
      <x:c r="AK484" s="15" t="str"/>
      <x:c r="AL484" s="7" t="str"/>
      <x:c r="AM484" s="7" t="str">
        <x:v>AGUILAR  GUILLERMO</x:v>
      </x:c>
      <x:c r="AN484" s="7" t="str">
        <x:v>https://cdicloud.insurance.ca.gov/cal/LicenseDetail?SearchType=IND&amp;SearchLicNbr=0H08556&amp;SearchIndvId=1343073</x:v>
      </x:c>
      <x:c r="AO484" s="7" t="str">
        <x:v>2026-10-08</x:v>
      </x:c>
      <x:c r="AP484" s="7" t="str">
        <x:v>6a3185389e51df59af78fe648588e2205751a21819295b0b96b4f3cb15613d1c</x:v>
      </x:c>
      <x:c r="AQ484" s="7" t="str">
        <x:v>Life-Only / Inactive / 07/22/2010 / 07/31/2012 / 07/31/2012</x:v>
      </x:c>
      <x:c r="AR484" s="7" t="str">
        <x:v>Inactive</x:v>
      </x:c>
      <x:c r="AS484" s="7" t="str">
        <x:v>Current detail page</x:v>
      </x:c>
    </x:row>
    <x:row r="485" ht="52" customHeight="1">
      <x:c r="A485" s="7" t="str">
        <x:v>AGUILAR GUILLERMO AGUILAR</x:v>
      </x:c>
      <x:c r="B485" s="14" t="str">
        <x:f>"4389470"</x:f>
        <x:v>4389470</x:v>
      </x:c>
      <x:c r="C485" s="7" t="str">
        <x:v>Omitted</x:v>
      </x:c>
      <x:c r="D485" s="7" t="str">
        <x:v>FAIL</x:v>
      </x:c>
      <x:c r="E485" s="13" t="str">
        <x:v>Pending</x:v>
      </x:c>
      <x:c r="F485" s="13" t="str"/>
      <x:c r="G485" s="13" t="str"/>
      <x:c r="H485" s="13" t="str"/>
      <x:c r="I485" s="7" t="str">
        <x:v>Was this person reviewed? If rejected, give the actual rule and evidence. If acceptable, correct the omission. Confirm the Life-qualification gate and any record change since selection.</x:v>
      </x:c>
      <x:c r="J485" s="7" t="str">
        <x:v>L1</x:v>
      </x:c>
      <x:c r="K485" s="7" t="str">
        <x:v>Verified qualifications do not include active general Life. Current target-pool mismatch; actual historical omission reason unknown.</x:v>
      </x:c>
      <x:c r="L485" s="7" t="str">
        <x:v>Not supplied; membership is known, motive is not</x:v>
      </x:c>
      <x:c r="M485" s="7" t="n">
        <x:v>7</x:v>
      </x:c>
      <x:c r="N485" s="7" t="str">
        <x:v>Outside current general-Life recruiting pool</x:v>
      </x:c>
      <x:c r="O485" s="7" t="str">
        <x:v>Inactive</x:v>
      </x:c>
      <x:c r="P485" s="7" t="str">
        <x:v>06/20/2024</x:v>
      </x:c>
      <x:c r="Q485" s="7" t="str">
        <x:v>06/30/2026</x:v>
      </x:c>
      <x:c r="R485" s="7" t="str"/>
      <x:c r="S485" s="15" t="str"/>
      <x:c r="T485" s="7" t="str">
        <x:v>No public business phone in collected record</x:v>
      </x:c>
      <x:c r="U485" s="7" t="str">
        <x:v>2615 CACTUS TRAIL LANE CHULA VISTA CA, 91915</x:v>
      </x:c>
      <x:c r="V485" s="7" t="str">
        <x:v>Resident</x:v>
      </x:c>
      <x:c r="W485" s="7" t="str">
        <x:v>CA</x:v>
      </x:c>
      <x:c r="X485" s="7" t="str"/>
      <x:c r="Y485" s="7" t="str"/>
      <x:c r="Z485" s="7" t="str"/>
      <x:c r="AA485" s="7" t="str"/>
      <x:c r="AB485" s="7" t="str"/>
      <x:c r="AC485" s="7" t="str"/>
      <x:c r="AD485" s="7" t="str">
        <x:v>No agency or insurer displayed: onboarding opportunity possible; existing business unknown</x:v>
      </x:c>
      <x:c r="AE485" s="7" t="str">
        <x:v>No public business phone: contact enrichment needed, not proof of poor recruiting fit</x:v>
      </x:c>
      <x:c r="AF485" s="16" t="str"/>
      <x:c r="AG485" s="17" t="str"/>
      <x:c r="AH485" s="7" t="str"/>
      <x:c r="AI485" s="7" t="str">
        <x:v>English</x:v>
      </x:c>
      <x:c r="AJ485" s="7" t="str"/>
      <x:c r="AK485" s="15" t="str"/>
      <x:c r="AL485" s="7" t="str"/>
      <x:c r="AM485" s="7" t="str">
        <x:v>AGUILAR AGUILAR GUILLERMO</x:v>
      </x:c>
      <x:c r="AN485" s="7" t="str">
        <x:v>https://cdicloud.insurance.ca.gov/cal/LicenseDetail?SearchType=IND&amp;SearchLicNbr=4389470&amp;SearchIndvId=4389470</x:v>
      </x:c>
      <x:c r="AO485" s="7" t="str">
        <x:v>2026-10-08</x:v>
      </x:c>
      <x:c r="AP485" s="7" t="str">
        <x:v>dd621d713dbd8ad179e4474b276ee3a2e13299123ec5ed489b610327916b0b1e</x:v>
      </x:c>
      <x:c r="AQ485" s="7" t="str">
        <x:v>Life / Inactive / 06/20/2024 / 06/30/2026 / 06/30/2026</x:v>
      </x:c>
      <x:c r="AR485" s="7" t="str">
        <x:v>Inactive</x:v>
      </x:c>
      <x:c r="AS485" s="7" t="str">
        <x:v>Current detail page</x:v>
      </x:c>
    </x:row>
    <x:row r="486" ht="52" customHeight="1">
      <x:c r="A486" s="7" t="str">
        <x:v>AGUILAR GUSTAVO ADOLFO</x:v>
      </x:c>
      <x:c r="B486" s="14" t="str">
        <x:f>"0F74090"</x:f>
        <x:v>0F74090</x:v>
      </x:c>
      <x:c r="C486" s="7" t="str">
        <x:v>Omitted</x:v>
      </x:c>
      <x:c r="D486" s="7" t="str">
        <x:v>FAIL</x:v>
      </x:c>
      <x:c r="E486" s="13" t="str">
        <x:v>Pending</x:v>
      </x:c>
      <x:c r="F486" s="13" t="str"/>
      <x:c r="G486" s="13" t="str"/>
      <x:c r="H486" s="13" t="str"/>
      <x:c r="I486" s="7" t="str">
        <x:v>Was this person reviewed? If rejected, give the actual rule and evidence. If acceptable, correct the omission. Confirm the Life-qualification gate and any record change since selection.</x:v>
      </x:c>
      <x:c r="J486" s="7" t="str">
        <x:v>L1</x:v>
      </x:c>
      <x:c r="K486" s="7" t="str">
        <x:v>Verified qualifications do not include active general Life. Current target-pool mismatch; actual historical omission reason unknown.</x:v>
      </x:c>
      <x:c r="L486" s="7" t="str">
        <x:v>Not supplied; membership is known, motive is not</x:v>
      </x:c>
      <x:c r="M486" s="7" t="n">
        <x:v>7</x:v>
      </x:c>
      <x:c r="N486" s="7" t="str">
        <x:v>Outside current general-Life recruiting pool</x:v>
      </x:c>
      <x:c r="O486" s="7" t="str">
        <x:v>Not displayed</x:v>
      </x:c>
      <x:c r="P486" s="7" t="str"/>
      <x:c r="Q486" s="7" t="str"/>
      <x:c r="R486" s="7" t="str"/>
      <x:c r="S486" s="15" t="str"/>
      <x:c r="T486" s="7" t="str">
        <x:v>No public business phone in collected record</x:v>
      </x:c>
      <x:c r="U486" s="7" t="str"/>
      <x:c r="V486" s="7" t="str">
        <x:v>Resident</x:v>
      </x:c>
      <x:c r="W486" s="7" t="str">
        <x:v>CA</x:v>
      </x:c>
      <x:c r="X486" s="7" t="str"/>
      <x:c r="Y486" s="7" t="str"/>
      <x:c r="Z486" s="7" t="str"/>
      <x:c r="AA486" s="7" t="str"/>
      <x:c r="AB486" s="7" t="str"/>
      <x:c r="AC486" s="7" t="str"/>
      <x:c r="AD486" s="7" t="str">
        <x:v>No agency or insurer displayed: onboarding opportunity possible; existing business unknown</x:v>
      </x:c>
      <x:c r="AE486" s="7" t="str">
        <x:v>No public business phone: contact enrichment needed, not proof of poor recruiting fit</x:v>
      </x:c>
      <x:c r="AF486" s="16" t="str"/>
      <x:c r="AG486" s="17" t="str"/>
      <x:c r="AH486" s="7" t="str"/>
      <x:c r="AI486" s="7" t="str"/>
      <x:c r="AJ486" s="7" t="str"/>
      <x:c r="AK486" s="15" t="str"/>
      <x:c r="AL486" s="7" t="str"/>
      <x:c r="AM486" s="7" t="str">
        <x:v>AGUILAR ADOLFO GUSTAVO</x:v>
      </x:c>
      <x:c r="AN486" s="7" t="str">
        <x:v>https://cdicloud.insurance.ca.gov/cal/LicenseDetail?SearchType=IND&amp;SearchLicNbr=0F74090&amp;SearchIndvId=1095410</x:v>
      </x:c>
      <x:c r="AO486" s="7" t="str">
        <x:v>2026-10-08</x:v>
      </x:c>
      <x:c r="AP486" s="7" t="str">
        <x:v>bc89f3fb6f5450de33a95c06417abf5ed9eba0a3d5115d8210df01c342ccd35b</x:v>
      </x:c>
      <x:c r="AQ486" s="7" t="str">
        <x:v>Accident and Health / Inactive / 08/07/2007 / 08/31/2009 / 08/31/2009
Life-Only / Inactive / 08/07/2007 / 08/31/2009 / 08/31/2009</x:v>
      </x:c>
      <x:c r="AR486" s="7" t="str">
        <x:v>Inactive</x:v>
      </x:c>
      <x:c r="AS486" s="7" t="str">
        <x:v>Current detail page</x:v>
      </x:c>
    </x:row>
    <x:row r="487" ht="52" customHeight="1">
      <x:c r="A487" s="7" t="str">
        <x:v>AGUILAR GUSTAVO ISRAEL</x:v>
      </x:c>
      <x:c r="B487" s="14" t="str">
        <x:f>"0L06445"</x:f>
        <x:v>0L06445</x:v>
      </x:c>
      <x:c r="C487" s="7" t="str">
        <x:v>Omitted</x:v>
      </x:c>
      <x:c r="D487" s="7" t="str">
        <x:v>FAIL</x:v>
      </x:c>
      <x:c r="E487" s="13" t="str">
        <x:v>Pending</x:v>
      </x:c>
      <x:c r="F487" s="13" t="str"/>
      <x:c r="G487" s="13" t="str"/>
      <x:c r="H487" s="13" t="str"/>
      <x:c r="I487" s="7" t="str">
        <x:v>Was this person reviewed? If rejected, give the actual rule and evidence. If acceptable, correct the omission. Confirm the Life-qualification gate and any record change since selection.</x:v>
      </x:c>
      <x:c r="J487" s="7" t="str">
        <x:v>L1</x:v>
      </x:c>
      <x:c r="K487" s="7" t="str">
        <x:v>Verified qualifications do not include active general Life. Current target-pool mismatch; actual historical omission reason unknown.</x:v>
      </x:c>
      <x:c r="L487" s="7" t="str">
        <x:v>Not supplied; membership is known, motive is not</x:v>
      </x:c>
      <x:c r="M487" s="7" t="n">
        <x:v>7</x:v>
      </x:c>
      <x:c r="N487" s="7" t="str">
        <x:v>Outside current general-Life recruiting pool</x:v>
      </x:c>
      <x:c r="O487" s="7" t="str">
        <x:v>Not displayed</x:v>
      </x:c>
      <x:c r="P487" s="7" t="str"/>
      <x:c r="Q487" s="7" t="str"/>
      <x:c r="R487" s="7" t="str"/>
      <x:c r="S487" s="15" t="str"/>
      <x:c r="T487" s="7" t="str">
        <x:v>No public business phone in collected record</x:v>
      </x:c>
      <x:c r="U487" s="7" t="str"/>
      <x:c r="V487" s="7" t="str">
        <x:v>Resident</x:v>
      </x:c>
      <x:c r="W487" s="7" t="str">
        <x:v>CA</x:v>
      </x:c>
      <x:c r="X487" s="7" t="str"/>
      <x:c r="Y487" s="7" t="str"/>
      <x:c r="Z487" s="7" t="str"/>
      <x:c r="AA487" s="7" t="str"/>
      <x:c r="AB487" s="7" t="str"/>
      <x:c r="AC487" s="7" t="str"/>
      <x:c r="AD487" s="7" t="str">
        <x:v>No agency or insurer displayed: onboarding opportunity possible; existing business unknown</x:v>
      </x:c>
      <x:c r="AE487" s="7" t="str">
        <x:v>No public business phone: contact enrichment needed, not proof of poor recruiting fit</x:v>
      </x:c>
      <x:c r="AF487" s="16" t="str"/>
      <x:c r="AG487" s="17" t="str"/>
      <x:c r="AH487" s="7" t="str"/>
      <x:c r="AI487" s="7" t="str"/>
      <x:c r="AJ487" s="7" t="str"/>
      <x:c r="AK487" s="15" t="str"/>
      <x:c r="AL487" s="7" t="str"/>
      <x:c r="AM487" s="7" t="str">
        <x:v>AGUILAR I GUSTAVO | AGUILAR ISRAEL GUSTAVO</x:v>
      </x:c>
      <x:c r="AN487" s="7" t="str">
        <x:v>https://cdicloud.insurance.ca.gov/cal/LicenseDetail?SearchType=IND&amp;SearchLicNbr=0L06445&amp;SearchIndvId=1859504</x:v>
      </x:c>
      <x:c r="AO487" s="7" t="str">
        <x:v>2026-10-08</x:v>
      </x:c>
      <x:c r="AP487" s="7" t="str">
        <x:v>6b1b271e2bc8e99f03c7d1b7b4950879dbd98338158655d7b96be1ef9785a435</x:v>
      </x:c>
      <x:c r="AQ487" s="7" t="str">
        <x:v>Accident and Health / Inactive / 08/17/2016 / 08/31/2018 / 08/31/2018
Life-Only / Inactive / 08/17/2016 / 08/31/2018 / 08/31/2018</x:v>
      </x:c>
      <x:c r="AR487" s="7" t="str">
        <x:v>Inactive</x:v>
      </x:c>
      <x:c r="AS487" s="7" t="str">
        <x:v>Current detail page</x:v>
      </x:c>
    </x:row>
    <x:row r="488" ht="52" customHeight="1">
      <x:c r="A488" s="7" t="str">
        <x:v>AGUILAR HAILEY</x:v>
      </x:c>
      <x:c r="B488" s="14" t="str">
        <x:f>"4094672"</x:f>
        <x:v>4094672</x:v>
      </x:c>
      <x:c r="C488" s="7" t="str">
        <x:v>Omitted</x:v>
      </x:c>
      <x:c r="D488" s="7" t="str">
        <x:v>FAIL</x:v>
      </x:c>
      <x:c r="E488" s="13" t="str">
        <x:v>Pending</x:v>
      </x:c>
      <x:c r="F488" s="13" t="str"/>
      <x:c r="G488" s="13" t="str"/>
      <x:c r="H488" s="13" t="str"/>
      <x:c r="I488" s="7" t="str">
        <x:v>Was this person reviewed? If rejected, give the actual rule and evidence. If acceptable, correct the omission. Confirm the Life-qualification gate and any record change since selection.</x:v>
      </x:c>
      <x:c r="J488" s="7" t="str">
        <x:v>L1</x:v>
      </x:c>
      <x:c r="K488" s="7" t="str">
        <x:v>Verified qualifications do not include active general Life. Current target-pool mismatch; actual historical omission reason unknown.</x:v>
      </x:c>
      <x:c r="L488" s="7" t="str">
        <x:v>Not supplied; membership is known, motive is not</x:v>
      </x:c>
      <x:c r="M488" s="7" t="n">
        <x:v>7</x:v>
      </x:c>
      <x:c r="N488" s="7" t="str">
        <x:v>Outside current general-Life recruiting pool</x:v>
      </x:c>
      <x:c r="O488" s="7" t="str">
        <x:v>Not displayed</x:v>
      </x:c>
      <x:c r="P488" s="7" t="str"/>
      <x:c r="Q488" s="7" t="str"/>
      <x:c r="R488" s="7" t="str">
        <x:v>Personal Lines</x:v>
      </x:c>
      <x:c r="S488" s="15" t="str"/>
      <x:c r="T488" s="7" t="str">
        <x:v>No public business phone in collected record</x:v>
      </x:c>
      <x:c r="U488" s="7" t="str">
        <x:v>11214 RENNER BLVD LENEXA KS, 66219</x:v>
      </x:c>
      <x:c r="V488" s="7" t="str">
        <x:v>Non-resident</x:v>
      </x:c>
      <x:c r="W488" s="7" t="str">
        <x:v>KS</x:v>
      </x:c>
      <x:c r="X488" s="7" t="str"/>
      <x:c r="Y488" s="7" t="str"/>
      <x:c r="Z488" s="7" t="str"/>
      <x:c r="AA488" s="7" t="str"/>
      <x:c r="AB488" s="7" t="str"/>
      <x:c r="AC488" s="7" t="str"/>
      <x:c r="AD488" s="7" t="str">
        <x:v>No agency or insurer displayed: onboarding opportunity possible; existing business unknown</x:v>
      </x:c>
      <x:c r="AE488"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488" s="16" t="str"/>
      <x:c r="AG488" s="17" t="str"/>
      <x:c r="AH488" s="7" t="str"/>
      <x:c r="AI488" s="7" t="str"/>
      <x:c r="AJ488" s="7" t="str"/>
      <x:c r="AK488" s="15" t="str"/>
      <x:c r="AL488" s="7" t="str"/>
      <x:c r="AM488" s="7" t="str">
        <x:v>AGUILAR  HAILEY</x:v>
      </x:c>
      <x:c r="AN488" s="7" t="str">
        <x:v>https://cdicloud.insurance.ca.gov/cal/LicenseDetail?SearchType=IND&amp;SearchLicNbr=4094672&amp;SearchIndvId=4094672</x:v>
      </x:c>
      <x:c r="AO488" s="7" t="str">
        <x:v>2026-10-08</x:v>
      </x:c>
      <x:c r="AP488" s="7" t="str">
        <x:v>caa52efc83650d3c3b5cdc53ac9d64473a40f4efd058e3a5e8c157b391ca53fc</x:v>
      </x:c>
      <x:c r="AQ488" s="7" t="str">
        <x:v>Personal Lines / Active / 12/18/2020 / 12/18/2020 / 12/31/2026</x:v>
      </x:c>
      <x:c r="AR488" s="7" t="str">
        <x:v>Active</x:v>
      </x:c>
      <x:c r="AS488" s="7" t="str">
        <x:v>Current detail page</x:v>
      </x:c>
    </x:row>
    <x:row r="489" ht="52" customHeight="1">
      <x:c r="A489" s="7" t="str">
        <x:v>AGUILAR HALEY</x:v>
      </x:c>
      <x:c r="B489" s="14" t="str">
        <x:f>"4526290"</x:f>
        <x:v>4526290</x:v>
      </x:c>
      <x:c r="C489" s="7" t="str">
        <x:v>Omitted</x:v>
      </x:c>
      <x:c r="D489" s="7" t="str">
        <x:v>FAIL</x:v>
      </x:c>
      <x:c r="E489" s="13" t="str">
        <x:v>Pending</x:v>
      </x:c>
      <x:c r="F489" s="13" t="str"/>
      <x:c r="G489" s="13" t="str"/>
      <x:c r="H489" s="13" t="str"/>
      <x:c r="I489" s="7" t="str">
        <x:v>Was this person reviewed? If rejected, give the actual rule and evidence. If acceptable, correct the omission. Confirm the Life-qualification gate and any record change since selection.</x:v>
      </x:c>
      <x:c r="J489" s="7" t="str">
        <x:v>L1</x:v>
      </x:c>
      <x:c r="K489" s="7" t="str">
        <x:v>Verified qualifications do not include active general Life. Current target-pool mismatch; actual historical omission reason unknown.</x:v>
      </x:c>
      <x:c r="L489" s="7" t="str">
        <x:v>Not supplied; membership is known, motive is not</x:v>
      </x:c>
      <x:c r="M489" s="7" t="n">
        <x:v>7</x:v>
      </x:c>
      <x:c r="N489" s="7" t="str">
        <x:v>Outside current general-Life recruiting pool</x:v>
      </x:c>
      <x:c r="O489" s="7" t="str">
        <x:v>Not displayed</x:v>
      </x:c>
      <x:c r="P489" s="7" t="str"/>
      <x:c r="Q489" s="7" t="str"/>
      <x:c r="R489" s="7" t="str">
        <x:v>Casualty; Property</x:v>
      </x:c>
      <x:c r="S489" s="15" t="str"/>
      <x:c r="T489" s="7" t="str">
        <x:v>No public business phone in collected record</x:v>
      </x:c>
      <x:c r="U489" s="7" t="str">
        <x:v>4285 COMMERCIAL STREET SUITE 110 SALEM OR, 97302</x:v>
      </x:c>
      <x:c r="V489" s="7" t="str">
        <x:v>Non-resident</x:v>
      </x:c>
      <x:c r="W489" s="7" t="str">
        <x:v>OR</x:v>
      </x:c>
      <x:c r="X489" s="7" t="str">
        <x:v>RISK PLACEMENT SERVICES, INC. / Property / 02/25/2026
RISK PLACEMENT SERVICES, INC. / Casualty / 02/25/2026</x:v>
      </x:c>
      <x:c r="Y489" s="7" t="str"/>
      <x:c r="Z489" s="7" t="str"/>
      <x:c r="AA489" s="7" t="str"/>
      <x:c r="AB489" s="7" t="str"/>
      <x:c r="AC489" s="7" t="str"/>
      <x:c r="AD489" s="7" t="str"/>
      <x:c r="AE489"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489" s="16" t="str"/>
      <x:c r="AG489" s="17" t="str"/>
      <x:c r="AH489" s="7" t="str"/>
      <x:c r="AI489" s="7" t="str"/>
      <x:c r="AJ489" s="7" t="str"/>
      <x:c r="AK489" s="15" t="str"/>
      <x:c r="AL489" s="7" t="str"/>
      <x:c r="AM489" s="7" t="str">
        <x:v>AGUILAR  HALEY</x:v>
      </x:c>
      <x:c r="AN489" s="7" t="str">
        <x:v>https://cdicloud.insurance.ca.gov/cal/LicenseDetail?SearchType=IND&amp;SearchLicNbr=4526290&amp;SearchIndvId=4526290</x:v>
      </x:c>
      <x:c r="AO489" s="7" t="str">
        <x:v>2026-10-08</x:v>
      </x:c>
      <x:c r="AP489" s="7" t="str">
        <x:v>e518223b94b2903db7f0b8c25d8b0c409c9280d3dfa4d20a29e82f600a0b2dcf</x:v>
      </x:c>
      <x:c r="AQ489" s="7" t="str">
        <x:v>Casualty / Active / 02/04/2026 / 02/04/2026 / 02/29/2028
Property / Active / 02/04/2026 / 02/04/2026 / 02/29/2028</x:v>
      </x:c>
      <x:c r="AR489" s="7" t="str">
        <x:v>Active</x:v>
      </x:c>
      <x:c r="AS489" s="7" t="str">
        <x:v>Current detail page</x:v>
      </x:c>
    </x:row>
    <x:row r="490" ht="52" customHeight="1">
      <x:c r="A490" s="7" t="str">
        <x:v>AGUILAR HEATHER ELIZABETH</x:v>
      </x:c>
      <x:c r="B490" s="14" t="str">
        <x:f>"0E09135"</x:f>
        <x:v>0E09135</x:v>
      </x:c>
      <x:c r="C490" s="7" t="str">
        <x:v>Omitted</x:v>
      </x:c>
      <x:c r="D490" s="7" t="str">
        <x:v>FAIL</x:v>
      </x:c>
      <x:c r="E490" s="13" t="str">
        <x:v>Pending</x:v>
      </x:c>
      <x:c r="F490" s="13" t="str"/>
      <x:c r="G490" s="13" t="str"/>
      <x:c r="H490" s="13" t="str"/>
      <x:c r="I490" s="7" t="str">
        <x:v>Was this person reviewed? If rejected, give the actual rule and evidence. If acceptable, correct the omission. Confirm the Life-qualification gate and any record change since selection.</x:v>
      </x:c>
      <x:c r="J490" s="7" t="str">
        <x:v>L1</x:v>
      </x:c>
      <x:c r="K490" s="7" t="str">
        <x:v>Verified qualifications do not include active general Life. Current target-pool mismatch; actual historical omission reason unknown.</x:v>
      </x:c>
      <x:c r="L490" s="7" t="str">
        <x:v>Not supplied; membership is known, motive is not</x:v>
      </x:c>
      <x:c r="M490" s="7" t="n">
        <x:v>7</x:v>
      </x:c>
      <x:c r="N490" s="7" t="str">
        <x:v>Outside current general-Life recruiting pool</x:v>
      </x:c>
      <x:c r="O490" s="7" t="str">
        <x:v>Not displayed</x:v>
      </x:c>
      <x:c r="P490" s="7" t="str"/>
      <x:c r="Q490" s="7" t="str"/>
      <x:c r="R490" s="7" t="str"/>
      <x:c r="S490" s="15" t="str"/>
      <x:c r="T490" s="7" t="str">
        <x:v>No public business phone in collected record</x:v>
      </x:c>
      <x:c r="U490" s="7" t="str"/>
      <x:c r="V490" s="7" t="str">
        <x:v>Resident</x:v>
      </x:c>
      <x:c r="W490" s="7" t="str">
        <x:v>CA</x:v>
      </x:c>
      <x:c r="X490" s="7" t="str"/>
      <x:c r="Y490" s="7" t="str"/>
      <x:c r="Z490" s="7" t="str"/>
      <x:c r="AA490" s="7" t="str"/>
      <x:c r="AB490" s="7" t="str"/>
      <x:c r="AC490" s="7" t="str"/>
      <x:c r="AD490" s="7" t="str">
        <x:v>No agency or insurer displayed: onboarding opportunity possible; existing business unknown</x:v>
      </x:c>
      <x:c r="AE490" s="7" t="str">
        <x:v>No public business phone: contact enrichment needed, not proof of poor recruiting fit</x:v>
      </x:c>
      <x:c r="AF490" s="16" t="str"/>
      <x:c r="AG490" s="17" t="str"/>
      <x:c r="AH490" s="7" t="str"/>
      <x:c r="AI490" s="7" t="str"/>
      <x:c r="AJ490" s="7" t="str"/>
      <x:c r="AK490" s="15" t="str"/>
      <x:c r="AL490" s="7" t="str"/>
      <x:c r="AM490" s="7" t="str">
        <x:v>AGUILAR ELIZABETH HEATHER</x:v>
      </x:c>
      <x:c r="AN490" s="7" t="str">
        <x:v>https://cdicloud.insurance.ca.gov/cal/LicenseDetail?SearchType=IND&amp;SearchLicNbr=0E09135&amp;SearchIndvId=858508</x:v>
      </x:c>
      <x:c r="AO490" s="7" t="str">
        <x:v>2026-10-08</x:v>
      </x:c>
      <x:c r="AP490" s="7" t="str">
        <x:v>20a3134cd5dd73d757112442bb3b19e12d81e6bac5aa3be5e0f17c80c452e417</x:v>
      </x:c>
      <x:c r="AQ490" s="7" t="str">
        <x:v>Life Limited-Funeral &amp; Burial / Inactive / 08/16/2003 / 08/31/2005 / 08/31/2005</x:v>
      </x:c>
      <x:c r="AR490" s="7" t="str">
        <x:v>Inactive</x:v>
      </x:c>
      <x:c r="AS490" s="7" t="str">
        <x:v>Current detail page</x:v>
      </x:c>
    </x:row>
    <x:row r="491" ht="52" customHeight="1">
      <x:c r="A491" s="7" t="str">
        <x:v>AGUILAR HECTOR</x:v>
      </x:c>
      <x:c r="B491" s="14" t="str">
        <x:f>"0F51663"</x:f>
        <x:v>0F51663</x:v>
      </x:c>
      <x:c r="C491" s="7" t="str">
        <x:v>Omitted</x:v>
      </x:c>
      <x:c r="D491" s="7" t="str">
        <x:v>FAIL</x:v>
      </x:c>
      <x:c r="E491" s="13" t="str">
        <x:v>Pending</x:v>
      </x:c>
      <x:c r="F491" s="13" t="str"/>
      <x:c r="G491" s="13" t="str"/>
      <x:c r="H491" s="13" t="str"/>
      <x:c r="I491" s="7" t="str">
        <x:v>Was this person reviewed? If rejected, give the actual rule and evidence. If acceptable, correct the omission. Confirm the Life-qualification gate and any record change since selection.</x:v>
      </x:c>
      <x:c r="J491" s="7" t="str">
        <x:v>L1</x:v>
      </x:c>
      <x:c r="K491" s="7" t="str">
        <x:v>Verified qualifications do not include active general Life. Current target-pool mismatch; actual historical omission reason unknown.</x:v>
      </x:c>
      <x:c r="L491" s="7" t="str">
        <x:v>Not supplied; membership is known, motive is not</x:v>
      </x:c>
      <x:c r="M491" s="7" t="n">
        <x:v>7</x:v>
      </x:c>
      <x:c r="N491" s="7" t="str">
        <x:v>Outside current general-Life recruiting pool</x:v>
      </x:c>
      <x:c r="O491" s="7" t="str">
        <x:v>Not displayed</x:v>
      </x:c>
      <x:c r="P491" s="7" t="str"/>
      <x:c r="Q491" s="7" t="str"/>
      <x:c r="R491" s="7" t="str"/>
      <x:c r="S491" s="15" t="str"/>
      <x:c r="T491" s="7" t="str">
        <x:v>No public business phone in collected record</x:v>
      </x:c>
      <x:c r="U491" s="7" t="str">
        <x:v>4101 RICH BEEM APT 426 EL PASO TX, 79938-2240</x:v>
      </x:c>
      <x:c r="V491" s="7" t="str">
        <x:v>Non-resident</x:v>
      </x:c>
      <x:c r="W491" s="7" t="str">
        <x:v>TX</x:v>
      </x:c>
      <x:c r="X491" s="7" t="str"/>
      <x:c r="Y491" s="7" t="str"/>
      <x:c r="Z491" s="7" t="str"/>
      <x:c r="AA491" s="7" t="str"/>
      <x:c r="AB491" s="7" t="str"/>
      <x:c r="AC491" s="7" t="str"/>
      <x:c r="AD491" s="7" t="str">
        <x:v>No agency or insurer displayed: onboarding opportunity possible; existing business unknown</x:v>
      </x:c>
      <x:c r="AE491" s="7" t="str">
        <x:v>Nonresident or address state outside CA; confirm geographic recruiting scope | No public business phone: contact enrichment needed, not proof of poor recruiting fit</x:v>
      </x:c>
      <x:c r="AF491" s="16" t="str"/>
      <x:c r="AG491" s="17" t="str"/>
      <x:c r="AH491" s="7" t="str"/>
      <x:c r="AI491" s="7" t="str"/>
      <x:c r="AJ491" s="7" t="str"/>
      <x:c r="AK491" s="15" t="str"/>
      <x:c r="AL491" s="7" t="str"/>
      <x:c r="AM491" s="7" t="str">
        <x:v>AGUILAR  HECTOR</x:v>
      </x:c>
      <x:c r="AN491" s="7" t="str">
        <x:v>https://cdicloud.insurance.ca.gov/cal/LicenseDetail?SearchType=IND&amp;SearchLicNbr=0F51663&amp;SearchIndvId=1065498</x:v>
      </x:c>
      <x:c r="AO491" s="7" t="str">
        <x:v>2026-10-08</x:v>
      </x:c>
      <x:c r="AP491" s="7" t="str">
        <x:v>d4963197b60fb31575ed3d04b3007456cf85139dc0d471399cda91cf6b045841</x:v>
      </x:c>
      <x:c r="AQ491" s="7" t="str">
        <x:v>Casualty / Inactive / 01/24/2007 / 03/31/2024 / 03/31/2024
Property / Inactive / 01/24/2007 / 03/31/2024 / 03/31/2024</x:v>
      </x:c>
      <x:c r="AR491" s="7" t="str">
        <x:v>Inactive</x:v>
      </x:c>
      <x:c r="AS491" s="7" t="str">
        <x:v>Current detail page</x:v>
      </x:c>
    </x:row>
    <x:row r="492" ht="52" customHeight="1">
      <x:c r="A492" s="7" t="str">
        <x:v>AGUILAR HENRY</x:v>
      </x:c>
      <x:c r="B492" s="14" t="str">
        <x:f>"0000663"</x:f>
        <x:v>0000663</x:v>
      </x:c>
      <x:c r="C492" s="7" t="str">
        <x:v>Omitted</x:v>
      </x:c>
      <x:c r="D492" s="7" t="str">
        <x:v>FAIL</x:v>
      </x:c>
      <x:c r="E492" s="13" t="str">
        <x:v>Pending</x:v>
      </x:c>
      <x:c r="F492" s="13" t="str"/>
      <x:c r="G492" s="13" t="str"/>
      <x:c r="H492" s="13" t="str"/>
      <x:c r="I492" s="7" t="str">
        <x:v>Was this person reviewed? If rejected, give the actual rule and evidence. If acceptable, correct the omission. Confirm the Life-qualification gate and any record change since selection.</x:v>
      </x:c>
      <x:c r="J492" s="7" t="str">
        <x:v>L1</x:v>
      </x:c>
      <x:c r="K492" s="7" t="str">
        <x:v>Verified qualifications do not include active general Life. Current target-pool mismatch; actual historical omission reason unknown.</x:v>
      </x:c>
      <x:c r="L492" s="7" t="str">
        <x:v>Not supplied; membership is known, motive is not</x:v>
      </x:c>
      <x:c r="M492" s="7" t="n">
        <x:v>7</x:v>
      </x:c>
      <x:c r="N492" s="7" t="str">
        <x:v>Outside current general-Life recruiting pool</x:v>
      </x:c>
      <x:c r="O492" s="7" t="str">
        <x:v>Not displayed</x:v>
      </x:c>
      <x:c r="P492" s="7" t="str"/>
      <x:c r="Q492" s="7" t="str"/>
      <x:c r="R492" s="7" t="str"/>
      <x:c r="S492" s="15" t="str"/>
      <x:c r="T492" s="7" t="str">
        <x:v>No public business phone in collected record</x:v>
      </x:c>
      <x:c r="U492" s="7" t="str"/>
      <x:c r="V492" s="7" t="str">
        <x:v>Resident</x:v>
      </x:c>
      <x:c r="W492" s="7" t="str">
        <x:v>CA</x:v>
      </x:c>
      <x:c r="X492" s="7" t="str"/>
      <x:c r="Y492" s="7" t="str"/>
      <x:c r="Z492" s="7" t="str"/>
      <x:c r="AA492" s="7" t="str"/>
      <x:c r="AB492" s="7" t="str"/>
      <x:c r="AC492" s="7" t="str"/>
      <x:c r="AD492" s="7" t="str">
        <x:v>No agency or insurer displayed: onboarding opportunity possible; existing business unknown</x:v>
      </x:c>
      <x:c r="AE492" s="7" t="str">
        <x:v>No public business phone: contact enrichment needed, not proof of poor recruiting fit</x:v>
      </x:c>
      <x:c r="AF492" s="16" t="str"/>
      <x:c r="AG492" s="17" t="str"/>
      <x:c r="AH492" s="7" t="str"/>
      <x:c r="AI492" s="7" t="str"/>
      <x:c r="AJ492" s="7" t="str"/>
      <x:c r="AK492" s="15" t="str"/>
      <x:c r="AL492" s="7" t="str"/>
      <x:c r="AM492" s="7" t="str">
        <x:v>AGUILAR  HENRY</x:v>
      </x:c>
      <x:c r="AN492" s="7" t="str">
        <x:v>https://cdicloud.insurance.ca.gov/cal/LicenseDetail?SearchType=IND&amp;SearchLicNbr=0000663&amp;SearchIndvId=328917</x:v>
      </x:c>
      <x:c r="AO492" s="7" t="str">
        <x:v>2026-10-08</x:v>
      </x:c>
      <x:c r="AP492" s="7" t="str">
        <x:v>2845c6850e8c4b26d028bca8186cfb44844cbe52d090859a1f665ec570fdd670</x:v>
      </x:c>
      <x:c r="AQ492" s="7" t="str">
        <x:v>Accident and Health / Inactive / 01/02/1958 / 11/30/1994 / 11/30/1994
Casualty Broker-Agent / Inactive / 08/04/1953 / 11/30/1994 / 11/30/1994
Life-Only / Inactive / 01/02/1958 / 11/30/1994 / 11/30/1994
Property Broker-Agent / Inactive / 08/04/1953 / 11/30/1994 / 11/30/1994</x:v>
      </x:c>
      <x:c r="AR492" s="7" t="str">
        <x:v>Inactive</x:v>
      </x:c>
      <x:c r="AS492" s="7" t="str">
        <x:v>Current detail page</x:v>
      </x:c>
    </x:row>
    <x:row r="493" ht="52" customHeight="1">
      <x:c r="A493" s="7" t="str">
        <x:v>AGUILAR HENRY</x:v>
      </x:c>
      <x:c r="B493" s="14" t="str">
        <x:f>"0M36132"</x:f>
        <x:v>0M36132</x:v>
      </x:c>
      <x:c r="C493" s="7" t="str">
        <x:v>Omitted</x:v>
      </x:c>
      <x:c r="D493" s="7" t="str">
        <x:v>FAIL</x:v>
      </x:c>
      <x:c r="E493" s="13" t="str">
        <x:v>Pending</x:v>
      </x:c>
      <x:c r="F493" s="13" t="str"/>
      <x:c r="G493" s="13" t="str"/>
      <x:c r="H493" s="13" t="str"/>
      <x:c r="I493" s="7" t="str">
        <x:v>Was this person reviewed? If rejected, give the actual rule and evidence. If acceptable, correct the omission. Confirm the Life-qualification gate and any record change since selection.</x:v>
      </x:c>
      <x:c r="J493" s="7" t="str">
        <x:v>L1</x:v>
      </x:c>
      <x:c r="K493" s="7" t="str">
        <x:v>Verified qualifications do not include active general Life. Current target-pool mismatch; actual historical omission reason unknown.</x:v>
      </x:c>
      <x:c r="L493" s="7" t="str">
        <x:v>Not supplied; membership is known, motive is not</x:v>
      </x:c>
      <x:c r="M493" s="7" t="n">
        <x:v>7</x:v>
      </x:c>
      <x:c r="N493" s="7" t="str">
        <x:v>Outside current general-Life recruiting pool</x:v>
      </x:c>
      <x:c r="O493" s="7" t="str">
        <x:v>Inactive</x:v>
      </x:c>
      <x:c r="P493" s="7" t="str">
        <x:v>05/23/2018</x:v>
      </x:c>
      <x:c r="Q493" s="7" t="str">
        <x:v>05/31/2024</x:v>
      </x:c>
      <x:c r="R493" s="7" t="str"/>
      <x:c r="S493" s="15" t="str"/>
      <x:c r="T493" s="7" t="str">
        <x:v>No public business phone in collected record</x:v>
      </x:c>
      <x:c r="U493" s="7" t="str">
        <x:v>34 PRINDLE HILL ROAD ORANGE CT, 06477</x:v>
      </x:c>
      <x:c r="V493" s="7" t="str">
        <x:v>Non-resident</x:v>
      </x:c>
      <x:c r="W493" s="7" t="str">
        <x:v>CT</x:v>
      </x:c>
      <x:c r="X493" s="7" t="str"/>
      <x:c r="Y493" s="7" t="str"/>
      <x:c r="Z493" s="7" t="str"/>
      <x:c r="AA493" s="7" t="str"/>
      <x:c r="AB493" s="7" t="str"/>
      <x:c r="AC493" s="7" t="str"/>
      <x:c r="AD493" s="7" t="str">
        <x:v>No agency or insurer displayed: onboarding opportunity possible; existing business unknown</x:v>
      </x:c>
      <x:c r="AE493" s="7" t="str">
        <x:v>Nonresident or address state outside CA; confirm geographic recruiting scope | No public business phone: contact enrichment needed, not proof of poor recruiting fit</x:v>
      </x:c>
      <x:c r="AF493" s="16" t="str"/>
      <x:c r="AG493" s="17" t="str"/>
      <x:c r="AH493" s="7" t="str"/>
      <x:c r="AI493" s="7" t="str"/>
      <x:c r="AJ493" s="7" t="str"/>
      <x:c r="AK493" s="15" t="str"/>
      <x:c r="AL493" s="7" t="str"/>
      <x:c r="AM493" s="7" t="str">
        <x:v>AGUILAR  HENRY</x:v>
      </x:c>
      <x:c r="AN493" s="7" t="str">
        <x:v>https://cdicloud.insurance.ca.gov/cal/LicenseDetail?SearchType=IND&amp;SearchLicNbr=0M36132&amp;SearchIndvId=2005213</x:v>
      </x:c>
      <x:c r="AO493" s="7" t="str">
        <x:v>2026-10-08</x:v>
      </x:c>
      <x:c r="AP493" s="7" t="str">
        <x:v>369d7a9427a2d2d22b7e8f34b7344d27092168b2de8e41437c89ef4bbc41d0fe</x:v>
      </x:c>
      <x:c r="AQ493" s="7" t="str">
        <x:v>Accident &amp; Health or Sickness / Inactive / 05/23/2018 / 05/31/2024 / 05/31/2024
Life / Inactive / 05/23/2018 / 05/31/2024 / 05/31/2024</x:v>
      </x:c>
      <x:c r="AR493" s="7" t="str">
        <x:v>Inactive</x:v>
      </x:c>
      <x:c r="AS493" s="7" t="str">
        <x:v>Current detail page</x:v>
      </x:c>
    </x:row>
    <x:row r="494" ht="52" customHeight="1">
      <x:c r="A494" s="7" t="str">
        <x:v>AGUILAR HENRY ANTHONY</x:v>
      </x:c>
      <x:c r="B494" s="14" t="str">
        <x:f>"2124517"</x:f>
        <x:v>2124517</x:v>
      </x:c>
      <x:c r="C494" s="7" t="str">
        <x:v>Omitted</x:v>
      </x:c>
      <x:c r="D494" s="7" t="str">
        <x:v>FAIL</x:v>
      </x:c>
      <x:c r="E494" s="13" t="str">
        <x:v>Pending</x:v>
      </x:c>
      <x:c r="F494" s="13" t="str"/>
      <x:c r="G494" s="13" t="str"/>
      <x:c r="H494" s="13" t="str"/>
      <x:c r="I494" s="7" t="str">
        <x:v>Was this person reviewed? If rejected, give the actual rule and evidence. If acceptable, correct the omission. Confirm the Life-qualification gate and any record change since selection.</x:v>
      </x:c>
      <x:c r="J494" s="7" t="str">
        <x:v>L1</x:v>
      </x:c>
      <x:c r="K494" s="7" t="str">
        <x:v>Verified qualifications do not include active general Life. Current target-pool mismatch; actual historical omission reason unknown.</x:v>
      </x:c>
      <x:c r="L494" s="7" t="str">
        <x:v>Not supplied; membership is known, motive is not</x:v>
      </x:c>
      <x:c r="M494" s="7" t="n">
        <x:v>7</x:v>
      </x:c>
      <x:c r="N494" s="7" t="str">
        <x:v>Outside current general-Life recruiting pool</x:v>
      </x:c>
      <x:c r="O494" s="7" t="str">
        <x:v>Inactive</x:v>
      </x:c>
      <x:c r="P494" s="7" t="str">
        <x:v>08/17/2019</x:v>
      </x:c>
      <x:c r="Q494" s="7" t="str">
        <x:v>08/31/2021</x:v>
      </x:c>
      <x:c r="R494" s="7" t="str"/>
      <x:c r="S494" s="15" t="str"/>
      <x:c r="T494" s="7" t="str">
        <x:v>No public business phone in collected record</x:v>
      </x:c>
      <x:c r="U494" s="7" t="str"/>
      <x:c r="V494" s="7" t="str">
        <x:v>Resident</x:v>
      </x:c>
      <x:c r="W494" s="7" t="str">
        <x:v>CA</x:v>
      </x:c>
      <x:c r="X494" s="7" t="str"/>
      <x:c r="Y494" s="7" t="str"/>
      <x:c r="Z494" s="7" t="str"/>
      <x:c r="AA494" s="7" t="str"/>
      <x:c r="AB494" s="7" t="str"/>
      <x:c r="AC494" s="7" t="str"/>
      <x:c r="AD494" s="7" t="str">
        <x:v>No agency or insurer displayed: onboarding opportunity possible; existing business unknown</x:v>
      </x:c>
      <x:c r="AE494" s="7" t="str">
        <x:v>No public business phone: contact enrichment needed, not proof of poor recruiting fit</x:v>
      </x:c>
      <x:c r="AF494" s="16" t="str"/>
      <x:c r="AG494" s="17" t="str"/>
      <x:c r="AH494" s="7" t="str"/>
      <x:c r="AI494" s="7" t="str"/>
      <x:c r="AJ494" s="7" t="str"/>
      <x:c r="AK494" s="15" t="str"/>
      <x:c r="AL494" s="7" t="str"/>
      <x:c r="AM494" s="7" t="str">
        <x:v>Aguilar A Henry | AGUILAR ANTHONY HENRY</x:v>
      </x:c>
      <x:c r="AN494" s="7" t="str">
        <x:v>https://cdicloud.insurance.ca.gov/cal/LicenseDetail?SearchType=IND&amp;SearchLicNbr=2124517&amp;SearchIndvId=2124517</x:v>
      </x:c>
      <x:c r="AO494" s="7" t="str">
        <x:v>2026-10-08</x:v>
      </x:c>
      <x:c r="AP494" s="7" t="str">
        <x:v>7bc38eef41a74f32b627dd05ba6b31859b3c8e537b8ecafa21028929d2288edf</x:v>
      </x:c>
      <x:c r="AQ494" s="7" t="str">
        <x:v>Accident &amp; Health or Sickness / Inactive / 08/17/2019 / 08/31/2021 / 08/31/2021
Life / Inactive / 08/17/2019 / 08/31/2021 / 08/31/2021</x:v>
      </x:c>
      <x:c r="AR494" s="7" t="str">
        <x:v>Inactive</x:v>
      </x:c>
      <x:c r="AS494" s="7" t="str">
        <x:v>Current detail page</x:v>
      </x:c>
    </x:row>
    <x:row r="495" ht="52" customHeight="1">
      <x:c r="A495" s="7" t="str">
        <x:v>AGUILAR HENRY ANTONIO</x:v>
      </x:c>
      <x:c r="B495" s="14" t="str">
        <x:f>"4025012"</x:f>
        <x:v>4025012</x:v>
      </x:c>
      <x:c r="C495" s="7" t="str">
        <x:v>Omitted</x:v>
      </x:c>
      <x:c r="D495" s="7" t="str">
        <x:v>FAIL</x:v>
      </x:c>
      <x:c r="E495" s="13" t="str">
        <x:v>Pending</x:v>
      </x:c>
      <x:c r="F495" s="13" t="str"/>
      <x:c r="G495" s="13" t="str"/>
      <x:c r="H495" s="13" t="str"/>
      <x:c r="I495" s="7" t="str">
        <x:v>Was this person reviewed? If rejected, give the actual rule and evidence. If acceptable, correct the omission. Confirm the Life-qualification gate and any record change since selection.</x:v>
      </x:c>
      <x:c r="J495" s="7" t="str">
        <x:v>L1</x:v>
      </x:c>
      <x:c r="K495" s="7" t="str">
        <x:v>Verified qualifications do not include active general Life. Current target-pool mismatch; actual historical omission reason unknown.</x:v>
      </x:c>
      <x:c r="L495" s="7" t="str">
        <x:v>Not supplied; membership is known, motive is not</x:v>
      </x:c>
      <x:c r="M495" s="7" t="n">
        <x:v>7</x:v>
      </x:c>
      <x:c r="N495" s="7" t="str">
        <x:v>Outside current general-Life recruiting pool</x:v>
      </x:c>
      <x:c r="O495" s="7" t="str">
        <x:v>Inactive</x:v>
      </x:c>
      <x:c r="P495" s="7" t="str">
        <x:v>01/08/2020</x:v>
      </x:c>
      <x:c r="Q495" s="7" t="str">
        <x:v>01/31/2022</x:v>
      </x:c>
      <x:c r="R495" s="7" t="str"/>
      <x:c r="S495" s="15" t="str"/>
      <x:c r="T495" s="7" t="str">
        <x:v>No public business phone in collected record</x:v>
      </x:c>
      <x:c r="U495" s="7" t="str">
        <x:v>6623 CALLE EVA MIRANDA 2046 IRWINDALE CA, 91706</x:v>
      </x:c>
      <x:c r="V495" s="7" t="str">
        <x:v>Resident</x:v>
      </x:c>
      <x:c r="W495" s="7" t="str">
        <x:v>CA</x:v>
      </x:c>
      <x:c r="X495" s="7" t="str"/>
      <x:c r="Y495" s="7" t="str"/>
      <x:c r="Z495" s="7" t="str"/>
      <x:c r="AA495" s="7" t="str"/>
      <x:c r="AB495" s="7" t="str"/>
      <x:c r="AC495" s="7" t="str"/>
      <x:c r="AD495" s="7" t="str">
        <x:v>No agency or insurer displayed: onboarding opportunity possible; existing business unknown</x:v>
      </x:c>
      <x:c r="AE495" s="7" t="str">
        <x:v>No public business phone: contact enrichment needed, not proof of poor recruiting fit</x:v>
      </x:c>
      <x:c r="AF495" s="16" t="str"/>
      <x:c r="AG495" s="17" t="str"/>
      <x:c r="AH495" s="7" t="str"/>
      <x:c r="AI495" s="7" t="str"/>
      <x:c r="AJ495" s="7" t="str"/>
      <x:c r="AK495" s="15" t="str"/>
      <x:c r="AL495" s="7" t="str"/>
      <x:c r="AM495" s="7" t="str">
        <x:v>Aguilar A Henry | AGUILAR ANTONIO HENRY</x:v>
      </x:c>
      <x:c r="AN495" s="7" t="str">
        <x:v>https://cdicloud.insurance.ca.gov/cal/LicenseDetail?SearchType=IND&amp;SearchLicNbr=4025012&amp;SearchIndvId=4025012</x:v>
      </x:c>
      <x:c r="AO495" s="7" t="str">
        <x:v>2026-10-08</x:v>
      </x:c>
      <x:c r="AP495" s="7" t="str">
        <x:v>54d68794f7e892cdc694a2f1eec26c57b5f5e3eee3aae6f33e32423ac673dbd9</x:v>
      </x:c>
      <x:c r="AQ495" s="7" t="str">
        <x:v>Life / Inactive / 01/08/2020 / 01/31/2022 / 01/31/2022</x:v>
      </x:c>
      <x:c r="AR495" s="7" t="str">
        <x:v>Inactive</x:v>
      </x:c>
      <x:c r="AS495" s="7" t="str">
        <x:v>Current detail page</x:v>
      </x:c>
    </x:row>
    <x:row r="496" ht="52" customHeight="1">
      <x:c r="A496" s="7" t="str">
        <x:v>AGUILAR HENRY MURILLO</x:v>
      </x:c>
      <x:c r="B496" s="14" t="str">
        <x:f>"0G45847"</x:f>
        <x:v>0G45847</x:v>
      </x:c>
      <x:c r="C496" s="7" t="str">
        <x:v>Omitted</x:v>
      </x:c>
      <x:c r="D496" s="7" t="str">
        <x:v>FAIL</x:v>
      </x:c>
      <x:c r="E496" s="13" t="str">
        <x:v>Pending</x:v>
      </x:c>
      <x:c r="F496" s="13" t="str"/>
      <x:c r="G496" s="13" t="str"/>
      <x:c r="H496" s="13" t="str"/>
      <x:c r="I496" s="7" t="str">
        <x:v>Was this person reviewed? If rejected, give the actual rule and evidence. If acceptable, correct the omission. Confirm the Life-qualification gate and any record change since selection.</x:v>
      </x:c>
      <x:c r="J496" s="7" t="str">
        <x:v>L1</x:v>
      </x:c>
      <x:c r="K496" s="7" t="str">
        <x:v>Verified qualifications do not include active general Life. Current target-pool mismatch; actual historical omission reason unknown.</x:v>
      </x:c>
      <x:c r="L496" s="7" t="str">
        <x:v>Not supplied; membership is known, motive is not</x:v>
      </x:c>
      <x:c r="M496" s="7" t="n">
        <x:v>7</x:v>
      </x:c>
      <x:c r="N496" s="7" t="str">
        <x:v>Outside current general-Life recruiting pool</x:v>
      </x:c>
      <x:c r="O496" s="7" t="str">
        <x:v>Not displayed</x:v>
      </x:c>
      <x:c r="P496" s="7" t="str"/>
      <x:c r="Q496" s="7" t="str"/>
      <x:c r="R496" s="7" t="str">
        <x:v>Title Marketing Representative</x:v>
      </x:c>
      <x:c r="S496" s="15" t="str">
        <x:v>714-516-6700</x:v>
      </x:c>
      <x:c r="T496" s="7" t="str">
        <x:v>Current CDI</x:v>
      </x:c>
      <x:c r="U496" s="7" t="str">
        <x:v>1111 E. KATELLA AVE. # 120 ORANGE CA, 92687</x:v>
      </x:c>
      <x:c r="V496" s="7" t="str">
        <x:v>Resident</x:v>
      </x:c>
      <x:c r="W496" s="7" t="str">
        <x:v>CA</x:v>
      </x:c>
      <x:c r="X496" s="7" t="str"/>
      <x:c r="Y496" s="7" t="str">
        <x:v>PACIFIC COAST TITLE COMPANY / Title Marketing Representative / 03/09/2018</x:v>
      </x:c>
      <x:c r="Z496" s="7" t="str"/>
      <x:c r="AA496" s="7" t="str"/>
      <x:c r="AB496" s="7" t="str"/>
      <x:c r="AC496" s="7" t="str"/>
      <x:c r="AD496" s="7" t="str"/>
      <x:c r="AE496" s="7" t="str"/>
      <x:c r="AF496" s="16" t="str"/>
      <x:c r="AG496" s="17" t="str"/>
      <x:c r="AH496" s="7" t="str"/>
      <x:c r="AI496" s="7" t="str">
        <x:v>English</x:v>
      </x:c>
      <x:c r="AJ496" s="7" t="str"/>
      <x:c r="AK496" s="15" t="str"/>
      <x:c r="AL496" s="7" t="str"/>
      <x:c r="AM496" s="7" t="str">
        <x:v>AGUILAR MURILLO HENRY</x:v>
      </x:c>
      <x:c r="AN496" s="7" t="str">
        <x:v>https://cdicloud.insurance.ca.gov/cal/LicenseDetail?SearchType=IND&amp;SearchLicNbr=0G45847&amp;SearchIndvId=1223690</x:v>
      </x:c>
      <x:c r="AO496" s="7" t="str">
        <x:v>2026-10-08</x:v>
      </x:c>
      <x:c r="AP496" s="7" t="str">
        <x:v>b251ab2958936368c04f60fbc03d37708e0b744842542cd36fee5931236f49b6</x:v>
      </x:c>
      <x:c r="AQ496" s="7" t="str">
        <x:v>Title Marketing Representative / Active / 01/29/2009 / 03/09/2018 / 01/31/2027</x:v>
      </x:c>
      <x:c r="AR496" s="7" t="str">
        <x:v>Active</x:v>
      </x:c>
      <x:c r="AS496" s="7" t="str">
        <x:v>Current detail page</x:v>
      </x:c>
    </x:row>
    <x:row r="497" ht="52" customHeight="1">
      <x:c r="A497" s="7" t="str">
        <x:v>AGUILAR HENRY REINALDO</x:v>
      </x:c>
      <x:c r="B497" s="14" t="str">
        <x:f>"0I98062"</x:f>
        <x:v>0I98062</x:v>
      </x:c>
      <x:c r="C497" s="7" t="str">
        <x:v>Omitted</x:v>
      </x:c>
      <x:c r="D497" s="7" t="str">
        <x:v>FAIL</x:v>
      </x:c>
      <x:c r="E497" s="13" t="str">
        <x:v>Pending</x:v>
      </x:c>
      <x:c r="F497" s="13" t="str"/>
      <x:c r="G497" s="13" t="str"/>
      <x:c r="H497" s="13" t="str"/>
      <x:c r="I497" s="7" t="str">
        <x:v>Was this person reviewed? If rejected, give the actual rule and evidence. If acceptable, correct the omission. Confirm the Life-qualification gate and any record change since selection.</x:v>
      </x:c>
      <x:c r="J497" s="7" t="str">
        <x:v>L1</x:v>
      </x:c>
      <x:c r="K497" s="7" t="str">
        <x:v>Verified qualifications do not include active general Life. Current target-pool mismatch; actual historical omission reason unknown.</x:v>
      </x:c>
      <x:c r="L497" s="7" t="str">
        <x:v>Not supplied; membership is known, motive is not</x:v>
      </x:c>
      <x:c r="M497" s="7" t="n">
        <x:v>7</x:v>
      </x:c>
      <x:c r="N497" s="7" t="str">
        <x:v>Outside current general-Life recruiting pool</x:v>
      </x:c>
      <x:c r="O497" s="7" t="str">
        <x:v>Not displayed</x:v>
      </x:c>
      <x:c r="P497" s="7" t="str"/>
      <x:c r="Q497" s="7" t="str"/>
      <x:c r="R497" s="7" t="str"/>
      <x:c r="S497" s="15" t="str"/>
      <x:c r="T497" s="7" t="str">
        <x:v>No public business phone in collected record</x:v>
      </x:c>
      <x:c r="U497" s="7" t="str"/>
      <x:c r="V497" s="7" t="str">
        <x:v>Resident</x:v>
      </x:c>
      <x:c r="W497" s="7" t="str">
        <x:v>CA</x:v>
      </x:c>
      <x:c r="X497" s="7" t="str"/>
      <x:c r="Y497" s="7" t="str"/>
      <x:c r="Z497" s="7" t="str"/>
      <x:c r="AA497" s="7" t="str"/>
      <x:c r="AB497" s="7" t="str"/>
      <x:c r="AC497" s="7" t="str"/>
      <x:c r="AD497" s="7" t="str">
        <x:v>No agency or insurer displayed: onboarding opportunity possible; existing business unknown</x:v>
      </x:c>
      <x:c r="AE497" s="7" t="str">
        <x:v>No public business phone: contact enrichment needed, not proof of poor recruiting fit</x:v>
      </x:c>
      <x:c r="AF497" s="16" t="str"/>
      <x:c r="AG497" s="17" t="str"/>
      <x:c r="AH497" s="7" t="str"/>
      <x:c r="AI497" s="7" t="str"/>
      <x:c r="AJ497" s="7" t="str"/>
      <x:c r="AK497" s="15" t="str"/>
      <x:c r="AL497" s="7" t="str"/>
      <x:c r="AM497" s="7" t="str">
        <x:v>Aguilar R Henry | AGUILAR REINALDO HENRY</x:v>
      </x:c>
      <x:c r="AN497" s="7" t="str">
        <x:v>https://cdicloud.insurance.ca.gov/cal/LicenseDetail?SearchType=IND&amp;SearchLicNbr=0I98062&amp;SearchIndvId=1684280</x:v>
      </x:c>
      <x:c r="AO497" s="7" t="str">
        <x:v>2026-10-08</x:v>
      </x:c>
      <x:c r="AP497" s="7" t="str">
        <x:v>c3d8a4b1710ea1f9026c00a68bc4331c314b7a5e250ba2a87e48f6e9329d45a6</x:v>
      </x:c>
      <x:c r="AQ497" s="7" t="str">
        <x:v>Life-Only / Inactive / 07/15/2014 / 07/31/2016 / 07/31/2016</x:v>
      </x:c>
      <x:c r="AR497" s="7" t="str">
        <x:v>Inactive</x:v>
      </x:c>
      <x:c r="AS497" s="7" t="str">
        <x:v>Current detail page</x:v>
      </x:c>
    </x:row>
    <x:row r="498" ht="52" customHeight="1">
      <x:c r="A498" s="7" t="str">
        <x:v>AGUILAR HENRY STEVE</x:v>
      </x:c>
      <x:c r="B498" s="14" t="str">
        <x:f>"0C29090"</x:f>
        <x:v>0C29090</x:v>
      </x:c>
      <x:c r="C498" s="7" t="str">
        <x:v>Omitted</x:v>
      </x:c>
      <x:c r="D498" s="7" t="str">
        <x:v>FAIL</x:v>
      </x:c>
      <x:c r="E498" s="13" t="str">
        <x:v>Pending</x:v>
      </x:c>
      <x:c r="F498" s="13" t="str"/>
      <x:c r="G498" s="13" t="str"/>
      <x:c r="H498" s="13" t="str"/>
      <x:c r="I498" s="7" t="str">
        <x:v>Was this person reviewed? If rejected, give the actual rule and evidence. If acceptable, correct the omission. Confirm the Life-qualification gate and any record change since selection.</x:v>
      </x:c>
      <x:c r="J498" s="7" t="str">
        <x:v>L1</x:v>
      </x:c>
      <x:c r="K498" s="7" t="str">
        <x:v>Verified qualifications do not include active general Life. Current target-pool mismatch; actual historical omission reason unknown.</x:v>
      </x:c>
      <x:c r="L498" s="7" t="str">
        <x:v>Not supplied; membership is known, motive is not</x:v>
      </x:c>
      <x:c r="M498" s="7" t="n">
        <x:v>7</x:v>
      </x:c>
      <x:c r="N498" s="7" t="str">
        <x:v>Outside current general-Life recruiting pool</x:v>
      </x:c>
      <x:c r="O498" s="7" t="str">
        <x:v>Not displayed</x:v>
      </x:c>
      <x:c r="P498" s="7" t="str"/>
      <x:c r="Q498" s="7" t="str"/>
      <x:c r="R498" s="7" t="str"/>
      <x:c r="S498" s="15" t="str"/>
      <x:c r="T498" s="7" t="str">
        <x:v>No public business phone in collected record</x:v>
      </x:c>
      <x:c r="U498" s="7" t="str"/>
      <x:c r="V498" s="7" t="str">
        <x:v>Resident</x:v>
      </x:c>
      <x:c r="W498" s="7" t="str">
        <x:v>CA</x:v>
      </x:c>
      <x:c r="X498" s="7" t="str"/>
      <x:c r="Y498" s="7" t="str"/>
      <x:c r="Z498" s="7" t="str"/>
      <x:c r="AA498" s="7" t="str"/>
      <x:c r="AB498" s="7" t="str">
        <x:v>SURVIVAL INSURANCE, INC. / Casualty / 04/07/1998
SURVIVAL INSURANCE, INC. / Property / 04/07/1998</x:v>
      </x:c>
      <x:c r="AC498" s="7" t="str"/>
      <x:c r="AD498" s="7" t="str">
        <x:v>No agency or insurer displayed: onboarding opportunity possible; existing business unknown</x:v>
      </x:c>
      <x:c r="AE498" s="7" t="str">
        <x:v>Sponsor relationships displayed: SURVIVAL INSURANCE, INC.; inspect line-specific relationship, not a blanket employment inference | No public business phone: contact enrichment needed, not proof of poor recruiting fit</x:v>
      </x:c>
      <x:c r="AF498" s="16" t="str"/>
      <x:c r="AG498" s="17" t="str"/>
      <x:c r="AH498" s="7" t="str"/>
      <x:c r="AI498" s="7" t="str"/>
      <x:c r="AJ498" s="7" t="str"/>
      <x:c r="AK498" s="15" t="str"/>
      <x:c r="AL498" s="7" t="str"/>
      <x:c r="AM498" s="7" t="str">
        <x:v>AGUILAR STEVE HENRY</x:v>
      </x:c>
      <x:c r="AN498" s="7" t="str">
        <x:v>https://cdicloud.insurance.ca.gov/cal/LicenseDetail?SearchType=IND&amp;SearchLicNbr=0C29090&amp;SearchIndvId=304206</x:v>
      </x:c>
      <x:c r="AO498" s="7" t="str">
        <x:v>2026-10-08</x:v>
      </x:c>
      <x:c r="AP498" s="7" t="str">
        <x:v>7f7a1931b80fdd0d44d8b1e08328aafb202db841565ff78e465973bd4e3ea681</x:v>
      </x:c>
      <x:c r="AQ498" s="7" t="str">
        <x:v>Casualty Broker-Agent / Inactive / 04/07/1998 / 04/30/2000 / 04/30/2000
Property Broker-Agent / Inactive / 04/07/1998 / 04/30/2000 / 04/30/2000</x:v>
      </x:c>
      <x:c r="AR498" s="7" t="str">
        <x:v>Inactive</x:v>
      </x:c>
      <x:c r="AS498" s="7" t="str">
        <x:v>Current detail page</x:v>
      </x:c>
    </x:row>
    <x:row r="499" ht="52" customHeight="1">
      <x:c r="A499" s="7" t="str">
        <x:v>AGUILAR HERNAN</x:v>
      </x:c>
      <x:c r="B499" s="14" t="str">
        <x:f>"0638737"</x:f>
        <x:v>0638737</x:v>
      </x:c>
      <x:c r="C499" s="7" t="str">
        <x:v>Omitted</x:v>
      </x:c>
      <x:c r="D499" s="7" t="str">
        <x:v>FAIL</x:v>
      </x:c>
      <x:c r="E499" s="13" t="str">
        <x:v>Pending</x:v>
      </x:c>
      <x:c r="F499" s="13" t="str"/>
      <x:c r="G499" s="13" t="str"/>
      <x:c r="H499" s="13" t="str"/>
      <x:c r="I499" s="7" t="str">
        <x:v>Was this person reviewed? If rejected, give the actual rule and evidence. If acceptable, correct the omission. Confirm the Life-qualification gate and any record change since selection.</x:v>
      </x:c>
      <x:c r="J499" s="7" t="str">
        <x:v>L1</x:v>
      </x:c>
      <x:c r="K499" s="7" t="str">
        <x:v>Verified qualifications do not include active general Life. Current target-pool mismatch; actual historical omission reason unknown.</x:v>
      </x:c>
      <x:c r="L499" s="7" t="str">
        <x:v>Not supplied; membership is known, motive is not</x:v>
      </x:c>
      <x:c r="M499" s="7" t="n">
        <x:v>7</x:v>
      </x:c>
      <x:c r="N499" s="7" t="str">
        <x:v>Outside current general-Life recruiting pool</x:v>
      </x:c>
      <x:c r="O499" s="7" t="str">
        <x:v>Not displayed</x:v>
      </x:c>
      <x:c r="P499" s="7" t="str"/>
      <x:c r="Q499" s="7" t="str"/>
      <x:c r="R499" s="7" t="str"/>
      <x:c r="S499" s="15" t="str"/>
      <x:c r="T499" s="7" t="str">
        <x:v>No public business phone in collected record</x:v>
      </x:c>
      <x:c r="U499" s="7" t="str">
        <x:v>5901 W.WHITLEY AVE S.I.M.A SPECIAL INSURANCE MARKETING AGE VISALIA CA, 93291</x:v>
      </x:c>
      <x:c r="V499" s="7" t="str">
        <x:v>Resident</x:v>
      </x:c>
      <x:c r="W499" s="7" t="str">
        <x:v>CA</x:v>
      </x:c>
      <x:c r="X499" s="7" t="str"/>
      <x:c r="Y499" s="7" t="str"/>
      <x:c r="Z499" s="7" t="str">
        <x:v>ORDER ID: &lt;VA201800454&gt; LICENSE AND LICENSING RIGHTS OF RESPONDENT ARE HEREBY REVOKED. / 01/15/2022</x:v>
      </x:c>
      <x:c r="AA499" s="7" t="str"/>
      <x:c r="AB499" s="7" t="str"/>
      <x:c r="AC499" s="7" t="str"/>
      <x:c r="AD499" s="7" t="str">
        <x:v>No agency or insurer displayed: onboarding opportunity possible; existing business unknown</x:v>
      </x:c>
      <x:c r="AE499" s="7" t="str">
        <x:v>Enforcement order requires direct review; latest displayed order is not a removal order | No public business phone: contact enrichment needed, not proof of poor recruiting fit</x:v>
      </x:c>
      <x:c r="AF499" s="16" t="str"/>
      <x:c r="AG499" s="17" t="str"/>
      <x:c r="AH499" s="7" t="str"/>
      <x:c r="AI499" s="7" t="str"/>
      <x:c r="AJ499" s="7" t="str"/>
      <x:c r="AK499" s="15" t="str"/>
      <x:c r="AL499" s="7" t="str"/>
      <x:c r="AM499" s="7" t="str">
        <x:v>AGUILAR  HERNAN</x:v>
      </x:c>
      <x:c r="AN499" s="7" t="str">
        <x:v>https://cdicloud.insurance.ca.gov/cal/LicenseDetail?SearchType=IND&amp;SearchLicNbr=0638737&amp;SearchIndvId=398176</x:v>
      </x:c>
      <x:c r="AO499" s="7" t="str">
        <x:v>2026-10-08</x:v>
      </x:c>
      <x:c r="AP499" s="7" t="str">
        <x:v>05ce83d5763eb8ef2a0a323bcf97dbf61bb8a86f80929bc5292d16d035da0064</x:v>
      </x:c>
      <x:c r="AQ499" s="7" t="str">
        <x:v>Accident and Health / Inactive / 12/22/1982 / 01/15/2022 / 01/15/2022
Life-Only / Inactive / 12/22/1982 / 01/15/2022 / 01/15/2022</x:v>
      </x:c>
      <x:c r="AR499" s="7" t="str">
        <x:v>Inactive</x:v>
      </x:c>
      <x:c r="AS499" s="7" t="str">
        <x:v>Current detail page</x:v>
      </x:c>
    </x:row>
    <x:row r="500" ht="52" customHeight="1">
      <x:c r="A500" s="7" t="str">
        <x:v>AGUILAR HOMERO</x:v>
      </x:c>
      <x:c r="B500" s="14" t="str">
        <x:f>"0M33832"</x:f>
        <x:v>0M33832</x:v>
      </x:c>
      <x:c r="C500" s="7" t="str">
        <x:v>Omitted</x:v>
      </x:c>
      <x:c r="D500" s="7" t="str">
        <x:v>FAIL</x:v>
      </x:c>
      <x:c r="E500" s="13" t="str">
        <x:v>Pending</x:v>
      </x:c>
      <x:c r="F500" s="13" t="str"/>
      <x:c r="G500" s="13" t="str"/>
      <x:c r="H500" s="13" t="str"/>
      <x:c r="I500" s="7" t="str">
        <x:v>Was this person reviewed? If rejected, give the actual rule and evidence. If acceptable, correct the omission. Confirm the Life-qualification gate and any record change since selection.</x:v>
      </x:c>
      <x:c r="J500" s="7" t="str">
        <x:v>L1</x:v>
      </x:c>
      <x:c r="K500" s="7" t="str">
        <x:v>Verified qualifications do not include active general Life. Current target-pool mismatch; actual historical omission reason unknown.</x:v>
      </x:c>
      <x:c r="L500" s="7" t="str">
        <x:v>Not supplied; membership is known, motive is not</x:v>
      </x:c>
      <x:c r="M500" s="7" t="n">
        <x:v>7</x:v>
      </x:c>
      <x:c r="N500" s="7" t="str">
        <x:v>Outside current general-Life recruiting pool</x:v>
      </x:c>
      <x:c r="O500" s="7" t="str">
        <x:v>Not displayed</x:v>
      </x:c>
      <x:c r="P500" s="7" t="str"/>
      <x:c r="Q500" s="7" t="str"/>
      <x:c r="R500" s="7" t="str"/>
      <x:c r="S500" s="15" t="str"/>
      <x:c r="T500" s="7" t="str">
        <x:v>No public business phone in collected record</x:v>
      </x:c>
      <x:c r="U500" s="7" t="str"/>
      <x:c r="V500" s="7" t="str">
        <x:v>Resident</x:v>
      </x:c>
      <x:c r="W500" s="7" t="str">
        <x:v>CA</x:v>
      </x:c>
      <x:c r="X500" s="7" t="str"/>
      <x:c r="Y500" s="7" t="str"/>
      <x:c r="Z500" s="7" t="str"/>
      <x:c r="AA500" s="7" t="str"/>
      <x:c r="AB500" s="7" t="str"/>
      <x:c r="AC500" s="7" t="str"/>
      <x:c r="AD500" s="7" t="str">
        <x:v>No agency or insurer displayed: onboarding opportunity possible; existing business unknown</x:v>
      </x:c>
      <x:c r="AE500" s="7" t="str">
        <x:v>No public business phone: contact enrichment needed, not proof of poor recruiting fit</x:v>
      </x:c>
      <x:c r="AF500" s="16" t="str"/>
      <x:c r="AG500" s="17" t="str"/>
      <x:c r="AH500" s="7" t="str"/>
      <x:c r="AI500" s="7" t="str"/>
      <x:c r="AJ500" s="7" t="str"/>
      <x:c r="AK500" s="15" t="str"/>
      <x:c r="AL500" s="7" t="str"/>
      <x:c r="AM500" s="7" t="str">
        <x:v>AGUILAR  HOMERO</x:v>
      </x:c>
      <x:c r="AN500" s="7" t="str">
        <x:v>https://cdicloud.insurance.ca.gov/cal/LicenseDetail?SearchType=IND&amp;SearchLicNbr=0M33832&amp;SearchIndvId=2019016</x:v>
      </x:c>
      <x:c r="AO500" s="7" t="str">
        <x:v>2026-10-08</x:v>
      </x:c>
      <x:c r="AP500" s="7" t="str">
        <x:v>0df588e9b8dd24c7c6655fbd8d131dc378a7c4cda416411b7f0d3f8fb424f89c</x:v>
      </x:c>
      <x:c r="AQ500" s="7" t="str">
        <x:v>Life-Only / Inactive / 05/08/2018 / 05/31/2020 / 05/31/2020</x:v>
      </x:c>
      <x:c r="AR500" s="7" t="str">
        <x:v>Inactive</x:v>
      </x:c>
      <x:c r="AS500" s="7" t="str">
        <x:v>Current detail page</x:v>
      </x:c>
    </x:row>
    <x:row r="501" ht="52" customHeight="1">
      <x:c r="A501" s="7" t="str">
        <x:v>AGUILAR HOPE JULIA</x:v>
      </x:c>
      <x:c r="B501" s="14" t="str">
        <x:f>"0G71430"</x:f>
        <x:v>0G71430</x:v>
      </x:c>
      <x:c r="C501" s="7" t="str">
        <x:v>Omitted</x:v>
      </x:c>
      <x:c r="D501" s="7" t="str">
        <x:v>FAIL</x:v>
      </x:c>
      <x:c r="E501" s="13" t="str">
        <x:v>Pending</x:v>
      </x:c>
      <x:c r="F501" s="13" t="str"/>
      <x:c r="G501" s="13" t="str"/>
      <x:c r="H501" s="13" t="str"/>
      <x:c r="I501" s="7" t="str">
        <x:v>Was this person reviewed? If rejected, give the actual rule and evidence. If acceptable, correct the omission. Confirm the Life-qualification gate and any record change since selection.</x:v>
      </x:c>
      <x:c r="J501" s="7" t="str">
        <x:v>L1</x:v>
      </x:c>
      <x:c r="K501" s="7" t="str">
        <x:v>Verified qualifications do not include active general Life. Current target-pool mismatch; actual historical omission reason unknown.</x:v>
      </x:c>
      <x:c r="L501" s="7" t="str">
        <x:v>Not supplied; membership is known, motive is not</x:v>
      </x:c>
      <x:c r="M501" s="7" t="n">
        <x:v>7</x:v>
      </x:c>
      <x:c r="N501" s="7" t="str">
        <x:v>Outside current general-Life recruiting pool</x:v>
      </x:c>
      <x:c r="O501" s="7" t="str">
        <x:v>Inactive</x:v>
      </x:c>
      <x:c r="P501" s="7" t="str">
        <x:v>05/29/2024</x:v>
      </x:c>
      <x:c r="Q501" s="7" t="str">
        <x:v>05/31/2026</x:v>
      </x:c>
      <x:c r="R501" s="7" t="str"/>
      <x:c r="S501" s="15" t="str"/>
      <x:c r="T501" s="7" t="str">
        <x:v>No public business phone in collected record</x:v>
      </x:c>
      <x:c r="U501" s="7" t="str">
        <x:v>1830 F STREET BAKERSFIELD CA, 93301</x:v>
      </x:c>
      <x:c r="V501" s="7" t="str">
        <x:v>Resident</x:v>
      </x:c>
      <x:c r="W501" s="7" t="str">
        <x:v>CA</x:v>
      </x:c>
      <x:c r="X501" s="7" t="str"/>
      <x:c r="Y501" s="7" t="str"/>
      <x:c r="Z501" s="7" t="str"/>
      <x:c r="AA501" s="7" t="str"/>
      <x:c r="AB501" s="7" t="str"/>
      <x:c r="AC501" s="7" t="str"/>
      <x:c r="AD501" s="7" t="str">
        <x:v>No agency or insurer displayed: onboarding opportunity possible; existing business unknown</x:v>
      </x:c>
      <x:c r="AE501" s="7" t="str">
        <x:v>No public business phone: contact enrichment needed, not proof of poor recruiting fit</x:v>
      </x:c>
      <x:c r="AF501" s="16" t="str"/>
      <x:c r="AG501" s="17" t="str"/>
      <x:c r="AH501" s="7" t="str"/>
      <x:c r="AI501" s="7" t="str">
        <x:v>English</x:v>
      </x:c>
      <x:c r="AJ501" s="7" t="str"/>
      <x:c r="AK501" s="15" t="str"/>
      <x:c r="AL501" s="7" t="str"/>
      <x:c r="AM501" s="7" t="str">
        <x:v>AGUILAR JULIA HOPE</x:v>
      </x:c>
      <x:c r="AN501" s="7" t="str">
        <x:v>https://cdicloud.insurance.ca.gov/cal/LicenseDetail?SearchType=IND&amp;SearchLicNbr=0G71430&amp;SearchIndvId=1278030</x:v>
      </x:c>
      <x:c r="AO501" s="7" t="str">
        <x:v>2026-10-08</x:v>
      </x:c>
      <x:c r="AP501" s="7" t="str">
        <x:v>0968cf88c524797d45b54935fba6d6ef03bafee0beca0c607995ecc56e21375f</x:v>
      </x:c>
      <x:c r="AQ501" s="7" t="str">
        <x:v>Life / Inactive / 05/29/2024 / 05/31/2026 / 05/31/2026</x:v>
      </x:c>
      <x:c r="AR501" s="7" t="str">
        <x:v>Inactive</x:v>
      </x:c>
      <x:c r="AS501" s="7" t="str">
        <x:v>Current detail page</x:v>
      </x:c>
    </x:row>
    <x:row r="502" ht="52" customHeight="1">
      <x:c r="A502" s="7" t="str">
        <x:v>AGUILAR HUFFMAN GAYLA K</x:v>
      </x:c>
      <x:c r="B502" s="14" t="str">
        <x:f>"4501962"</x:f>
        <x:v>4501962</x:v>
      </x:c>
      <x:c r="C502" s="7" t="str">
        <x:v>Omitted</x:v>
      </x:c>
      <x:c r="D502" s="7" t="str">
        <x:v>FAIL</x:v>
      </x:c>
      <x:c r="E502" s="13" t="str">
        <x:v>Pending</x:v>
      </x:c>
      <x:c r="F502" s="13" t="str"/>
      <x:c r="G502" s="13" t="str"/>
      <x:c r="H502" s="13" t="str"/>
      <x:c r="I502" s="7" t="str">
        <x:v>Was this person reviewed? If rejected, give the actual rule and evidence. If acceptable, correct the omission. Confirm the Life-qualification gate and any record change since selection.</x:v>
      </x:c>
      <x:c r="J502" s="7" t="str">
        <x:v>L1</x:v>
      </x:c>
      <x:c r="K502" s="7" t="str">
        <x:v>Verified qualifications do not include active general Life. Current target-pool mismatch; actual historical omission reason unknown.</x:v>
      </x:c>
      <x:c r="L502" s="7" t="str">
        <x:v>Not supplied; membership is known, motive is not</x:v>
      </x:c>
      <x:c r="M502" s="7" t="n">
        <x:v>7</x:v>
      </x:c>
      <x:c r="N502" s="7" t="str">
        <x:v>Outside current general-Life recruiting pool</x:v>
      </x:c>
      <x:c r="O502" s="7" t="str">
        <x:v>Not displayed</x:v>
      </x:c>
      <x:c r="P502" s="7" t="str"/>
      <x:c r="Q502" s="7" t="str"/>
      <x:c r="R502" s="7" t="str">
        <x:v>Accident &amp; Health or Sickness</x:v>
      </x:c>
      <x:c r="S502" s="15" t="str"/>
      <x:c r="T502" s="7" t="str">
        <x:v>No public business phone in collected record</x:v>
      </x:c>
      <x:c r="U502" s="7" t="str">
        <x:v>4061 CREEK HOLLOW WAY DULUTH GA, 30096-4371</x:v>
      </x:c>
      <x:c r="V502" s="7" t="str">
        <x:v>Non-resident</x:v>
      </x:c>
      <x:c r="W502" s="7" t="str">
        <x:v>GA</x:v>
      </x:c>
      <x:c r="X502" s="7" t="str">
        <x:v>TTEC HEALTHCARE SOLUTIONS, INC. / Accident &amp; Health or Sickness / 10/29/2025</x:v>
      </x:c>
      <x:c r="Y502" s="7" t="str"/>
      <x:c r="Z502" s="7" t="str"/>
      <x:c r="AA502" s="7" t="str"/>
      <x:c r="AB502" s="7" t="str"/>
      <x:c r="AC502" s="7" t="str"/>
      <x:c r="AD502" s="7" t="str">
        <x:v>Active A&amp;H supports optional cross-selling; not necessary for target products</x:v>
      </x:c>
      <x:c r="AE502" s="7" t="str">
        <x:v>Nonresident or address state outside CA; confirm geographic recruiting scope | No public business phone: contact enrichment needed, not proof of poor recruiting fit</x:v>
      </x:c>
      <x:c r="AF502" s="16" t="str"/>
      <x:c r="AG502" s="17" t="str"/>
      <x:c r="AH502" s="7" t="str"/>
      <x:c r="AI502" s="7" t="str"/>
      <x:c r="AJ502" s="7" t="str"/>
      <x:c r="AK502" s="15" t="str"/>
      <x:c r="AL502" s="7" t="str"/>
      <x:c r="AM502" s="7" t="str">
        <x:v>Aguilar Huffman K Gayla</x:v>
      </x:c>
      <x:c r="AN502" s="7" t="str">
        <x:v>https://cdicloud.insurance.ca.gov/cal/LicenseDetail?SearchType=IND&amp;SearchLicNbr=4501962&amp;SearchIndvId=4501962</x:v>
      </x:c>
      <x:c r="AO502" s="7" t="str">
        <x:v>2026-10-08</x:v>
      </x:c>
      <x:c r="AP502" s="7" t="str">
        <x:v>d6006a8f5cb0063e061311894974938c2fc23042928824baffedb4e48cc7fd5d</x:v>
      </x:c>
      <x:c r="AQ502" s="7" t="str">
        <x:v>Accident &amp; Health or Sickness / Active / 10/15/2025 / 10/15/2025 / 10/31/2027</x:v>
      </x:c>
      <x:c r="AR502" s="7" t="str">
        <x:v>Active</x:v>
      </x:c>
      <x:c r="AS502" s="7" t="str">
        <x:v>Current detail page</x:v>
      </x:c>
    </x:row>
    <x:row r="503" ht="52" customHeight="1">
      <x:c r="A503" s="7" t="str">
        <x:v>AGUILAR HUGO RICARDO</x:v>
      </x:c>
      <x:c r="B503" s="14" t="str">
        <x:f>"0629476"</x:f>
        <x:v>0629476</x:v>
      </x:c>
      <x:c r="C503" s="7" t="str">
        <x:v>Omitted</x:v>
      </x:c>
      <x:c r="D503" s="7" t="str">
        <x:v>FAIL</x:v>
      </x:c>
      <x:c r="E503" s="13" t="str">
        <x:v>Pending</x:v>
      </x:c>
      <x:c r="F503" s="13" t="str"/>
      <x:c r="G503" s="13" t="str"/>
      <x:c r="H503" s="13" t="str"/>
      <x:c r="I503" s="7" t="str">
        <x:v>Was this person reviewed? If rejected, give the actual rule and evidence. If acceptable, correct the omission. Confirm the Life-qualification gate and any record change since selection.</x:v>
      </x:c>
      <x:c r="J503" s="7" t="str">
        <x:v>L1</x:v>
      </x:c>
      <x:c r="K503" s="7" t="str">
        <x:v>Verified qualifications do not include active general Life. Current target-pool mismatch; actual historical omission reason unknown.</x:v>
      </x:c>
      <x:c r="L503" s="7" t="str">
        <x:v>Not supplied; membership is known, motive is not</x:v>
      </x:c>
      <x:c r="M503" s="7" t="n">
        <x:v>7</x:v>
      </x:c>
      <x:c r="N503" s="7" t="str">
        <x:v>Outside current general-Life recruiting pool</x:v>
      </x:c>
      <x:c r="O503" s="7" t="str">
        <x:v>Not displayed</x:v>
      </x:c>
      <x:c r="P503" s="7" t="str"/>
      <x:c r="Q503" s="7" t="str"/>
      <x:c r="R503" s="7" t="str"/>
      <x:c r="S503" s="15" t="str"/>
      <x:c r="T503" s="7" t="str">
        <x:v>No public business phone in collected record</x:v>
      </x:c>
      <x:c r="U503" s="7" t="str"/>
      <x:c r="V503" s="7" t="str">
        <x:v>Resident</x:v>
      </x:c>
      <x:c r="W503" s="7" t="str">
        <x:v>CA</x:v>
      </x:c>
      <x:c r="X503" s="7" t="str"/>
      <x:c r="Y503" s="7" t="str"/>
      <x:c r="Z503" s="7" t="str"/>
      <x:c r="AA503" s="7" t="str"/>
      <x:c r="AB503" s="7" t="str"/>
      <x:c r="AC503" s="7" t="str"/>
      <x:c r="AD503" s="7" t="str">
        <x:v>No agency or insurer displayed: onboarding opportunity possible; existing business unknown</x:v>
      </x:c>
      <x:c r="AE503" s="7" t="str">
        <x:v>No public business phone: contact enrichment needed, not proof of poor recruiting fit</x:v>
      </x:c>
      <x:c r="AF503" s="16" t="str"/>
      <x:c r="AG503" s="17" t="str"/>
      <x:c r="AH503" s="7" t="str"/>
      <x:c r="AI503" s="7" t="str"/>
      <x:c r="AJ503" s="7" t="str"/>
      <x:c r="AK503" s="15" t="str"/>
      <x:c r="AL503" s="7" t="str"/>
      <x:c r="AM503" s="7" t="str">
        <x:v>AGUILAR RICARDO HUGO</x:v>
      </x:c>
      <x:c r="AN503" s="7" t="str">
        <x:v>https://cdicloud.insurance.ca.gov/cal/LicenseDetail?SearchType=IND&amp;SearchLicNbr=0629476&amp;SearchIndvId=395920</x:v>
      </x:c>
      <x:c r="AO503" s="7" t="str">
        <x:v>2026-10-08</x:v>
      </x:c>
      <x:c r="AP503" s="7" t="str">
        <x:v>2369674d3c848254ac873e836ae8653ad24487af7e32ddbc037b2bde736ff684</x:v>
      </x:c>
      <x:c r="AQ503" s="7" t="str">
        <x:v>Accident and Health / Inactive / 03/30/1982 / 11/30/1994 / 11/30/1994
Casualty Broker-Agent / Inactive / 01/21/1983 / 11/30/1994 / 11/30/1994
Life-Only / Inactive / 03/30/1982 / 11/30/1994 / 11/30/1994
Property Broker-Agent / Inactive / 01/21/1983 / 11/30/1994 / 11/30/1994</x:v>
      </x:c>
      <x:c r="AR503" s="7" t="str">
        <x:v>Inactive</x:v>
      </x:c>
      <x:c r="AS503" s="7" t="str">
        <x:v>Current detail page</x:v>
      </x:c>
    </x:row>
    <x:row r="504" ht="52" customHeight="1">
      <x:c r="A504" s="7" t="str">
        <x:v>AGUILAR IAN JACOB</x:v>
      </x:c>
      <x:c r="B504" s="14" t="str">
        <x:f>"0E49152"</x:f>
        <x:v>0E49152</x:v>
      </x:c>
      <x:c r="C504" s="7" t="str">
        <x:v>Omitted</x:v>
      </x:c>
      <x:c r="D504" s="7" t="str">
        <x:v>FAIL</x:v>
      </x:c>
      <x:c r="E504" s="13" t="str">
        <x:v>Pending</x:v>
      </x:c>
      <x:c r="F504" s="13" t="str"/>
      <x:c r="G504" s="13" t="str"/>
      <x:c r="H504" s="13" t="str"/>
      <x:c r="I504" s="7" t="str">
        <x:v>Was this person reviewed? If rejected, give the actual rule and evidence. If acceptable, correct the omission. Confirm the Life-qualification gate and any record change since selection.</x:v>
      </x:c>
      <x:c r="J504" s="7" t="str">
        <x:v>L1</x:v>
      </x:c>
      <x:c r="K504" s="7" t="str">
        <x:v>Verified qualifications do not include active general Life. Current target-pool mismatch; actual historical omission reason unknown.</x:v>
      </x:c>
      <x:c r="L504" s="7" t="str">
        <x:v>Not supplied; membership is known, motive is not</x:v>
      </x:c>
      <x:c r="M504" s="7" t="n">
        <x:v>7</x:v>
      </x:c>
      <x:c r="N504" s="7" t="str">
        <x:v>Outside current general-Life recruiting pool</x:v>
      </x:c>
      <x:c r="O504" s="7" t="str">
        <x:v>Not displayed</x:v>
      </x:c>
      <x:c r="P504" s="7" t="str"/>
      <x:c r="Q504" s="7" t="str"/>
      <x:c r="R504" s="7" t="str"/>
      <x:c r="S504" s="15" t="str"/>
      <x:c r="T504" s="7" t="str">
        <x:v>No public business phone in collected record</x:v>
      </x:c>
      <x:c r="U504" s="7" t="str"/>
      <x:c r="V504" s="7" t="str">
        <x:v>Resident</x:v>
      </x:c>
      <x:c r="W504" s="7" t="str">
        <x:v>CA</x:v>
      </x:c>
      <x:c r="X504" s="7" t="str"/>
      <x:c r="Y504" s="7" t="str"/>
      <x:c r="Z504" s="7" t="str"/>
      <x:c r="AA504" s="7" t="str"/>
      <x:c r="AB504" s="7" t="str"/>
      <x:c r="AC504" s="7" t="str"/>
      <x:c r="AD504" s="7" t="str">
        <x:v>No agency or insurer displayed: onboarding opportunity possible; existing business unknown</x:v>
      </x:c>
      <x:c r="AE504" s="7" t="str">
        <x:v>No public business phone: contact enrichment needed, not proof of poor recruiting fit</x:v>
      </x:c>
      <x:c r="AF504" s="16" t="str"/>
      <x:c r="AG504" s="17" t="str"/>
      <x:c r="AH504" s="7" t="str"/>
      <x:c r="AI504" s="7" t="str"/>
      <x:c r="AJ504" s="7" t="str"/>
      <x:c r="AK504" s="15" t="str"/>
      <x:c r="AL504" s="7" t="str"/>
      <x:c r="AM504" s="7" t="str">
        <x:v>AGUILAR JACOB IAN</x:v>
      </x:c>
      <x:c r="AN504" s="7" t="str">
        <x:v>https://cdicloud.insurance.ca.gov/cal/LicenseDetail?SearchType=IND&amp;SearchLicNbr=0E49152&amp;SearchIndvId=906280</x:v>
      </x:c>
      <x:c r="AO504" s="7" t="str">
        <x:v>2026-10-08</x:v>
      </x:c>
      <x:c r="AP504" s="7" t="str">
        <x:v>cd2df717c34a7f9d8e41fe86f07379f52c4392021a0198901bf4681c8e2bf320</x:v>
      </x:c>
      <x:c r="AQ504" s="7" t="str">
        <x:v>Accident and Health / Inactive / 07/15/2004 / 06/30/2015 / 06/30/2015
Life-Only / Inactive / 07/15/2004 / 06/30/2015 / 06/30/2015</x:v>
      </x:c>
      <x:c r="AR504" s="7" t="str">
        <x:v>Inactive</x:v>
      </x:c>
      <x:c r="AS504" s="7" t="str">
        <x:v>Current detail page</x:v>
      </x:c>
    </x:row>
    <x:row r="505" ht="52" customHeight="1">
      <x:c r="A505" s="7" t="str">
        <x:v>AGUILAR IGNACIO</x:v>
      </x:c>
      <x:c r="B505" s="14" t="str">
        <x:f>"0G80382"</x:f>
        <x:v>0G80382</x:v>
      </x:c>
      <x:c r="C505" s="7" t="str">
        <x:v>Omitted</x:v>
      </x:c>
      <x:c r="D505" s="7" t="str">
        <x:v>FAIL</x:v>
      </x:c>
      <x:c r="E505" s="13" t="str">
        <x:v>Pending</x:v>
      </x:c>
      <x:c r="F505" s="13" t="str"/>
      <x:c r="G505" s="13" t="str"/>
      <x:c r="H505" s="13" t="str"/>
      <x:c r="I505" s="7" t="str">
        <x:v>Was this person reviewed? If rejected, give the actual rule and evidence. If acceptable, correct the omission. Confirm the Life-qualification gate and any record change since selection.</x:v>
      </x:c>
      <x:c r="J505" s="7" t="str">
        <x:v>L1</x:v>
      </x:c>
      <x:c r="K505" s="7" t="str">
        <x:v>Verified qualifications do not include active general Life. Current target-pool mismatch; actual historical omission reason unknown.</x:v>
      </x:c>
      <x:c r="L505" s="7" t="str">
        <x:v>Not supplied; membership is known, motive is not</x:v>
      </x:c>
      <x:c r="M505" s="7" t="n">
        <x:v>7</x:v>
      </x:c>
      <x:c r="N505" s="7" t="str">
        <x:v>Outside current general-Life recruiting pool</x:v>
      </x:c>
      <x:c r="O505" s="7" t="str">
        <x:v>Not displayed</x:v>
      </x:c>
      <x:c r="P505" s="7" t="str"/>
      <x:c r="Q505" s="7" t="str"/>
      <x:c r="R505" s="7" t="str"/>
      <x:c r="S505" s="15" t="str"/>
      <x:c r="T505" s="7" t="str">
        <x:v>No public business phone in collected record</x:v>
      </x:c>
      <x:c r="U505" s="7" t="str"/>
      <x:c r="V505" s="7" t="str">
        <x:v>Resident</x:v>
      </x:c>
      <x:c r="W505" s="7" t="str">
        <x:v>CA</x:v>
      </x:c>
      <x:c r="X505" s="7" t="str"/>
      <x:c r="Y505" s="7" t="str"/>
      <x:c r="Z505" s="7" t="str"/>
      <x:c r="AA505" s="7" t="str"/>
      <x:c r="AB505" s="7" t="str"/>
      <x:c r="AC505" s="7" t="str"/>
      <x:c r="AD505" s="7" t="str">
        <x:v>No agency or insurer displayed: onboarding opportunity possible; existing business unknown</x:v>
      </x:c>
      <x:c r="AE505" s="7" t="str">
        <x:v>No public business phone: contact enrichment needed, not proof of poor recruiting fit</x:v>
      </x:c>
      <x:c r="AF505" s="16" t="str"/>
      <x:c r="AG505" s="17" t="str"/>
      <x:c r="AH505" s="7" t="str"/>
      <x:c r="AI505" s="7" t="str"/>
      <x:c r="AJ505" s="7" t="str"/>
      <x:c r="AK505" s="15" t="str"/>
      <x:c r="AL505" s="7" t="str"/>
      <x:c r="AM505" s="7" t="str">
        <x:v>AGUILAR  IGNACIO</x:v>
      </x:c>
      <x:c r="AN505" s="7" t="str">
        <x:v>https://cdicloud.insurance.ca.gov/cal/LicenseDetail?SearchType=IND&amp;SearchLicNbr=0G80382&amp;SearchIndvId=1310949</x:v>
      </x:c>
      <x:c r="AO505" s="7" t="str">
        <x:v>2026-10-08</x:v>
      </x:c>
      <x:c r="AP505" s="7" t="str">
        <x:v>c83e307c23a40fc25fe980ae977c285c6ec89407c56e85ca27589999869cf885</x:v>
      </x:c>
      <x:c r="AQ505" s="7" t="str">
        <x:v>Accident and Health / Inactive / 11/12/2009 / 11/30/2011 / 11/30/2011
Life-Only / Inactive / 11/12/2009 / 11/30/2011 / 11/30/2011</x:v>
      </x:c>
      <x:c r="AR505" s="7" t="str">
        <x:v>Inactive</x:v>
      </x:c>
      <x:c r="AS505" s="7" t="str">
        <x:v>Current detail page</x:v>
      </x:c>
    </x:row>
    <x:row r="506" ht="52" customHeight="1">
      <x:c r="A506" s="7" t="str">
        <x:v>AGUILAR II COCHRAN DAMIAN JAC</x:v>
      </x:c>
      <x:c r="B506" s="14" t="str">
        <x:f>"4015947"</x:f>
        <x:v>4015947</x:v>
      </x:c>
      <x:c r="C506" s="7" t="str">
        <x:v>Omitted</x:v>
      </x:c>
      <x:c r="D506" s="7" t="str">
        <x:v>FAIL</x:v>
      </x:c>
      <x:c r="E506" s="13" t="str">
        <x:v>Pending</x:v>
      </x:c>
      <x:c r="F506" s="13" t="str"/>
      <x:c r="G506" s="13" t="str"/>
      <x:c r="H506" s="13" t="str"/>
      <x:c r="I506" s="7" t="str">
        <x:v>Was this person reviewed? If rejected, give the actual rule and evidence. If acceptable, correct the omission. Confirm the Life-qualification gate and any record change since selection.</x:v>
      </x:c>
      <x:c r="J506" s="7" t="str">
        <x:v>L1</x:v>
      </x:c>
      <x:c r="K506" s="7" t="str">
        <x:v>Verified qualifications do not include active general Life. Current target-pool mismatch; actual historical omission reason unknown.</x:v>
      </x:c>
      <x:c r="L506" s="7" t="str">
        <x:v>Not supplied; membership is known, motive is not</x:v>
      </x:c>
      <x:c r="M506" s="7" t="n">
        <x:v>7</x:v>
      </x:c>
      <x:c r="N506" s="7" t="str">
        <x:v>Outside current general-Life recruiting pool</x:v>
      </x:c>
      <x:c r="O506" s="7" t="str">
        <x:v>Not displayed</x:v>
      </x:c>
      <x:c r="P506" s="7" t="str"/>
      <x:c r="Q506" s="7" t="str"/>
      <x:c r="R506" s="7" t="str"/>
      <x:c r="S506" s="15" t="str"/>
      <x:c r="T506" s="7" t="str">
        <x:v>No public business phone in collected record</x:v>
      </x:c>
      <x:c r="U506" s="7" t="str">
        <x:v>6090 ZENITH CT NE RIO RANCHO NM, 87144-6425</x:v>
      </x:c>
      <x:c r="V506" s="7" t="str">
        <x:v>Non-resident</x:v>
      </x:c>
      <x:c r="W506" s="7" t="str">
        <x:v>NM</x:v>
      </x:c>
      <x:c r="X506" s="7" t="str"/>
      <x:c r="Y506" s="7" t="str"/>
      <x:c r="Z506" s="7" t="str"/>
      <x:c r="AA506" s="7" t="str"/>
      <x:c r="AB506" s="7" t="str"/>
      <x:c r="AC506" s="7" t="str"/>
      <x:c r="AD506" s="7" t="str">
        <x:v>No agency or insurer displayed: onboarding opportunity possible; existing business unknown</x:v>
      </x:c>
      <x:c r="AE506" s="7" t="str">
        <x:v>Nonresident or address state outside CA; confirm geographic recruiting scope | No public business phone: contact enrichment needed, not proof of poor recruiting fit</x:v>
      </x:c>
      <x:c r="AF506" s="16" t="str"/>
      <x:c r="AG506" s="17" t="str"/>
      <x:c r="AH506" s="7" t="str"/>
      <x:c r="AI506" s="7" t="str"/>
      <x:c r="AJ506" s="7" t="str"/>
      <x:c r="AK506" s="15" t="str"/>
      <x:c r="AL506" s="7" t="str"/>
      <x:c r="AM506" s="7" t="str">
        <x:v>AGUILAR II COCHRAN JAC DAMIAN</x:v>
      </x:c>
      <x:c r="AN506" s="7" t="str">
        <x:v>https://cdicloud.insurance.ca.gov/cal/LicenseDetail?SearchType=IND&amp;SearchLicNbr=4015947&amp;SearchIndvId=4015947</x:v>
      </x:c>
      <x:c r="AO506" s="7" t="str">
        <x:v>2026-10-08</x:v>
      </x:c>
      <x:c r="AP506" s="7" t="str">
        <x:v>c23f3dd700c7ff24eeb9681a9c8c101ba986bd658226c97c48176a310ae95e79</x:v>
      </x:c>
      <x:c r="AQ506" s="7" t="str">
        <x:v>Accident &amp; Health or Sickness / Inactive / 04/29/2020 / 04/30/2022 / 04/30/2022</x:v>
      </x:c>
      <x:c r="AR506" s="7" t="str">
        <x:v>Inactive</x:v>
      </x:c>
      <x:c r="AS506" s="7" t="str">
        <x:v>Current detail page</x:v>
      </x:c>
    </x:row>
    <x:row r="507" ht="52" customHeight="1">
      <x:c r="A507" s="7" t="str">
        <x:v>AGUILAR IISE</x:v>
      </x:c>
      <x:c r="B507" s="14" t="str">
        <x:f>"4500033"</x:f>
        <x:v>4500033</x:v>
      </x:c>
      <x:c r="C507" s="7" t="str">
        <x:v>Omitted</x:v>
      </x:c>
      <x:c r="D507" s="7" t="str">
        <x:v>FAIL</x:v>
      </x:c>
      <x:c r="E507" s="13" t="str">
        <x:v>Pending</x:v>
      </x:c>
      <x:c r="F507" s="13" t="str"/>
      <x:c r="G507" s="13" t="str"/>
      <x:c r="H507" s="13" t="str"/>
      <x:c r="I507" s="7" t="str">
        <x:v>Was this person reviewed? If rejected, give the actual rule and evidence. If acceptable, correct the omission. Confirm the Life-qualification gate and any record change since selection.</x:v>
      </x:c>
      <x:c r="J507" s="7" t="str">
        <x:v>L1</x:v>
      </x:c>
      <x:c r="K507" s="7" t="str">
        <x:v>Verified qualifications do not include active general Life. Current target-pool mismatch; actual historical omission reason unknown.</x:v>
      </x:c>
      <x:c r="L507" s="7" t="str">
        <x:v>Not supplied; membership is known, motive is not</x:v>
      </x:c>
      <x:c r="M507" s="7" t="n">
        <x:v>7</x:v>
      </x:c>
      <x:c r="N507" s="7" t="str">
        <x:v>Outside current general-Life recruiting pool</x:v>
      </x:c>
      <x:c r="O507" s="7" t="str">
        <x:v>Not displayed</x:v>
      </x:c>
      <x:c r="P507" s="7" t="str"/>
      <x:c r="Q507" s="7" t="str"/>
      <x:c r="R507" s="7" t="str">
        <x:v>Accident &amp; Health or Sickness</x:v>
      </x:c>
      <x:c r="S507" s="15" t="str"/>
      <x:c r="T507" s="7" t="str">
        <x:v>No public business phone in collected record</x:v>
      </x:c>
      <x:c r="U507" s="7" t="str">
        <x:v>1108 SOTOGRANDE BLVD APT 114 EULESS TX, 76040</x:v>
      </x:c>
      <x:c r="V507" s="7" t="str">
        <x:v>Non-resident</x:v>
      </x:c>
      <x:c r="W507" s="7" t="str">
        <x:v>TX</x:v>
      </x:c>
      <x:c r="X507" s="7" t="str">
        <x:v>TTEC HEALTHCARE SOLUTIONS, INC. / Accident &amp; Health or Sickness / 10/15/2025</x:v>
      </x:c>
      <x:c r="Y507" s="7" t="str"/>
      <x:c r="Z507" s="7" t="str"/>
      <x:c r="AA507" s="7" t="str"/>
      <x:c r="AB507" s="7" t="str"/>
      <x:c r="AC507" s="7" t="str"/>
      <x:c r="AD507" s="7" t="str">
        <x:v>Active A&amp;H supports optional cross-selling; not necessary for target products</x:v>
      </x:c>
      <x:c r="AE507" s="7" t="str">
        <x:v>Nonresident or address state outside CA; confirm geographic recruiting scope | No public business phone: contact enrichment needed, not proof of poor recruiting fit</x:v>
      </x:c>
      <x:c r="AF507" s="16" t="str"/>
      <x:c r="AG507" s="17" t="str"/>
      <x:c r="AH507" s="7" t="str"/>
      <x:c r="AI507" s="7" t="str"/>
      <x:c r="AJ507" s="7" t="str"/>
      <x:c r="AK507" s="15" t="str"/>
      <x:c r="AL507" s="7" t="str"/>
      <x:c r="AM507" s="7" t="str">
        <x:v>AGUILAR  IISE | Aguilar  Ilse</x:v>
      </x:c>
      <x:c r="AN507" s="7" t="str">
        <x:v>https://cdicloud.insurance.ca.gov/cal/LicenseDetail?SearchType=IND&amp;SearchLicNbr=4500033&amp;SearchIndvId=4500033</x:v>
      </x:c>
      <x:c r="AO507" s="7" t="str">
        <x:v>2026-10-08</x:v>
      </x:c>
      <x:c r="AP507" s="7" t="str">
        <x:v>be861a60a43861c105fd8e68495056101e05e351713673b93c04b3827bc4f35a</x:v>
      </x:c>
      <x:c r="AQ507" s="7" t="str">
        <x:v>Accident &amp; Health or Sickness / Active / 10/09/2025 / 10/09/2025 / 10/31/2027</x:v>
      </x:c>
      <x:c r="AR507" s="7" t="str">
        <x:v>Active</x:v>
      </x:c>
      <x:c r="AS507" s="7" t="str">
        <x:v>Current detail page</x:v>
      </x:c>
    </x:row>
    <x:row r="508" ht="52" customHeight="1">
      <x:c r="A508" s="7" t="str">
        <x:v>AGUILAR INGRID JEANETH</x:v>
      </x:c>
      <x:c r="B508" s="14" t="str">
        <x:f>"0M30880"</x:f>
        <x:v>0M30880</x:v>
      </x:c>
      <x:c r="C508" s="7" t="str">
        <x:v>Omitted</x:v>
      </x:c>
      <x:c r="D508" s="7" t="str">
        <x:v>FAIL</x:v>
      </x:c>
      <x:c r="E508" s="13" t="str">
        <x:v>Pending</x:v>
      </x:c>
      <x:c r="F508" s="13" t="str"/>
      <x:c r="G508" s="13" t="str"/>
      <x:c r="H508" s="13" t="str"/>
      <x:c r="I508" s="7" t="str">
        <x:v>Was this person reviewed? If rejected, give the actual rule and evidence. If acceptable, correct the omission. Confirm the Life-qualification gate and any record change since selection.</x:v>
      </x:c>
      <x:c r="J508" s="7" t="str">
        <x:v>L1</x:v>
      </x:c>
      <x:c r="K508" s="7" t="str">
        <x:v>Verified qualifications do not include active general Life. Current target-pool mismatch; actual historical omission reason unknown.</x:v>
      </x:c>
      <x:c r="L508" s="7" t="str">
        <x:v>Not supplied; membership is known, motive is not</x:v>
      </x:c>
      <x:c r="M508" s="7" t="n">
        <x:v>7</x:v>
      </x:c>
      <x:c r="N508" s="7" t="str">
        <x:v>Outside current general-Life recruiting pool</x:v>
      </x:c>
      <x:c r="O508" s="7" t="str">
        <x:v>Not displayed</x:v>
      </x:c>
      <x:c r="P508" s="7" t="str"/>
      <x:c r="Q508" s="7" t="str"/>
      <x:c r="R508" s="7" t="str"/>
      <x:c r="S508" s="15" t="str"/>
      <x:c r="T508" s="7" t="str">
        <x:v>No public business phone in collected record</x:v>
      </x:c>
      <x:c r="U508" s="7" t="str"/>
      <x:c r="V508" s="7" t="str">
        <x:v>Resident</x:v>
      </x:c>
      <x:c r="W508" s="7" t="str">
        <x:v>CA</x:v>
      </x:c>
      <x:c r="X508" s="7" t="str"/>
      <x:c r="Y508" s="7" t="str"/>
      <x:c r="Z508" s="7" t="str"/>
      <x:c r="AA508" s="7" t="str"/>
      <x:c r="AB508" s="7" t="str"/>
      <x:c r="AC508" s="7" t="str"/>
      <x:c r="AD508" s="7" t="str">
        <x:v>No agency or insurer displayed: onboarding opportunity possible; existing business unknown</x:v>
      </x:c>
      <x:c r="AE508" s="7" t="str">
        <x:v>No public business phone: contact enrichment needed, not proof of poor recruiting fit</x:v>
      </x:c>
      <x:c r="AF508" s="16" t="str"/>
      <x:c r="AG508" s="17" t="str"/>
      <x:c r="AH508" s="7" t="str"/>
      <x:c r="AI508" s="7" t="str"/>
      <x:c r="AJ508" s="7" t="str"/>
      <x:c r="AK508" s="15" t="str"/>
      <x:c r="AL508" s="7" t="str"/>
      <x:c r="AM508" s="7" t="str">
        <x:v>Aguilar J Ingrid | AGUILAR JEANETH INGRID</x:v>
      </x:c>
      <x:c r="AN508" s="7" t="str">
        <x:v>https://cdicloud.insurance.ca.gov/cal/LicenseDetail?SearchType=IND&amp;SearchLicNbr=0M30880&amp;SearchIndvId=2015539</x:v>
      </x:c>
      <x:c r="AO508" s="7" t="str">
        <x:v>2026-10-08</x:v>
      </x:c>
      <x:c r="AP508" s="7" t="str">
        <x:v>6b75c144e553f1d6a8aec74944e04af68b9b532f1f6d03a564da79f6aae4a286</x:v>
      </x:c>
      <x:c r="AQ508" s="7" t="str">
        <x:v>Life-Only / Inactive / 04/19/2018 / 04/30/2020 / 04/30/2020</x:v>
      </x:c>
      <x:c r="AR508" s="7" t="str">
        <x:v>Inactive</x:v>
      </x:c>
      <x:c r="AS508" s="7" t="str">
        <x:v>Current detail page</x:v>
      </x:c>
    </x:row>
    <x:row r="509" ht="52" customHeight="1">
      <x:c r="A509" s="7" t="str">
        <x:v>AGUILAR IRENE</x:v>
      </x:c>
      <x:c r="B509" s="14" t="str">
        <x:f>"4200017"</x:f>
        <x:v>4200017</x:v>
      </x:c>
      <x:c r="C509" s="7" t="str">
        <x:v>Omitted</x:v>
      </x:c>
      <x:c r="D509" s="7" t="str">
        <x:v>FAIL</x:v>
      </x:c>
      <x:c r="E509" s="13" t="str">
        <x:v>Pending</x:v>
      </x:c>
      <x:c r="F509" s="13" t="str"/>
      <x:c r="G509" s="13" t="str"/>
      <x:c r="H509" s="13" t="str"/>
      <x:c r="I509" s="7" t="str">
        <x:v>Was this person reviewed? If rejected, give the actual rule and evidence. If acceptable, correct the omission. Confirm the Life-qualification gate and any record change since selection.</x:v>
      </x:c>
      <x:c r="J509" s="7" t="str">
        <x:v>L1</x:v>
      </x:c>
      <x:c r="K509" s="7" t="str">
        <x:v>Verified qualifications do not include active general Life. Current target-pool mismatch; actual historical omission reason unknown.</x:v>
      </x:c>
      <x:c r="L509" s="7" t="str">
        <x:v>Not supplied; membership is known, motive is not</x:v>
      </x:c>
      <x:c r="M509" s="7" t="n">
        <x:v>7</x:v>
      </x:c>
      <x:c r="N509" s="7" t="str">
        <x:v>Outside current general-Life recruiting pool</x:v>
      </x:c>
      <x:c r="O509" s="7" t="str">
        <x:v>Not displayed</x:v>
      </x:c>
      <x:c r="P509" s="7" t="str"/>
      <x:c r="Q509" s="7" t="str"/>
      <x:c r="R509" s="7" t="str"/>
      <x:c r="S509" s="15" t="str"/>
      <x:c r="T509" s="7" t="str">
        <x:v>No public business phone in collected record</x:v>
      </x:c>
      <x:c r="U509" s="7" t="str">
        <x:v>5861 FIRESTONE BLVD, STE B SOUTH GATE CA, 90280</x:v>
      </x:c>
      <x:c r="V509" s="7" t="str">
        <x:v>Resident</x:v>
      </x:c>
      <x:c r="W509" s="7" t="str">
        <x:v>CA</x:v>
      </x:c>
      <x:c r="X509" s="7" t="str"/>
      <x:c r="Y509" s="7" t="str"/>
      <x:c r="Z509" s="7" t="str"/>
      <x:c r="AA509" s="7" t="str"/>
      <x:c r="AB509" s="7" t="str"/>
      <x:c r="AC509" s="7" t="str"/>
      <x:c r="AD509" s="7" t="str">
        <x:v>No agency or insurer displayed: onboarding opportunity possible; existing business unknown</x:v>
      </x:c>
      <x:c r="AE509" s="7" t="str">
        <x:v>No public business phone: contact enrichment needed, not proof of poor recruiting fit</x:v>
      </x:c>
      <x:c r="AF509" s="16" t="str"/>
      <x:c r="AG509" s="17" t="str"/>
      <x:c r="AH509" s="7" t="str"/>
      <x:c r="AI509" s="7" t="str"/>
      <x:c r="AJ509" s="7" t="str"/>
      <x:c r="AK509" s="15" t="str"/>
      <x:c r="AL509" s="7" t="str"/>
      <x:c r="AM509" s="7" t="str">
        <x:v>AGUILAR  IRENE</x:v>
      </x:c>
      <x:c r="AN509" s="7" t="str">
        <x:v>https://cdicloud.insurance.ca.gov/cal/LicenseDetail?SearchType=IND&amp;SearchLicNbr=4200017&amp;SearchIndvId=4200017</x:v>
      </x:c>
      <x:c r="AO509" s="7" t="str">
        <x:v>2026-10-08</x:v>
      </x:c>
      <x:c r="AP509" s="7" t="str">
        <x:v>d2611a939ea2888f788141fe504da2dcf68e2dbfc5349f57d26e414e78870161</x:v>
      </x:c>
      <x:c r="AQ509" s="7" t="str">
        <x:v>Limited Lines Automobile / Inactive / 04/13/2022 / 04/30/2024 / 04/30/2024</x:v>
      </x:c>
      <x:c r="AR509" s="7" t="str">
        <x:v>Inactive</x:v>
      </x:c>
      <x:c r="AS509" s="7" t="str">
        <x:v>Current detail page</x:v>
      </x:c>
    </x:row>
    <x:row r="510" ht="52" customHeight="1">
      <x:c r="A510" s="7" t="str">
        <x:v>AGUILAR IRISMARTHA BERTHA</x:v>
      </x:c>
      <x:c r="B510" s="14" t="str">
        <x:f>"4345574"</x:f>
        <x:v>4345574</x:v>
      </x:c>
      <x:c r="C510" s="7" t="str">
        <x:v>Omitted</x:v>
      </x:c>
      <x:c r="D510" s="7" t="str">
        <x:v>FAIL</x:v>
      </x:c>
      <x:c r="E510" s="13" t="str">
        <x:v>Pending</x:v>
      </x:c>
      <x:c r="F510" s="13" t="str"/>
      <x:c r="G510" s="13" t="str"/>
      <x:c r="H510" s="13" t="str"/>
      <x:c r="I510" s="7" t="str">
        <x:v>Was this person reviewed? If rejected, give the actual rule and evidence. If acceptable, correct the omission. Confirm the Life-qualification gate and any record change since selection.</x:v>
      </x:c>
      <x:c r="J510" s="7" t="str">
        <x:v>L1</x:v>
      </x:c>
      <x:c r="K510" s="7" t="str">
        <x:v>Verified qualifications do not include active general Life. Current target-pool mismatch; actual historical omission reason unknown.</x:v>
      </x:c>
      <x:c r="L510" s="7" t="str">
        <x:v>Not supplied; membership is known, motive is not</x:v>
      </x:c>
      <x:c r="M510" s="7" t="n">
        <x:v>7</x:v>
      </x:c>
      <x:c r="N510" s="7" t="str">
        <x:v>Outside current general-Life recruiting pool</x:v>
      </x:c>
      <x:c r="O510" s="7" t="str">
        <x:v>Inactive</x:v>
      </x:c>
      <x:c r="P510" s="7" t="str">
        <x:v>12/19/2023</x:v>
      </x:c>
      <x:c r="Q510" s="7" t="str">
        <x:v>12/31/2025</x:v>
      </x:c>
      <x:c r="R510" s="7" t="str"/>
      <x:c r="S510" s="15" t="str">
        <x:v>818-245-6591</x:v>
      </x:c>
      <x:c r="T510" s="7" t="str">
        <x:v>Current CDI</x:v>
      </x:c>
      <x:c r="U510" s="7" t="str">
        <x:v>315 ARDEN AVE STE #26 GLENDALE CA, 91203</x:v>
      </x:c>
      <x:c r="V510" s="7" t="str">
        <x:v>Resident</x:v>
      </x:c>
      <x:c r="W510" s="7" t="str">
        <x:v>CA</x:v>
      </x:c>
      <x:c r="X510" s="7" t="str"/>
      <x:c r="Y510" s="7" t="str"/>
      <x:c r="Z510" s="7" t="str"/>
      <x:c r="AA510" s="7" t="str"/>
      <x:c r="AB510" s="7" t="str"/>
      <x:c r="AC510" s="7" t="str"/>
      <x:c r="AD510" s="7" t="str">
        <x:v>No agency or insurer displayed: onboarding opportunity possible; existing business unknown</x:v>
      </x:c>
      <x:c r="AE510" s="7" t="str"/>
      <x:c r="AF510" s="16" t="str"/>
      <x:c r="AG510" s="17" t="str"/>
      <x:c r="AH510" s="7" t="str"/>
      <x:c r="AI510" s="7" t="str">
        <x:v>English</x:v>
      </x:c>
      <x:c r="AJ510" s="7" t="str"/>
      <x:c r="AK510" s="15" t="str"/>
      <x:c r="AL510" s="7" t="str"/>
      <x:c r="AM510" s="7" t="str">
        <x:v>AGUILAR BERTHA IRISMARTHA</x:v>
      </x:c>
      <x:c r="AN510" s="7" t="str">
        <x:v>https://cdicloud.insurance.ca.gov/cal/LicenseDetail?SearchType=IND&amp;SearchLicNbr=4345574&amp;SearchIndvId=4345574</x:v>
      </x:c>
      <x:c r="AO510" s="7" t="str">
        <x:v>2026-10-08</x:v>
      </x:c>
      <x:c r="AP510" s="7" t="str">
        <x:v>254d7e02b348de068eb548c87bff540a849cd30b2005736cc3f551ea28a8bcaa</x:v>
      </x:c>
      <x:c r="AQ510" s="7" t="str">
        <x:v>Life / Inactive / 12/19/2023 / 12/31/2025 / 12/31/2025</x:v>
      </x:c>
      <x:c r="AR510" s="7" t="str">
        <x:v>Inactive</x:v>
      </x:c>
      <x:c r="AS510" s="7" t="str">
        <x:v>Current detail page</x:v>
      </x:c>
    </x:row>
    <x:row r="511" ht="52" customHeight="1">
      <x:c r="A511" s="7" t="str">
        <x:v>AGUILAR IRMA CONCEPCION</x:v>
      </x:c>
      <x:c r="B511" s="14" t="str">
        <x:f>"0D16967"</x:f>
        <x:v>0D16967</x:v>
      </x:c>
      <x:c r="C511" s="7" t="str">
        <x:v>Omitted</x:v>
      </x:c>
      <x:c r="D511" s="7" t="str">
        <x:v>FAIL</x:v>
      </x:c>
      <x:c r="E511" s="13" t="str">
        <x:v>Pending</x:v>
      </x:c>
      <x:c r="F511" s="13" t="str"/>
      <x:c r="G511" s="13" t="str"/>
      <x:c r="H511" s="13" t="str"/>
      <x:c r="I511" s="7" t="str">
        <x:v>Was this person reviewed? If rejected, give the actual rule and evidence. If acceptable, correct the omission. Confirm the Life-qualification gate and any record change since selection.</x:v>
      </x:c>
      <x:c r="J511" s="7" t="str">
        <x:v>L1</x:v>
      </x:c>
      <x:c r="K511" s="7" t="str">
        <x:v>Verified qualifications do not include active general Life. Current target-pool mismatch; actual historical omission reason unknown.</x:v>
      </x:c>
      <x:c r="L511" s="7" t="str">
        <x:v>Not supplied; membership is known, motive is not</x:v>
      </x:c>
      <x:c r="M511" s="7" t="n">
        <x:v>7</x:v>
      </x:c>
      <x:c r="N511" s="7" t="str">
        <x:v>Outside current general-Life recruiting pool</x:v>
      </x:c>
      <x:c r="O511" s="7" t="str">
        <x:v>Not displayed</x:v>
      </x:c>
      <x:c r="P511" s="7" t="str"/>
      <x:c r="Q511" s="7" t="str"/>
      <x:c r="R511" s="7" t="str"/>
      <x:c r="S511" s="15" t="str"/>
      <x:c r="T511" s="7" t="str">
        <x:v>No public business phone in collected record</x:v>
      </x:c>
      <x:c r="U511" s="7" t="str"/>
      <x:c r="V511" s="7" t="str">
        <x:v>Resident</x:v>
      </x:c>
      <x:c r="W511" s="7" t="str">
        <x:v>CA</x:v>
      </x:c>
      <x:c r="X511" s="7" t="str"/>
      <x:c r="Y511" s="7" t="str"/>
      <x:c r="Z511" s="7" t="str"/>
      <x:c r="AA511" s="7" t="str"/>
      <x:c r="AB511" s="7" t="str"/>
      <x:c r="AC511" s="7" t="str"/>
      <x:c r="AD511" s="7" t="str">
        <x:v>No agency or insurer displayed: onboarding opportunity possible; existing business unknown</x:v>
      </x:c>
      <x:c r="AE511" s="7" t="str">
        <x:v>No public business phone: contact enrichment needed, not proof of poor recruiting fit</x:v>
      </x:c>
      <x:c r="AF511" s="16" t="str"/>
      <x:c r="AG511" s="17" t="str"/>
      <x:c r="AH511" s="7" t="str"/>
      <x:c r="AI511" s="7" t="str"/>
      <x:c r="AJ511" s="7" t="str"/>
      <x:c r="AK511" s="15" t="str"/>
      <x:c r="AL511" s="7" t="str"/>
      <x:c r="AM511" s="7" t="str">
        <x:v>AGUILAR CONCEPCION IRMA</x:v>
      </x:c>
      <x:c r="AN511" s="7" t="str">
        <x:v>https://cdicloud.insurance.ca.gov/cal/LicenseDetail?SearchType=IND&amp;SearchLicNbr=0D16967&amp;SearchIndvId=556584</x:v>
      </x:c>
      <x:c r="AO511" s="7" t="str">
        <x:v>2026-10-08</x:v>
      </x:c>
      <x:c r="AP511" s="7" t="str">
        <x:v>abfefa615f17261e5edbe76c59e1e60ca9cd7795810910330b8e0e27bfcb1eee</x:v>
      </x:c>
      <x:c r="AQ511" s="7" t="str">
        <x:v>Casualty Broker-Agent / Inactive / 05/11/2001 / 05/31/2013 / 05/31/2013
Property Broker-Agent / Inactive / 05/11/2001 / 05/31/2013 / 05/31/2013</x:v>
      </x:c>
      <x:c r="AR511" s="7" t="str">
        <x:v>Inactive</x:v>
      </x:c>
      <x:c r="AS511" s="7" t="str">
        <x:v>Current detail page</x:v>
      </x:c>
    </x:row>
    <x:row r="512" ht="52" customHeight="1">
      <x:c r="A512" s="7" t="str">
        <x:v>AGUILAR IRMA ELIZABETH</x:v>
      </x:c>
      <x:c r="B512" s="14" t="str">
        <x:f>"0C84035"</x:f>
        <x:v>0C84035</x:v>
      </x:c>
      <x:c r="C512" s="7" t="str">
        <x:v>Omitted</x:v>
      </x:c>
      <x:c r="D512" s="7" t="str">
        <x:v>FAIL</x:v>
      </x:c>
      <x:c r="E512" s="13" t="str">
        <x:v>Pending</x:v>
      </x:c>
      <x:c r="F512" s="13" t="str"/>
      <x:c r="G512" s="13" t="str"/>
      <x:c r="H512" s="13" t="str"/>
      <x:c r="I512" s="7" t="str">
        <x:v>Was this person reviewed? If rejected, give the actual rule and evidence. If acceptable, correct the omission. Confirm the Life-qualification gate and any record change since selection.</x:v>
      </x:c>
      <x:c r="J512" s="7" t="str">
        <x:v>L1</x:v>
      </x:c>
      <x:c r="K512" s="7" t="str">
        <x:v>Verified qualifications do not include active general Life. Current target-pool mismatch; actual historical omission reason unknown.</x:v>
      </x:c>
      <x:c r="L512" s="7" t="str">
        <x:v>Not supplied; membership is known, motive is not</x:v>
      </x:c>
      <x:c r="M512" s="7" t="n">
        <x:v>7</x:v>
      </x:c>
      <x:c r="N512" s="7" t="str">
        <x:v>Outside current general-Life recruiting pool</x:v>
      </x:c>
      <x:c r="O512" s="7" t="str">
        <x:v>Not displayed</x:v>
      </x:c>
      <x:c r="P512" s="7" t="str"/>
      <x:c r="Q512" s="7" t="str"/>
      <x:c r="R512" s="7" t="str"/>
      <x:c r="S512" s="15" t="str"/>
      <x:c r="T512" s="7" t="str">
        <x:v>No public business phone in collected record</x:v>
      </x:c>
      <x:c r="U512" s="7" t="str"/>
      <x:c r="V512" s="7" t="str">
        <x:v>Resident</x:v>
      </x:c>
      <x:c r="W512" s="7" t="str">
        <x:v>CA</x:v>
      </x:c>
      <x:c r="X512" s="7" t="str"/>
      <x:c r="Y512" s="7" t="str"/>
      <x:c r="Z512" s="7" t="str"/>
      <x:c r="AA512" s="7" t="str"/>
      <x:c r="AB512" s="7" t="str"/>
      <x:c r="AC512" s="7" t="str"/>
      <x:c r="AD512" s="7" t="str">
        <x:v>No agency or insurer displayed: onboarding opportunity possible; existing business unknown</x:v>
      </x:c>
      <x:c r="AE512" s="7" t="str">
        <x:v>No public business phone: contact enrichment needed, not proof of poor recruiting fit</x:v>
      </x:c>
      <x:c r="AF512" s="16" t="str"/>
      <x:c r="AG512" s="17" t="str"/>
      <x:c r="AH512" s="7" t="str"/>
      <x:c r="AI512" s="7" t="str"/>
      <x:c r="AJ512" s="7" t="str"/>
      <x:c r="AK512" s="15" t="str"/>
      <x:c r="AL512" s="7" t="str"/>
      <x:c r="AM512" s="7" t="str">
        <x:v>AGUILAR ELIZABETH IRMA</x:v>
      </x:c>
      <x:c r="AN512" s="7" t="str">
        <x:v>https://cdicloud.insurance.ca.gov/cal/LicenseDetail?SearchType=IND&amp;SearchLicNbr=0C84035&amp;SearchIndvId=463422</x:v>
      </x:c>
      <x:c r="AO512" s="7" t="str">
        <x:v>2026-10-08</x:v>
      </x:c>
      <x:c r="AP512" s="7" t="str">
        <x:v>9f1fa97342074b19bf3aedeceb92461b100f9c71a44300d51421b7f49c0f0d4a</x:v>
      </x:c>
      <x:c r="AQ512" s="7" t="str">
        <x:v>Casualty Broker-Agent / Inactive / 01/18/2000 / 01/31/2002 / 01/31/2002
Property Broker-Agent / Inactive / 01/18/2000 / 01/31/2002 / 01/31/2002</x:v>
      </x:c>
      <x:c r="AR512" s="7" t="str">
        <x:v>Inactive</x:v>
      </x:c>
      <x:c r="AS512" s="7" t="str">
        <x:v>Current detail page</x:v>
      </x:c>
    </x:row>
    <x:row r="513" ht="52" customHeight="1">
      <x:c r="A513" s="7" t="str">
        <x:v>AGUILAR ISABEL</x:v>
      </x:c>
      <x:c r="B513" s="14" t="str">
        <x:f>"4205444"</x:f>
        <x:v>4205444</x:v>
      </x:c>
      <x:c r="C513" s="7" t="str">
        <x:v>Omitted</x:v>
      </x:c>
      <x:c r="D513" s="7" t="str">
        <x:v>FAIL</x:v>
      </x:c>
      <x:c r="E513" s="13" t="str">
        <x:v>Pending</x:v>
      </x:c>
      <x:c r="F513" s="13" t="str"/>
      <x:c r="G513" s="13" t="str"/>
      <x:c r="H513" s="13" t="str"/>
      <x:c r="I513" s="7" t="str">
        <x:v>Was this person reviewed? If rejected, give the actual rule and evidence. If acceptable, correct the omission. Confirm the Life-qualification gate and any record change since selection.</x:v>
      </x:c>
      <x:c r="J513" s="7" t="str">
        <x:v>L1</x:v>
      </x:c>
      <x:c r="K513" s="7" t="str">
        <x:v>Verified qualifications do not include active general Life. Current target-pool mismatch; actual historical omission reason unknown.</x:v>
      </x:c>
      <x:c r="L513" s="7" t="str">
        <x:v>Not supplied; membership is known, motive is not</x:v>
      </x:c>
      <x:c r="M513" s="7" t="n">
        <x:v>7</x:v>
      </x:c>
      <x:c r="N513" s="7" t="str">
        <x:v>Outside current general-Life recruiting pool</x:v>
      </x:c>
      <x:c r="O513" s="7" t="str">
        <x:v>Not displayed</x:v>
      </x:c>
      <x:c r="P513" s="7" t="str"/>
      <x:c r="Q513" s="7" t="str"/>
      <x:c r="R513" s="7" t="str">
        <x:v>Casualty; Property</x:v>
      </x:c>
      <x:c r="S513" s="15" t="str"/>
      <x:c r="T513" s="7" t="str">
        <x:v>No public business phone in collected record</x:v>
      </x:c>
      <x:c r="U513" s="7" t="str">
        <x:v>6303 OWENSMOUTH AVE WOODLAND HILLS CA, 91367-2264</x:v>
      </x:c>
      <x:c r="V513" s="7" t="str">
        <x:v>Non-resident</x:v>
      </x:c>
      <x:c r="W513" s="7" t="str">
        <x:v>CA</x:v>
      </x:c>
      <x:c r="X513" s="7" t="str">
        <x:v>FX INSURANCE AGENCY, LLC / Property / 01/09/2026
FX INSURANCE AGENCY, LLC / Casualty / 01/09/2026</x:v>
      </x:c>
      <x:c r="Y513" s="7" t="str"/>
      <x:c r="Z513" s="7" t="str"/>
      <x:c r="AA513" s="7" t="str"/>
      <x:c r="AB513" s="7" t="str"/>
      <x:c r="AC513" s="7" t="str"/>
      <x:c r="AD513" s="7" t="str"/>
      <x:c r="AE513"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513" s="16" t="str"/>
      <x:c r="AG513" s="17" t="str"/>
      <x:c r="AH513" s="7" t="str"/>
      <x:c r="AI513" s="7" t="str"/>
      <x:c r="AJ513" s="7" t="str"/>
      <x:c r="AK513" s="15" t="str"/>
      <x:c r="AL513" s="7" t="str"/>
      <x:c r="AM513" s="7" t="str">
        <x:v>AGUILAR  ISABEL</x:v>
      </x:c>
      <x:c r="AN513" s="7" t="str">
        <x:v>https://cdicloud.insurance.ca.gov/cal/LicenseDetail?SearchType=IND&amp;SearchLicNbr=4205444&amp;SearchIndvId=4205444</x:v>
      </x:c>
      <x:c r="AO513" s="7" t="str">
        <x:v>2026-10-08</x:v>
      </x:c>
      <x:c r="AP513" s="7" t="str">
        <x:v>5ae7e89bb8e3c0e43aa7d9900e670a67d93e9508c3343c0ee8e8436ca6bb5bef</x:v>
      </x:c>
      <x:c r="AQ513" s="7" t="str">
        <x:v>Casualty / Active / 01/08/2026 / 01/08/2026 / 01/31/2028
Property / Active / 01/08/2026 / 01/08/2026 / 01/31/2028
Personal Lines / Inactive / 04/19/2022 / 04/30/2024 / 04/30/2024</x:v>
      </x:c>
      <x:c r="AR513" s="7" t="str">
        <x:v>Active</x:v>
      </x:c>
      <x:c r="AS513" s="7" t="str">
        <x:v>Current detail page</x:v>
      </x:c>
    </x:row>
    <x:row r="514" ht="52" customHeight="1">
      <x:c r="A514" s="7" t="str">
        <x:v>AGUILAR ISAI</x:v>
      </x:c>
      <x:c r="B514" s="14" t="str">
        <x:f>"4035428"</x:f>
        <x:v>4035428</x:v>
      </x:c>
      <x:c r="C514" s="7" t="str">
        <x:v>Omitted</x:v>
      </x:c>
      <x:c r="D514" s="7" t="str">
        <x:v>FAIL</x:v>
      </x:c>
      <x:c r="E514" s="13" t="str">
        <x:v>Pending</x:v>
      </x:c>
      <x:c r="F514" s="13" t="str"/>
      <x:c r="G514" s="13" t="str"/>
      <x:c r="H514" s="13" t="str"/>
      <x:c r="I514" s="7" t="str">
        <x:v>Was this person reviewed? If rejected, give the actual rule and evidence. If acceptable, correct the omission. Confirm the Life-qualification gate and any record change since selection.</x:v>
      </x:c>
      <x:c r="J514" s="7" t="str">
        <x:v>L1</x:v>
      </x:c>
      <x:c r="K514" s="7" t="str">
        <x:v>Verified qualifications do not include active general Life. Current target-pool mismatch; actual historical omission reason unknown.</x:v>
      </x:c>
      <x:c r="L514" s="7" t="str">
        <x:v>Not supplied; membership is known, motive is not</x:v>
      </x:c>
      <x:c r="M514" s="7" t="n">
        <x:v>7</x:v>
      </x:c>
      <x:c r="N514" s="7" t="str">
        <x:v>Outside current general-Life recruiting pool</x:v>
      </x:c>
      <x:c r="O514" s="7" t="str">
        <x:v>Not displayed</x:v>
      </x:c>
      <x:c r="P514" s="7" t="str"/>
      <x:c r="Q514" s="7" t="str"/>
      <x:c r="R514" s="7" t="str"/>
      <x:c r="S514" s="15" t="str">
        <x:v>661-370-0300</x:v>
      </x:c>
      <x:c r="T514" s="7" t="str">
        <x:v>Current CDI</x:v>
      </x:c>
      <x:c r="U514" s="7" t="str">
        <x:v>550 CENTRAL AVE SHAFTER CA, 93263</x:v>
      </x:c>
      <x:c r="V514" s="7" t="str">
        <x:v>Resident</x:v>
      </x:c>
      <x:c r="W514" s="7" t="str">
        <x:v>CA</x:v>
      </x:c>
      <x:c r="X514" s="7" t="str"/>
      <x:c r="Y514" s="7" t="str"/>
      <x:c r="Z514" s="7" t="str"/>
      <x:c r="AA514" s="7" t="str"/>
      <x:c r="AB514" s="7" t="str"/>
      <x:c r="AC514" s="7" t="str"/>
      <x:c r="AD514" s="7" t="str">
        <x:v>No agency or insurer displayed: onboarding opportunity possible; existing business unknown</x:v>
      </x:c>
      <x:c r="AE514" s="7" t="str"/>
      <x:c r="AF514" s="16" t="str"/>
      <x:c r="AG514" s="17" t="str"/>
      <x:c r="AH514" s="7" t="str"/>
      <x:c r="AI514" s="7" t="str">
        <x:v>English</x:v>
      </x:c>
      <x:c r="AJ514" s="7" t="str"/>
      <x:c r="AK514" s="15" t="str"/>
      <x:c r="AL514" s="7" t="str"/>
      <x:c r="AM514" s="7" t="str">
        <x:v>AGUILAR  ISAI</x:v>
      </x:c>
      <x:c r="AN514" s="7" t="str">
        <x:v>https://cdicloud.insurance.ca.gov/cal/LicenseDetail?SearchType=IND&amp;SearchLicNbr=4035428&amp;SearchIndvId=4035428</x:v>
      </x:c>
      <x:c r="AO514" s="7" t="str">
        <x:v>2026-10-08</x:v>
      </x:c>
      <x:c r="AP514" s="7" t="str">
        <x:v>0873f4b0e497fa761ed963abffedd2761fa7f32c9af1c8679b59def19520db49</x:v>
      </x:c>
      <x:c r="AQ514" s="7" t="str">
        <x:v>Personal Lines / Inactive / 02/24/2020 / 02/28/2022 / 02/28/2022</x:v>
      </x:c>
      <x:c r="AR514" s="7" t="str">
        <x:v>Inactive</x:v>
      </x:c>
      <x:c r="AS514" s="7" t="str">
        <x:v>Current detail page</x:v>
      </x:c>
    </x:row>
    <x:row r="515" ht="52" customHeight="1">
      <x:c r="A515" s="7" t="str">
        <x:v>AGUILAR ISAIAH GEOVANI</x:v>
      </x:c>
      <x:c r="B515" s="14" t="str">
        <x:f>"4240010"</x:f>
        <x:v>4240010</x:v>
      </x:c>
      <x:c r="C515" s="7" t="str">
        <x:v>Omitted</x:v>
      </x:c>
      <x:c r="D515" s="7" t="str">
        <x:v>FAIL</x:v>
      </x:c>
      <x:c r="E515" s="13" t="str">
        <x:v>Pending</x:v>
      </x:c>
      <x:c r="F515" s="13" t="str"/>
      <x:c r="G515" s="13" t="str"/>
      <x:c r="H515" s="13" t="str"/>
      <x:c r="I515" s="7" t="str">
        <x:v>Was this person reviewed? If rejected, give the actual rule and evidence. If acceptable, correct the omission. Confirm the Life-qualification gate and any record change since selection.</x:v>
      </x:c>
      <x:c r="J515" s="7" t="str">
        <x:v>L1</x:v>
      </x:c>
      <x:c r="K515" s="7" t="str">
        <x:v>Verified qualifications do not include active general Life. Current target-pool mismatch; actual historical omission reason unknown.</x:v>
      </x:c>
      <x:c r="L515" s="7" t="str">
        <x:v>Not supplied; membership is known, motive is not</x:v>
      </x:c>
      <x:c r="M515" s="7" t="n">
        <x:v>7</x:v>
      </x:c>
      <x:c r="N515" s="7" t="str">
        <x:v>Outside current general-Life recruiting pool</x:v>
      </x:c>
      <x:c r="O515" s="7" t="str">
        <x:v>Inactive</x:v>
      </x:c>
      <x:c r="P515" s="7" t="str">
        <x:v>09/29/2022</x:v>
      </x:c>
      <x:c r="Q515" s="7" t="str">
        <x:v>09/30/2024</x:v>
      </x:c>
      <x:c r="R515" s="7" t="str"/>
      <x:c r="S515" s="15" t="str"/>
      <x:c r="T515" s="7" t="str">
        <x:v>No public business phone in collected record</x:v>
      </x:c>
      <x:c r="U515" s="7" t="str">
        <x:v>3401 W SUNFLOWER AVE SANTA ANA CA, 90621</x:v>
      </x:c>
      <x:c r="V515" s="7" t="str">
        <x:v>Resident</x:v>
      </x:c>
      <x:c r="W515" s="7" t="str">
        <x:v>CA</x:v>
      </x:c>
      <x:c r="X515" s="7" t="str"/>
      <x:c r="Y515" s="7" t="str"/>
      <x:c r="Z515" s="7" t="str"/>
      <x:c r="AA515" s="7" t="str"/>
      <x:c r="AB515" s="7" t="str"/>
      <x:c r="AC515" s="7" t="str"/>
      <x:c r="AD515" s="7" t="str">
        <x:v>No agency or insurer displayed: onboarding opportunity possible; existing business unknown</x:v>
      </x:c>
      <x:c r="AE515" s="7" t="str">
        <x:v>No public business phone: contact enrichment needed, not proof of poor recruiting fit</x:v>
      </x:c>
      <x:c r="AF515" s="16" t="str"/>
      <x:c r="AG515" s="17" t="str"/>
      <x:c r="AH515" s="7" t="str"/>
      <x:c r="AI515" s="7" t="str"/>
      <x:c r="AJ515" s="7" t="str"/>
      <x:c r="AK515" s="15" t="str"/>
      <x:c r="AL515" s="7" t="str"/>
      <x:c r="AM515" s="7" t="str">
        <x:v>AGUILAR Geovani ISAIAH</x:v>
      </x:c>
      <x:c r="AN515" s="7" t="str">
        <x:v>https://cdicloud.insurance.ca.gov/cal/LicenseDetail?SearchType=IND&amp;SearchLicNbr=4240010&amp;SearchIndvId=4240010</x:v>
      </x:c>
      <x:c r="AO515" s="7" t="str">
        <x:v>2026-10-08</x:v>
      </x:c>
      <x:c r="AP515" s="7" t="str">
        <x:v>bbe6e6d59cbb9dd38160d8765033b7cbecce16117c62f5b3aca69aa65b4b1c09</x:v>
      </x:c>
      <x:c r="AQ515" s="7" t="str">
        <x:v>Life / Inactive / 09/29/2022 / 09/30/2024 / 09/30/2024</x:v>
      </x:c>
      <x:c r="AR515" s="7" t="str">
        <x:v>Inactive</x:v>
      </x:c>
      <x:c r="AS515" s="7" t="str">
        <x:v>Current detail page</x:v>
      </x:c>
    </x:row>
    <x:row r="516" ht="52" customHeight="1">
      <x:c r="A516" s="7" t="str">
        <x:v>AGUILAR ISELDA</x:v>
      </x:c>
      <x:c r="B516" s="14" t="str">
        <x:f>"0G13015"</x:f>
        <x:v>0G13015</x:v>
      </x:c>
      <x:c r="C516" s="7" t="str">
        <x:v>Omitted</x:v>
      </x:c>
      <x:c r="D516" s="7" t="str">
        <x:v>FAIL</x:v>
      </x:c>
      <x:c r="E516" s="13" t="str">
        <x:v>Pending</x:v>
      </x:c>
      <x:c r="F516" s="13" t="str"/>
      <x:c r="G516" s="13" t="str"/>
      <x:c r="H516" s="13" t="str"/>
      <x:c r="I516" s="7" t="str">
        <x:v>Was this person reviewed? If rejected, give the actual rule and evidence. If acceptable, correct the omission. Confirm the Life-qualification gate and any record change since selection.</x:v>
      </x:c>
      <x:c r="J516" s="7" t="str">
        <x:v>L1</x:v>
      </x:c>
      <x:c r="K516" s="7" t="str">
        <x:v>Verified qualifications do not include active general Life. Current target-pool mismatch; actual historical omission reason unknown.</x:v>
      </x:c>
      <x:c r="L516" s="7" t="str">
        <x:v>Not supplied; membership is known, motive is not</x:v>
      </x:c>
      <x:c r="M516" s="7" t="n">
        <x:v>7</x:v>
      </x:c>
      <x:c r="N516" s="7" t="str">
        <x:v>Outside current general-Life recruiting pool</x:v>
      </x:c>
      <x:c r="O516" s="7" t="str">
        <x:v>Not displayed</x:v>
      </x:c>
      <x:c r="P516" s="7" t="str"/>
      <x:c r="Q516" s="7" t="str"/>
      <x:c r="R516" s="7" t="str"/>
      <x:c r="S516" s="15" t="str"/>
      <x:c r="T516" s="7" t="str">
        <x:v>No public business phone in collected record</x:v>
      </x:c>
      <x:c r="U516" s="7" t="str"/>
      <x:c r="V516" s="7" t="str">
        <x:v>Resident</x:v>
      </x:c>
      <x:c r="W516" s="7" t="str">
        <x:v>CA</x:v>
      </x:c>
      <x:c r="X516" s="7" t="str"/>
      <x:c r="Y516" s="7" t="str"/>
      <x:c r="Z516" s="7" t="str"/>
      <x:c r="AA516" s="7" t="str"/>
      <x:c r="AB516" s="7" t="str"/>
      <x:c r="AC516" s="7" t="str"/>
      <x:c r="AD516" s="7" t="str">
        <x:v>No agency or insurer displayed: onboarding opportunity possible; existing business unknown</x:v>
      </x:c>
      <x:c r="AE516" s="7" t="str">
        <x:v>No public business phone: contact enrichment needed, not proof of poor recruiting fit</x:v>
      </x:c>
      <x:c r="AF516" s="16" t="str"/>
      <x:c r="AG516" s="17" t="str"/>
      <x:c r="AH516" s="7" t="str"/>
      <x:c r="AI516" s="7" t="str"/>
      <x:c r="AJ516" s="7" t="str"/>
      <x:c r="AK516" s="15" t="str"/>
      <x:c r="AL516" s="7" t="str"/>
      <x:c r="AM516" s="7" t="str">
        <x:v>AGUILAR  ISELDA</x:v>
      </x:c>
      <x:c r="AN516" s="7" t="str">
        <x:v>https://cdicloud.insurance.ca.gov/cal/LicenseDetail?SearchType=IND&amp;SearchLicNbr=0G13015&amp;SearchIndvId=1150266</x:v>
      </x:c>
      <x:c r="AO516" s="7" t="str">
        <x:v>2026-10-08</x:v>
      </x:c>
      <x:c r="AP516" s="7" t="str">
        <x:v>c483637f07d7377b0605a7932c96ae21d55546a7e234f9c42a442aa79fdbf018</x:v>
      </x:c>
      <x:c r="AQ516" s="7" t="str">
        <x:v>Life-Only / Inactive / 05/14/2008 / 05/31/2010 / 05/31/2010</x:v>
      </x:c>
      <x:c r="AR516" s="7" t="str">
        <x:v>Inactive</x:v>
      </x:c>
      <x:c r="AS516" s="7" t="str">
        <x:v>Current detail page</x:v>
      </x:c>
    </x:row>
    <x:row r="517" ht="52" customHeight="1">
      <x:c r="A517" s="7" t="str">
        <x:v>AGUILAR ISIS</x:v>
      </x:c>
      <x:c r="B517" s="14" t="str">
        <x:f>"4547720"</x:f>
        <x:v>4547720</x:v>
      </x:c>
      <x:c r="C517" s="7" t="str">
        <x:v>Omitted</x:v>
      </x:c>
      <x:c r="D517" s="7" t="str">
        <x:v>FAIL</x:v>
      </x:c>
      <x:c r="E517" s="13" t="str">
        <x:v>Pending</x:v>
      </x:c>
      <x:c r="F517" s="13" t="str"/>
      <x:c r="G517" s="13" t="str"/>
      <x:c r="H517" s="13" t="str"/>
      <x:c r="I517" s="7" t="str">
        <x:v>Was this person reviewed? If rejected, give the actual rule and evidence. If acceptable, correct the omission. Confirm the Life-qualification gate and any record change since selection.</x:v>
      </x:c>
      <x:c r="J517" s="7" t="str">
        <x:v>L1</x:v>
      </x:c>
      <x:c r="K517" s="7" t="str">
        <x:v>Verified qualifications do not include active general Life. Current target-pool mismatch; actual historical omission reason unknown.</x:v>
      </x:c>
      <x:c r="L517" s="7" t="str">
        <x:v>Not supplied; membership is known, motive is not</x:v>
      </x:c>
      <x:c r="M517" s="7" t="n">
        <x:v>7</x:v>
      </x:c>
      <x:c r="N517" s="7" t="str">
        <x:v>Outside current general-Life recruiting pool</x:v>
      </x:c>
      <x:c r="O517" s="7" t="str">
        <x:v>Not displayed</x:v>
      </x:c>
      <x:c r="P517" s="7" t="str"/>
      <x:c r="Q517" s="7" t="str"/>
      <x:c r="R517" s="7" t="str">
        <x:v>Casualty; Property</x:v>
      </x:c>
      <x:c r="S517" s="15" t="str"/>
      <x:c r="T517" s="7" t="str">
        <x:v>No public business phone in collected record</x:v>
      </x:c>
      <x:c r="U517" s="7" t="str">
        <x:v>2919 FOREST HOLLOW LN APT 2007 ARLINGTON TX, 76006-3011</x:v>
      </x:c>
      <x:c r="V517" s="7" t="str">
        <x:v>Non-resident</x:v>
      </x:c>
      <x:c r="W517" s="7" t="str">
        <x:v>TX</x:v>
      </x:c>
      <x:c r="X517" s="7" t="str">
        <x:v>PETS BEST INSURANCE SERVICES, LLC / Property / 08/14/2026
PETS BEST INSURANCE SERVICES, LLC / Property / 08/14/2026
PETS BEST INSURANCE SERVICES, LLC / Casualty / 08/14/2026
PETS BEST INSURANCE SERVICES, LLC / Casualty / 08/14/2026</x:v>
      </x:c>
      <x:c r="Y517" s="7" t="str">
        <x:v>AMERICAN PET INSURANCE COMPANY / Casualty / 05/22/2026
AMERICAN PET INSURANCE COMPANY / Property / 05/22/2026
INDEPENDENCE AMERICAN INSURANCE COMPANY / Casualty / 05/22/2026
INDEPENDENCE AMERICAN INSURANCE COMPANY / Property / 05/22/2026
MS TRANSVERSE INSURANCE COMPANY / Casualty / 08/20/2026
MS TRANSVERSE INSURANCE COMPANY / Property / 08/20/2026</x:v>
      </x:c>
      <x:c r="Z517" s="7" t="str"/>
      <x:c r="AA517" s="7" t="str"/>
      <x:c r="AB517" s="7" t="str"/>
      <x:c r="AC517" s="7" t="str"/>
      <x:c r="AD517" s="7" t="str"/>
      <x:c r="AE517"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517" s="16" t="str"/>
      <x:c r="AG517" s="17" t="str"/>
      <x:c r="AH517" s="7" t="str"/>
      <x:c r="AI517" s="7" t="str"/>
      <x:c r="AJ517" s="7" t="str"/>
      <x:c r="AK517" s="15" t="str"/>
      <x:c r="AL517" s="7" t="str"/>
      <x:c r="AM517" s="7" t="str">
        <x:v>AGUILAR  ISIS</x:v>
      </x:c>
      <x:c r="AN517" s="7" t="str">
        <x:v>https://cdicloud.insurance.ca.gov/cal/LicenseDetail?SearchType=IND&amp;SearchLicNbr=4547720&amp;SearchIndvId=4547720</x:v>
      </x:c>
      <x:c r="AO517" s="7" t="str">
        <x:v>2026-10-08</x:v>
      </x:c>
      <x:c r="AP517" s="7" t="str">
        <x:v>7eadd025d267545ff18929f5f08961d8db5e9158dcd8d5e02b0f09594f37171d</x:v>
      </x:c>
      <x:c r="AQ517" s="7" t="str">
        <x:v>Casualty / Active / 05/07/2026 / 05/07/2026 / 05/31/2028
Property / Active / 05/07/2026 / 05/07/2026 / 05/31/2028</x:v>
      </x:c>
      <x:c r="AR517" s="7" t="str">
        <x:v>Active</x:v>
      </x:c>
      <x:c r="AS517" s="7" t="str">
        <x:v>Current detail page</x:v>
      </x:c>
    </x:row>
    <x:row r="518" ht="52" customHeight="1">
      <x:c r="A518" s="7" t="str">
        <x:v>AGUILAR ISLAS ANA LIDIA</x:v>
      </x:c>
      <x:c r="B518" s="14" t="str">
        <x:f>"4082917"</x:f>
        <x:v>4082917</x:v>
      </x:c>
      <x:c r="C518" s="7" t="str">
        <x:v>Omitted</x:v>
      </x:c>
      <x:c r="D518" s="7" t="str">
        <x:v>FAIL</x:v>
      </x:c>
      <x:c r="E518" s="13" t="str">
        <x:v>Pending</x:v>
      </x:c>
      <x:c r="F518" s="13" t="str"/>
      <x:c r="G518" s="13" t="str"/>
      <x:c r="H518" s="13" t="str"/>
      <x:c r="I518" s="7" t="str">
        <x:v>Was this person reviewed? If rejected, give the actual rule and evidence. If acceptable, correct the omission. Confirm the Life-qualification gate and any record change since selection.</x:v>
      </x:c>
      <x:c r="J518" s="7" t="str">
        <x:v>L1</x:v>
      </x:c>
      <x:c r="K518" s="7" t="str">
        <x:v>Verified qualifications do not include active general Life. Current target-pool mismatch; actual historical omission reason unknown.</x:v>
      </x:c>
      <x:c r="L518" s="7" t="str">
        <x:v>Not supplied; membership is known, motive is not</x:v>
      </x:c>
      <x:c r="M518" s="7" t="n">
        <x:v>7</x:v>
      </x:c>
      <x:c r="N518" s="7" t="str">
        <x:v>Outside current general-Life recruiting pool</x:v>
      </x:c>
      <x:c r="O518" s="7" t="str">
        <x:v>Not displayed</x:v>
      </x:c>
      <x:c r="P518" s="7" t="str"/>
      <x:c r="Q518" s="7" t="str"/>
      <x:c r="R518" s="7" t="str">
        <x:v>Personal Lines</x:v>
      </x:c>
      <x:c r="S518" s="15" t="str"/>
      <x:c r="T518" s="7" t="str">
        <x:v>No public business phone in collected record</x:v>
      </x:c>
      <x:c r="U518" s="7" t="str">
        <x:v>1203 S. WESTERN AVE ANAHEIM CA, 92804</x:v>
      </x:c>
      <x:c r="V518" s="7" t="str">
        <x:v>Resident</x:v>
      </x:c>
      <x:c r="W518" s="7" t="str">
        <x:v>CA</x:v>
      </x:c>
      <x:c r="X518" s="7" t="str"/>
      <x:c r="Y518" s="7" t="str">
        <x:v>FARMERS INSURANCE EXCHANGE / Personal Lines / 08/04/2021
FIRE INSURANCE EXCHANGE / Personal Lines / 08/04/2021
FOREMOST INSURANCE COMPANY GRAND RAPIDS, MICHIGAN / Personal Lines / 08/04/2021
MID-CENTURY INSURANCE COMPANY / Personal Lines / 08/04/2021
TRUCK INSURANCE EXCHANGE / Personal Lines / 08/04/2021</x:v>
      </x:c>
      <x:c r="Z518" s="7" t="str"/>
      <x:c r="AA518" s="7" t="str"/>
      <x:c r="AB518" s="7" t="str"/>
      <x:c r="AC518" s="7" t="str"/>
      <x:c r="AD518" s="7" t="str"/>
      <x:c r="AE518" s="7" t="str">
        <x:v>P&amp;C/Personal Lines authority without displayed core Life appointments; mixed profile requires review | No public business phone: contact enrichment needed, not proof of poor recruiting fit</x:v>
      </x:c>
      <x:c r="AF518" s="16" t="str"/>
      <x:c r="AG518" s="17" t="str"/>
      <x:c r="AH518" s="7" t="str"/>
      <x:c r="AI518" s="7" t="str">
        <x:v>English</x:v>
      </x:c>
      <x:c r="AJ518" s="7" t="str"/>
      <x:c r="AK518" s="15" t="str"/>
      <x:c r="AL518" s="7" t="str"/>
      <x:c r="AM518" s="7" t="str">
        <x:v>AGUILAR ISLALS LIDIA ANA | AGUILAR ISLAS  ANA LIDIA</x:v>
      </x:c>
      <x:c r="AN518" s="7" t="str">
        <x:v>https://cdicloud.insurance.ca.gov/cal/LicenseDetail?SearchType=IND&amp;SearchLicNbr=4082917&amp;SearchIndvId=4082917</x:v>
      </x:c>
      <x:c r="AO518" s="7" t="str">
        <x:v>2026-10-08</x:v>
      </x:c>
      <x:c r="AP518" s="7" t="str">
        <x:v>4fcedf3b019fafb8bd9d55a8b6340b60fa6f81c97f2614d9ce02edc239b54b41</x:v>
      </x:c>
      <x:c r="AQ518" s="7" t="str">
        <x:v>Personal Lines / Active / 10/30/2020 / 10/30/2020 / 10/31/2028</x:v>
      </x:c>
      <x:c r="AR518" s="7" t="str">
        <x:v>Active</x:v>
      </x:c>
      <x:c r="AS518" s="7" t="str">
        <x:v>Current detail page</x:v>
      </x:c>
    </x:row>
    <x:row r="519" ht="52" customHeight="1">
      <x:c r="A519" s="7" t="str">
        <x:v>AGUILAR ITXHEL</x:v>
      </x:c>
      <x:c r="B519" s="14" t="str">
        <x:f>"4438451"</x:f>
        <x:v>4438451</x:v>
      </x:c>
      <x:c r="C519" s="7" t="str">
        <x:v>Omitted</x:v>
      </x:c>
      <x:c r="D519" s="7" t="str">
        <x:v>FAIL</x:v>
      </x:c>
      <x:c r="E519" s="13" t="str">
        <x:v>Pending</x:v>
      </x:c>
      <x:c r="F519" s="13" t="str"/>
      <x:c r="G519" s="13" t="str"/>
      <x:c r="H519" s="13" t="str"/>
      <x:c r="I519" s="7" t="str">
        <x:v>Was this person reviewed? If rejected, give the actual rule and evidence. If acceptable, correct the omission. Confirm the Life-qualification gate and any record change since selection.</x:v>
      </x:c>
      <x:c r="J519" s="7" t="str">
        <x:v>L1</x:v>
      </x:c>
      <x:c r="K519" s="7" t="str">
        <x:v>Verified qualifications do not include active general Life. Current target-pool mismatch; actual historical omission reason unknown.</x:v>
      </x:c>
      <x:c r="L519" s="7" t="str">
        <x:v>Not supplied; membership is known, motive is not</x:v>
      </x:c>
      <x:c r="M519" s="7" t="n">
        <x:v>7</x:v>
      </x:c>
      <x:c r="N519" s="7" t="str">
        <x:v>Outside current general-Life recruiting pool</x:v>
      </x:c>
      <x:c r="O519" s="7" t="str">
        <x:v>Not displayed</x:v>
      </x:c>
      <x:c r="P519" s="7" t="str"/>
      <x:c r="Q519" s="7" t="str"/>
      <x:c r="R519" s="7" t="str">
        <x:v>Accident &amp; Health or Sickness</x:v>
      </x:c>
      <x:c r="S519" s="15" t="str">
        <x:v>323-775-7712</x:v>
      </x:c>
      <x:c r="T519" s="7" t="str">
        <x:v>Current CDI</x:v>
      </x:c>
      <x:c r="U519" s="7" t="str">
        <x:v>145 WEST 84TH PLACE LOSANGELES CA, 90003</x:v>
      </x:c>
      <x:c r="V519" s="7" t="str">
        <x:v>Resident</x:v>
      </x:c>
      <x:c r="W519" s="7" t="str">
        <x:v>CA</x:v>
      </x:c>
      <x:c r="X519" s="7" t="str"/>
      <x:c r="Y519" s="7" t="str"/>
      <x:c r="Z519" s="7" t="str"/>
      <x:c r="AA519" s="7" t="str"/>
      <x:c r="AB519" s="7" t="str"/>
      <x:c r="AC519" s="7" t="str"/>
      <x:c r="AD519" s="7" t="str">
        <x:v>No agency or insurer displayed: onboarding opportunity possible; existing business unknown | Active A&amp;H supports optional cross-selling; not necessary for target products</x:v>
      </x:c>
      <x:c r="AE519" s="7" t="str"/>
      <x:c r="AF519" s="16" t="str"/>
      <x:c r="AG519" s="17" t="str"/>
      <x:c r="AH519" s="7" t="str"/>
      <x:c r="AI519" s="7" t="str">
        <x:v>English</x:v>
      </x:c>
      <x:c r="AJ519" s="7" t="str"/>
      <x:c r="AK519" s="15" t="str"/>
      <x:c r="AL519" s="7" t="str"/>
      <x:c r="AM519" s="7" t="str">
        <x:v>AGUILAR  ITXHEL</x:v>
      </x:c>
      <x:c r="AN519" s="7" t="str">
        <x:v>https://cdicloud.insurance.ca.gov/cal/LicenseDetail?SearchType=IND&amp;SearchLicNbr=4438451&amp;SearchIndvId=4438451</x:v>
      </x:c>
      <x:c r="AO519" s="7" t="str">
        <x:v>2026-10-08</x:v>
      </x:c>
      <x:c r="AP519" s="7" t="str">
        <x:v>a5dc0261e98700190cf3d02b5fedd1627694b3e85c5192e5111a6b4bf05b8b8a</x:v>
      </x:c>
      <x:c r="AQ519" s="7" t="str">
        <x:v>Accident &amp; Health or Sickness / Active / 01/28/2025 / 01/28/2025 / 01/31/2027</x:v>
      </x:c>
      <x:c r="AR519" s="7" t="str">
        <x:v>Active</x:v>
      </x:c>
      <x:c r="AS519" s="7" t="str">
        <x:v>Current detail page</x:v>
      </x:c>
    </x:row>
    <x:row r="520" ht="52" customHeight="1">
      <x:c r="A520" s="7" t="str">
        <x:v>AGUILAR IVAN</x:v>
      </x:c>
      <x:c r="B520" s="14" t="str">
        <x:f>"0D78201"</x:f>
        <x:v>0D78201</x:v>
      </x:c>
      <x:c r="C520" s="7" t="str">
        <x:v>Omitted</x:v>
      </x:c>
      <x:c r="D520" s="7" t="str">
        <x:v>FAIL</x:v>
      </x:c>
      <x:c r="E520" s="13" t="str">
        <x:v>Pending</x:v>
      </x:c>
      <x:c r="F520" s="13" t="str"/>
      <x:c r="G520" s="13" t="str"/>
      <x:c r="H520" s="13" t="str"/>
      <x:c r="I520" s="7" t="str">
        <x:v>Was this person reviewed? If rejected, give the actual rule and evidence. If acceptable, correct the omission. Confirm the Life-qualification gate and any record change since selection.</x:v>
      </x:c>
      <x:c r="J520" s="7" t="str">
        <x:v>L1</x:v>
      </x:c>
      <x:c r="K520" s="7" t="str">
        <x:v>Verified qualifications do not include active general Life. Current target-pool mismatch; actual historical omission reason unknown.</x:v>
      </x:c>
      <x:c r="L520" s="7" t="str">
        <x:v>Not supplied; membership is known, motive is not</x:v>
      </x:c>
      <x:c r="M520" s="7" t="n">
        <x:v>7</x:v>
      </x:c>
      <x:c r="N520" s="7" t="str">
        <x:v>Outside current general-Life recruiting pool</x:v>
      </x:c>
      <x:c r="O520" s="7" t="str">
        <x:v>Not displayed</x:v>
      </x:c>
      <x:c r="P520" s="7" t="str"/>
      <x:c r="Q520" s="7" t="str"/>
      <x:c r="R520" s="7" t="str"/>
      <x:c r="S520" s="15" t="str"/>
      <x:c r="T520" s="7" t="str">
        <x:v>No public business phone in collected record</x:v>
      </x:c>
      <x:c r="U520" s="7" t="str"/>
      <x:c r="V520" s="7" t="str">
        <x:v>Resident</x:v>
      </x:c>
      <x:c r="W520" s="7" t="str">
        <x:v>CA</x:v>
      </x:c>
      <x:c r="X520" s="7" t="str"/>
      <x:c r="Y520" s="7" t="str"/>
      <x:c r="Z520" s="7" t="str"/>
      <x:c r="AA520" s="7" t="str"/>
      <x:c r="AB520" s="7" t="str"/>
      <x:c r="AC520" s="7" t="str"/>
      <x:c r="AD520" s="7" t="str">
        <x:v>No agency or insurer displayed: onboarding opportunity possible; existing business unknown</x:v>
      </x:c>
      <x:c r="AE520" s="7" t="str">
        <x:v>No public business phone: contact enrichment needed, not proof of poor recruiting fit</x:v>
      </x:c>
      <x:c r="AF520" s="16" t="str"/>
      <x:c r="AG520" s="17" t="str"/>
      <x:c r="AH520" s="7" t="str"/>
      <x:c r="AI520" s="7" t="str"/>
      <x:c r="AJ520" s="7" t="str"/>
      <x:c r="AK520" s="15" t="str"/>
      <x:c r="AL520" s="7" t="str"/>
      <x:c r="AM520" s="7" t="str">
        <x:v>AGUILAR  IVAN</x:v>
      </x:c>
      <x:c r="AN520" s="7" t="str">
        <x:v>https://cdicloud.insurance.ca.gov/cal/LicenseDetail?SearchType=IND&amp;SearchLicNbr=0D78201&amp;SearchIndvId=804661</x:v>
      </x:c>
      <x:c r="AO520" s="7" t="str">
        <x:v>2026-10-08</x:v>
      </x:c>
      <x:c r="AP520" s="7" t="str">
        <x:v>06fbd10066e590eb169ce90b401dda81d773460a49cbd8744762dab42d98d182</x:v>
      </x:c>
      <x:c r="AQ520" s="7" t="str">
        <x:v>Accident and Health / Inactive / 09/24/2002 / 09/30/2004 / 09/30/2004
Life-Only / Inactive / 09/24/2002 / 09/30/2004 / 09/30/2004</x:v>
      </x:c>
      <x:c r="AR520" s="7" t="str">
        <x:v>Inactive</x:v>
      </x:c>
      <x:c r="AS520" s="7" t="str">
        <x:v>Current detail page</x:v>
      </x:c>
    </x:row>
    <x:row r="521" ht="52" customHeight="1">
      <x:c r="A521" s="7" t="str">
        <x:v>AGUILAR IVAN</x:v>
      </x:c>
      <x:c r="B521" s="14" t="str">
        <x:f>"0I05638"</x:f>
        <x:v>0I05638</x:v>
      </x:c>
      <x:c r="C521" s="7" t="str">
        <x:v>Omitted</x:v>
      </x:c>
      <x:c r="D521" s="7" t="str">
        <x:v>FAIL</x:v>
      </x:c>
      <x:c r="E521" s="13" t="str">
        <x:v>Pending</x:v>
      </x:c>
      <x:c r="F521" s="13" t="str"/>
      <x:c r="G521" s="13" t="str"/>
      <x:c r="H521" s="13" t="str"/>
      <x:c r="I521" s="7" t="str">
        <x:v>Was this person reviewed? If rejected, give the actual rule and evidence. If acceptable, correct the omission. Confirm the Life-qualification gate and any record change since selection.</x:v>
      </x:c>
      <x:c r="J521" s="7" t="str">
        <x:v>L1</x:v>
      </x:c>
      <x:c r="K521" s="7" t="str">
        <x:v>Verified qualifications do not include active general Life. Current target-pool mismatch; actual historical omission reason unknown.</x:v>
      </x:c>
      <x:c r="L521" s="7" t="str">
        <x:v>Not supplied; membership is known, motive is not</x:v>
      </x:c>
      <x:c r="M521" s="7" t="n">
        <x:v>7</x:v>
      </x:c>
      <x:c r="N521" s="7" t="str">
        <x:v>Outside current general-Life recruiting pool</x:v>
      </x:c>
      <x:c r="O521" s="7" t="str">
        <x:v>Not displayed</x:v>
      </x:c>
      <x:c r="P521" s="7" t="str"/>
      <x:c r="Q521" s="7" t="str"/>
      <x:c r="R521" s="7" t="str"/>
      <x:c r="S521" s="15" t="str"/>
      <x:c r="T521" s="7" t="str">
        <x:v>No public business phone in collected record</x:v>
      </x:c>
      <x:c r="U521" s="7" t="str"/>
      <x:c r="V521" s="7" t="str">
        <x:v>Non-resident</x:v>
      </x:c>
      <x:c r="W521" s="7" t="str">
        <x:v>TX</x:v>
      </x:c>
      <x:c r="X521" s="7" t="str"/>
      <x:c r="Y521" s="7" t="str"/>
      <x:c r="Z521" s="7" t="str"/>
      <x:c r="AA521" s="7" t="str"/>
      <x:c r="AB521" s="7" t="str"/>
      <x:c r="AC521" s="7" t="str"/>
      <x:c r="AD521" s="7" t="str">
        <x:v>No agency or insurer displayed: onboarding opportunity possible; existing business unknown</x:v>
      </x:c>
      <x:c r="AE521" s="7" t="str">
        <x:v>Nonresident or address state outside CA; confirm geographic recruiting scope | No public business phone: contact enrichment needed, not proof of poor recruiting fit</x:v>
      </x:c>
      <x:c r="AF521" s="16" t="str"/>
      <x:c r="AG521" s="17" t="str"/>
      <x:c r="AH521" s="7" t="str"/>
      <x:c r="AI521" s="7" t="str"/>
      <x:c r="AJ521" s="7" t="str"/>
      <x:c r="AK521" s="15" t="str"/>
      <x:c r="AL521" s="7" t="str"/>
      <x:c r="AM521" s="7" t="str">
        <x:v>AGUILAR  IVAN</x:v>
      </x:c>
      <x:c r="AN521" s="7" t="str">
        <x:v>https://cdicloud.insurance.ca.gov/cal/LicenseDetail?SearchType=IND&amp;SearchLicNbr=0I05638&amp;SearchIndvId=1533617</x:v>
      </x:c>
      <x:c r="AO521" s="7" t="str">
        <x:v>2026-10-08</x:v>
      </x:c>
      <x:c r="AP521" s="7" t="str">
        <x:v>a48040c7cff6267d12f20fdc53ab57e505e066cfbc6612c68648bc4acbf7bbd5</x:v>
      </x:c>
      <x:c r="AQ521" s="7" t="str">
        <x:v>Casualty Broker-Agent / Inactive / 10/09/2012 / 10/31/2014 / 10/31/2014
Property Broker-Agent / Inactive / 10/09/2012 / 10/31/2014 / 10/31/2014</x:v>
      </x:c>
      <x:c r="AR521" s="7" t="str">
        <x:v>Inactive</x:v>
      </x:c>
      <x:c r="AS521" s="7" t="str">
        <x:v>Current detail page</x:v>
      </x:c>
    </x:row>
    <x:row r="522" ht="52" customHeight="1">
      <x:c r="A522" s="7" t="str">
        <x:v>AGUILAR IVAN</x:v>
      </x:c>
      <x:c r="B522" s="14" t="str">
        <x:f>"4567011"</x:f>
        <x:v>4567011</x:v>
      </x:c>
      <x:c r="C522" s="7" t="str">
        <x:v>Omitted</x:v>
      </x:c>
      <x:c r="D522" s="7" t="str">
        <x:v>FAIL</x:v>
      </x:c>
      <x:c r="E522" s="13" t="str">
        <x:v>Pending</x:v>
      </x:c>
      <x:c r="F522" s="13" t="str"/>
      <x:c r="G522" s="13" t="str"/>
      <x:c r="H522" s="13" t="str"/>
      <x:c r="I522" s="7" t="str">
        <x:v>Was this person reviewed? If rejected, give the actual rule and evidence. If acceptable, correct the omission. Confirm the Life-qualification gate and any record change since selection.</x:v>
      </x:c>
      <x:c r="J522" s="7" t="str">
        <x:v>L1</x:v>
      </x:c>
      <x:c r="K522" s="7" t="str">
        <x:v>Verified qualifications do not include active general Life. Current target-pool mismatch; actual historical omission reason unknown.</x:v>
      </x:c>
      <x:c r="L522" s="7" t="str">
        <x:v>Not supplied; membership is known, motive is not</x:v>
      </x:c>
      <x:c r="M522" s="7" t="n">
        <x:v>7</x:v>
      </x:c>
      <x:c r="N522" s="7" t="str">
        <x:v>Outside current general-Life recruiting pool</x:v>
      </x:c>
      <x:c r="O522" s="7" t="str">
        <x:v>Not displayed</x:v>
      </x:c>
      <x:c r="P522" s="7" t="str"/>
      <x:c r="Q522" s="7" t="str"/>
      <x:c r="R522" s="7" t="str">
        <x:v>Casualty; Property; Surplus Lines Broker</x:v>
      </x:c>
      <x:c r="S522" s="15" t="str">
        <x:v>323-391-4386</x:v>
      </x:c>
      <x:c r="T522" s="7" t="str">
        <x:v>Current CDI</x:v>
      </x:c>
      <x:c r="U522" s="7" t="str">
        <x:v>4751 WILSHIRE BLVD SUITE 111 LOS ANGELES CA, 90010</x:v>
      </x:c>
      <x:c r="V522" s="7" t="str">
        <x:v>Resident</x:v>
      </x:c>
      <x:c r="W522" s="7" t="str">
        <x:v>CA</x:v>
      </x:c>
      <x:c r="X522" s="7" t="str">
        <x:v>US INSURANCE SERVICES LLC / Surplus Lines Broker / 08/20/2026</x:v>
      </x:c>
      <x:c r="Y522" s="7" t="str">
        <x:v>KNIGHTBROOK INSURANCE COMPANY / Casualty / 08/26/2026
KNIGHTBROOK INSURANCE COMPANY / Property / 08/26/2026</x:v>
      </x:c>
      <x:c r="Z522" s="7" t="str"/>
      <x:c r="AA522" s="7" t="str"/>
      <x:c r="AB522" s="7" t="str"/>
      <x:c r="AC522" s="7" t="str"/>
      <x:c r="AD522" s="7" t="str"/>
      <x:c r="AE522" s="7" t="str">
        <x:v>P&amp;C/Personal Lines authority without displayed core Life appointments; mixed profile requires review</x:v>
      </x:c>
      <x:c r="AF522" s="16" t="str"/>
      <x:c r="AG522" s="17" t="str"/>
      <x:c r="AH522" s="7" t="str"/>
      <x:c r="AI522" s="7" t="str">
        <x:v>English, Spanish, Spanish</x:v>
      </x:c>
      <x:c r="AJ522" s="7" t="str"/>
      <x:c r="AK522" s="15" t="str"/>
      <x:c r="AL522" s="7" t="str"/>
      <x:c r="AM522" s="7" t="str">
        <x:v>AGUILAR  IVAN</x:v>
      </x:c>
      <x:c r="AN522" s="7" t="str">
        <x:v>https://cdicloud.insurance.ca.gov/cal/LicenseDetail?SearchType=IND&amp;SearchLicNbr=4567011&amp;SearchIndvId=4567011</x:v>
      </x:c>
      <x:c r="AO522" s="7" t="str">
        <x:v>2026-10-08</x:v>
      </x:c>
      <x:c r="AP522" s="7" t="str">
        <x:v>9afca2defc72ebb7ec2519a63a7eb9fe1bb120daa0e155f5dea2edd356f1bbda</x:v>
      </x:c>
      <x:c r="AQ522" s="7" t="str">
        <x:v>Casualty / Active / 08/20/2026 / 08/20/2026 / 08/31/2028
Property / Active / 08/20/2026 / 08/20/2026 / 08/31/2028
Surplus Lines Broker / Active / 08/20/2026 / 08/20/2026 / 08/31/2028</x:v>
      </x:c>
      <x:c r="AR522" s="7" t="str">
        <x:v>Active</x:v>
      </x:c>
      <x:c r="AS522" s="7" t="str">
        <x:v>Current detail page</x:v>
      </x:c>
    </x:row>
    <x:row r="523" ht="52" customHeight="1">
      <x:c r="A523" s="7" t="str">
        <x:v>AGUILAR JACK RUDOLPH</x:v>
      </x:c>
      <x:c r="B523" s="14" t="str">
        <x:f>"0G40923"</x:f>
        <x:v>0G40923</x:v>
      </x:c>
      <x:c r="C523" s="7" t="str">
        <x:v>Omitted</x:v>
      </x:c>
      <x:c r="D523" s="7" t="str">
        <x:v>FAIL</x:v>
      </x:c>
      <x:c r="E523" s="13" t="str">
        <x:v>Pending</x:v>
      </x:c>
      <x:c r="F523" s="13" t="str"/>
      <x:c r="G523" s="13" t="str"/>
      <x:c r="H523" s="13" t="str"/>
      <x:c r="I523" s="7" t="str">
        <x:v>Was this person reviewed? If rejected, give the actual rule and evidence. If acceptable, correct the omission. Confirm the Life-qualification gate and any record change since selection.</x:v>
      </x:c>
      <x:c r="J523" s="7" t="str">
        <x:v>L1</x:v>
      </x:c>
      <x:c r="K523" s="7" t="str">
        <x:v>Verified qualifications do not include active general Life. Current target-pool mismatch; actual historical omission reason unknown.</x:v>
      </x:c>
      <x:c r="L523" s="7" t="str">
        <x:v>Not supplied; membership is known, motive is not</x:v>
      </x:c>
      <x:c r="M523" s="7" t="n">
        <x:v>7</x:v>
      </x:c>
      <x:c r="N523" s="7" t="str">
        <x:v>Outside current general-Life recruiting pool</x:v>
      </x:c>
      <x:c r="O523" s="7" t="str">
        <x:v>Not displayed</x:v>
      </x:c>
      <x:c r="P523" s="7" t="str"/>
      <x:c r="Q523" s="7" t="str"/>
      <x:c r="R523" s="7" t="str"/>
      <x:c r="S523" s="15" t="str"/>
      <x:c r="T523" s="7" t="str">
        <x:v>No public business phone in collected record</x:v>
      </x:c>
      <x:c r="U523" s="7" t="str"/>
      <x:c r="V523" s="7" t="str">
        <x:v>Non-resident</x:v>
      </x:c>
      <x:c r="W523" s="7" t="str">
        <x:v>TX</x:v>
      </x:c>
      <x:c r="X523" s="7" t="str"/>
      <x:c r="Y523" s="7" t="str"/>
      <x:c r="Z523" s="7" t="str"/>
      <x:c r="AA523" s="7" t="str"/>
      <x:c r="AB523" s="7" t="str"/>
      <x:c r="AC523" s="7" t="str"/>
      <x:c r="AD523" s="7" t="str">
        <x:v>No agency or insurer displayed: onboarding opportunity possible; existing business unknown</x:v>
      </x:c>
      <x:c r="AE523" s="7" t="str">
        <x:v>Nonresident or address state outside CA; confirm geographic recruiting scope | No public business phone: contact enrichment needed, not proof of poor recruiting fit</x:v>
      </x:c>
      <x:c r="AF523" s="16" t="str"/>
      <x:c r="AG523" s="17" t="str"/>
      <x:c r="AH523" s="7" t="str"/>
      <x:c r="AI523" s="7" t="str"/>
      <x:c r="AJ523" s="7" t="str"/>
      <x:c r="AK523" s="15" t="str"/>
      <x:c r="AL523" s="7" t="str"/>
      <x:c r="AM523" s="7" t="str">
        <x:v>AGUILAR RUDOLPH JACK</x:v>
      </x:c>
      <x:c r="AN523" s="7" t="str">
        <x:v>https://cdicloud.insurance.ca.gov/cal/LicenseDetail?SearchType=IND&amp;SearchLicNbr=0G40923&amp;SearchIndvId=1214130</x:v>
      </x:c>
      <x:c r="AO523" s="7" t="str">
        <x:v>2026-10-08</x:v>
      </x:c>
      <x:c r="AP523" s="7" t="str">
        <x:v>b29e4cb6b8ca12427be1334e38d1257404b56ae3cbfc60e6b84396bf618a4573</x:v>
      </x:c>
      <x:c r="AQ523" s="7" t="str">
        <x:v>Casualty Broker-Agent / Inactive / 12/06/2008 / 12/31/2014 / 12/31/2014
Property Broker-Agent / Inactive / 12/06/2008 / 12/31/2014 / 12/31/2014</x:v>
      </x:c>
      <x:c r="AR523" s="7" t="str">
        <x:v>Inactive</x:v>
      </x:c>
      <x:c r="AS523" s="7" t="str">
        <x:v>Current detail page</x:v>
      </x:c>
    </x:row>
    <x:row r="524" ht="52" customHeight="1">
      <x:c r="A524" s="7" t="str">
        <x:v>AGUILAR JACKIE ELAINE</x:v>
      </x:c>
      <x:c r="B524" s="14" t="str">
        <x:f>"4029228"</x:f>
        <x:v>4029228</x:v>
      </x:c>
      <x:c r="C524" s="7" t="str">
        <x:v>Omitted</x:v>
      </x:c>
      <x:c r="D524" s="7" t="str">
        <x:v>FAIL</x:v>
      </x:c>
      <x:c r="E524" s="13" t="str">
        <x:v>Pending</x:v>
      </x:c>
      <x:c r="F524" s="13" t="str"/>
      <x:c r="G524" s="13" t="str"/>
      <x:c r="H524" s="13" t="str"/>
      <x:c r="I524" s="7" t="str">
        <x:v>Was this person reviewed? If rejected, give the actual rule and evidence. If acceptable, correct the omission. Confirm the Life-qualification gate and any record change since selection.</x:v>
      </x:c>
      <x:c r="J524" s="7" t="str">
        <x:v>L1</x:v>
      </x:c>
      <x:c r="K524" s="7" t="str">
        <x:v>Verified qualifications do not include active general Life. Current target-pool mismatch; actual historical omission reason unknown.</x:v>
      </x:c>
      <x:c r="L524" s="7" t="str">
        <x:v>Not supplied; membership is known, motive is not</x:v>
      </x:c>
      <x:c r="M524" s="7" t="n">
        <x:v>7</x:v>
      </x:c>
      <x:c r="N524" s="7" t="str">
        <x:v>Outside current general-Life recruiting pool</x:v>
      </x:c>
      <x:c r="O524" s="7" t="str">
        <x:v>Not displayed</x:v>
      </x:c>
      <x:c r="P524" s="7" t="str"/>
      <x:c r="Q524" s="7" t="str"/>
      <x:c r="R524" s="7" t="str"/>
      <x:c r="S524" s="15" t="str"/>
      <x:c r="T524" s="7" t="str">
        <x:v>No public business phone in collected record</x:v>
      </x:c>
      <x:c r="U524" s="7" t="str">
        <x:v>3 STATE FARM PLAZA SOUTH BLOOMINGTON IL, 61791</x:v>
      </x:c>
      <x:c r="V524" s="7" t="str">
        <x:v>Non-resident</x:v>
      </x:c>
      <x:c r="W524" s="7" t="str">
        <x:v>IL</x:v>
      </x:c>
      <x:c r="X524" s="7" t="str"/>
      <x:c r="Y524" s="7" t="str"/>
      <x:c r="Z524" s="7" t="str"/>
      <x:c r="AA524" s="7" t="str"/>
      <x:c r="AB524" s="7" t="str"/>
      <x:c r="AC524" s="7" t="str"/>
      <x:c r="AD524" s="7" t="str">
        <x:v>No agency or insurer displayed: onboarding opportunity possible; existing business unknown</x:v>
      </x:c>
      <x:c r="AE524" s="7" t="str">
        <x:v>Nonresident or address state outside CA; confirm geographic recruiting scope | No public business phone: contact enrichment needed, not proof of poor recruiting fit</x:v>
      </x:c>
      <x:c r="AF524" s="16" t="str"/>
      <x:c r="AG524" s="17" t="str"/>
      <x:c r="AH524" s="7" t="str"/>
      <x:c r="AI524" s="7" t="str"/>
      <x:c r="AJ524" s="7" t="str"/>
      <x:c r="AK524" s="15" t="str"/>
      <x:c r="AL524" s="7" t="str"/>
      <x:c r="AM524" s="7" t="str">
        <x:v>AGUILAR ELAINE JACKIE</x:v>
      </x:c>
      <x:c r="AN524" s="7" t="str">
        <x:v>https://cdicloud.insurance.ca.gov/cal/LicenseDetail?SearchType=IND&amp;SearchLicNbr=4029228&amp;SearchIndvId=4029228</x:v>
      </x:c>
      <x:c r="AO524" s="7" t="str">
        <x:v>2026-10-08</x:v>
      </x:c>
      <x:c r="AP524" s="7" t="str">
        <x:v>39cf2d9e5258e71193ea28218dad7ef22598b5eaf17f64ac2d0f1146073a8374</x:v>
      </x:c>
      <x:c r="AQ524" s="7" t="str">
        <x:v>Casualty Broker-Agent / Inactive / 02/11/2020 / 04/04/2022 / 04/04/2022
Property Broker-Agent / Inactive / 02/11/2020 / 04/04/2022 / 04/04/2022</x:v>
      </x:c>
      <x:c r="AR524" s="7" t="str">
        <x:v>Inactive</x:v>
      </x:c>
      <x:c r="AS524" s="7" t="str">
        <x:v>Current detail page</x:v>
      </x:c>
    </x:row>
    <x:row r="525" ht="52" customHeight="1">
      <x:c r="A525" s="7" t="str">
        <x:v>AGUILAR JACOB</x:v>
      </x:c>
      <x:c r="B525" s="14" t="str">
        <x:f>"0F14614"</x:f>
        <x:v>0F14614</x:v>
      </x:c>
      <x:c r="C525" s="7" t="str">
        <x:v>Omitted</x:v>
      </x:c>
      <x:c r="D525" s="7" t="str">
        <x:v>FAIL</x:v>
      </x:c>
      <x:c r="E525" s="13" t="str">
        <x:v>Pending</x:v>
      </x:c>
      <x:c r="F525" s="13" t="str"/>
      <x:c r="G525" s="13" t="str"/>
      <x:c r="H525" s="13" t="str"/>
      <x:c r="I525" s="7" t="str">
        <x:v>Was this person reviewed? If rejected, give the actual rule and evidence. If acceptable, correct the omission. Confirm the Life-qualification gate and any record change since selection.</x:v>
      </x:c>
      <x:c r="J525" s="7" t="str">
        <x:v>L1</x:v>
      </x:c>
      <x:c r="K525" s="7" t="str">
        <x:v>Verified qualifications do not include active general Life. Current target-pool mismatch; actual historical omission reason unknown.</x:v>
      </x:c>
      <x:c r="L525" s="7" t="str">
        <x:v>Not supplied; membership is known, motive is not</x:v>
      </x:c>
      <x:c r="M525" s="7" t="n">
        <x:v>7</x:v>
      </x:c>
      <x:c r="N525" s="7" t="str">
        <x:v>Outside current general-Life recruiting pool</x:v>
      </x:c>
      <x:c r="O525" s="7" t="str">
        <x:v>Not displayed</x:v>
      </x:c>
      <x:c r="P525" s="7" t="str"/>
      <x:c r="Q525" s="7" t="str"/>
      <x:c r="R525" s="7" t="str"/>
      <x:c r="S525" s="15" t="str"/>
      <x:c r="T525" s="7" t="str">
        <x:v>No public business phone in collected record</x:v>
      </x:c>
      <x:c r="U525" s="7" t="str"/>
      <x:c r="V525" s="7" t="str">
        <x:v>Resident</x:v>
      </x:c>
      <x:c r="W525" s="7" t="str">
        <x:v>CA</x:v>
      </x:c>
      <x:c r="X525" s="7" t="str"/>
      <x:c r="Y525" s="7" t="str"/>
      <x:c r="Z525" s="7" t="str"/>
      <x:c r="AA525" s="7" t="str"/>
      <x:c r="AB525" s="7" t="str"/>
      <x:c r="AC525" s="7" t="str"/>
      <x:c r="AD525" s="7" t="str">
        <x:v>No agency or insurer displayed: onboarding opportunity possible; existing business unknown</x:v>
      </x:c>
      <x:c r="AE525" s="7" t="str">
        <x:v>No public business phone: contact enrichment needed, not proof of poor recruiting fit</x:v>
      </x:c>
      <x:c r="AF525" s="16" t="str"/>
      <x:c r="AG525" s="17" t="str"/>
      <x:c r="AH525" s="7" t="str"/>
      <x:c r="AI525" s="7" t="str"/>
      <x:c r="AJ525" s="7" t="str"/>
      <x:c r="AK525" s="15" t="str"/>
      <x:c r="AL525" s="7" t="str"/>
      <x:c r="AM525" s="7" t="str">
        <x:v>AGUILAR  JACOB</x:v>
      </x:c>
      <x:c r="AN525" s="7" t="str">
        <x:v>https://cdicloud.insurance.ca.gov/cal/LicenseDetail?SearchType=IND&amp;SearchLicNbr=0F14614&amp;SearchIndvId=1002659</x:v>
      </x:c>
      <x:c r="AO525" s="7" t="str">
        <x:v>2026-10-08</x:v>
      </x:c>
      <x:c r="AP525" s="7" t="str">
        <x:v>219b0d81f7f917d62fc6fd3e1994b497407723a5dfd663f8a8b667d7f2771b6f</x:v>
      </x:c>
      <x:c r="AQ525" s="7" t="str">
        <x:v>Accident and Health / Inactive / 04/04/2006 / 04/30/2008 / 04/30/2008
Life-Only / Inactive / 04/04/2006 / 04/30/2008 / 04/30/2008</x:v>
      </x:c>
      <x:c r="AR525" s="7" t="str">
        <x:v>Inactive</x:v>
      </x:c>
      <x:c r="AS525" s="7" t="str">
        <x:v>Current detail page</x:v>
      </x:c>
    </x:row>
    <x:row r="526" ht="52" customHeight="1">
      <x:c r="A526" s="7" t="str">
        <x:v>AGUILAR JACOB</x:v>
      </x:c>
      <x:c r="B526" s="14" t="str">
        <x:f>"4386566"</x:f>
        <x:v>4386566</x:v>
      </x:c>
      <x:c r="C526" s="7" t="str">
        <x:v>Omitted</x:v>
      </x:c>
      <x:c r="D526" s="7" t="str">
        <x:v>FAIL</x:v>
      </x:c>
      <x:c r="E526" s="13" t="str">
        <x:v>Pending</x:v>
      </x:c>
      <x:c r="F526" s="13" t="str"/>
      <x:c r="G526" s="13" t="str"/>
      <x:c r="H526" s="13" t="str"/>
      <x:c r="I526" s="7" t="str">
        <x:v>Was this person reviewed? If rejected, give the actual rule and evidence. If acceptable, correct the omission. Confirm the Life-qualification gate and any record change since selection.</x:v>
      </x:c>
      <x:c r="J526" s="7" t="str">
        <x:v>L1</x:v>
      </x:c>
      <x:c r="K526" s="7" t="str">
        <x:v>Verified qualifications do not include active general Life. Current target-pool mismatch; actual historical omission reason unknown.</x:v>
      </x:c>
      <x:c r="L526" s="7" t="str">
        <x:v>Not supplied; membership is known, motive is not</x:v>
      </x:c>
      <x:c r="M526" s="7" t="n">
        <x:v>7</x:v>
      </x:c>
      <x:c r="N526" s="7" t="str">
        <x:v>Outside current general-Life recruiting pool</x:v>
      </x:c>
      <x:c r="O526" s="7" t="str">
        <x:v>Inactive</x:v>
      </x:c>
      <x:c r="P526" s="7" t="str">
        <x:v>06/26/2024</x:v>
      </x:c>
      <x:c r="Q526" s="7" t="str">
        <x:v>06/30/2026</x:v>
      </x:c>
      <x:c r="R526" s="7" t="str"/>
      <x:c r="S526" s="15" t="str"/>
      <x:c r="T526" s="7" t="str">
        <x:v>No public business phone in collected record</x:v>
      </x:c>
      <x:c r="U526" s="7" t="str">
        <x:v>1401 COMMERCIAL WAY STE 200 BAKERSFIELD CA, 93309-0628</x:v>
      </x:c>
      <x:c r="V526" s="7" t="str">
        <x:v>Resident</x:v>
      </x:c>
      <x:c r="W526" s="7" t="str">
        <x:v>CA</x:v>
      </x:c>
      <x:c r="X526" s="7" t="str"/>
      <x:c r="Y526" s="7" t="str"/>
      <x:c r="Z526" s="7" t="str"/>
      <x:c r="AA526" s="7" t="str"/>
      <x:c r="AB526" s="7" t="str"/>
      <x:c r="AC526" s="7" t="str"/>
      <x:c r="AD526" s="7" t="str">
        <x:v>No agency or insurer displayed: onboarding opportunity possible; existing business unknown</x:v>
      </x:c>
      <x:c r="AE526" s="7" t="str">
        <x:v>No public business phone: contact enrichment needed, not proof of poor recruiting fit</x:v>
      </x:c>
      <x:c r="AF526" s="16" t="str"/>
      <x:c r="AG526" s="17" t="str"/>
      <x:c r="AH526" s="7" t="str"/>
      <x:c r="AI526" s="7" t="str">
        <x:v>English</x:v>
      </x:c>
      <x:c r="AJ526" s="7" t="str"/>
      <x:c r="AK526" s="15" t="str"/>
      <x:c r="AL526" s="7" t="str"/>
      <x:c r="AM526" s="7" t="str">
        <x:v>AGUILAR  JACOB</x:v>
      </x:c>
      <x:c r="AN526" s="7" t="str">
        <x:v>https://cdicloud.insurance.ca.gov/cal/LicenseDetail?SearchType=IND&amp;SearchLicNbr=4386566&amp;SearchIndvId=4386566</x:v>
      </x:c>
      <x:c r="AO526" s="7" t="str">
        <x:v>2026-10-08</x:v>
      </x:c>
      <x:c r="AP526" s="7" t="str">
        <x:v>f0728e1a5f59323cf0c77cf80e173a4ea8ac7d126730d9e6eebc3515dd390cfb</x:v>
      </x:c>
      <x:c r="AQ526" s="7" t="str">
        <x:v>Accident &amp; Health or Sickness / Inactive / 06/26/2024 / 06/30/2026 / 06/30/2026
Life / Inactive / 06/26/2024 / 06/30/2026 / 06/30/2026</x:v>
      </x:c>
      <x:c r="AR526" s="7" t="str">
        <x:v>Inactive</x:v>
      </x:c>
      <x:c r="AS526" s="7" t="str">
        <x:v>Current detail page</x:v>
      </x:c>
    </x:row>
    <x:row r="527" ht="52" customHeight="1">
      <x:c r="A527" s="7" t="str">
        <x:v>AGUILAR JACOB ERNEST</x:v>
      </x:c>
      <x:c r="B527" s="14" t="str">
        <x:f>"0K86278"</x:f>
        <x:v>0K86278</x:v>
      </x:c>
      <x:c r="C527" s="7" t="str">
        <x:v>Omitted</x:v>
      </x:c>
      <x:c r="D527" s="7" t="str">
        <x:v>FAIL</x:v>
      </x:c>
      <x:c r="E527" s="13" t="str">
        <x:v>Pending</x:v>
      </x:c>
      <x:c r="F527" s="13" t="str"/>
      <x:c r="G527" s="13" t="str"/>
      <x:c r="H527" s="13" t="str"/>
      <x:c r="I527" s="7" t="str">
        <x:v>Was this person reviewed? If rejected, give the actual rule and evidence. If acceptable, correct the omission. Confirm the Life-qualification gate and any record change since selection.</x:v>
      </x:c>
      <x:c r="J527" s="7" t="str">
        <x:v>L1</x:v>
      </x:c>
      <x:c r="K527" s="7" t="str">
        <x:v>Verified qualifications do not include active general Life. Current target-pool mismatch; actual historical omission reason unknown.</x:v>
      </x:c>
      <x:c r="L527" s="7" t="str">
        <x:v>Not supplied; membership is known, motive is not</x:v>
      </x:c>
      <x:c r="M527" s="7" t="n">
        <x:v>7</x:v>
      </x:c>
      <x:c r="N527" s="7" t="str">
        <x:v>Outside current general-Life recruiting pool</x:v>
      </x:c>
      <x:c r="O527" s="7" t="str">
        <x:v>Not displayed</x:v>
      </x:c>
      <x:c r="P527" s="7" t="str"/>
      <x:c r="Q527" s="7" t="str"/>
      <x:c r="R527" s="7" t="str"/>
      <x:c r="S527" s="15" t="str"/>
      <x:c r="T527" s="7" t="str">
        <x:v>No public business phone in collected record</x:v>
      </x:c>
      <x:c r="U527" s="7" t="str"/>
      <x:c r="V527" s="7" t="str">
        <x:v>Resident</x:v>
      </x:c>
      <x:c r="W527" s="7" t="str">
        <x:v>CA</x:v>
      </x:c>
      <x:c r="X527" s="7" t="str"/>
      <x:c r="Y527" s="7" t="str"/>
      <x:c r="Z527" s="7" t="str"/>
      <x:c r="AA527" s="7" t="str"/>
      <x:c r="AB527" s="7" t="str"/>
      <x:c r="AC527" s="7" t="str"/>
      <x:c r="AD527" s="7" t="str">
        <x:v>No agency or insurer displayed: onboarding opportunity possible; existing business unknown</x:v>
      </x:c>
      <x:c r="AE527" s="7" t="str">
        <x:v>No public business phone: contact enrichment needed, not proof of poor recruiting fit</x:v>
      </x:c>
      <x:c r="AF527" s="16" t="str"/>
      <x:c r="AG527" s="17" t="str"/>
      <x:c r="AH527" s="7" t="str"/>
      <x:c r="AI527" s="7" t="str"/>
      <x:c r="AJ527" s="7" t="str"/>
      <x:c r="AK527" s="15" t="str"/>
      <x:c r="AL527" s="7" t="str"/>
      <x:c r="AM527" s="7" t="str">
        <x:v>Aguilar E Jacob | AGUILAR ERNEST JACOB</x:v>
      </x:c>
      <x:c r="AN527" s="7" t="str">
        <x:v>https://cdicloud.insurance.ca.gov/cal/LicenseDetail?SearchType=IND&amp;SearchLicNbr=0K86278&amp;SearchIndvId=1834142</x:v>
      </x:c>
      <x:c r="AO527" s="7" t="str">
        <x:v>2026-10-08</x:v>
      </x:c>
      <x:c r="AP527" s="7" t="str">
        <x:v>ce044464f984c0ea879b2406bec2f14feb6e5e098eb5672bb9f36240f6f27df4</x:v>
      </x:c>
      <x:c r="AQ527" s="7" t="str">
        <x:v>Accident and Health / Inactive / 04/25/2016 / 04/30/2018 / 04/30/2018
Life-Only / Inactive / 04/25/2016 / 04/30/2018 / 04/30/2018</x:v>
      </x:c>
      <x:c r="AR527" s="7" t="str">
        <x:v>Inactive</x:v>
      </x:c>
      <x:c r="AS527" s="7" t="str">
        <x:v>Current detail page</x:v>
      </x:c>
    </x:row>
    <x:row r="528" ht="52" customHeight="1">
      <x:c r="A528" s="7" t="str">
        <x:v>AGUILAR JACQUELINE DANIELA</x:v>
      </x:c>
      <x:c r="B528" s="14" t="str">
        <x:f>"0M44487"</x:f>
        <x:v>0M44487</x:v>
      </x:c>
      <x:c r="C528" s="7" t="str">
        <x:v>Omitted</x:v>
      </x:c>
      <x:c r="D528" s="7" t="str">
        <x:v>FAIL</x:v>
      </x:c>
      <x:c r="E528" s="13" t="str">
        <x:v>Pending</x:v>
      </x:c>
      <x:c r="F528" s="13" t="str"/>
      <x:c r="G528" s="13" t="str"/>
      <x:c r="H528" s="13" t="str"/>
      <x:c r="I528" s="7" t="str">
        <x:v>Was this person reviewed? If rejected, give the actual rule and evidence. If acceptable, correct the omission. Confirm the Life-qualification gate and any record change since selection.</x:v>
      </x:c>
      <x:c r="J528" s="7" t="str">
        <x:v>L1</x:v>
      </x:c>
      <x:c r="K528" s="7" t="str">
        <x:v>Verified qualifications do not include active general Life. Current target-pool mismatch; actual historical omission reason unknown.</x:v>
      </x:c>
      <x:c r="L528" s="7" t="str">
        <x:v>Not supplied; membership is known, motive is not</x:v>
      </x:c>
      <x:c r="M528" s="7" t="n">
        <x:v>7</x:v>
      </x:c>
      <x:c r="N528" s="7" t="str">
        <x:v>Outside current general-Life recruiting pool</x:v>
      </x:c>
      <x:c r="O528" s="7" t="str">
        <x:v>Not displayed</x:v>
      </x:c>
      <x:c r="P528" s="7" t="str"/>
      <x:c r="Q528" s="7" t="str"/>
      <x:c r="R528" s="7" t="str">
        <x:v>Casualty; Property</x:v>
      </x:c>
      <x:c r="S528" s="15" t="str"/>
      <x:c r="T528" s="7" t="str">
        <x:v>No public business phone in collected record</x:v>
      </x:c>
      <x:c r="U528" s="7" t="str">
        <x:v>1905 S WESTERN AVE 19 LOS ANGELES CA, 90018</x:v>
      </x:c>
      <x:c r="V528" s="7" t="str">
        <x:v>Resident</x:v>
      </x:c>
      <x:c r="W528" s="7" t="str">
        <x:v>CA</x:v>
      </x:c>
      <x:c r="X528" s="7" t="str"/>
      <x:c r="Y528" s="7" t="str"/>
      <x:c r="Z528" s="7" t="str"/>
      <x:c r="AA528" s="7" t="str"/>
      <x:c r="AB528" s="7" t="str"/>
      <x:c r="AC528" s="7" t="str"/>
      <x:c r="AD528" s="7" t="str">
        <x:v>No agency or insurer displayed: onboarding opportunity possible; existing business unknown</x:v>
      </x:c>
      <x:c r="AE528" s="7" t="str">
        <x:v>P&amp;C/Personal Lines authority without displayed core Life appointments; mixed profile requires review | No public business phone: contact enrichment needed, not proof of poor recruiting fit</x:v>
      </x:c>
      <x:c r="AF528" s="16" t="str"/>
      <x:c r="AG528" s="17" t="str"/>
      <x:c r="AH528" s="7" t="str"/>
      <x:c r="AI528" s="7" t="str">
        <x:v>English</x:v>
      </x:c>
      <x:c r="AJ528" s="7" t="str"/>
      <x:c r="AK528" s="15" t="str"/>
      <x:c r="AL528" s="7" t="str"/>
      <x:c r="AM528" s="7" t="str">
        <x:v>Aguilar D Jacqueline | AGUILAR DANIELA JACQUELINE</x:v>
      </x:c>
      <x:c r="AN528" s="7" t="str">
        <x:v>https://cdicloud.insurance.ca.gov/cal/LicenseDetail?SearchType=IND&amp;SearchLicNbr=0M44487&amp;SearchIndvId=2008249</x:v>
      </x:c>
      <x:c r="AO528" s="7" t="str">
        <x:v>2026-10-08</x:v>
      </x:c>
      <x:c r="AP528" s="7" t="str">
        <x:v>3db48bacbb33169a56ce9eedfb951f08bf07f2919b7c53873e97c072216a5d6f</x:v>
      </x:c>
      <x:c r="AQ528" s="7" t="str">
        <x:v>Casualty / Active / 07/12/2018 / 10/28/2024 / 07/31/2028
Property / Active / 07/12/2018 / 10/28/2024 / 07/31/2028</x:v>
      </x:c>
      <x:c r="AR528" s="7" t="str">
        <x:v>Active</x:v>
      </x:c>
      <x:c r="AS528" s="7" t="str">
        <x:v>Current detail page</x:v>
      </x:c>
    </x:row>
    <x:row r="529" ht="52" customHeight="1">
      <x:c r="A529" s="7" t="str">
        <x:v>AGUILAR JAMES ALEXANDER</x:v>
      </x:c>
      <x:c r="B529" s="14" t="str">
        <x:f>"0I32201"</x:f>
        <x:v>0I32201</x:v>
      </x:c>
      <x:c r="C529" s="7" t="str">
        <x:v>Omitted</x:v>
      </x:c>
      <x:c r="D529" s="7" t="str">
        <x:v>FAIL</x:v>
      </x:c>
      <x:c r="E529" s="13" t="str">
        <x:v>Pending</x:v>
      </x:c>
      <x:c r="F529" s="13" t="str"/>
      <x:c r="G529" s="13" t="str"/>
      <x:c r="H529" s="13" t="str"/>
      <x:c r="I529" s="7" t="str">
        <x:v>Was this person reviewed? If rejected, give the actual rule and evidence. If acceptable, correct the omission. Confirm the Life-qualification gate and any record change since selection.</x:v>
      </x:c>
      <x:c r="J529" s="7" t="str">
        <x:v>L1</x:v>
      </x:c>
      <x:c r="K529" s="7" t="str">
        <x:v>Verified qualifications do not include active general Life. Current target-pool mismatch; actual historical omission reason unknown.</x:v>
      </x:c>
      <x:c r="L529" s="7" t="str">
        <x:v>Not supplied; membership is known, motive is not</x:v>
      </x:c>
      <x:c r="M529" s="7" t="n">
        <x:v>7</x:v>
      </x:c>
      <x:c r="N529" s="7" t="str">
        <x:v>Outside current general-Life recruiting pool</x:v>
      </x:c>
      <x:c r="O529" s="7" t="str">
        <x:v>Not displayed</x:v>
      </x:c>
      <x:c r="P529" s="7" t="str"/>
      <x:c r="Q529" s="7" t="str"/>
      <x:c r="R529" s="7" t="str"/>
      <x:c r="S529" s="15" t="str"/>
      <x:c r="T529" s="7" t="str">
        <x:v>No public business phone in collected record</x:v>
      </x:c>
      <x:c r="U529" s="7" t="str"/>
      <x:c r="V529" s="7" t="str">
        <x:v>Resident</x:v>
      </x:c>
      <x:c r="W529" s="7" t="str">
        <x:v>CA</x:v>
      </x:c>
      <x:c r="X529" s="7" t="str"/>
      <x:c r="Y529" s="7" t="str"/>
      <x:c r="Z529" s="7" t="str"/>
      <x:c r="AA529" s="7" t="str"/>
      <x:c r="AB529" s="7" t="str"/>
      <x:c r="AC529" s="7" t="str"/>
      <x:c r="AD529" s="7" t="str">
        <x:v>No agency or insurer displayed: onboarding opportunity possible; existing business unknown</x:v>
      </x:c>
      <x:c r="AE529" s="7" t="str">
        <x:v>No public business phone: contact enrichment needed, not proof of poor recruiting fit</x:v>
      </x:c>
      <x:c r="AF529" s="16" t="str"/>
      <x:c r="AG529" s="17" t="str"/>
      <x:c r="AH529" s="7" t="str"/>
      <x:c r="AI529" s="7" t="str"/>
      <x:c r="AJ529" s="7" t="str"/>
      <x:c r="AK529" s="15" t="str"/>
      <x:c r="AL529" s="7" t="str"/>
      <x:c r="AM529" s="7" t="str">
        <x:v>aguilar A james | AGUILAR ALEXANDER JAMES</x:v>
      </x:c>
      <x:c r="AN529" s="7" t="str">
        <x:v>https://cdicloud.insurance.ca.gov/cal/LicenseDetail?SearchType=IND&amp;SearchLicNbr=0I32201&amp;SearchIndvId=1572339</x:v>
      </x:c>
      <x:c r="AO529" s="7" t="str">
        <x:v>2026-10-08</x:v>
      </x:c>
      <x:c r="AP529" s="7" t="str">
        <x:v>5e24f4783155c23a4cf3ca8b8262d214c9fba916a440d7bd4739d2154c271bdc</x:v>
      </x:c>
      <x:c r="AQ529" s="7" t="str">
        <x:v>Life-Only / Inactive / 05/03/2013 / 05/31/2015 / 05/31/2015</x:v>
      </x:c>
      <x:c r="AR529" s="7" t="str">
        <x:v>Inactive</x:v>
      </x:c>
      <x:c r="AS529" s="7" t="str">
        <x:v>Current detail page</x:v>
      </x:c>
    </x:row>
    <x:row r="530" ht="52" customHeight="1">
      <x:c r="A530" s="7" t="str">
        <x:v>AGUILAR JAMIE</x:v>
      </x:c>
      <x:c r="B530" s="14" t="str">
        <x:f>"E4285758"</x:f>
        <x:v>E4285758</x:v>
      </x:c>
      <x:c r="C530" s="7" t="str">
        <x:v>Omitted</x:v>
      </x:c>
      <x:c r="D530" s="7" t="str">
        <x:v>REVIEW</x:v>
      </x:c>
      <x:c r="E530" s="13" t="str">
        <x:v>Pending</x:v>
      </x:c>
      <x:c r="F530" s="13" t="str"/>
      <x:c r="G530" s="13" t="str"/>
      <x:c r="H530" s="13" t="str"/>
      <x:c r="I530" s="7" t="str">
        <x:v>Was this record reviewed? The detail page provides no qualifications. Verify the actual license type and Life authority before deciding; do not reject for missing data.</x:v>
      </x:c>
      <x:c r="J530" s="7" t="str">
        <x:v>L1</x:v>
      </x:c>
      <x:c r="K530" s="7" t="str">
        <x:v>Detail page displays no qualification information. Life authority cannot be verified; missing data is not a qualification failure. Historical omission reason unknown.</x:v>
      </x:c>
      <x:c r="L530" s="7" t="str">
        <x:v>Not supplied; membership is known, motive is not</x:v>
      </x:c>
      <x:c r="M530" s="7" t="n">
        <x:v>7</x:v>
      </x:c>
      <x:c r="N530" s="7" t="str">
        <x:v>Outside current general-Life recruiting pool</x:v>
      </x:c>
      <x:c r="O530" s="7" t="str">
        <x:v>Not displayed</x:v>
      </x:c>
      <x:c r="P530" s="7" t="str"/>
      <x:c r="Q530" s="7" t="str"/>
      <x:c r="R530" s="7" t="str"/>
      <x:c r="S530" s="15" t="str"/>
      <x:c r="T530" s="7" t="str">
        <x:v>No public business phone in collected record</x:v>
      </x:c>
      <x:c r="U530" s="7" t="str"/>
      <x:c r="V530" s="7" t="str">
        <x:v>Non-resident</x:v>
      </x:c>
      <x:c r="W530" s="7" t="str">
        <x:v>IL</x:v>
      </x:c>
      <x:c r="X530" s="7" t="str"/>
      <x:c r="Y530" s="7" t="str"/>
      <x:c r="Z530" s="7" t="str"/>
      <x:c r="AA530" s="7" t="str"/>
      <x:c r="AB530" s="7" t="str"/>
      <x:c r="AC530" s="7" t="str"/>
      <x:c r="AD530" s="7" t="str">
        <x:v>No agency or insurer displayed: onboarding opportunity possible; existing business unknown</x:v>
      </x:c>
      <x:c r="AE530" s="7" t="str">
        <x:v>Nonresident or address state outside CA; confirm geographic recruiting scope | No public business phone: contact enrichment needed, not proof of poor recruiting fit</x:v>
      </x:c>
      <x:c r="AF530" s="16" t="str"/>
      <x:c r="AG530" s="17" t="str"/>
      <x:c r="AH530" s="7" t="str"/>
      <x:c r="AI530" s="7" t="str"/>
      <x:c r="AJ530" s="7" t="str"/>
      <x:c r="AK530" s="15" t="str"/>
      <x:c r="AL530" s="7" t="str"/>
      <x:c r="AM530" s="7" t="str">
        <x:v>AGUILAR  JAMIE</x:v>
      </x:c>
      <x:c r="AN530" s="7" t="str">
        <x:v>https://cdicloud.insurance.ca.gov/cal/LicenseDetail?SearchType=IND&amp;SearchLicNbr=E4285758&amp;SearchIndvId=4285758</x:v>
      </x:c>
      <x:c r="AO530" s="7" t="str">
        <x:v>2026-10-08</x:v>
      </x:c>
      <x:c r="AP530" s="7" t="str">
        <x:v>d76a9b09ecad91602bddbbd21b8e9e63949810873fe2b654563d40cb2fe69049</x:v>
      </x:c>
      <x:c r="AQ530" s="7" t="str"/>
      <x:c r="AR530" s="7" t="str">
        <x:v>Active</x:v>
      </x:c>
      <x:c r="AS530" s="7" t="str">
        <x:v>Current detail page</x:v>
      </x:c>
    </x:row>
    <x:row r="531" ht="52" customHeight="1">
      <x:c r="A531" s="7" t="str">
        <x:v>AGUILAR JANE</x:v>
      </x:c>
      <x:c r="B531" s="14" t="str">
        <x:f>"0D89945"</x:f>
        <x:v>0D89945</x:v>
      </x:c>
      <x:c r="C531" s="7" t="str">
        <x:v>Omitted</x:v>
      </x:c>
      <x:c r="D531" s="7" t="str">
        <x:v>FAIL</x:v>
      </x:c>
      <x:c r="E531" s="13" t="str">
        <x:v>Pending</x:v>
      </x:c>
      <x:c r="F531" s="13" t="str"/>
      <x:c r="G531" s="13" t="str"/>
      <x:c r="H531" s="13" t="str"/>
      <x:c r="I531" s="7" t="str">
        <x:v>Was this person reviewed? If rejected, give the actual rule and evidence. If acceptable, correct the omission. Confirm the Life-qualification gate and any record change since selection.</x:v>
      </x:c>
      <x:c r="J531" s="7" t="str">
        <x:v>L1</x:v>
      </x:c>
      <x:c r="K531" s="7" t="str">
        <x:v>Verified qualifications do not include active general Life. Current target-pool mismatch; actual historical omission reason unknown.</x:v>
      </x:c>
      <x:c r="L531" s="7" t="str">
        <x:v>Not supplied; membership is known, motive is not</x:v>
      </x:c>
      <x:c r="M531" s="7" t="n">
        <x:v>7</x:v>
      </x:c>
      <x:c r="N531" s="7" t="str">
        <x:v>Outside current general-Life recruiting pool</x:v>
      </x:c>
      <x:c r="O531" s="7" t="str">
        <x:v>Not displayed</x:v>
      </x:c>
      <x:c r="P531" s="7" t="str"/>
      <x:c r="Q531" s="7" t="str"/>
      <x:c r="R531" s="7" t="str"/>
      <x:c r="S531" s="15" t="str"/>
      <x:c r="T531" s="7" t="str">
        <x:v>No public business phone in collected record</x:v>
      </x:c>
      <x:c r="U531" s="7" t="str"/>
      <x:c r="V531" s="7" t="str">
        <x:v>Resident</x:v>
      </x:c>
      <x:c r="W531" s="7" t="str">
        <x:v>CA</x:v>
      </x:c>
      <x:c r="X531" s="7" t="str"/>
      <x:c r="Y531" s="7" t="str"/>
      <x:c r="Z531" s="7" t="str"/>
      <x:c r="AA531" s="7" t="str"/>
      <x:c r="AB531" s="7" t="str"/>
      <x:c r="AC531" s="7" t="str"/>
      <x:c r="AD531" s="7" t="str">
        <x:v>No agency or insurer displayed: onboarding opportunity possible; existing business unknown</x:v>
      </x:c>
      <x:c r="AE531" s="7" t="str">
        <x:v>No public business phone: contact enrichment needed, not proof of poor recruiting fit</x:v>
      </x:c>
      <x:c r="AF531" s="16" t="str"/>
      <x:c r="AG531" s="17" t="str"/>
      <x:c r="AH531" s="7" t="str"/>
      <x:c r="AI531" s="7" t="str"/>
      <x:c r="AJ531" s="7" t="str"/>
      <x:c r="AK531" s="15" t="str"/>
      <x:c r="AL531" s="7" t="str"/>
      <x:c r="AM531" s="7" t="str">
        <x:v>AGUILAR  JANE</x:v>
      </x:c>
      <x:c r="AN531" s="7" t="str">
        <x:v>https://cdicloud.insurance.ca.gov/cal/LicenseDetail?SearchType=IND&amp;SearchLicNbr=0D89945&amp;SearchIndvId=829177</x:v>
      </x:c>
      <x:c r="AO531" s="7" t="str">
        <x:v>2026-10-08</x:v>
      </x:c>
      <x:c r="AP531" s="7" t="str">
        <x:v>23f6ccfef216950ed7d24dc02a475b9e76fd56deddccb192501b6b79fdd3bf50</x:v>
      </x:c>
      <x:c r="AQ531" s="7" t="str">
        <x:v>Accident and Health / Inactive / 02/18/2003 / 02/28/2007 / 02/28/2007
Life-Only / Inactive / 02/18/2003 / 02/28/2007 / 02/28/2007</x:v>
      </x:c>
      <x:c r="AR531" s="7" t="str">
        <x:v>Inactive</x:v>
      </x:c>
      <x:c r="AS531" s="7" t="str">
        <x:v>Current detail page</x:v>
      </x:c>
    </x:row>
    <x:row r="532" ht="52" customHeight="1">
      <x:c r="A532" s="7" t="str">
        <x:v>AGUILAR JANELLE</x:v>
      </x:c>
      <x:c r="B532" s="14" t="str">
        <x:f>"0M59110"</x:f>
        <x:v>0M59110</x:v>
      </x:c>
      <x:c r="C532" s="7" t="str">
        <x:v>Omitted</x:v>
      </x:c>
      <x:c r="D532" s="7" t="str">
        <x:v>FAIL</x:v>
      </x:c>
      <x:c r="E532" s="13" t="str">
        <x:v>Pending</x:v>
      </x:c>
      <x:c r="F532" s="13" t="str"/>
      <x:c r="G532" s="13" t="str"/>
      <x:c r="H532" s="13" t="str"/>
      <x:c r="I532" s="7" t="str">
        <x:v>Was this person reviewed? If rejected, give the actual rule and evidence. If acceptable, correct the omission. Confirm the Life-qualification gate and any record change since selection.</x:v>
      </x:c>
      <x:c r="J532" s="7" t="str">
        <x:v>L1</x:v>
      </x:c>
      <x:c r="K532" s="7" t="str">
        <x:v>Verified qualifications do not include active general Life. Current target-pool mismatch; actual historical omission reason unknown.</x:v>
      </x:c>
      <x:c r="L532" s="7" t="str">
        <x:v>Not supplied; membership is known, motive is not</x:v>
      </x:c>
      <x:c r="M532" s="7" t="n">
        <x:v>7</x:v>
      </x:c>
      <x:c r="N532" s="7" t="str">
        <x:v>Outside current general-Life recruiting pool</x:v>
      </x:c>
      <x:c r="O532" s="7" t="str">
        <x:v>Not displayed</x:v>
      </x:c>
      <x:c r="P532" s="7" t="str"/>
      <x:c r="Q532" s="7" t="str"/>
      <x:c r="R532" s="7" t="str"/>
      <x:c r="S532" s="15" t="str"/>
      <x:c r="T532" s="7" t="str">
        <x:v>No public business phone in collected record</x:v>
      </x:c>
      <x:c r="U532" s="7" t="str">
        <x:v>9049 ESTEBURY CIR COLORADO SPRINGS CO, 80920-7558</x:v>
      </x:c>
      <x:c r="V532" s="7" t="str">
        <x:v>Non-resident</x:v>
      </x:c>
      <x:c r="W532" s="7" t="str">
        <x:v>CO</x:v>
      </x:c>
      <x:c r="X532" s="7" t="str"/>
      <x:c r="Y532" s="7" t="str"/>
      <x:c r="Z532" s="7" t="str"/>
      <x:c r="AA532" s="7" t="str"/>
      <x:c r="AB532" s="7" t="str"/>
      <x:c r="AC532" s="7" t="str"/>
      <x:c r="AD532" s="7" t="str">
        <x:v>No agency or insurer displayed: onboarding opportunity possible; existing business unknown</x:v>
      </x:c>
      <x:c r="AE532" s="7" t="str">
        <x:v>Nonresident or address state outside CA; confirm geographic recruiting scope | No public business phone: contact enrichment needed, not proof of poor recruiting fit</x:v>
      </x:c>
      <x:c r="AF532" s="16" t="str"/>
      <x:c r="AG532" s="17" t="str"/>
      <x:c r="AH532" s="7" t="str"/>
      <x:c r="AI532" s="7" t="str"/>
      <x:c r="AJ532" s="7" t="str"/>
      <x:c r="AK532" s="15" t="str"/>
      <x:c r="AL532" s="7" t="str"/>
      <x:c r="AM532" s="7" t="str">
        <x:v>AGUILAR  JANELLE</x:v>
      </x:c>
      <x:c r="AN532" s="7" t="str">
        <x:v>https://cdicloud.insurance.ca.gov/cal/LicenseDetail?SearchType=IND&amp;SearchLicNbr=0M59110&amp;SearchIndvId=2051903</x:v>
      </x:c>
      <x:c r="AO532" s="7" t="str">
        <x:v>2026-10-08</x:v>
      </x:c>
      <x:c r="AP532" s="7" t="str">
        <x:v>cf242c9615c72abe0eb294653d35e68d36d74c194c0220645e1643990fec2134</x:v>
      </x:c>
      <x:c r="AQ532" s="7" t="str">
        <x:v>Personal Lines / Inactive / 10/01/2018 / 10/12/2023 / 10/12/2023</x:v>
      </x:c>
      <x:c r="AR532" s="7" t="str">
        <x:v>Inactive</x:v>
      </x:c>
      <x:c r="AS532" s="7" t="str">
        <x:v>Current detail page</x:v>
      </x:c>
    </x:row>
    <x:row r="533" ht="52" customHeight="1">
      <x:c r="A533" s="7" t="str">
        <x:v>AGUILAR JANET MARIE</x:v>
      </x:c>
      <x:c r="B533" s="14" t="str">
        <x:f>"0C39957"</x:f>
        <x:v>0C39957</x:v>
      </x:c>
      <x:c r="C533" s="7" t="str">
        <x:v>Omitted</x:v>
      </x:c>
      <x:c r="D533" s="7" t="str">
        <x:v>FAIL</x:v>
      </x:c>
      <x:c r="E533" s="13" t="str">
        <x:v>Pending</x:v>
      </x:c>
      <x:c r="F533" s="13" t="str"/>
      <x:c r="G533" s="13" t="str"/>
      <x:c r="H533" s="13" t="str"/>
      <x:c r="I533" s="7" t="str">
        <x:v>Was this person reviewed? If rejected, give the actual rule and evidence. If acceptable, correct the omission. Confirm the Life-qualification gate and any record change since selection.</x:v>
      </x:c>
      <x:c r="J533" s="7" t="str">
        <x:v>L1</x:v>
      </x:c>
      <x:c r="K533" s="7" t="str">
        <x:v>Verified qualifications do not include active general Life. Current target-pool mismatch; actual historical omission reason unknown.</x:v>
      </x:c>
      <x:c r="L533" s="7" t="str">
        <x:v>Not supplied; membership is known, motive is not</x:v>
      </x:c>
      <x:c r="M533" s="7" t="n">
        <x:v>7</x:v>
      </x:c>
      <x:c r="N533" s="7" t="str">
        <x:v>Outside current general-Life recruiting pool</x:v>
      </x:c>
      <x:c r="O533" s="7" t="str">
        <x:v>Not displayed</x:v>
      </x:c>
      <x:c r="P533" s="7" t="str"/>
      <x:c r="Q533" s="7" t="str"/>
      <x:c r="R533" s="7" t="str"/>
      <x:c r="S533" s="15" t="str"/>
      <x:c r="T533" s="7" t="str">
        <x:v>No public business phone in collected record</x:v>
      </x:c>
      <x:c r="U533" s="7" t="str">
        <x:v>5704 SANTIS CT EL PASO TX, 79932-2339</x:v>
      </x:c>
      <x:c r="V533" s="7" t="str">
        <x:v>Non-resident</x:v>
      </x:c>
      <x:c r="W533" s="7" t="str">
        <x:v>TX</x:v>
      </x:c>
      <x:c r="X533" s="7" t="str"/>
      <x:c r="Y533" s="7" t="str"/>
      <x:c r="Z533" s="7" t="str"/>
      <x:c r="AA533" s="7" t="str"/>
      <x:c r="AB533" s="7" t="str"/>
      <x:c r="AC533" s="7" t="str"/>
      <x:c r="AD533" s="7" t="str">
        <x:v>No agency or insurer displayed: onboarding opportunity possible; existing business unknown</x:v>
      </x:c>
      <x:c r="AE533" s="7" t="str">
        <x:v>Nonresident or address state outside CA; confirm geographic recruiting scope | No public business phone: contact enrichment needed, not proof of poor recruiting fit</x:v>
      </x:c>
      <x:c r="AF533" s="16" t="str"/>
      <x:c r="AG533" s="17" t="str"/>
      <x:c r="AH533" s="7" t="str"/>
      <x:c r="AI533" s="7" t="str"/>
      <x:c r="AJ533" s="7" t="str"/>
      <x:c r="AK533" s="15" t="str"/>
      <x:c r="AL533" s="7" t="str"/>
      <x:c r="AM533" s="7" t="str">
        <x:v>AGUILAR MARIE JANET</x:v>
      </x:c>
      <x:c r="AN533" s="7" t="str">
        <x:v>https://cdicloud.insurance.ca.gov/cal/LicenseDetail?SearchType=IND&amp;SearchLicNbr=0C39957&amp;SearchIndvId=314562</x:v>
      </x:c>
      <x:c r="AO533" s="7" t="str">
        <x:v>2026-10-08</x:v>
      </x:c>
      <x:c r="AP533" s="7" t="str">
        <x:v>8df64d742367ded340dd21bab5d394d74c21a841dd8c648cfeef0919428e3b0d</x:v>
      </x:c>
      <x:c r="AQ533" s="7" t="str">
        <x:v>Casualty / Inactive / 08/17/1998 / 01/31/2023 / 01/31/2023
Property / Inactive / 08/17/1998 / 01/31/2023 / 01/31/2023</x:v>
      </x:c>
      <x:c r="AR533" s="7" t="str">
        <x:v>Inactive</x:v>
      </x:c>
      <x:c r="AS533" s="7" t="str">
        <x:v>Current detail page</x:v>
      </x:c>
    </x:row>
    <x:row r="534" ht="52" customHeight="1">
      <x:c r="A534" s="7" t="str">
        <x:v>AGUILAR JANETTE N</x:v>
      </x:c>
      <x:c r="B534" s="14" t="str">
        <x:f>"4051753"</x:f>
        <x:v>4051753</x:v>
      </x:c>
      <x:c r="C534" s="7" t="str">
        <x:v>Omitted</x:v>
      </x:c>
      <x:c r="D534" s="7" t="str">
        <x:v>FAIL</x:v>
      </x:c>
      <x:c r="E534" s="13" t="str">
        <x:v>Pending</x:v>
      </x:c>
      <x:c r="F534" s="13" t="str"/>
      <x:c r="G534" s="13" t="str"/>
      <x:c r="H534" s="13" t="str"/>
      <x:c r="I534" s="7" t="str">
        <x:v>Was this person reviewed? If rejected, give the actual rule and evidence. If acceptable, correct the omission. Confirm the Life-qualification gate and any record change since selection.</x:v>
      </x:c>
      <x:c r="J534" s="7" t="str">
        <x:v>L1</x:v>
      </x:c>
      <x:c r="K534" s="7" t="str">
        <x:v>Verified qualifications do not include active general Life. Current target-pool mismatch; actual historical omission reason unknown.</x:v>
      </x:c>
      <x:c r="L534" s="7" t="str">
        <x:v>Not supplied; membership is known, motive is not</x:v>
      </x:c>
      <x:c r="M534" s="7" t="n">
        <x:v>7</x:v>
      </x:c>
      <x:c r="N534" s="7" t="str">
        <x:v>Outside current general-Life recruiting pool</x:v>
      </x:c>
      <x:c r="O534" s="7" t="str">
        <x:v>Inactive</x:v>
      </x:c>
      <x:c r="P534" s="7" t="str">
        <x:v>07/13/2020</x:v>
      </x:c>
      <x:c r="Q534" s="7" t="str">
        <x:v>07/31/2022</x:v>
      </x:c>
      <x:c r="R534" s="7" t="str"/>
      <x:c r="S534" s="15" t="str">
        <x:v>919-985-0027</x:v>
      </x:c>
      <x:c r="T534" s="7" t="str">
        <x:v>Current CDI</x:v>
      </x:c>
      <x:c r="U534" s="7" t="str">
        <x:v>40420 10TH ST W PALMDALE CA, 93551</x:v>
      </x:c>
      <x:c r="V534" s="7" t="str">
        <x:v>Resident</x:v>
      </x:c>
      <x:c r="W534" s="7" t="str">
        <x:v>CA</x:v>
      </x:c>
      <x:c r="X534" s="7" t="str"/>
      <x:c r="Y534" s="7" t="str"/>
      <x:c r="Z534" s="7" t="str"/>
      <x:c r="AA534" s="7" t="str"/>
      <x:c r="AB534" s="7" t="str"/>
      <x:c r="AC534" s="7" t="str"/>
      <x:c r="AD534" s="7" t="str">
        <x:v>No agency or insurer displayed: onboarding opportunity possible; existing business unknown</x:v>
      </x:c>
      <x:c r="AE534" s="7" t="str"/>
      <x:c r="AF534" s="16" t="str"/>
      <x:c r="AG534" s="17" t="str"/>
      <x:c r="AH534" s="7" t="str"/>
      <x:c r="AI534" s="7" t="str">
        <x:v>English</x:v>
      </x:c>
      <x:c r="AJ534" s="7" t="str"/>
      <x:c r="AK534" s="15" t="str"/>
      <x:c r="AL534" s="7" t="str"/>
      <x:c r="AM534" s="7" t="str">
        <x:v>AGUILAR N JANETTE</x:v>
      </x:c>
      <x:c r="AN534" s="7" t="str">
        <x:v>https://cdicloud.insurance.ca.gov/cal/LicenseDetail?SearchType=IND&amp;SearchLicNbr=4051753&amp;SearchIndvId=4051753</x:v>
      </x:c>
      <x:c r="AO534" s="7" t="str">
        <x:v>2026-10-08</x:v>
      </x:c>
      <x:c r="AP534" s="7" t="str">
        <x:v>1aabc58c137a906719f4a8b2bbb27123a6fa6fc3caf83abe83017107a22d560a</x:v>
      </x:c>
      <x:c r="AQ534" s="7" t="str">
        <x:v>Life / Inactive / 07/13/2020 / 07/31/2022 / 07/31/2022</x:v>
      </x:c>
      <x:c r="AR534" s="7" t="str">
        <x:v>Inactive</x:v>
      </x:c>
      <x:c r="AS534" s="7" t="str">
        <x:v>Current detail page</x:v>
      </x:c>
    </x:row>
    <x:row r="535" ht="52" customHeight="1">
      <x:c r="A535" s="7" t="str">
        <x:v>AGUILAR JASMIN</x:v>
      </x:c>
      <x:c r="B535" s="14" t="str">
        <x:f>"0I53269"</x:f>
        <x:v>0I53269</x:v>
      </x:c>
      <x:c r="C535" s="7" t="str">
        <x:v>Omitted</x:v>
      </x:c>
      <x:c r="D535" s="7" t="str">
        <x:v>FAIL</x:v>
      </x:c>
      <x:c r="E535" s="13" t="str">
        <x:v>Pending</x:v>
      </x:c>
      <x:c r="F535" s="13" t="str"/>
      <x:c r="G535" s="13" t="str"/>
      <x:c r="H535" s="13" t="str"/>
      <x:c r="I535" s="7" t="str">
        <x:v>Was this person reviewed? If rejected, give the actual rule and evidence. If acceptable, correct the omission. Confirm the Life-qualification gate and any record change since selection.</x:v>
      </x:c>
      <x:c r="J535" s="7" t="str">
        <x:v>L1</x:v>
      </x:c>
      <x:c r="K535" s="7" t="str">
        <x:v>Verified qualifications do not include active general Life. Current target-pool mismatch; actual historical omission reason unknown.</x:v>
      </x:c>
      <x:c r="L535" s="7" t="str">
        <x:v>Not supplied; membership is known, motive is not</x:v>
      </x:c>
      <x:c r="M535" s="7" t="n">
        <x:v>7</x:v>
      </x:c>
      <x:c r="N535" s="7" t="str">
        <x:v>Outside current general-Life recruiting pool</x:v>
      </x:c>
      <x:c r="O535" s="7" t="str">
        <x:v>Not displayed</x:v>
      </x:c>
      <x:c r="P535" s="7" t="str"/>
      <x:c r="Q535" s="7" t="str"/>
      <x:c r="R535" s="7" t="str"/>
      <x:c r="S535" s="15" t="str"/>
      <x:c r="T535" s="7" t="str">
        <x:v>No public business phone in collected record</x:v>
      </x:c>
      <x:c r="U535" s="7" t="str"/>
      <x:c r="V535" s="7" t="str">
        <x:v>Resident</x:v>
      </x:c>
      <x:c r="W535" s="7" t="str">
        <x:v>CA</x:v>
      </x:c>
      <x:c r="X535" s="7" t="str"/>
      <x:c r="Y535" s="7" t="str"/>
      <x:c r="Z535" s="7" t="str"/>
      <x:c r="AA535" s="7" t="str"/>
      <x:c r="AB535" s="7" t="str"/>
      <x:c r="AC535" s="7" t="str"/>
      <x:c r="AD535" s="7" t="str">
        <x:v>No agency or insurer displayed: onboarding opportunity possible; existing business unknown</x:v>
      </x:c>
      <x:c r="AE535" s="7" t="str">
        <x:v>No public business phone: contact enrichment needed, not proof of poor recruiting fit</x:v>
      </x:c>
      <x:c r="AF535" s="16" t="str"/>
      <x:c r="AG535" s="17" t="str"/>
      <x:c r="AH535" s="7" t="str"/>
      <x:c r="AI535" s="7" t="str"/>
      <x:c r="AJ535" s="7" t="str"/>
      <x:c r="AK535" s="15" t="str"/>
      <x:c r="AL535" s="7" t="str"/>
      <x:c r="AM535" s="7" t="str">
        <x:v>AGUILAR  JASMIN | aguilar  jasmine</x:v>
      </x:c>
      <x:c r="AN535" s="7" t="str">
        <x:v>https://cdicloud.insurance.ca.gov/cal/LicenseDetail?SearchType=IND&amp;SearchLicNbr=0I53269&amp;SearchIndvId=1555755</x:v>
      </x:c>
      <x:c r="AO535" s="7" t="str">
        <x:v>2026-10-08</x:v>
      </x:c>
      <x:c r="AP535" s="7" t="str">
        <x:v>ae39a655df19903a9f77c831cd9195ca93d2c7a6b7ffbd2d597162d9234dd340</x:v>
      </x:c>
      <x:c r="AQ535" s="7" t="str">
        <x:v>Personal Lines Broker-Agent / Inactive / 05/13/2014 / 05/31/2016 / 05/31/2016
Limited Lines Automobile / Inactive / 09/13/2013 / 05/13/2014 / 05/13/2014</x:v>
      </x:c>
      <x:c r="AR535" s="7" t="str">
        <x:v>Inactive</x:v>
      </x:c>
      <x:c r="AS535" s="7" t="str">
        <x:v>Current detail page</x:v>
      </x:c>
    </x:row>
    <x:row r="536" ht="52" customHeight="1">
      <x:c r="A536" s="7" t="str">
        <x:v>AGUILAR JASON ALEJANDRO</x:v>
      </x:c>
      <x:c r="B536" s="14" t="str">
        <x:f>"0H06661"</x:f>
        <x:v>0H06661</x:v>
      </x:c>
      <x:c r="C536" s="7" t="str">
        <x:v>Omitted</x:v>
      </x:c>
      <x:c r="D536" s="7" t="str">
        <x:v>FAIL</x:v>
      </x:c>
      <x:c r="E536" s="13" t="str">
        <x:v>Pending</x:v>
      </x:c>
      <x:c r="F536" s="13" t="str"/>
      <x:c r="G536" s="13" t="str"/>
      <x:c r="H536" s="13" t="str"/>
      <x:c r="I536" s="7" t="str">
        <x:v>Was this person reviewed? If rejected, give the actual rule and evidence. If acceptable, correct the omission. Confirm the Life-qualification gate and any record change since selection.</x:v>
      </x:c>
      <x:c r="J536" s="7" t="str">
        <x:v>L1</x:v>
      </x:c>
      <x:c r="K536" s="7" t="str">
        <x:v>Verified qualifications do not include active general Life. Current target-pool mismatch; actual historical omission reason unknown.</x:v>
      </x:c>
      <x:c r="L536" s="7" t="str">
        <x:v>Not supplied; membership is known, motive is not</x:v>
      </x:c>
      <x:c r="M536" s="7" t="n">
        <x:v>7</x:v>
      </x:c>
      <x:c r="N536" s="7" t="str">
        <x:v>Outside current general-Life recruiting pool</x:v>
      </x:c>
      <x:c r="O536" s="7" t="str">
        <x:v>Not displayed</x:v>
      </x:c>
      <x:c r="P536" s="7" t="str"/>
      <x:c r="Q536" s="7" t="str"/>
      <x:c r="R536" s="7" t="str"/>
      <x:c r="S536" s="15" t="str"/>
      <x:c r="T536" s="7" t="str">
        <x:v>No public business phone in collected record</x:v>
      </x:c>
      <x:c r="U536" s="7" t="str"/>
      <x:c r="V536" s="7" t="str">
        <x:v>Resident</x:v>
      </x:c>
      <x:c r="W536" s="7" t="str">
        <x:v>CA</x:v>
      </x:c>
      <x:c r="X536" s="7" t="str"/>
      <x:c r="Y536" s="7" t="str"/>
      <x:c r="Z536" s="7" t="str"/>
      <x:c r="AA536" s="7" t="str"/>
      <x:c r="AB536" s="7" t="str"/>
      <x:c r="AC536" s="7" t="str"/>
      <x:c r="AD536" s="7" t="str">
        <x:v>No agency or insurer displayed: onboarding opportunity possible; existing business unknown</x:v>
      </x:c>
      <x:c r="AE536" s="7" t="str">
        <x:v>No public business phone: contact enrichment needed, not proof of poor recruiting fit</x:v>
      </x:c>
      <x:c r="AF536" s="16" t="str"/>
      <x:c r="AG536" s="17" t="str"/>
      <x:c r="AH536" s="7" t="str"/>
      <x:c r="AI536" s="7" t="str"/>
      <x:c r="AJ536" s="7" t="str"/>
      <x:c r="AK536" s="15" t="str"/>
      <x:c r="AL536" s="7" t="str"/>
      <x:c r="AM536" s="7" t="str">
        <x:v>AGUILAR ALEJANDRO JASON</x:v>
      </x:c>
      <x:c r="AN536" s="7" t="str">
        <x:v>https://cdicloud.insurance.ca.gov/cal/LicenseDetail?SearchType=IND&amp;SearchLicNbr=0H06661&amp;SearchIndvId=1341631</x:v>
      </x:c>
      <x:c r="AO536" s="7" t="str">
        <x:v>2026-10-08</x:v>
      </x:c>
      <x:c r="AP536" s="7" t="str">
        <x:v>a3df77d37fb312facf6fcdd0b904d8f60b53e67e3e947ebbfe5bf877f5019f91</x:v>
      </x:c>
      <x:c r="AQ536" s="7" t="str">
        <x:v>Accident and Health / Inactive / 07/14/2010 / 07/31/2012 / 07/31/2012
Life-Only / Inactive / 07/14/2010 / 07/31/2012 / 07/31/2012</x:v>
      </x:c>
      <x:c r="AR536" s="7" t="str">
        <x:v>Inactive</x:v>
      </x:c>
      <x:c r="AS536" s="7" t="str">
        <x:v>Current detail page</x:v>
      </x:c>
    </x:row>
    <x:row r="537" ht="52" customHeight="1">
      <x:c r="A537" s="7" t="str">
        <x:v>AGUILAR JASON ANTHONY</x:v>
      </x:c>
      <x:c r="B537" s="14" t="str">
        <x:f>"0H01548"</x:f>
        <x:v>0H01548</x:v>
      </x:c>
      <x:c r="C537" s="7" t="str">
        <x:v>Omitted</x:v>
      </x:c>
      <x:c r="D537" s="7" t="str">
        <x:v>FAIL</x:v>
      </x:c>
      <x:c r="E537" s="13" t="str">
        <x:v>Pending</x:v>
      </x:c>
      <x:c r="F537" s="13" t="str"/>
      <x:c r="G537" s="13" t="str"/>
      <x:c r="H537" s="13" t="str"/>
      <x:c r="I537" s="7" t="str">
        <x:v>Was this person reviewed? If rejected, give the actual rule and evidence. If acceptable, correct the omission. Confirm the Life-qualification gate and any record change since selection.</x:v>
      </x:c>
      <x:c r="J537" s="7" t="str">
        <x:v>L1</x:v>
      </x:c>
      <x:c r="K537" s="7" t="str">
        <x:v>Verified qualifications do not include active general Life. Current target-pool mismatch; actual historical omission reason unknown.</x:v>
      </x:c>
      <x:c r="L537" s="7" t="str">
        <x:v>Not supplied; membership is known, motive is not</x:v>
      </x:c>
      <x:c r="M537" s="7" t="n">
        <x:v>7</x:v>
      </x:c>
      <x:c r="N537" s="7" t="str">
        <x:v>Outside current general-Life recruiting pool</x:v>
      </x:c>
      <x:c r="O537" s="7" t="str">
        <x:v>Not displayed</x:v>
      </x:c>
      <x:c r="P537" s="7" t="str"/>
      <x:c r="Q537" s="7" t="str"/>
      <x:c r="R537" s="7" t="str"/>
      <x:c r="S537" s="15" t="str"/>
      <x:c r="T537" s="7" t="str">
        <x:v>No public business phone in collected record</x:v>
      </x:c>
      <x:c r="U537" s="7" t="str"/>
      <x:c r="V537" s="7" t="str">
        <x:v>Resident</x:v>
      </x:c>
      <x:c r="W537" s="7" t="str">
        <x:v>CA</x:v>
      </x:c>
      <x:c r="X537" s="7" t="str"/>
      <x:c r="Y537" s="7" t="str"/>
      <x:c r="Z537" s="7" t="str"/>
      <x:c r="AA537" s="7" t="str"/>
      <x:c r="AB537" s="7" t="str"/>
      <x:c r="AC537" s="7" t="str"/>
      <x:c r="AD537" s="7" t="str">
        <x:v>No agency or insurer displayed: onboarding opportunity possible; existing business unknown</x:v>
      </x:c>
      <x:c r="AE537" s="7" t="str">
        <x:v>No public business phone: contact enrichment needed, not proof of poor recruiting fit</x:v>
      </x:c>
      <x:c r="AF537" s="16" t="str"/>
      <x:c r="AG537" s="17" t="str"/>
      <x:c r="AH537" s="7" t="str"/>
      <x:c r="AI537" s="7" t="str"/>
      <x:c r="AJ537" s="7" t="str"/>
      <x:c r="AK537" s="15" t="str"/>
      <x:c r="AL537" s="7" t="str"/>
      <x:c r="AM537" s="7" t="str">
        <x:v>AGUILAR ANTHONY JASON</x:v>
      </x:c>
      <x:c r="AN537" s="7" t="str">
        <x:v>https://cdicloud.insurance.ca.gov/cal/LicenseDetail?SearchType=IND&amp;SearchLicNbr=0H01548&amp;SearchIndvId=1333473</x:v>
      </x:c>
      <x:c r="AO537" s="7" t="str">
        <x:v>2026-10-08</x:v>
      </x:c>
      <x:c r="AP537" s="7" t="str">
        <x:v>404076d3a7ab9cc8f674df3923cce69eba9adf99b4882663ee1813c11c07cf5e</x:v>
      </x:c>
      <x:c r="AQ537" s="7" t="str">
        <x:v>Life-Only / Inactive / 05/19/2010 / 05/31/2012 / 05/31/2012</x:v>
      </x:c>
      <x:c r="AR537" s="7" t="str">
        <x:v>Inactive</x:v>
      </x:c>
      <x:c r="AS537" s="7" t="str">
        <x:v>Current detail page</x:v>
      </x:c>
    </x:row>
    <x:row r="538" ht="52" customHeight="1">
      <x:c r="A538" s="7" t="str">
        <x:v>AGUILAR JASON CONSTANTINE</x:v>
      </x:c>
      <x:c r="B538" s="14" t="str">
        <x:f>"0M75977"</x:f>
        <x:v>0M75977</x:v>
      </x:c>
      <x:c r="C538" s="7" t="str">
        <x:v>Omitted</x:v>
      </x:c>
      <x:c r="D538" s="7" t="str">
        <x:v>FAIL</x:v>
      </x:c>
      <x:c r="E538" s="13" t="str">
        <x:v>Pending</x:v>
      </x:c>
      <x:c r="F538" s="13" t="str"/>
      <x:c r="G538" s="13" t="str"/>
      <x:c r="H538" s="13" t="str"/>
      <x:c r="I538" s="7" t="str">
        <x:v>Was this person reviewed? If rejected, give the actual rule and evidence. If acceptable, correct the omission. Confirm the Life-qualification gate and any record change since selection.</x:v>
      </x:c>
      <x:c r="J538" s="7" t="str">
        <x:v>L1</x:v>
      </x:c>
      <x:c r="K538" s="7" t="str">
        <x:v>Verified qualifications do not include active general Life. Current target-pool mismatch; actual historical omission reason unknown.</x:v>
      </x:c>
      <x:c r="L538" s="7" t="str">
        <x:v>Not supplied; membership is known, motive is not</x:v>
      </x:c>
      <x:c r="M538" s="7" t="n">
        <x:v>7</x:v>
      </x:c>
      <x:c r="N538" s="7" t="str">
        <x:v>Outside current general-Life recruiting pool</x:v>
      </x:c>
      <x:c r="O538" s="7" t="str">
        <x:v>Not displayed</x:v>
      </x:c>
      <x:c r="P538" s="7" t="str"/>
      <x:c r="Q538" s="7" t="str"/>
      <x:c r="R538" s="7" t="str"/>
      <x:c r="S538" s="15" t="str"/>
      <x:c r="T538" s="7" t="str">
        <x:v>No public business phone in collected record</x:v>
      </x:c>
      <x:c r="U538" s="7" t="str"/>
      <x:c r="V538" s="7" t="str">
        <x:v>Resident</x:v>
      </x:c>
      <x:c r="W538" s="7" t="str">
        <x:v>CA</x:v>
      </x:c>
      <x:c r="X538" s="7" t="str"/>
      <x:c r="Y538" s="7" t="str"/>
      <x:c r="Z538" s="7" t="str"/>
      <x:c r="AA538" s="7" t="str"/>
      <x:c r="AB538" s="7" t="str"/>
      <x:c r="AC538" s="7" t="str"/>
      <x:c r="AD538" s="7" t="str">
        <x:v>No agency or insurer displayed: onboarding opportunity possible; existing business unknown</x:v>
      </x:c>
      <x:c r="AE538" s="7" t="str">
        <x:v>No public business phone: contact enrichment needed, not proof of poor recruiting fit</x:v>
      </x:c>
      <x:c r="AF538" s="16" t="str"/>
      <x:c r="AG538" s="17" t="str"/>
      <x:c r="AH538" s="7" t="str"/>
      <x:c r="AI538" s="7" t="str"/>
      <x:c r="AJ538" s="7" t="str"/>
      <x:c r="AK538" s="15" t="str"/>
      <x:c r="AL538" s="7" t="str"/>
      <x:c r="AM538" s="7" t="str">
        <x:v>Aguilar C Jason | AGUILAR CONSTANTINE JASON</x:v>
      </x:c>
      <x:c r="AN538" s="7" t="str">
        <x:v>https://cdicloud.insurance.ca.gov/cal/LicenseDetail?SearchType=IND&amp;SearchLicNbr=0M75977&amp;SearchIndvId=2075072</x:v>
      </x:c>
      <x:c r="AO538" s="7" t="str">
        <x:v>2026-10-08</x:v>
      </x:c>
      <x:c r="AP538" s="7" t="str">
        <x:v>9b7e677371db0a3864302ec00f9b24cb3c9108d159d75e13dc9b37ee33cf21ca</x:v>
      </x:c>
      <x:c r="AQ538" s="7" t="str">
        <x:v>Accident and Health / Inactive / 01/03/2019 / 01/31/2021 / 01/31/2021
Life-Only / Inactive / 01/03/2019 / 01/31/2021 / 01/31/2021</x:v>
      </x:c>
      <x:c r="AR538" s="7" t="str">
        <x:v>Inactive</x:v>
      </x:c>
      <x:c r="AS538" s="7" t="str">
        <x:v>Current detail page</x:v>
      </x:c>
    </x:row>
    <x:row r="539" ht="52" customHeight="1">
      <x:c r="A539" s="7" t="str">
        <x:v>AGUILAR JAVIER</x:v>
      </x:c>
      <x:c r="B539" s="14" t="str">
        <x:f>"0C94785"</x:f>
        <x:v>0C94785</x:v>
      </x:c>
      <x:c r="C539" s="7" t="str">
        <x:v>Omitted</x:v>
      </x:c>
      <x:c r="D539" s="7" t="str">
        <x:v>FAIL</x:v>
      </x:c>
      <x:c r="E539" s="13" t="str">
        <x:v>Pending</x:v>
      </x:c>
      <x:c r="F539" s="13" t="str"/>
      <x:c r="G539" s="13" t="str"/>
      <x:c r="H539" s="13" t="str"/>
      <x:c r="I539" s="7" t="str">
        <x:v>Was this person reviewed? If rejected, give the actual rule and evidence. If acceptable, correct the omission. Confirm the Life-qualification gate and any record change since selection.</x:v>
      </x:c>
      <x:c r="J539" s="7" t="str">
        <x:v>L1</x:v>
      </x:c>
      <x:c r="K539" s="7" t="str">
        <x:v>Verified qualifications do not include active general Life. Current target-pool mismatch; actual historical omission reason unknown.</x:v>
      </x:c>
      <x:c r="L539" s="7" t="str">
        <x:v>Not supplied; membership is known, motive is not</x:v>
      </x:c>
      <x:c r="M539" s="7" t="n">
        <x:v>7</x:v>
      </x:c>
      <x:c r="N539" s="7" t="str">
        <x:v>Outside current general-Life recruiting pool</x:v>
      </x:c>
      <x:c r="O539" s="7" t="str">
        <x:v>Not displayed</x:v>
      </x:c>
      <x:c r="P539" s="7" t="str"/>
      <x:c r="Q539" s="7" t="str"/>
      <x:c r="R539" s="7" t="str"/>
      <x:c r="S539" s="15" t="str"/>
      <x:c r="T539" s="7" t="str">
        <x:v>No public business phone in collected record</x:v>
      </x:c>
      <x:c r="U539" s="7" t="str"/>
      <x:c r="V539" s="7" t="str">
        <x:v>Resident</x:v>
      </x:c>
      <x:c r="W539" s="7" t="str">
        <x:v>CA</x:v>
      </x:c>
      <x:c r="X539" s="7" t="str"/>
      <x:c r="Y539" s="7" t="str"/>
      <x:c r="Z539" s="7" t="str"/>
      <x:c r="AA539" s="7" t="str"/>
      <x:c r="AB539" s="7" t="str"/>
      <x:c r="AC539" s="7" t="str"/>
      <x:c r="AD539" s="7" t="str">
        <x:v>No agency or insurer displayed: onboarding opportunity possible; existing business unknown</x:v>
      </x:c>
      <x:c r="AE539" s="7" t="str">
        <x:v>No public business phone: contact enrichment needed, not proof of poor recruiting fit</x:v>
      </x:c>
      <x:c r="AF539" s="16" t="str"/>
      <x:c r="AG539" s="17" t="str"/>
      <x:c r="AH539" s="7" t="str"/>
      <x:c r="AI539" s="7" t="str"/>
      <x:c r="AJ539" s="7" t="str"/>
      <x:c r="AK539" s="15" t="str"/>
      <x:c r="AL539" s="7" t="str"/>
      <x:c r="AM539" s="7" t="str">
        <x:v>AGUILAR  JAVIER</x:v>
      </x:c>
      <x:c r="AN539" s="7" t="str">
        <x:v>https://cdicloud.insurance.ca.gov/cal/LicenseDetail?SearchType=IND&amp;SearchLicNbr=0C94785&amp;SearchIndvId=458291</x:v>
      </x:c>
      <x:c r="AO539" s="7" t="str">
        <x:v>2026-10-08</x:v>
      </x:c>
      <x:c r="AP539" s="7" t="str">
        <x:v>6ecdb8e3987667f629600910db03f1ae73a55e677c4752142211643379834c46</x:v>
      </x:c>
      <x:c r="AQ539" s="7" t="str">
        <x:v>Accident and Health / Inactive / 05/13/2000 / 05/31/2004 / 05/31/2004
Life-Only / Inactive / 05/13/2000 / 05/31/2004 / 05/31/2004</x:v>
      </x:c>
      <x:c r="AR539" s="7" t="str">
        <x:v>Inactive</x:v>
      </x:c>
      <x:c r="AS539" s="7" t="str">
        <x:v>Current detail page</x:v>
      </x:c>
    </x:row>
    <x:row r="540" ht="52" customHeight="1">
      <x:c r="A540" s="7" t="str">
        <x:v>AGUILAR JAVIER ARTURO</x:v>
      </x:c>
      <x:c r="B540" s="14" t="str">
        <x:f>"0K68886"</x:f>
        <x:v>0K68886</x:v>
      </x:c>
      <x:c r="C540" s="7" t="str">
        <x:v>Omitted</x:v>
      </x:c>
      <x:c r="D540" s="7" t="str">
        <x:v>FAIL</x:v>
      </x:c>
      <x:c r="E540" s="13" t="str">
        <x:v>Pending</x:v>
      </x:c>
      <x:c r="F540" s="13" t="str"/>
      <x:c r="G540" s="13" t="str"/>
      <x:c r="H540" s="13" t="str"/>
      <x:c r="I540" s="7" t="str">
        <x:v>Was this person reviewed? If rejected, give the actual rule and evidence. If acceptable, correct the omission. Confirm the Life-qualification gate and any record change since selection.</x:v>
      </x:c>
      <x:c r="J540" s="7" t="str">
        <x:v>L1</x:v>
      </x:c>
      <x:c r="K540" s="7" t="str">
        <x:v>Verified qualifications do not include active general Life. Current target-pool mismatch; actual historical omission reason unknown.</x:v>
      </x:c>
      <x:c r="L540" s="7" t="str">
        <x:v>Not supplied; membership is known, motive is not</x:v>
      </x:c>
      <x:c r="M540" s="7" t="n">
        <x:v>7</x:v>
      </x:c>
      <x:c r="N540" s="7" t="str">
        <x:v>Outside current general-Life recruiting pool</x:v>
      </x:c>
      <x:c r="O540" s="7" t="str">
        <x:v>Not displayed</x:v>
      </x:c>
      <x:c r="P540" s="7" t="str"/>
      <x:c r="Q540" s="7" t="str"/>
      <x:c r="R540" s="7" t="str"/>
      <x:c r="S540" s="15" t="str"/>
      <x:c r="T540" s="7" t="str">
        <x:v>No public business phone in collected record</x:v>
      </x:c>
      <x:c r="U540" s="7" t="str"/>
      <x:c r="V540" s="7" t="str">
        <x:v>Resident</x:v>
      </x:c>
      <x:c r="W540" s="7" t="str">
        <x:v>CA</x:v>
      </x:c>
      <x:c r="X540" s="7" t="str"/>
      <x:c r="Y540" s="7" t="str"/>
      <x:c r="Z540" s="7" t="str"/>
      <x:c r="AA540" s="7" t="str"/>
      <x:c r="AB540" s="7" t="str"/>
      <x:c r="AC540" s="7" t="str"/>
      <x:c r="AD540" s="7" t="str">
        <x:v>No agency or insurer displayed: onboarding opportunity possible; existing business unknown</x:v>
      </x:c>
      <x:c r="AE540" s="7" t="str">
        <x:v>No public business phone: contact enrichment needed, not proof of poor recruiting fit</x:v>
      </x:c>
      <x:c r="AF540" s="16" t="str"/>
      <x:c r="AG540" s="17" t="str"/>
      <x:c r="AH540" s="7" t="str"/>
      <x:c r="AI540" s="7" t="str"/>
      <x:c r="AJ540" s="7" t="str"/>
      <x:c r="AK540" s="15" t="str"/>
      <x:c r="AL540" s="7" t="str"/>
      <x:c r="AM540" s="7" t="str">
        <x:v>AGUILAR ARTURO JAVIER</x:v>
      </x:c>
      <x:c r="AN540" s="7" t="str">
        <x:v>https://cdicloud.insurance.ca.gov/cal/LicenseDetail?SearchType=IND&amp;SearchLicNbr=0K68886&amp;SearchIndvId=1811539</x:v>
      </x:c>
      <x:c r="AO540" s="7" t="str">
        <x:v>2026-10-08</x:v>
      </x:c>
      <x:c r="AP540" s="7" t="str">
        <x:v>dcd321bcc202ccb947d75fea1b1ba62f49360d2ec017c3e71b54a2da44ae99ea</x:v>
      </x:c>
      <x:c r="AQ540" s="7" t="str">
        <x:v>Life-Only / Inactive / 01/12/2016 / 08/09/2017 / 08/09/2017</x:v>
      </x:c>
      <x:c r="AR540" s="7" t="str">
        <x:v>Inactive</x:v>
      </x:c>
      <x:c r="AS540" s="7" t="str">
        <x:v>Current detail page</x:v>
      </x:c>
    </x:row>
    <x:row r="541" ht="52" customHeight="1">
      <x:c r="A541" s="7" t="str">
        <x:v>AGUILAR JAZMIN</x:v>
      </x:c>
      <x:c r="B541" s="14" t="str">
        <x:f>"0M95486"</x:f>
        <x:v>0M95486</x:v>
      </x:c>
      <x:c r="C541" s="7" t="str">
        <x:v>Omitted</x:v>
      </x:c>
      <x:c r="D541" s="7" t="str">
        <x:v>FAIL</x:v>
      </x:c>
      <x:c r="E541" s="13" t="str">
        <x:v>Pending</x:v>
      </x:c>
      <x:c r="F541" s="13" t="str"/>
      <x:c r="G541" s="13" t="str"/>
      <x:c r="H541" s="13" t="str"/>
      <x:c r="I541" s="7" t="str">
        <x:v>Was this person reviewed? If rejected, give the actual rule and evidence. If acceptable, correct the omission. Confirm the Life-qualification gate and any record change since selection.</x:v>
      </x:c>
      <x:c r="J541" s="7" t="str">
        <x:v>L1</x:v>
      </x:c>
      <x:c r="K541" s="7" t="str">
        <x:v>Verified qualifications do not include active general Life. Current target-pool mismatch; actual historical omission reason unknown.</x:v>
      </x:c>
      <x:c r="L541" s="7" t="str">
        <x:v>Not supplied; membership is known, motive is not</x:v>
      </x:c>
      <x:c r="M541" s="7" t="n">
        <x:v>7</x:v>
      </x:c>
      <x:c r="N541" s="7" t="str">
        <x:v>Outside current general-Life recruiting pool</x:v>
      </x:c>
      <x:c r="O541" s="7" t="str">
        <x:v>Not displayed</x:v>
      </x:c>
      <x:c r="P541" s="7" t="str"/>
      <x:c r="Q541" s="7" t="str"/>
      <x:c r="R541" s="7" t="str"/>
      <x:c r="S541" s="15" t="str"/>
      <x:c r="T541" s="7" t="str">
        <x:v>No public business phone in collected record</x:v>
      </x:c>
      <x:c r="U541" s="7" t="str"/>
      <x:c r="V541" s="7" t="str">
        <x:v>Resident</x:v>
      </x:c>
      <x:c r="W541" s="7" t="str">
        <x:v>CA</x:v>
      </x:c>
      <x:c r="X541" s="7" t="str"/>
      <x:c r="Y541" s="7" t="str"/>
      <x:c r="Z541" s="7" t="str"/>
      <x:c r="AA541" s="7" t="str"/>
      <x:c r="AB541" s="7" t="str"/>
      <x:c r="AC541" s="7" t="str"/>
      <x:c r="AD541" s="7" t="str">
        <x:v>No agency or insurer displayed: onboarding opportunity possible; existing business unknown</x:v>
      </x:c>
      <x:c r="AE541" s="7" t="str">
        <x:v>No public business phone: contact enrichment needed, not proof of poor recruiting fit</x:v>
      </x:c>
      <x:c r="AF541" s="16" t="str"/>
      <x:c r="AG541" s="17" t="str"/>
      <x:c r="AH541" s="7" t="str"/>
      <x:c r="AI541" s="7" t="str"/>
      <x:c r="AJ541" s="7" t="str"/>
      <x:c r="AK541" s="15" t="str"/>
      <x:c r="AL541" s="7" t="str"/>
      <x:c r="AM541" s="7" t="str">
        <x:v>AGUILAR  JAZMIN</x:v>
      </x:c>
      <x:c r="AN541" s="7" t="str">
        <x:v>https://cdicloud.insurance.ca.gov/cal/LicenseDetail?SearchType=IND&amp;SearchLicNbr=0M95486&amp;SearchIndvId=2100814</x:v>
      </x:c>
      <x:c r="AO541" s="7" t="str">
        <x:v>2026-10-08</x:v>
      </x:c>
      <x:c r="AP541" s="7" t="str">
        <x:v>b25ec735c810b47673c8b31e026ded023fa22dc78c51ace5af46a095e283d16c</x:v>
      </x:c>
      <x:c r="AQ541" s="7" t="str">
        <x:v>Personal Lines / Inactive / 05/02/2019 / 05/31/2021 / 05/31/2021</x:v>
      </x:c>
      <x:c r="AR541" s="7" t="str">
        <x:v>Inactive</x:v>
      </x:c>
      <x:c r="AS541" s="7" t="str">
        <x:v>Current detail page</x:v>
      </x:c>
    </x:row>
    <x:row r="542" ht="52" customHeight="1">
      <x:c r="A542" s="7" t="str">
        <x:v>AGUILAR JAZMIN</x:v>
      </x:c>
      <x:c r="B542" s="14" t="str">
        <x:f>"4238851"</x:f>
        <x:v>4238851</x:v>
      </x:c>
      <x:c r="C542" s="7" t="str">
        <x:v>Omitted</x:v>
      </x:c>
      <x:c r="D542" s="7" t="str">
        <x:v>FAIL</x:v>
      </x:c>
      <x:c r="E542" s="13" t="str">
        <x:v>Pending</x:v>
      </x:c>
      <x:c r="F542" s="13" t="str"/>
      <x:c r="G542" s="13" t="str"/>
      <x:c r="H542" s="13" t="str"/>
      <x:c r="I542" s="7" t="str">
        <x:v>Was this person reviewed? If rejected, give the actual rule and evidence. If acceptable, correct the omission. Confirm the Life-qualification gate and any record change since selection.</x:v>
      </x:c>
      <x:c r="J542" s="7" t="str">
        <x:v>L1</x:v>
      </x:c>
      <x:c r="K542" s="7" t="str">
        <x:v>Verified qualifications do not include active general Life. Current target-pool mismatch; actual historical omission reason unknown.</x:v>
      </x:c>
      <x:c r="L542" s="7" t="str">
        <x:v>Not supplied; membership is known, motive is not</x:v>
      </x:c>
      <x:c r="M542" s="7" t="n">
        <x:v>7</x:v>
      </x:c>
      <x:c r="N542" s="7" t="str">
        <x:v>Outside current general-Life recruiting pool</x:v>
      </x:c>
      <x:c r="O542" s="7" t="str">
        <x:v>Not displayed</x:v>
      </x:c>
      <x:c r="P542" s="7" t="str"/>
      <x:c r="Q542" s="7" t="str"/>
      <x:c r="R542" s="7" t="str"/>
      <x:c r="S542" s="15" t="str"/>
      <x:c r="T542" s="7" t="str">
        <x:v>No public business phone in collected record</x:v>
      </x:c>
      <x:c r="U542" s="7" t="str">
        <x:v>420 PILOT RD LAS VEGAS NV, 89119</x:v>
      </x:c>
      <x:c r="V542" s="7" t="str">
        <x:v>Non-resident</x:v>
      </x:c>
      <x:c r="W542" s="7" t="str">
        <x:v>NV</x:v>
      </x:c>
      <x:c r="X542" s="7" t="str"/>
      <x:c r="Y542" s="7" t="str"/>
      <x:c r="Z542" s="7" t="str"/>
      <x:c r="AA542" s="7" t="str"/>
      <x:c r="AB542" s="7" t="str"/>
      <x:c r="AC542" s="7" t="str"/>
      <x:c r="AD542" s="7" t="str">
        <x:v>No agency or insurer displayed: onboarding opportunity possible; existing business unknown</x:v>
      </x:c>
      <x:c r="AE542" s="7" t="str">
        <x:v>Nonresident or address state outside CA; confirm geographic recruiting scope | No public business phone: contact enrichment needed, not proof of poor recruiting fit</x:v>
      </x:c>
      <x:c r="AF542" s="16" t="str"/>
      <x:c r="AG542" s="17" t="str"/>
      <x:c r="AH542" s="7" t="str"/>
      <x:c r="AI542" s="7" t="str"/>
      <x:c r="AJ542" s="7" t="str"/>
      <x:c r="AK542" s="15" t="str"/>
      <x:c r="AL542" s="7" t="str"/>
      <x:c r="AM542" s="7" t="str">
        <x:v>AGUILAR  JAZMIN</x:v>
      </x:c>
      <x:c r="AN542" s="7" t="str">
        <x:v>https://cdicloud.insurance.ca.gov/cal/LicenseDetail?SearchType=IND&amp;SearchLicNbr=4238851&amp;SearchIndvId=4238851</x:v>
      </x:c>
      <x:c r="AO542" s="7" t="str">
        <x:v>2026-10-08</x:v>
      </x:c>
      <x:c r="AP542" s="7" t="str">
        <x:v>e4c58d77c759682624e24d520d86bfa23777d913d6a33dd11e55a2475303b596</x:v>
      </x:c>
      <x:c r="AQ542" s="7" t="str">
        <x:v>Personal Lines / Inactive / 09/21/2022 / 09/30/2024 / 09/30/2024</x:v>
      </x:c>
      <x:c r="AR542" s="7" t="str">
        <x:v>Inactive</x:v>
      </x:c>
      <x:c r="AS542" s="7" t="str">
        <x:v>Current detail page</x:v>
      </x:c>
    </x:row>
    <x:row r="543" ht="52" customHeight="1">
      <x:c r="A543" s="7" t="str">
        <x:v>AGUILAR JAZMINE</x:v>
      </x:c>
      <x:c r="B543" s="14" t="str">
        <x:f>"0K25959"</x:f>
        <x:v>0K25959</x:v>
      </x:c>
      <x:c r="C543" s="7" t="str">
        <x:v>Omitted</x:v>
      </x:c>
      <x:c r="D543" s="7" t="str">
        <x:v>FAIL</x:v>
      </x:c>
      <x:c r="E543" s="13" t="str">
        <x:v>Pending</x:v>
      </x:c>
      <x:c r="F543" s="13" t="str"/>
      <x:c r="G543" s="13" t="str"/>
      <x:c r="H543" s="13" t="str"/>
      <x:c r="I543" s="7" t="str">
        <x:v>Was this person reviewed? If rejected, give the actual rule and evidence. If acceptable, correct the omission. Confirm the Life-qualification gate and any record change since selection.</x:v>
      </x:c>
      <x:c r="J543" s="7" t="str">
        <x:v>L1</x:v>
      </x:c>
      <x:c r="K543" s="7" t="str">
        <x:v>Verified qualifications do not include active general Life. Current target-pool mismatch; actual historical omission reason unknown.</x:v>
      </x:c>
      <x:c r="L543" s="7" t="str">
        <x:v>Not supplied; membership is known, motive is not</x:v>
      </x:c>
      <x:c r="M543" s="7" t="n">
        <x:v>7</x:v>
      </x:c>
      <x:c r="N543" s="7" t="str">
        <x:v>Outside current general-Life recruiting pool</x:v>
      </x:c>
      <x:c r="O543" s="7" t="str">
        <x:v>Not displayed</x:v>
      </x:c>
      <x:c r="P543" s="7" t="str"/>
      <x:c r="Q543" s="7" t="str"/>
      <x:c r="R543" s="7" t="str"/>
      <x:c r="S543" s="15" t="str"/>
      <x:c r="T543" s="7" t="str">
        <x:v>No public business phone in collected record</x:v>
      </x:c>
      <x:c r="U543" s="7" t="str"/>
      <x:c r="V543" s="7" t="str">
        <x:v>Resident</x:v>
      </x:c>
      <x:c r="W543" s="7" t="str">
        <x:v>CA</x:v>
      </x:c>
      <x:c r="X543" s="7" t="str"/>
      <x:c r="Y543" s="7" t="str"/>
      <x:c r="Z543" s="7" t="str"/>
      <x:c r="AA543" s="7" t="str"/>
      <x:c r="AB543" s="7" t="str"/>
      <x:c r="AC543" s="7" t="str"/>
      <x:c r="AD543" s="7" t="str">
        <x:v>No agency or insurer displayed: onboarding opportunity possible; existing business unknown</x:v>
      </x:c>
      <x:c r="AE543" s="7" t="str">
        <x:v>No public business phone: contact enrichment needed, not proof of poor recruiting fit</x:v>
      </x:c>
      <x:c r="AF543" s="16" t="str"/>
      <x:c r="AG543" s="17" t="str"/>
      <x:c r="AH543" s="7" t="str"/>
      <x:c r="AI543" s="7" t="str">
        <x:v>English, Spanish, Spanish</x:v>
      </x:c>
      <x:c r="AJ543" s="7" t="str"/>
      <x:c r="AK543" s="15" t="str"/>
      <x:c r="AL543" s="7" t="str"/>
      <x:c r="AM543" s="7" t="str">
        <x:v>AGUILAR  JAZMINE | Aguilar Mendoza  Jazmine</x:v>
      </x:c>
      <x:c r="AN543" s="7" t="str">
        <x:v>https://cdicloud.insurance.ca.gov/cal/LicenseDetail?SearchType=IND&amp;SearchLicNbr=0K25959&amp;SearchIndvId=1758722</x:v>
      </x:c>
      <x:c r="AO543" s="7" t="str">
        <x:v>2026-10-08</x:v>
      </x:c>
      <x:c r="AP543" s="7" t="str">
        <x:v>a2fd3f56c29394d33ebc4978369e68cd8223e781aa908eb53e8a4e72d835247b</x:v>
      </x:c>
      <x:c r="AQ543" s="7" t="str">
        <x:v>Accident and Health / Inactive / 01/16/2018 / 05/31/2019 / 05/31/2019
Casualty Broker-Agent / Inactive / 05/20/2015 / 05/31/2019 / 05/31/2019
Life-Only / Inactive / 01/16/2018 / 05/31/2019 / 05/31/2019
Property Broker-Agent / Inactive / 05/20/2015 / 05/31/2019 / 05/31/2019</x:v>
      </x:c>
      <x:c r="AR543" s="7" t="str">
        <x:v>Inactive</x:v>
      </x:c>
      <x:c r="AS543" s="7" t="str">
        <x:v>Current detail page</x:v>
      </x:c>
    </x:row>
    <x:row r="544" ht="52" customHeight="1">
      <x:c r="A544" s="7" t="str">
        <x:v>AGUILAR JEANETTE</x:v>
      </x:c>
      <x:c r="B544" s="14" t="str">
        <x:f>"0H95096"</x:f>
        <x:v>0H95096</x:v>
      </x:c>
      <x:c r="C544" s="7" t="str">
        <x:v>Omitted</x:v>
      </x:c>
      <x:c r="D544" s="7" t="str">
        <x:v>FAIL</x:v>
      </x:c>
      <x:c r="E544" s="13" t="str">
        <x:v>Pending</x:v>
      </x:c>
      <x:c r="F544" s="13" t="str"/>
      <x:c r="G544" s="13" t="str"/>
      <x:c r="H544" s="13" t="str"/>
      <x:c r="I544" s="7" t="str">
        <x:v>Was this person reviewed? If rejected, give the actual rule and evidence. If acceptable, correct the omission. Confirm the Life-qualification gate and any record change since selection.</x:v>
      </x:c>
      <x:c r="J544" s="7" t="str">
        <x:v>L1</x:v>
      </x:c>
      <x:c r="K544" s="7" t="str">
        <x:v>Verified qualifications do not include active general Life. Current target-pool mismatch; actual historical omission reason unknown.</x:v>
      </x:c>
      <x:c r="L544" s="7" t="str">
        <x:v>Not supplied; membership is known, motive is not</x:v>
      </x:c>
      <x:c r="M544" s="7" t="n">
        <x:v>7</x:v>
      </x:c>
      <x:c r="N544" s="7" t="str">
        <x:v>Outside current general-Life recruiting pool</x:v>
      </x:c>
      <x:c r="O544" s="7" t="str">
        <x:v>Not displayed</x:v>
      </x:c>
      <x:c r="P544" s="7" t="str"/>
      <x:c r="Q544" s="7" t="str"/>
      <x:c r="R544" s="7" t="str"/>
      <x:c r="S544" s="15" t="str"/>
      <x:c r="T544" s="7" t="str">
        <x:v>No public business phone in collected record</x:v>
      </x:c>
      <x:c r="U544" s="7" t="str"/>
      <x:c r="V544" s="7" t="str">
        <x:v>Resident</x:v>
      </x:c>
      <x:c r="W544" s="7" t="str">
        <x:v>CA</x:v>
      </x:c>
      <x:c r="X544" s="7" t="str"/>
      <x:c r="Y544" s="7" t="str"/>
      <x:c r="Z544" s="7" t="str"/>
      <x:c r="AA544" s="7" t="str"/>
      <x:c r="AB544" s="7" t="str"/>
      <x:c r="AC544" s="7" t="str"/>
      <x:c r="AD544" s="7" t="str">
        <x:v>No agency or insurer displayed: onboarding opportunity possible; existing business unknown</x:v>
      </x:c>
      <x:c r="AE544" s="7" t="str">
        <x:v>No public business phone: contact enrichment needed, not proof of poor recruiting fit</x:v>
      </x:c>
      <x:c r="AF544" s="16" t="str"/>
      <x:c r="AG544" s="17" t="str"/>
      <x:c r="AH544" s="7" t="str"/>
      <x:c r="AI544" s="7" t="str"/>
      <x:c r="AJ544" s="7" t="str"/>
      <x:c r="AK544" s="15" t="str"/>
      <x:c r="AL544" s="7" t="str"/>
      <x:c r="AM544" s="7" t="str">
        <x:v>AGUILAR  JEANETTE</x:v>
      </x:c>
      <x:c r="AN544" s="7" t="str">
        <x:v>https://cdicloud.insurance.ca.gov/cal/LicenseDetail?SearchType=IND&amp;SearchLicNbr=0H95096&amp;SearchIndvId=1519969</x:v>
      </x:c>
      <x:c r="AO544" s="7" t="str">
        <x:v>2026-10-08</x:v>
      </x:c>
      <x:c r="AP544" s="7" t="str">
        <x:v>8360ea6fd59e1fd9738a55344612c1ac911e45e1313af9eb03229c20d8e170d1</x:v>
      </x:c>
      <x:c r="AQ544" s="7" t="str">
        <x:v>Life-Only / Inactive / 07/09/2012 / 07/31/2014 / 07/31/2014</x:v>
      </x:c>
      <x:c r="AR544" s="7" t="str">
        <x:v>Inactive</x:v>
      </x:c>
      <x:c r="AS544" s="7" t="str">
        <x:v>Current detail page</x:v>
      </x:c>
    </x:row>
    <x:row r="545" ht="52" customHeight="1">
      <x:c r="A545" s="7" t="str">
        <x:v>AGUILAR JEANNETTE</x:v>
      </x:c>
      <x:c r="B545" s="14" t="str">
        <x:f>"4394892"</x:f>
        <x:v>4394892</x:v>
      </x:c>
      <x:c r="C545" s="7" t="str">
        <x:v>Omitted</x:v>
      </x:c>
      <x:c r="D545" s="7" t="str">
        <x:v>FAIL</x:v>
      </x:c>
      <x:c r="E545" s="13" t="str">
        <x:v>Pending</x:v>
      </x:c>
      <x:c r="F545" s="13" t="str"/>
      <x:c r="G545" s="13" t="str"/>
      <x:c r="H545" s="13" t="str"/>
      <x:c r="I545" s="7" t="str">
        <x:v>Was this person reviewed? If rejected, give the actual rule and evidence. If acceptable, correct the omission. Confirm the Life-qualification gate and any record change since selection.</x:v>
      </x:c>
      <x:c r="J545" s="7" t="str">
        <x:v>L1</x:v>
      </x:c>
      <x:c r="K545" s="7" t="str">
        <x:v>Verified qualifications do not include active general Life. Current target-pool mismatch; actual historical omission reason unknown.</x:v>
      </x:c>
      <x:c r="L545" s="7" t="str">
        <x:v>Not supplied; membership is known, motive is not</x:v>
      </x:c>
      <x:c r="M545" s="7" t="n">
        <x:v>7</x:v>
      </x:c>
      <x:c r="N545" s="7" t="str">
        <x:v>Outside current general-Life recruiting pool</x:v>
      </x:c>
      <x:c r="O545" s="7" t="str">
        <x:v>Not displayed</x:v>
      </x:c>
      <x:c r="P545" s="7" t="str"/>
      <x:c r="Q545" s="7" t="str"/>
      <x:c r="R545" s="7" t="str"/>
      <x:c r="S545" s="15" t="str">
        <x:v>559-440-6152</x:v>
      </x:c>
      <x:c r="T545" s="7" t="str">
        <x:v>Current CDI</x:v>
      </x:c>
      <x:c r="U545" s="7" t="str">
        <x:v>4209 E TULARE AVE FRESNO CA, 93702</x:v>
      </x:c>
      <x:c r="V545" s="7" t="str">
        <x:v>Resident</x:v>
      </x:c>
      <x:c r="W545" s="7" t="str">
        <x:v>CA</x:v>
      </x:c>
      <x:c r="X545" s="7" t="str"/>
      <x:c r="Y545" s="7" t="str"/>
      <x:c r="Z545" s="7" t="str"/>
      <x:c r="AA545" s="7" t="str"/>
      <x:c r="AB545" s="7" t="str"/>
      <x:c r="AC545" s="7" t="str"/>
      <x:c r="AD545" s="7" t="str">
        <x:v>No agency or insurer displayed: onboarding opportunity possible; existing business unknown</x:v>
      </x:c>
      <x:c r="AE545" s="7" t="str"/>
      <x:c r="AF545" s="16" t="str"/>
      <x:c r="AG545" s="17" t="str"/>
      <x:c r="AH545" s="7" t="str"/>
      <x:c r="AI545" s="7" t="str">
        <x:v>English</x:v>
      </x:c>
      <x:c r="AJ545" s="7" t="str"/>
      <x:c r="AK545" s="15" t="str"/>
      <x:c r="AL545" s="7" t="str"/>
      <x:c r="AM545" s="7" t="str">
        <x:v>AGUILAR  JEANNETTE</x:v>
      </x:c>
      <x:c r="AN545" s="7" t="str">
        <x:v>https://cdicloud.insurance.ca.gov/cal/LicenseDetail?SearchType=IND&amp;SearchLicNbr=4394892&amp;SearchIndvId=4394892</x:v>
      </x:c>
      <x:c r="AO545" s="7" t="str">
        <x:v>2026-10-08</x:v>
      </x:c>
      <x:c r="AP545" s="7" t="str">
        <x:v>1cd8882d3952b8e41df015ce64d8afd51f695ef0cdfbb8b7624fc336a3a009fa</x:v>
      </x:c>
      <x:c r="AQ545" s="7" t="str">
        <x:v>Personal Lines / Inactive / 07/19/2024 / 07/31/2026 / 07/31/2026</x:v>
      </x:c>
      <x:c r="AR545" s="7" t="str">
        <x:v>Inactive</x:v>
      </x:c>
      <x:c r="AS545" s="7" t="str">
        <x:v>Current detail page</x:v>
      </x:c>
    </x:row>
    <x:row r="546" ht="52" customHeight="1">
      <x:c r="A546" s="7" t="str">
        <x:v>AGUILAR JEFFREY JOEL</x:v>
      </x:c>
      <x:c r="B546" s="14" t="str">
        <x:f>"0L76429"</x:f>
        <x:v>0L76429</x:v>
      </x:c>
      <x:c r="C546" s="7" t="str">
        <x:v>Omitted</x:v>
      </x:c>
      <x:c r="D546" s="7" t="str">
        <x:v>FAIL</x:v>
      </x:c>
      <x:c r="E546" s="13" t="str">
        <x:v>Pending</x:v>
      </x:c>
      <x:c r="F546" s="13" t="str"/>
      <x:c r="G546" s="13" t="str"/>
      <x:c r="H546" s="13" t="str"/>
      <x:c r="I546" s="7" t="str">
        <x:v>Was this person reviewed? If rejected, give the actual rule and evidence. If acceptable, correct the omission. Confirm the Life-qualification gate and any record change since selection.</x:v>
      </x:c>
      <x:c r="J546" s="7" t="str">
        <x:v>L1</x:v>
      </x:c>
      <x:c r="K546" s="7" t="str">
        <x:v>Verified qualifications do not include active general Life. Current target-pool mismatch; actual historical omission reason unknown.</x:v>
      </x:c>
      <x:c r="L546" s="7" t="str">
        <x:v>Not supplied; membership is known, motive is not</x:v>
      </x:c>
      <x:c r="M546" s="7" t="n">
        <x:v>7</x:v>
      </x:c>
      <x:c r="N546" s="7" t="str">
        <x:v>Outside current general-Life recruiting pool</x:v>
      </x:c>
      <x:c r="O546" s="7" t="str">
        <x:v>Not displayed</x:v>
      </x:c>
      <x:c r="P546" s="7" t="str"/>
      <x:c r="Q546" s="7" t="str"/>
      <x:c r="R546" s="7" t="str"/>
      <x:c r="S546" s="15" t="str"/>
      <x:c r="T546" s="7" t="str">
        <x:v>No public business phone in collected record</x:v>
      </x:c>
      <x:c r="U546" s="7" t="str"/>
      <x:c r="V546" s="7" t="str">
        <x:v>Non-resident</x:v>
      </x:c>
      <x:c r="W546" s="7" t="str">
        <x:v>TX</x:v>
      </x:c>
      <x:c r="X546" s="7" t="str"/>
      <x:c r="Y546" s="7" t="str"/>
      <x:c r="Z546" s="7" t="str"/>
      <x:c r="AA546" s="7" t="str"/>
      <x:c r="AB546" s="7" t="str"/>
      <x:c r="AC546" s="7" t="str"/>
      <x:c r="AD546" s="7" t="str">
        <x:v>No agency or insurer displayed: onboarding opportunity possible; existing business unknown</x:v>
      </x:c>
      <x:c r="AE546" s="7" t="str">
        <x:v>Nonresident or address state outside CA; confirm geographic recruiting scope | No public business phone: contact enrichment needed, not proof of poor recruiting fit</x:v>
      </x:c>
      <x:c r="AF546" s="16" t="str"/>
      <x:c r="AG546" s="17" t="str"/>
      <x:c r="AH546" s="7" t="str"/>
      <x:c r="AI546" s="7" t="str"/>
      <x:c r="AJ546" s="7" t="str"/>
      <x:c r="AK546" s="15" t="str"/>
      <x:c r="AL546" s="7" t="str"/>
      <x:c r="AM546" s="7" t="str">
        <x:v>AGUILAR JOEL JEFFREY</x:v>
      </x:c>
      <x:c r="AN546" s="7" t="str">
        <x:v>https://cdicloud.insurance.ca.gov/cal/LicenseDetail?SearchType=IND&amp;SearchLicNbr=0L76429&amp;SearchIndvId=1938581</x:v>
      </x:c>
      <x:c r="AO546" s="7" t="str">
        <x:v>2026-10-08</x:v>
      </x:c>
      <x:c r="AP546" s="7" t="str">
        <x:v>43e65ca2bc2ad09b60a56e1139899d0c09d0beae456e4ad16544d0cce431a178</x:v>
      </x:c>
      <x:c r="AQ546" s="7" t="str">
        <x:v>Casualty Broker-Agent / Inactive / 05/24/2017 / 05/31/2019 / 05/31/2019
Property Broker-Agent / Inactive / 05/24/2017 / 05/31/2019 / 05/31/2019</x:v>
      </x:c>
      <x:c r="AR546" s="7" t="str">
        <x:v>Inactive</x:v>
      </x:c>
      <x:c r="AS546" s="7" t="str">
        <x:v>Current detail page</x:v>
      </x:c>
    </x:row>
    <x:row r="547" ht="52" customHeight="1">
      <x:c r="A547" s="7" t="str">
        <x:v>AGUILAR JEISON</x:v>
      </x:c>
      <x:c r="B547" s="14" t="str">
        <x:f>"4028229"</x:f>
        <x:v>4028229</x:v>
      </x:c>
      <x:c r="C547" s="7" t="str">
        <x:v>Omitted</x:v>
      </x:c>
      <x:c r="D547" s="7" t="str">
        <x:v>FAIL</x:v>
      </x:c>
      <x:c r="E547" s="13" t="str">
        <x:v>Pending</x:v>
      </x:c>
      <x:c r="F547" s="13" t="str"/>
      <x:c r="G547" s="13" t="str"/>
      <x:c r="H547" s="13" t="str"/>
      <x:c r="I547" s="7" t="str">
        <x:v>Was this person reviewed? If rejected, give the actual rule and evidence. If acceptable, correct the omission. Confirm the Life-qualification gate and any record change since selection.</x:v>
      </x:c>
      <x:c r="J547" s="7" t="str">
        <x:v>L1</x:v>
      </x:c>
      <x:c r="K547" s="7" t="str">
        <x:v>Verified qualifications do not include active general Life. Current target-pool mismatch; actual historical omission reason unknown.</x:v>
      </x:c>
      <x:c r="L547" s="7" t="str">
        <x:v>Not supplied; membership is known, motive is not</x:v>
      </x:c>
      <x:c r="M547" s="7" t="n">
        <x:v>7</x:v>
      </x:c>
      <x:c r="N547" s="7" t="str">
        <x:v>Outside current general-Life recruiting pool</x:v>
      </x:c>
      <x:c r="O547" s="7" t="str">
        <x:v>Not displayed</x:v>
      </x:c>
      <x:c r="P547" s="7" t="str"/>
      <x:c r="Q547" s="7" t="str"/>
      <x:c r="R547" s="7" t="str">
        <x:v>Casualty; Property; Surplus Lines Broker</x:v>
      </x:c>
      <x:c r="S547" s="15" t="str"/>
      <x:c r="T547" s="7" t="str">
        <x:v>No public business phone in collected record</x:v>
      </x:c>
      <x:c r="U547" s="7" t="str">
        <x:v>725 S FIGUEROA ST STE 2200 LOS ANGELES CA, 90017-5422</x:v>
      </x:c>
      <x:c r="V547" s="7" t="str">
        <x:v>Resident</x:v>
      </x:c>
      <x:c r="W547" s="7" t="str">
        <x:v>CA</x:v>
      </x:c>
      <x:c r="X547" s="7" t="str">
        <x:v>BERKLEY MANAGERS INSURANCE SERVICES, LLC / Surplus Lines Broker / 01/08/2025</x:v>
      </x:c>
      <x:c r="Y547" s="7" t="str">
        <x:v>ASCOT INSURANCE COMPANY / Casualty / 05/19/2022
ASCOT INSURANCE COMPANY / Property / 05/19/2022</x:v>
      </x:c>
      <x:c r="Z547" s="7" t="str"/>
      <x:c r="AA547" s="7" t="str"/>
      <x:c r="AB547" s="7" t="str"/>
      <x:c r="AC547" s="7" t="str"/>
      <x:c r="AD547" s="7" t="str"/>
      <x:c r="AE547" s="7" t="str">
        <x:v>P&amp;C/Personal Lines authority without displayed core Life appointments; mixed profile requires review | No public business phone: contact enrichment needed, not proof of poor recruiting fit</x:v>
      </x:c>
      <x:c r="AF547" s="16" t="str"/>
      <x:c r="AG547" s="17" t="str"/>
      <x:c r="AH547" s="7" t="str"/>
      <x:c r="AI547" s="7" t="str">
        <x:v>English</x:v>
      </x:c>
      <x:c r="AJ547" s="7" t="str"/>
      <x:c r="AK547" s="15" t="str"/>
      <x:c r="AL547" s="7" t="str"/>
      <x:c r="AM547" s="7" t="str">
        <x:v>AGUILAR  JEISON</x:v>
      </x:c>
      <x:c r="AN547" s="7" t="str">
        <x:v>https://cdicloud.insurance.ca.gov/cal/LicenseDetail?SearchType=IND&amp;SearchLicNbr=4028229&amp;SearchIndvId=4028229</x:v>
      </x:c>
      <x:c r="AO547" s="7" t="str">
        <x:v>2026-10-08</x:v>
      </x:c>
      <x:c r="AP547" s="7" t="str">
        <x:v>7fc8490a07ed03666afd25ba63413fc3b71873304e8292ec0d044708078e796a</x:v>
      </x:c>
      <x:c r="AQ547" s="7" t="str">
        <x:v>Casualty / Active / 12/30/2019 / 12/30/2019 / 12/31/2027
Property / Active / 12/30/2019 / 12/30/2019 / 12/31/2027
Surplus Lines Broker / Active / 01/08/2025 / 01/08/2025 / 12/31/2027</x:v>
      </x:c>
      <x:c r="AR547" s="7" t="str">
        <x:v>Active</x:v>
      </x:c>
      <x:c r="AS547" s="7" t="str">
        <x:v>Current detail page</x:v>
      </x:c>
    </x:row>
    <x:row r="548" ht="52" customHeight="1">
      <x:c r="A548" s="7" t="str">
        <x:v>AGUILAR JEISON STEWART</x:v>
      </x:c>
      <x:c r="B548" s="14" t="str">
        <x:f>"0C77986"</x:f>
        <x:v>0C77986</x:v>
      </x:c>
      <x:c r="C548" s="7" t="str">
        <x:v>Omitted</x:v>
      </x:c>
      <x:c r="D548" s="7" t="str">
        <x:v>FAIL</x:v>
      </x:c>
      <x:c r="E548" s="13" t="str">
        <x:v>Pending</x:v>
      </x:c>
      <x:c r="F548" s="13" t="str"/>
      <x:c r="G548" s="13" t="str"/>
      <x:c r="H548" s="13" t="str"/>
      <x:c r="I548" s="7" t="str">
        <x:v>Was this person reviewed? If rejected, give the actual rule and evidence. If acceptable, correct the omission. Confirm the Life-qualification gate and any record change since selection.</x:v>
      </x:c>
      <x:c r="J548" s="7" t="str">
        <x:v>L1</x:v>
      </x:c>
      <x:c r="K548" s="7" t="str">
        <x:v>Verified qualifications do not include active general Life. Current target-pool mismatch; actual historical omission reason unknown.</x:v>
      </x:c>
      <x:c r="L548" s="7" t="str">
        <x:v>Not supplied; membership is known, motive is not</x:v>
      </x:c>
      <x:c r="M548" s="7" t="n">
        <x:v>7</x:v>
      </x:c>
      <x:c r="N548" s="7" t="str">
        <x:v>Outside current general-Life recruiting pool</x:v>
      </x:c>
      <x:c r="O548" s="7" t="str">
        <x:v>Not displayed</x:v>
      </x:c>
      <x:c r="P548" s="7" t="str"/>
      <x:c r="Q548" s="7" t="str"/>
      <x:c r="R548" s="7" t="str"/>
      <x:c r="S548" s="15" t="str"/>
      <x:c r="T548" s="7" t="str">
        <x:v>No public business phone in collected record</x:v>
      </x:c>
      <x:c r="U548" s="7" t="str"/>
      <x:c r="V548" s="7" t="str">
        <x:v>Resident</x:v>
      </x:c>
      <x:c r="W548" s="7" t="str">
        <x:v>CA</x:v>
      </x:c>
      <x:c r="X548" s="7" t="str"/>
      <x:c r="Y548" s="7" t="str"/>
      <x:c r="Z548" s="7" t="str"/>
      <x:c r="AA548" s="7" t="str"/>
      <x:c r="AB548" s="7" t="str"/>
      <x:c r="AC548" s="7" t="str"/>
      <x:c r="AD548" s="7" t="str">
        <x:v>No agency or insurer displayed: onboarding opportunity possible; existing business unknown</x:v>
      </x:c>
      <x:c r="AE548" s="7" t="str">
        <x:v>No public business phone: contact enrichment needed, not proof of poor recruiting fit</x:v>
      </x:c>
      <x:c r="AF548" s="16" t="str"/>
      <x:c r="AG548" s="17" t="str"/>
      <x:c r="AH548" s="7" t="str"/>
      <x:c r="AI548" s="7" t="str"/>
      <x:c r="AJ548" s="7" t="str"/>
      <x:c r="AK548" s="15" t="str"/>
      <x:c r="AL548" s="7" t="str"/>
      <x:c r="AM548" s="7" t="str">
        <x:v>AGUILAR STEWART JEISON</x:v>
      </x:c>
      <x:c r="AN548" s="7" t="str">
        <x:v>https://cdicloud.insurance.ca.gov/cal/LicenseDetail?SearchType=IND&amp;SearchLicNbr=0C77986&amp;SearchIndvId=463124</x:v>
      </x:c>
      <x:c r="AO548" s="7" t="str">
        <x:v>2026-10-08</x:v>
      </x:c>
      <x:c r="AP548" s="7" t="str">
        <x:v>0551f117104a79db517c27274778668f0de957beafca7dc332918b6eb22240a3</x:v>
      </x:c>
      <x:c r="AQ548" s="7" t="str">
        <x:v>Accident and Health / Inactive / 11/30/1999 / 11/30/2001 / 11/30/2001
Life-Only / Inactive / 11/30/1999 / 11/30/2001 / 11/30/2001</x:v>
      </x:c>
      <x:c r="AR548" s="7" t="str">
        <x:v>Inactive</x:v>
      </x:c>
      <x:c r="AS548" s="7" t="str">
        <x:v>Current detail page</x:v>
      </x:c>
    </x:row>
    <x:row r="549" ht="52" customHeight="1">
      <x:c r="A549" s="7" t="str">
        <x:v>AGUILAR JEITSA</x:v>
      </x:c>
      <x:c r="B549" s="14" t="str">
        <x:f>"4207144"</x:f>
        <x:v>4207144</x:v>
      </x:c>
      <x:c r="C549" s="7" t="str">
        <x:v>Omitted</x:v>
      </x:c>
      <x:c r="D549" s="7" t="str">
        <x:v>FAIL</x:v>
      </x:c>
      <x:c r="E549" s="13" t="str">
        <x:v>Pending</x:v>
      </x:c>
      <x:c r="F549" s="13" t="str"/>
      <x:c r="G549" s="13" t="str"/>
      <x:c r="H549" s="13" t="str"/>
      <x:c r="I549" s="7" t="str">
        <x:v>Was this person reviewed? If rejected, give the actual rule and evidence. If acceptable, correct the omission. Confirm the Life-qualification gate and any record change since selection.</x:v>
      </x:c>
      <x:c r="J549" s="7" t="str">
        <x:v>L1</x:v>
      </x:c>
      <x:c r="K549" s="7" t="str">
        <x:v>Verified qualifications do not include active general Life. Current target-pool mismatch; actual historical omission reason unknown.</x:v>
      </x:c>
      <x:c r="L549" s="7" t="str">
        <x:v>Not supplied; membership is known, motive is not</x:v>
      </x:c>
      <x:c r="M549" s="7" t="n">
        <x:v>7</x:v>
      </x:c>
      <x:c r="N549" s="7" t="str">
        <x:v>Outside current general-Life recruiting pool</x:v>
      </x:c>
      <x:c r="O549" s="7" t="str">
        <x:v>Not displayed</x:v>
      </x:c>
      <x:c r="P549" s="7" t="str"/>
      <x:c r="Q549" s="7" t="str"/>
      <x:c r="R549" s="7" t="str"/>
      <x:c r="S549" s="15" t="str"/>
      <x:c r="T549" s="7" t="str">
        <x:v>No public business phone in collected record</x:v>
      </x:c>
      <x:c r="U549" s="7" t="str">
        <x:v>218 S H ST STE 100 BAKERSFIELD CA, 93304-3407</x:v>
      </x:c>
      <x:c r="V549" s="7" t="str">
        <x:v>Resident</x:v>
      </x:c>
      <x:c r="W549" s="7" t="str">
        <x:v>CA</x:v>
      </x:c>
      <x:c r="X549" s="7" t="str"/>
      <x:c r="Y549" s="7" t="str"/>
      <x:c r="Z549" s="7" t="str"/>
      <x:c r="AA549" s="7" t="str"/>
      <x:c r="AB549" s="7" t="str"/>
      <x:c r="AC549" s="7" t="str"/>
      <x:c r="AD549" s="7" t="str">
        <x:v>No agency or insurer displayed: onboarding opportunity possible; existing business unknown</x:v>
      </x:c>
      <x:c r="AE549" s="7" t="str">
        <x:v>No public business phone: contact enrichment needed, not proof of poor recruiting fit</x:v>
      </x:c>
      <x:c r="AF549" s="16" t="str"/>
      <x:c r="AG549" s="17" t="str"/>
      <x:c r="AH549" s="7" t="str"/>
      <x:c r="AI549" s="7" t="str"/>
      <x:c r="AJ549" s="7" t="str"/>
      <x:c r="AK549" s="15" t="str"/>
      <x:c r="AL549" s="7" t="str"/>
      <x:c r="AM549" s="7" t="str">
        <x:v>AGUILAR  JEITSA</x:v>
      </x:c>
      <x:c r="AN549" s="7" t="str">
        <x:v>https://cdicloud.insurance.ca.gov/cal/LicenseDetail?SearchType=IND&amp;SearchLicNbr=4207144&amp;SearchIndvId=4207144</x:v>
      </x:c>
      <x:c r="AO549" s="7" t="str">
        <x:v>2026-10-08</x:v>
      </x:c>
      <x:c r="AP549" s="7" t="str">
        <x:v>f857650ee08e2ccf0afdd69541e07bc28eb438c1d8a59c6ced706cb3cd875a5f</x:v>
      </x:c>
      <x:c r="AQ549" s="7" t="str">
        <x:v>Personal Lines / Inactive / 05/03/2022 / 05/31/2024 / 05/31/2024</x:v>
      </x:c>
      <x:c r="AR549" s="7" t="str">
        <x:v>Inactive</x:v>
      </x:c>
      <x:c r="AS549" s="7" t="str">
        <x:v>Current detail page</x:v>
      </x:c>
    </x:row>
    <x:row r="550" ht="52" customHeight="1">
      <x:c r="A550" s="7" t="str">
        <x:v>AGUILAR JENIFFER</x:v>
      </x:c>
      <x:c r="B550" s="14" t="str">
        <x:f>"0I85833"</x:f>
        <x:v>0I85833</x:v>
      </x:c>
      <x:c r="C550" s="7" t="str">
        <x:v>Omitted</x:v>
      </x:c>
      <x:c r="D550" s="7" t="str">
        <x:v>FAIL</x:v>
      </x:c>
      <x:c r="E550" s="13" t="str">
        <x:v>Pending</x:v>
      </x:c>
      <x:c r="F550" s="13" t="str"/>
      <x:c r="G550" s="13" t="str"/>
      <x:c r="H550" s="13" t="str"/>
      <x:c r="I550" s="7" t="str">
        <x:v>Was this person reviewed? If rejected, give the actual rule and evidence. If acceptable, correct the omission. Confirm the Life-qualification gate and any record change since selection.</x:v>
      </x:c>
      <x:c r="J550" s="7" t="str">
        <x:v>L1</x:v>
      </x:c>
      <x:c r="K550" s="7" t="str">
        <x:v>Verified qualifications do not include active general Life. Current target-pool mismatch; actual historical omission reason unknown.</x:v>
      </x:c>
      <x:c r="L550" s="7" t="str">
        <x:v>Not supplied; membership is known, motive is not</x:v>
      </x:c>
      <x:c r="M550" s="7" t="n">
        <x:v>7</x:v>
      </x:c>
      <x:c r="N550" s="7" t="str">
        <x:v>Outside current general-Life recruiting pool</x:v>
      </x:c>
      <x:c r="O550" s="7" t="str">
        <x:v>Not displayed</x:v>
      </x:c>
      <x:c r="P550" s="7" t="str"/>
      <x:c r="Q550" s="7" t="str"/>
      <x:c r="R550" s="7" t="str"/>
      <x:c r="S550" s="15" t="str"/>
      <x:c r="T550" s="7" t="str">
        <x:v>No public business phone in collected record</x:v>
      </x:c>
      <x:c r="U550" s="7" t="str"/>
      <x:c r="V550" s="7" t="str">
        <x:v>Resident</x:v>
      </x:c>
      <x:c r="W550" s="7" t="str">
        <x:v>CA</x:v>
      </x:c>
      <x:c r="X550" s="7" t="str"/>
      <x:c r="Y550" s="7" t="str"/>
      <x:c r="Z550" s="7" t="str"/>
      <x:c r="AA550" s="7" t="str"/>
      <x:c r="AB550" s="7" t="str"/>
      <x:c r="AC550" s="7" t="str"/>
      <x:c r="AD550" s="7" t="str">
        <x:v>No agency or insurer displayed: onboarding opportunity possible; existing business unknown</x:v>
      </x:c>
      <x:c r="AE550" s="7" t="str">
        <x:v>No public business phone: contact enrichment needed, not proof of poor recruiting fit</x:v>
      </x:c>
      <x:c r="AF550" s="16" t="str"/>
      <x:c r="AG550" s="17" t="str"/>
      <x:c r="AH550" s="7" t="str"/>
      <x:c r="AI550" s="7" t="str"/>
      <x:c r="AJ550" s="7" t="str"/>
      <x:c r="AK550" s="15" t="str"/>
      <x:c r="AL550" s="7" t="str"/>
      <x:c r="AM550" s="7" t="str">
        <x:v>AGUILAR  JENIFFER</x:v>
      </x:c>
      <x:c r="AN550" s="7" t="str">
        <x:v>https://cdicloud.insurance.ca.gov/cal/LicenseDetail?SearchType=IND&amp;SearchLicNbr=0I85833&amp;SearchIndvId=1669919</x:v>
      </x:c>
      <x:c r="AO550" s="7" t="str">
        <x:v>2026-10-08</x:v>
      </x:c>
      <x:c r="AP550" s="7" t="str">
        <x:v>b8444eb409cd0a3c4566055a86776a75201ac7b91ca82cc491b633e090233895</x:v>
      </x:c>
      <x:c r="AQ550" s="7" t="str">
        <x:v>Life-Only / Inactive / 04/22/2014 / 09/16/2014 / 09/16/2014
Life-Only / Inactive / 09/16/2014 / 09/30/2018 / 09/30/2018</x:v>
      </x:c>
      <x:c r="AR550" s="7" t="str">
        <x:v>Inactive</x:v>
      </x:c>
      <x:c r="AS550" s="7" t="str">
        <x:v>Current detail page</x:v>
      </x:c>
    </x:row>
    <x:row r="551" ht="52" customHeight="1">
      <x:c r="A551" s="7" t="str">
        <x:v>AGUILAR JENNIFER</x:v>
      </x:c>
      <x:c r="B551" s="14" t="str">
        <x:f>"0H98048"</x:f>
        <x:v>0H98048</x:v>
      </x:c>
      <x:c r="C551" s="7" t="str">
        <x:v>Omitted</x:v>
      </x:c>
      <x:c r="D551" s="7" t="str">
        <x:v>FAIL</x:v>
      </x:c>
      <x:c r="E551" s="13" t="str">
        <x:v>Pending</x:v>
      </x:c>
      <x:c r="F551" s="13" t="str"/>
      <x:c r="G551" s="13" t="str"/>
      <x:c r="H551" s="13" t="str"/>
      <x:c r="I551" s="7" t="str">
        <x:v>Was this person reviewed? If rejected, give the actual rule and evidence. If acceptable, correct the omission. Confirm the Life-qualification gate and any record change since selection.</x:v>
      </x:c>
      <x:c r="J551" s="7" t="str">
        <x:v>L1</x:v>
      </x:c>
      <x:c r="K551" s="7" t="str">
        <x:v>Verified qualifications do not include active general Life. Current target-pool mismatch; actual historical omission reason unknown.</x:v>
      </x:c>
      <x:c r="L551" s="7" t="str">
        <x:v>Not supplied; membership is known, motive is not</x:v>
      </x:c>
      <x:c r="M551" s="7" t="n">
        <x:v>7</x:v>
      </x:c>
      <x:c r="N551" s="7" t="str">
        <x:v>Outside current general-Life recruiting pool</x:v>
      </x:c>
      <x:c r="O551" s="7" t="str">
        <x:v>Not displayed</x:v>
      </x:c>
      <x:c r="P551" s="7" t="str"/>
      <x:c r="Q551" s="7" t="str"/>
      <x:c r="R551" s="7" t="str"/>
      <x:c r="S551" s="15" t="str"/>
      <x:c r="T551" s="7" t="str">
        <x:v>No public business phone in collected record</x:v>
      </x:c>
      <x:c r="U551" s="7" t="str"/>
      <x:c r="V551" s="7" t="str">
        <x:v>Resident</x:v>
      </x:c>
      <x:c r="W551" s="7" t="str">
        <x:v>CA</x:v>
      </x:c>
      <x:c r="X551" s="7" t="str"/>
      <x:c r="Y551" s="7" t="str"/>
      <x:c r="Z551" s="7" t="str"/>
      <x:c r="AA551" s="7" t="str"/>
      <x:c r="AB551" s="7" t="str"/>
      <x:c r="AC551" s="7" t="str"/>
      <x:c r="AD551" s="7" t="str">
        <x:v>No agency or insurer displayed: onboarding opportunity possible; existing business unknown</x:v>
      </x:c>
      <x:c r="AE551" s="7" t="str">
        <x:v>No public business phone: contact enrichment needed, not proof of poor recruiting fit</x:v>
      </x:c>
      <x:c r="AF551" s="16" t="str"/>
      <x:c r="AG551" s="17" t="str"/>
      <x:c r="AH551" s="7" t="str"/>
      <x:c r="AI551" s="7" t="str"/>
      <x:c r="AJ551" s="7" t="str"/>
      <x:c r="AK551" s="15" t="str"/>
      <x:c r="AL551" s="7" t="str"/>
      <x:c r="AM551" s="7" t="str">
        <x:v>AGUILAR  JENNIFER</x:v>
      </x:c>
      <x:c r="AN551" s="7" t="str">
        <x:v>https://cdicloud.insurance.ca.gov/cal/LicenseDetail?SearchType=IND&amp;SearchLicNbr=0H98048&amp;SearchIndvId=1524927</x:v>
      </x:c>
      <x:c r="AO551" s="7" t="str">
        <x:v>2026-10-08</x:v>
      </x:c>
      <x:c r="AP551" s="7" t="str">
        <x:v>8211a94a6263b1250540ca3317bc3fc533819175232b0d6909c69ee105fb5eaa</x:v>
      </x:c>
      <x:c r="AQ551" s="7" t="str">
        <x:v>Life-Only / Inactive / 08/13/2012 / 08/31/2014 / 08/31/2014</x:v>
      </x:c>
      <x:c r="AR551" s="7" t="str">
        <x:v>Inactive</x:v>
      </x:c>
      <x:c r="AS551" s="7" t="str">
        <x:v>Current detail page</x:v>
      </x:c>
    </x:row>
    <x:row r="552" ht="52" customHeight="1">
      <x:c r="A552" s="7" t="str">
        <x:v>AGUILAR JENNIFER ALENE</x:v>
      </x:c>
      <x:c r="B552" s="14" t="str">
        <x:f>"0I91771"</x:f>
        <x:v>0I91771</x:v>
      </x:c>
      <x:c r="C552" s="7" t="str">
        <x:v>Omitted</x:v>
      </x:c>
      <x:c r="D552" s="7" t="str">
        <x:v>FAIL</x:v>
      </x:c>
      <x:c r="E552" s="13" t="str">
        <x:v>Pending</x:v>
      </x:c>
      <x:c r="F552" s="13" t="str"/>
      <x:c r="G552" s="13" t="str"/>
      <x:c r="H552" s="13" t="str"/>
      <x:c r="I552" s="7" t="str">
        <x:v>Was this person reviewed? If rejected, give the actual rule and evidence. If acceptable, correct the omission. Confirm the Life-qualification gate and any record change since selection.</x:v>
      </x:c>
      <x:c r="J552" s="7" t="str">
        <x:v>L1</x:v>
      </x:c>
      <x:c r="K552" s="7" t="str">
        <x:v>Verified qualifications do not include active general Life. Current target-pool mismatch; actual historical omission reason unknown.</x:v>
      </x:c>
      <x:c r="L552" s="7" t="str">
        <x:v>Not supplied; membership is known, motive is not</x:v>
      </x:c>
      <x:c r="M552" s="7" t="n">
        <x:v>7</x:v>
      </x:c>
      <x:c r="N552" s="7" t="str">
        <x:v>Outside current general-Life recruiting pool</x:v>
      </x:c>
      <x:c r="O552" s="7" t="str">
        <x:v>Not displayed</x:v>
      </x:c>
      <x:c r="P552" s="7" t="str"/>
      <x:c r="Q552" s="7" t="str"/>
      <x:c r="R552" s="7" t="str"/>
      <x:c r="S552" s="15" t="str"/>
      <x:c r="T552" s="7" t="str">
        <x:v>No public business phone in collected record</x:v>
      </x:c>
      <x:c r="U552" s="7" t="str"/>
      <x:c r="V552" s="7" t="str">
        <x:v>Resident</x:v>
      </x:c>
      <x:c r="W552" s="7" t="str">
        <x:v>CA</x:v>
      </x:c>
      <x:c r="X552" s="7" t="str"/>
      <x:c r="Y552" s="7" t="str"/>
      <x:c r="Z552" s="7" t="str"/>
      <x:c r="AA552" s="7" t="str"/>
      <x:c r="AB552" s="7" t="str"/>
      <x:c r="AC552" s="7" t="str"/>
      <x:c r="AD552" s="7" t="str">
        <x:v>No agency or insurer displayed: onboarding opportunity possible; existing business unknown</x:v>
      </x:c>
      <x:c r="AE552" s="7" t="str">
        <x:v>No public business phone: contact enrichment needed, not proof of poor recruiting fit</x:v>
      </x:c>
      <x:c r="AF552" s="16" t="str"/>
      <x:c r="AG552" s="17" t="str"/>
      <x:c r="AH552" s="7" t="str"/>
      <x:c r="AI552" s="7" t="str"/>
      <x:c r="AJ552" s="7" t="str"/>
      <x:c r="AK552" s="15" t="str"/>
      <x:c r="AL552" s="7" t="str"/>
      <x:c r="AM552" s="7" t="str">
        <x:v>Aguilar A Jennifer | AGUILAR ALENE JENNIFER</x:v>
      </x:c>
      <x:c r="AN552" s="7" t="str">
        <x:v>https://cdicloud.insurance.ca.gov/cal/LicenseDetail?SearchType=IND&amp;SearchLicNbr=0I91771&amp;SearchIndvId=1674961</x:v>
      </x:c>
      <x:c r="AO552" s="7" t="str">
        <x:v>2026-10-08</x:v>
      </x:c>
      <x:c r="AP552" s="7" t="str">
        <x:v>d9774091af872718c93e4b8809cefc9f150b191bce97df5c6fc0ae7598e5dc52</x:v>
      </x:c>
      <x:c r="AQ552" s="7" t="str">
        <x:v>Life-Only / Inactive / 06/09/2014 / 06/30/2016 / 06/30/2016</x:v>
      </x:c>
      <x:c r="AR552" s="7" t="str">
        <x:v>Inactive</x:v>
      </x:c>
      <x:c r="AS552" s="7" t="str">
        <x:v>Current detail page</x:v>
      </x:c>
    </x:row>
    <x:row r="553" ht="52" customHeight="1">
      <x:c r="A553" s="7" t="str">
        <x:v>AGUILAR JENNIFER MARIE</x:v>
      </x:c>
      <x:c r="B553" s="14" t="str">
        <x:f>"0D48845"</x:f>
        <x:v>0D48845</x:v>
      </x:c>
      <x:c r="C553" s="7" t="str">
        <x:v>Omitted</x:v>
      </x:c>
      <x:c r="D553" s="7" t="str">
        <x:v>FAIL</x:v>
      </x:c>
      <x:c r="E553" s="13" t="str">
        <x:v>Pending</x:v>
      </x:c>
      <x:c r="F553" s="13" t="str"/>
      <x:c r="G553" s="13" t="str"/>
      <x:c r="H553" s="13" t="str"/>
      <x:c r="I553" s="7" t="str">
        <x:v>Was this person reviewed? If rejected, give the actual rule and evidence. If acceptable, correct the omission. Confirm the Life-qualification gate and any record change since selection.</x:v>
      </x:c>
      <x:c r="J553" s="7" t="str">
        <x:v>L1</x:v>
      </x:c>
      <x:c r="K553" s="7" t="str">
        <x:v>Verified qualifications do not include active general Life. Current target-pool mismatch; actual historical omission reason unknown.</x:v>
      </x:c>
      <x:c r="L553" s="7" t="str">
        <x:v>Not supplied; membership is known, motive is not</x:v>
      </x:c>
      <x:c r="M553" s="7" t="n">
        <x:v>7</x:v>
      </x:c>
      <x:c r="N553" s="7" t="str">
        <x:v>Outside current general-Life recruiting pool</x:v>
      </x:c>
      <x:c r="O553" s="7" t="str">
        <x:v>Not displayed</x:v>
      </x:c>
      <x:c r="P553" s="7" t="str"/>
      <x:c r="Q553" s="7" t="str"/>
      <x:c r="R553" s="7" t="str"/>
      <x:c r="S553" s="15" t="str"/>
      <x:c r="T553" s="7" t="str">
        <x:v>No public business phone in collected record</x:v>
      </x:c>
      <x:c r="U553" s="7" t="str"/>
      <x:c r="V553" s="7" t="str">
        <x:v>Non-resident</x:v>
      </x:c>
      <x:c r="W553" s="7" t="str">
        <x:v>TX</x:v>
      </x:c>
      <x:c r="X553" s="7" t="str"/>
      <x:c r="Y553" s="7" t="str"/>
      <x:c r="Z553" s="7" t="str"/>
      <x:c r="AA553" s="7" t="str"/>
      <x:c r="AB553" s="7" t="str"/>
      <x:c r="AC553" s="7" t="str"/>
      <x:c r="AD553" s="7" t="str">
        <x:v>No agency or insurer displayed: onboarding opportunity possible; existing business unknown</x:v>
      </x:c>
      <x:c r="AE553" s="7" t="str">
        <x:v>Nonresident or address state outside CA; confirm geographic recruiting scope | No public business phone: contact enrichment needed, not proof of poor recruiting fit</x:v>
      </x:c>
      <x:c r="AF553" s="16" t="str"/>
      <x:c r="AG553" s="17" t="str"/>
      <x:c r="AH553" s="7" t="str"/>
      <x:c r="AI553" s="7" t="str"/>
      <x:c r="AJ553" s="7" t="str"/>
      <x:c r="AK553" s="15" t="str"/>
      <x:c r="AL553" s="7" t="str"/>
      <x:c r="AM553" s="7" t="str">
        <x:v>AGUILAR MARIE JENNIFER</x:v>
      </x:c>
      <x:c r="AN553" s="7" t="str">
        <x:v>https://cdicloud.insurance.ca.gov/cal/LicenseDetail?SearchType=IND&amp;SearchLicNbr=0D48845&amp;SearchIndvId=603521</x:v>
      </x:c>
      <x:c r="AO553" s="7" t="str">
        <x:v>2026-10-08</x:v>
      </x:c>
      <x:c r="AP553" s="7" t="str">
        <x:v>8f3dbfef614b53ee50944c78059086b7f0d9f18d84a15f0630df936a2fb8f050</x:v>
      </x:c>
      <x:c r="AQ553" s="7" t="str">
        <x:v>Personal Lines Broker-Agent / Inactive / 05/15/2013 / 05/19/2014 / 05/19/2014
Casualty Broker-Agent / Inactive / 11/20/2001 / 04/05/2007 / 04/05/2007
Property Broker-Agent / Inactive / 11/20/2001 / 04/05/2007 / 04/05/2007</x:v>
      </x:c>
      <x:c r="AR553" s="7" t="str">
        <x:v>Inactive</x:v>
      </x:c>
      <x:c r="AS553" s="7" t="str">
        <x:v>Current detail page</x:v>
      </x:c>
    </x:row>
    <x:row r="554" ht="52" customHeight="1">
      <x:c r="A554" s="7" t="str">
        <x:v>AGUILAR JENNIFER PATRICIA</x:v>
      </x:c>
      <x:c r="B554" s="14" t="str">
        <x:f>"0F08009"</x:f>
        <x:v>0F08009</x:v>
      </x:c>
      <x:c r="C554" s="7" t="str">
        <x:v>Omitted</x:v>
      </x:c>
      <x:c r="D554" s="7" t="str">
        <x:v>FAIL</x:v>
      </x:c>
      <x:c r="E554" s="13" t="str">
        <x:v>Pending</x:v>
      </x:c>
      <x:c r="F554" s="13" t="str"/>
      <x:c r="G554" s="13" t="str"/>
      <x:c r="H554" s="13" t="str"/>
      <x:c r="I554" s="7" t="str">
        <x:v>Was this person reviewed? If rejected, give the actual rule and evidence. If acceptable, correct the omission. Confirm the Life-qualification gate and any record change since selection.</x:v>
      </x:c>
      <x:c r="J554" s="7" t="str">
        <x:v>L1</x:v>
      </x:c>
      <x:c r="K554" s="7" t="str">
        <x:v>Verified qualifications do not include active general Life. Current target-pool mismatch; actual historical omission reason unknown.</x:v>
      </x:c>
      <x:c r="L554" s="7" t="str">
        <x:v>Not supplied; membership is known, motive is not</x:v>
      </x:c>
      <x:c r="M554" s="7" t="n">
        <x:v>7</x:v>
      </x:c>
      <x:c r="N554" s="7" t="str">
        <x:v>Outside current general-Life recruiting pool</x:v>
      </x:c>
      <x:c r="O554" s="7" t="str">
        <x:v>Not displayed</x:v>
      </x:c>
      <x:c r="P554" s="7" t="str"/>
      <x:c r="Q554" s="7" t="str"/>
      <x:c r="R554" s="7" t="str">
        <x:v>Casualty; Property</x:v>
      </x:c>
      <x:c r="S554" s="15" t="str">
        <x:v>408-332-4515</x:v>
      </x:c>
      <x:c r="T554" s="7" t="str">
        <x:v>Current CDI</x:v>
      </x:c>
      <x:c r="U554" s="7" t="str">
        <x:v>4613 SHAUNA COURT SOQUEL CA, 95073</x:v>
      </x:c>
      <x:c r="V554" s="7" t="str">
        <x:v>Resident</x:v>
      </x:c>
      <x:c r="W554" s="7" t="str">
        <x:v>CA</x:v>
      </x:c>
      <x:c r="X554" s="7" t="str"/>
      <x:c r="Y554" s="7" t="str"/>
      <x:c r="Z554" s="7" t="str"/>
      <x:c r="AA554" s="7" t="str"/>
      <x:c r="AB554" s="7" t="str"/>
      <x:c r="AC554" s="7" t="str"/>
      <x:c r="AD554" s="7" t="str">
        <x:v>No agency or insurer displayed: onboarding opportunity possible; existing business unknown</x:v>
      </x:c>
      <x:c r="AE554" s="7" t="str">
        <x:v>P&amp;C/Personal Lines authority without displayed core Life appointments; mixed profile requires review</x:v>
      </x:c>
      <x:c r="AF554" s="16" t="str"/>
      <x:c r="AG554" s="17" t="str"/>
      <x:c r="AH554" s="7" t="str"/>
      <x:c r="AI554" s="7" t="str">
        <x:v>English</x:v>
      </x:c>
      <x:c r="AJ554" s="7" t="str"/>
      <x:c r="AK554" s="15" t="str"/>
      <x:c r="AL554" s="7" t="str"/>
      <x:c r="AM554" s="7" t="str">
        <x:v>AGUILAR PATRICIA JENNIFER</x:v>
      </x:c>
      <x:c r="AN554" s="7" t="str">
        <x:v>https://cdicloud.insurance.ca.gov/cal/LicenseDetail?SearchType=IND&amp;SearchLicNbr=0F08009&amp;SearchIndvId=992405</x:v>
      </x:c>
      <x:c r="AO554" s="7" t="str">
        <x:v>2026-10-08</x:v>
      </x:c>
      <x:c r="AP554" s="7" t="str">
        <x:v>82c77b8ab44845cae246ce6645db47ec202d0d9f0a7cd806e99700bad4818b90</x:v>
      </x:c>
      <x:c r="AQ554" s="7" t="str">
        <x:v>Casualty / Active / 02/06/2006 / 02/06/2006 / 02/29/2028
Property / Active / 02/06/2006 / 02/06/2006 / 02/29/2028</x:v>
      </x:c>
      <x:c r="AR554" s="7" t="str">
        <x:v>Active</x:v>
      </x:c>
      <x:c r="AS554" s="7" t="str">
        <x:v>Current detail page</x:v>
      </x:c>
    </x:row>
    <x:row r="555" ht="52" customHeight="1">
      <x:c r="A555" s="7" t="str">
        <x:v>AGUILAR JENNY</x:v>
      </x:c>
      <x:c r="B555" s="14" t="str">
        <x:f>"0H85896"</x:f>
        <x:v>0H85896</x:v>
      </x:c>
      <x:c r="C555" s="7" t="str">
        <x:v>Omitted</x:v>
      </x:c>
      <x:c r="D555" s="7" t="str">
        <x:v>FAIL</x:v>
      </x:c>
      <x:c r="E555" s="13" t="str">
        <x:v>Pending</x:v>
      </x:c>
      <x:c r="F555" s="13" t="str"/>
      <x:c r="G555" s="13" t="str"/>
      <x:c r="H555" s="13" t="str"/>
      <x:c r="I555" s="7" t="str">
        <x:v>Was this person reviewed? If rejected, give the actual rule and evidence. If acceptable, correct the omission. Confirm the Life-qualification gate and any record change since selection.</x:v>
      </x:c>
      <x:c r="J555" s="7" t="str">
        <x:v>L1</x:v>
      </x:c>
      <x:c r="K555" s="7" t="str">
        <x:v>Verified qualifications do not include active general Life. Current target-pool mismatch; actual historical omission reason unknown.</x:v>
      </x:c>
      <x:c r="L555" s="7" t="str">
        <x:v>Not supplied; membership is known, motive is not</x:v>
      </x:c>
      <x:c r="M555" s="7" t="n">
        <x:v>7</x:v>
      </x:c>
      <x:c r="N555" s="7" t="str">
        <x:v>Outside current general-Life recruiting pool</x:v>
      </x:c>
      <x:c r="O555" s="7" t="str">
        <x:v>Not displayed</x:v>
      </x:c>
      <x:c r="P555" s="7" t="str"/>
      <x:c r="Q555" s="7" t="str"/>
      <x:c r="R555" s="7" t="str"/>
      <x:c r="S555" s="15" t="str"/>
      <x:c r="T555" s="7" t="str">
        <x:v>No public business phone in collected record</x:v>
      </x:c>
      <x:c r="U555" s="7" t="str"/>
      <x:c r="V555" s="7" t="str">
        <x:v>Resident</x:v>
      </x:c>
      <x:c r="W555" s="7" t="str">
        <x:v>CA</x:v>
      </x:c>
      <x:c r="X555" s="7" t="str"/>
      <x:c r="Y555" s="7" t="str"/>
      <x:c r="Z555" s="7" t="str"/>
      <x:c r="AA555" s="7" t="str"/>
      <x:c r="AB555" s="7" t="str"/>
      <x:c r="AC555" s="7" t="str"/>
      <x:c r="AD555" s="7" t="str">
        <x:v>No agency or insurer displayed: onboarding opportunity possible; existing business unknown</x:v>
      </x:c>
      <x:c r="AE555" s="7" t="str">
        <x:v>No public business phone: contact enrichment needed, not proof of poor recruiting fit</x:v>
      </x:c>
      <x:c r="AF555" s="16" t="str"/>
      <x:c r="AG555" s="17" t="str"/>
      <x:c r="AH555" s="7" t="str"/>
      <x:c r="AI555" s="7" t="str"/>
      <x:c r="AJ555" s="7" t="str"/>
      <x:c r="AK555" s="15" t="str"/>
      <x:c r="AL555" s="7" t="str"/>
      <x:c r="AM555" s="7" t="str">
        <x:v>AGUILAR  JENNY</x:v>
      </x:c>
      <x:c r="AN555" s="7" t="str">
        <x:v>https://cdicloud.insurance.ca.gov/cal/LicenseDetail?SearchType=IND&amp;SearchLicNbr=0H85896&amp;SearchIndvId=1510457</x:v>
      </x:c>
      <x:c r="AO555" s="7" t="str">
        <x:v>2026-10-08</x:v>
      </x:c>
      <x:c r="AP555" s="7" t="str">
        <x:v>2c193caecd3973659b1824aa6e95c395a67376ab260978d803f58cc543aa919e</x:v>
      </x:c>
      <x:c r="AQ555" s="7" t="str">
        <x:v>Life-Only / Inactive / 05/03/2012 / 06/18/2014 / 06/18/2014
Life-Only / Inactive / 04/07/2015 / 04/30/2017 / 04/30/2017</x:v>
      </x:c>
      <x:c r="AR555" s="7" t="str">
        <x:v>Inactive</x:v>
      </x:c>
      <x:c r="AS555" s="7" t="str">
        <x:v>Current detail page</x:v>
      </x:c>
    </x:row>
    <x:row r="556" ht="52" customHeight="1">
      <x:c r="A556" s="7" t="str">
        <x:v>AGUILAR JENNY MARITZA</x:v>
      </x:c>
      <x:c r="B556" s="14" t="str">
        <x:f>"0E01114"</x:f>
        <x:v>0E01114</x:v>
      </x:c>
      <x:c r="C556" s="7" t="str">
        <x:v>Omitted</x:v>
      </x:c>
      <x:c r="D556" s="7" t="str">
        <x:v>FAIL</x:v>
      </x:c>
      <x:c r="E556" s="13" t="str">
        <x:v>Pending</x:v>
      </x:c>
      <x:c r="F556" s="13" t="str"/>
      <x:c r="G556" s="13" t="str"/>
      <x:c r="H556" s="13" t="str"/>
      <x:c r="I556" s="7" t="str">
        <x:v>Was this person reviewed? If rejected, give the actual rule and evidence. If acceptable, correct the omission. Confirm the Life-qualification gate and any record change since selection.</x:v>
      </x:c>
      <x:c r="J556" s="7" t="str">
        <x:v>L1</x:v>
      </x:c>
      <x:c r="K556" s="7" t="str">
        <x:v>Verified qualifications do not include active general Life. Current target-pool mismatch; actual historical omission reason unknown.</x:v>
      </x:c>
      <x:c r="L556" s="7" t="str">
        <x:v>Not supplied; membership is known, motive is not</x:v>
      </x:c>
      <x:c r="M556" s="7" t="n">
        <x:v>7</x:v>
      </x:c>
      <x:c r="N556" s="7" t="str">
        <x:v>Outside current general-Life recruiting pool</x:v>
      </x:c>
      <x:c r="O556" s="7" t="str">
        <x:v>Not displayed</x:v>
      </x:c>
      <x:c r="P556" s="7" t="str"/>
      <x:c r="Q556" s="7" t="str"/>
      <x:c r="R556" s="7" t="str">
        <x:v>Casualty; Property</x:v>
      </x:c>
      <x:c r="S556" s="15" t="str">
        <x:v>562-345-4622</x:v>
      </x:c>
      <x:c r="T556" s="7" t="str">
        <x:v>Current CDI</x:v>
      </x:c>
      <x:c r="U556" s="7" t="str">
        <x:v>19800 MACARTHUR BLVD STE 1050 IRVINE CA, 92612-2439</x:v>
      </x:c>
      <x:c r="V556" s="7" t="str">
        <x:v>Resident</x:v>
      </x:c>
      <x:c r="W556" s="7" t="str">
        <x:v>CA</x:v>
      </x:c>
      <x:c r="X556" s="7" t="str">
        <x:v>AUTO INSURANCE SPECIALISTS, LLC / Property / 05/01/2003
AUTO INSURANCE SPECIALISTS, LLC / Casualty / 05/01/2003</x:v>
      </x:c>
      <x:c r="Y556" s="7" t="str">
        <x:v>AMERICAN MODERN HOME INSURANCE COMPANY / Casualty / 05/28/2015
AMERICAN MODERN HOME INSURANCE COMPANY / Property / 05/28/2015
FOREMOST INSURANCE COMPANY GRAND RAPIDS, MICHIGAN / Casualty / 06/26/2018
FOREMOST INSURANCE COMPANY GRAND RAPIDS, MICHIGAN / Property / 06/26/2018</x:v>
      </x:c>
      <x:c r="Z556" s="7" t="str"/>
      <x:c r="AA556" s="7" t="str"/>
      <x:c r="AB556" s="7" t="str"/>
      <x:c r="AC556" s="7" t="str"/>
      <x:c r="AD556" s="7" t="str"/>
      <x:c r="AE556" s="7" t="str">
        <x:v>P&amp;C/Personal Lines authority without displayed core Life appointments; mixed profile requires review</x:v>
      </x:c>
      <x:c r="AF556" s="16" t="str"/>
      <x:c r="AG556" s="17" t="str"/>
      <x:c r="AH556" s="7" t="str"/>
      <x:c r="AI556" s="7" t="str">
        <x:v>English</x:v>
      </x:c>
      <x:c r="AJ556" s="7" t="str"/>
      <x:c r="AK556" s="15" t="str"/>
      <x:c r="AL556" s="7" t="str"/>
      <x:c r="AM556" s="7" t="str">
        <x:v>AGUILAR MARITZA JENNY</x:v>
      </x:c>
      <x:c r="AN556" s="7" t="str">
        <x:v>https://cdicloud.insurance.ca.gov/cal/LicenseDetail?SearchType=IND&amp;SearchLicNbr=0E01114&amp;SearchIndvId=839917</x:v>
      </x:c>
      <x:c r="AO556" s="7" t="str">
        <x:v>2026-10-08</x:v>
      </x:c>
      <x:c r="AP556" s="7" t="str">
        <x:v>e67e62057b518f4b029faadccb9b01557f460ceed9cfecfe31f23b8a20674c25</x:v>
      </x:c>
      <x:c r="AQ556" s="7" t="str">
        <x:v>Casualty / Active / 05/01/2003 / 05/01/2003 / 05/31/2027
Property / Active / 05/01/2003 / 05/01/2003 / 05/31/2027</x:v>
      </x:c>
      <x:c r="AR556" s="7" t="str">
        <x:v>Active</x:v>
      </x:c>
      <x:c r="AS556" s="7" t="str">
        <x:v>Current detail page</x:v>
      </x:c>
    </x:row>
    <x:row r="557" ht="52" customHeight="1">
      <x:c r="A557" s="7" t="str">
        <x:v>AGUILAR JEREMIAH</x:v>
      </x:c>
      <x:c r="B557" s="14" t="str">
        <x:f>"0K98451"</x:f>
        <x:v>0K98451</x:v>
      </x:c>
      <x:c r="C557" s="7" t="str">
        <x:v>Omitted</x:v>
      </x:c>
      <x:c r="D557" s="7" t="str">
        <x:v>FAIL</x:v>
      </x:c>
      <x:c r="E557" s="13" t="str">
        <x:v>Pending</x:v>
      </x:c>
      <x:c r="F557" s="13" t="str"/>
      <x:c r="G557" s="13" t="str"/>
      <x:c r="H557" s="13" t="str"/>
      <x:c r="I557" s="7" t="str">
        <x:v>Was this person reviewed? If rejected, give the actual rule and evidence. If acceptable, correct the omission. Confirm the Life-qualification gate and any record change since selection.</x:v>
      </x:c>
      <x:c r="J557" s="7" t="str">
        <x:v>L1</x:v>
      </x:c>
      <x:c r="K557" s="7" t="str">
        <x:v>Verified qualifications do not include active general Life. Current target-pool mismatch; actual historical omission reason unknown.</x:v>
      </x:c>
      <x:c r="L557" s="7" t="str">
        <x:v>Not supplied; membership is known, motive is not</x:v>
      </x:c>
      <x:c r="M557" s="7" t="n">
        <x:v>7</x:v>
      </x:c>
      <x:c r="N557" s="7" t="str">
        <x:v>Outside current general-Life recruiting pool</x:v>
      </x:c>
      <x:c r="O557" s="7" t="str">
        <x:v>Not displayed</x:v>
      </x:c>
      <x:c r="P557" s="7" t="str"/>
      <x:c r="Q557" s="7" t="str"/>
      <x:c r="R557" s="7" t="str"/>
      <x:c r="S557" s="15" t="str"/>
      <x:c r="T557" s="7" t="str">
        <x:v>No public business phone in collected record</x:v>
      </x:c>
      <x:c r="U557" s="7" t="str"/>
      <x:c r="V557" s="7" t="str">
        <x:v>Resident</x:v>
      </x:c>
      <x:c r="W557" s="7" t="str">
        <x:v>CA</x:v>
      </x:c>
      <x:c r="X557" s="7" t="str"/>
      <x:c r="Y557" s="7" t="str"/>
      <x:c r="Z557" s="7" t="str"/>
      <x:c r="AA557" s="7" t="str"/>
      <x:c r="AB557" s="7" t="str"/>
      <x:c r="AC557" s="7" t="str"/>
      <x:c r="AD557" s="7" t="str">
        <x:v>No agency or insurer displayed: onboarding opportunity possible; existing business unknown</x:v>
      </x:c>
      <x:c r="AE557" s="7" t="str">
        <x:v>No public business phone: contact enrichment needed, not proof of poor recruiting fit</x:v>
      </x:c>
      <x:c r="AF557" s="16" t="str"/>
      <x:c r="AG557" s="17" t="str"/>
      <x:c r="AH557" s="7" t="str"/>
      <x:c r="AI557" s="7" t="str"/>
      <x:c r="AJ557" s="7" t="str"/>
      <x:c r="AK557" s="15" t="str"/>
      <x:c r="AL557" s="7" t="str"/>
      <x:c r="AM557" s="7" t="str">
        <x:v>AGUILAR  JEREMIAH</x:v>
      </x:c>
      <x:c r="AN557" s="7" t="str">
        <x:v>https://cdicloud.insurance.ca.gov/cal/LicenseDetail?SearchType=IND&amp;SearchLicNbr=0K98451&amp;SearchIndvId=1847440</x:v>
      </x:c>
      <x:c r="AO557" s="7" t="str">
        <x:v>2026-10-08</x:v>
      </x:c>
      <x:c r="AP557" s="7" t="str">
        <x:v>0d3f267f4d0aba6ceb7d37b847b0a8cc8d5af2a2ac3fd4c9e40912c692514674</x:v>
      </x:c>
      <x:c r="AQ557" s="7" t="str">
        <x:v>Accident and Health / Inactive / 07/07/2016 / 07/31/2018 / 07/31/2018
Life-Only / Inactive / 07/07/2016 / 07/31/2018 / 07/31/2018</x:v>
      </x:c>
      <x:c r="AR557" s="7" t="str">
        <x:v>Inactive</x:v>
      </x:c>
      <x:c r="AS557" s="7" t="str">
        <x:v>Current detail page</x:v>
      </x:c>
    </x:row>
    <x:row r="558" ht="52" customHeight="1">
      <x:c r="A558" s="7" t="str">
        <x:v>AGUILAR JEREMIAH DANIEL</x:v>
      </x:c>
      <x:c r="B558" s="14" t="str">
        <x:f>"4514387"</x:f>
        <x:v>4514387</x:v>
      </x:c>
      <x:c r="C558" s="7" t="str">
        <x:v>Omitted</x:v>
      </x:c>
      <x:c r="D558" s="7" t="str">
        <x:v>FAIL</x:v>
      </x:c>
      <x:c r="E558" s="13" t="str">
        <x:v>Pending</x:v>
      </x:c>
      <x:c r="F558" s="13" t="str"/>
      <x:c r="G558" s="13" t="str"/>
      <x:c r="H558" s="13" t="str"/>
      <x:c r="I558" s="7" t="str">
        <x:v>Was this person reviewed? If rejected, give the actual rule and evidence. If acceptable, correct the omission. Confirm the Life-qualification gate and any record change since selection.</x:v>
      </x:c>
      <x:c r="J558" s="7" t="str">
        <x:v>L1</x:v>
      </x:c>
      <x:c r="K558" s="7" t="str">
        <x:v>Verified qualifications do not include active general Life. Current target-pool mismatch; actual historical omission reason unknown.</x:v>
      </x:c>
      <x:c r="L558" s="7" t="str">
        <x:v>Not supplied; membership is known, motive is not</x:v>
      </x:c>
      <x:c r="M558" s="7" t="n">
        <x:v>7</x:v>
      </x:c>
      <x:c r="N558" s="7" t="str">
        <x:v>Outside current general-Life recruiting pool</x:v>
      </x:c>
      <x:c r="O558" s="7" t="str">
        <x:v>Not displayed</x:v>
      </x:c>
      <x:c r="P558" s="7" t="str"/>
      <x:c r="Q558" s="7" t="str"/>
      <x:c r="R558" s="7" t="str">
        <x:v>Personal Lines</x:v>
      </x:c>
      <x:c r="S558" s="15" t="str"/>
      <x:c r="T558" s="7" t="str">
        <x:v>No public business phone in collected record</x:v>
      </x:c>
      <x:c r="U558" s="7" t="str">
        <x:v>2550 NONA ST FRANKLIN PARK IL, 60131-3344</x:v>
      </x:c>
      <x:c r="V558" s="7" t="str">
        <x:v>Non-resident</x:v>
      </x:c>
      <x:c r="W558" s="7" t="str">
        <x:v>IL</x:v>
      </x:c>
      <x:c r="X558" s="7" t="str"/>
      <x:c r="Y558" s="7" t="str"/>
      <x:c r="Z558" s="7" t="str"/>
      <x:c r="AA558" s="7" t="str"/>
      <x:c r="AB558" s="7" t="str"/>
      <x:c r="AC558" s="7" t="str"/>
      <x:c r="AD558" s="7" t="str">
        <x:v>No agency or insurer displayed: onboarding opportunity possible; existing business unknown</x:v>
      </x:c>
      <x:c r="AE558"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558" s="16" t="str"/>
      <x:c r="AG558" s="17" t="str"/>
      <x:c r="AH558" s="7" t="str"/>
      <x:c r="AI558" s="7" t="str"/>
      <x:c r="AJ558" s="7" t="str"/>
      <x:c r="AK558" s="15" t="str"/>
      <x:c r="AL558" s="7" t="str"/>
      <x:c r="AM558" s="7" t="str">
        <x:v>AGUILAR DANIEL JEREMIAH</x:v>
      </x:c>
      <x:c r="AN558" s="7" t="str">
        <x:v>https://cdicloud.insurance.ca.gov/cal/LicenseDetail?SearchType=IND&amp;SearchLicNbr=4514387&amp;SearchIndvId=4514387</x:v>
      </x:c>
      <x:c r="AO558" s="7" t="str">
        <x:v>2026-10-08</x:v>
      </x:c>
      <x:c r="AP558" s="7" t="str">
        <x:v>702f513362375bee10cf22b421f4df82c7852c7460e09b6206e53d58da5cb579</x:v>
      </x:c>
      <x:c r="AQ558" s="7" t="str">
        <x:v>Personal Lines / Active / 12/10/2025 / 12/10/2025 / 12/31/2027</x:v>
      </x:c>
      <x:c r="AR558" s="7" t="str">
        <x:v>Active</x:v>
      </x:c>
      <x:c r="AS558" s="7" t="str">
        <x:v>Current detail page</x:v>
      </x:c>
    </x:row>
    <x:row r="559" ht="52" customHeight="1">
      <x:c r="A559" s="7" t="str">
        <x:v>AGUILAR JEREMY ADRIAN</x:v>
      </x:c>
      <x:c r="B559" s="14" t="str">
        <x:f>"0M70554"</x:f>
        <x:v>0M70554</x:v>
      </x:c>
      <x:c r="C559" s="7" t="str">
        <x:v>Omitted</x:v>
      </x:c>
      <x:c r="D559" s="7" t="str">
        <x:v>FAIL</x:v>
      </x:c>
      <x:c r="E559" s="13" t="str">
        <x:v>Pending</x:v>
      </x:c>
      <x:c r="F559" s="13" t="str"/>
      <x:c r="G559" s="13" t="str"/>
      <x:c r="H559" s="13" t="str"/>
      <x:c r="I559" s="7" t="str">
        <x:v>Was this person reviewed? If rejected, give the actual rule and evidence. If acceptable, correct the omission. Confirm the Life-qualification gate and any record change since selection.</x:v>
      </x:c>
      <x:c r="J559" s="7" t="str">
        <x:v>L1</x:v>
      </x:c>
      <x:c r="K559" s="7" t="str">
        <x:v>Verified qualifications do not include active general Life. Current target-pool mismatch; actual historical omission reason unknown.</x:v>
      </x:c>
      <x:c r="L559" s="7" t="str">
        <x:v>Not supplied; membership is known, motive is not</x:v>
      </x:c>
      <x:c r="M559" s="7" t="n">
        <x:v>7</x:v>
      </x:c>
      <x:c r="N559" s="7" t="str">
        <x:v>Outside current general-Life recruiting pool</x:v>
      </x:c>
      <x:c r="O559" s="7" t="str">
        <x:v>Not displayed</x:v>
      </x:c>
      <x:c r="P559" s="7" t="str"/>
      <x:c r="Q559" s="7" t="str"/>
      <x:c r="R559" s="7" t="str"/>
      <x:c r="S559" s="15" t="str"/>
      <x:c r="T559" s="7" t="str">
        <x:v>No public business phone in collected record</x:v>
      </x:c>
      <x:c r="U559" s="7" t="str"/>
      <x:c r="V559" s="7" t="str">
        <x:v>Resident</x:v>
      </x:c>
      <x:c r="W559" s="7" t="str">
        <x:v>CA</x:v>
      </x:c>
      <x:c r="X559" s="7" t="str"/>
      <x:c r="Y559" s="7" t="str"/>
      <x:c r="Z559" s="7" t="str"/>
      <x:c r="AA559" s="7" t="str"/>
      <x:c r="AB559" s="7" t="str"/>
      <x:c r="AC559" s="7" t="str"/>
      <x:c r="AD559" s="7" t="str">
        <x:v>No agency or insurer displayed: onboarding opportunity possible; existing business unknown</x:v>
      </x:c>
      <x:c r="AE559" s="7" t="str">
        <x:v>No public business phone: contact enrichment needed, not proof of poor recruiting fit</x:v>
      </x:c>
      <x:c r="AF559" s="16" t="str"/>
      <x:c r="AG559" s="17" t="str"/>
      <x:c r="AH559" s="7" t="str"/>
      <x:c r="AI559" s="7" t="str"/>
      <x:c r="AJ559" s="7" t="str"/>
      <x:c r="AK559" s="15" t="str"/>
      <x:c r="AL559" s="7" t="str"/>
      <x:c r="AM559" s="7" t="str">
        <x:v>AGUILAR ADRIAN JEREMY</x:v>
      </x:c>
      <x:c r="AN559" s="7" t="str">
        <x:v>https://cdicloud.insurance.ca.gov/cal/LicenseDetail?SearchType=IND&amp;SearchLicNbr=0M70554&amp;SearchIndvId=2074128</x:v>
      </x:c>
      <x:c r="AO559" s="7" t="str">
        <x:v>2026-10-08</x:v>
      </x:c>
      <x:c r="AP559" s="7" t="str">
        <x:v>3a614e809ee9e7f64193d00599a345cb14877171fb4a9ec761819902f7edbee5</x:v>
      </x:c>
      <x:c r="AQ559" s="7" t="str">
        <x:v>Accident and Health / Inactive / 12/03/2018 / 12/31/2020 / 12/31/2020
Life-Only / Inactive / 12/03/2018 / 12/31/2020 / 12/31/2020
Variable Contracts / Inactive / 12/03/2018 / 12/31/2020 / 12/31/2020</x:v>
      </x:c>
      <x:c r="AR559" s="7" t="str">
        <x:v>Inactive</x:v>
      </x:c>
      <x:c r="AS559" s="7" t="str">
        <x:v>Current detail page</x:v>
      </x:c>
    </x:row>
    <x:row r="560" ht="52" customHeight="1">
      <x:c r="A560" s="7" t="str">
        <x:v>AGUILAR JERIEL</x:v>
      </x:c>
      <x:c r="B560" s="14" t="str">
        <x:f>"0M22630"</x:f>
        <x:v>0M22630</x:v>
      </x:c>
      <x:c r="C560" s="7" t="str">
        <x:v>Omitted</x:v>
      </x:c>
      <x:c r="D560" s="7" t="str">
        <x:v>FAIL</x:v>
      </x:c>
      <x:c r="E560" s="13" t="str">
        <x:v>Pending</x:v>
      </x:c>
      <x:c r="F560" s="13" t="str"/>
      <x:c r="G560" s="13" t="str"/>
      <x:c r="H560" s="13" t="str"/>
      <x:c r="I560" s="7" t="str">
        <x:v>Was this person reviewed? If rejected, give the actual rule and evidence. If acceptable, correct the omission. Confirm the Life-qualification gate and any record change since selection.</x:v>
      </x:c>
      <x:c r="J560" s="7" t="str">
        <x:v>L1</x:v>
      </x:c>
      <x:c r="K560" s="7" t="str">
        <x:v>Verified qualifications do not include active general Life. Current target-pool mismatch; actual historical omission reason unknown.</x:v>
      </x:c>
      <x:c r="L560" s="7" t="str">
        <x:v>Not supplied; membership is known, motive is not</x:v>
      </x:c>
      <x:c r="M560" s="7" t="n">
        <x:v>7</x:v>
      </x:c>
      <x:c r="N560" s="7" t="str">
        <x:v>Outside current general-Life recruiting pool</x:v>
      </x:c>
      <x:c r="O560" s="7" t="str">
        <x:v>Inactive</x:v>
      </x:c>
      <x:c r="P560" s="7" t="str">
        <x:v>03/05/2018</x:v>
      </x:c>
      <x:c r="Q560" s="7" t="str">
        <x:v>03/31/2024</x:v>
      </x:c>
      <x:c r="R560" s="7" t="str"/>
      <x:c r="S560" s="15" t="str">
        <x:v>415-734-8364</x:v>
      </x:c>
      <x:c r="T560" s="7" t="str">
        <x:v>Current CDI</x:v>
      </x:c>
      <x:c r="U560" s="7" t="str">
        <x:v>2221 OAKLAND RD SUITE 100 SAN JOSE CA, 95131</x:v>
      </x:c>
      <x:c r="V560" s="7" t="str">
        <x:v>Resident</x:v>
      </x:c>
      <x:c r="W560" s="7" t="str">
        <x:v>CA</x:v>
      </x:c>
      <x:c r="X560" s="7" t="str"/>
      <x:c r="Y560" s="7" t="str"/>
      <x:c r="Z560" s="7" t="str"/>
      <x:c r="AA560" s="7" t="str"/>
      <x:c r="AB560" s="7" t="str"/>
      <x:c r="AC560" s="7" t="str"/>
      <x:c r="AD560" s="7" t="str">
        <x:v>No agency or insurer displayed: onboarding opportunity possible; existing business unknown</x:v>
      </x:c>
      <x:c r="AE560" s="7" t="str"/>
      <x:c r="AF560" s="16" t="str"/>
      <x:c r="AG560" s="17" t="str"/>
      <x:c r="AH560" s="7" t="str"/>
      <x:c r="AI560" s="7" t="str">
        <x:v>English, Spanish, Spanish</x:v>
      </x:c>
      <x:c r="AJ560" s="7" t="str"/>
      <x:c r="AK560" s="15" t="str"/>
      <x:c r="AL560" s="7" t="str"/>
      <x:c r="AM560" s="7" t="str">
        <x:v>AGUILAR  JERIEL</x:v>
      </x:c>
      <x:c r="AN560" s="7" t="str">
        <x:v>https://cdicloud.insurance.ca.gov/cal/LicenseDetail?SearchType=IND&amp;SearchLicNbr=0M22630&amp;SearchIndvId=2003807</x:v>
      </x:c>
      <x:c r="AO560" s="7" t="str">
        <x:v>2026-10-08</x:v>
      </x:c>
      <x:c r="AP560" s="7" t="str">
        <x:v>8df9449f348fe3e8276ea355f931f7b0fa837cbc05fbdaffd8760d37e1c4b4f5</x:v>
      </x:c>
      <x:c r="AQ560" s="7" t="str">
        <x:v>Life / Inactive / 03/05/2018 / 03/31/2024 / 03/31/2024</x:v>
      </x:c>
      <x:c r="AR560" s="7" t="str">
        <x:v>Inactive</x:v>
      </x:c>
      <x:c r="AS560" s="7" t="str">
        <x:v>Current detail page</x:v>
      </x:c>
    </x:row>
    <x:row r="561" ht="52" customHeight="1">
      <x:c r="A561" s="7" t="str">
        <x:v>AGUILAR JERRY JESUS</x:v>
      </x:c>
      <x:c r="B561" s="14" t="str">
        <x:f>"0L37407"</x:f>
        <x:v>0L37407</x:v>
      </x:c>
      <x:c r="C561" s="7" t="str">
        <x:v>Omitted</x:v>
      </x:c>
      <x:c r="D561" s="7" t="str">
        <x:v>FAIL</x:v>
      </x:c>
      <x:c r="E561" s="13" t="str">
        <x:v>Pending</x:v>
      </x:c>
      <x:c r="F561" s="13" t="str"/>
      <x:c r="G561" s="13" t="str"/>
      <x:c r="H561" s="13" t="str"/>
      <x:c r="I561" s="7" t="str">
        <x:v>Was this person reviewed? If rejected, give the actual rule and evidence. If acceptable, correct the omission. Confirm the Life-qualification gate and any record change since selection.</x:v>
      </x:c>
      <x:c r="J561" s="7" t="str">
        <x:v>L1</x:v>
      </x:c>
      <x:c r="K561" s="7" t="str">
        <x:v>Verified qualifications do not include active general Life. Current target-pool mismatch; actual historical omission reason unknown.</x:v>
      </x:c>
      <x:c r="L561" s="7" t="str">
        <x:v>Not supplied; membership is known, motive is not</x:v>
      </x:c>
      <x:c r="M561" s="7" t="n">
        <x:v>7</x:v>
      </x:c>
      <x:c r="N561" s="7" t="str">
        <x:v>Outside current general-Life recruiting pool</x:v>
      </x:c>
      <x:c r="O561" s="7" t="str">
        <x:v>Not displayed</x:v>
      </x:c>
      <x:c r="P561" s="7" t="str"/>
      <x:c r="Q561" s="7" t="str"/>
      <x:c r="R561" s="7" t="str"/>
      <x:c r="S561" s="15" t="str"/>
      <x:c r="T561" s="7" t="str">
        <x:v>No public business phone in collected record</x:v>
      </x:c>
      <x:c r="U561" s="7" t="str"/>
      <x:c r="V561" s="7" t="str">
        <x:v>Resident</x:v>
      </x:c>
      <x:c r="W561" s="7" t="str">
        <x:v>CA</x:v>
      </x:c>
      <x:c r="X561" s="7" t="str"/>
      <x:c r="Y561" s="7" t="str"/>
      <x:c r="Z561" s="7" t="str"/>
      <x:c r="AA561" s="7" t="str"/>
      <x:c r="AB561" s="7" t="str"/>
      <x:c r="AC561" s="7" t="str"/>
      <x:c r="AD561" s="7" t="str">
        <x:v>No agency or insurer displayed: onboarding opportunity possible; existing business unknown</x:v>
      </x:c>
      <x:c r="AE561" s="7" t="str">
        <x:v>No public business phone: contact enrichment needed, not proof of poor recruiting fit</x:v>
      </x:c>
      <x:c r="AF561" s="16" t="str"/>
      <x:c r="AG561" s="17" t="str"/>
      <x:c r="AH561" s="7" t="str"/>
      <x:c r="AI561" s="7" t="str"/>
      <x:c r="AJ561" s="7" t="str"/>
      <x:c r="AK561" s="15" t="str"/>
      <x:c r="AL561" s="7" t="str"/>
      <x:c r="AM561" s="7" t="str">
        <x:v>AGUILAR JESUS JERRY</x:v>
      </x:c>
      <x:c r="AN561" s="7" t="str">
        <x:v>https://cdicloud.insurance.ca.gov/cal/LicenseDetail?SearchType=IND&amp;SearchLicNbr=0L37407&amp;SearchIndvId=1885281</x:v>
      </x:c>
      <x:c r="AO561" s="7" t="str">
        <x:v>2026-10-08</x:v>
      </x:c>
      <x:c r="AP561" s="7" t="str">
        <x:v>39b58dba3752a26fd968627aee4d159e3fd15c811cc7fecec8ee0b74b0e492b8</x:v>
      </x:c>
      <x:c r="AQ561" s="7" t="str">
        <x:v>Life-Only / Inactive / 11/21/2016 / 11/30/2018 / 11/30/2018</x:v>
      </x:c>
      <x:c r="AR561" s="7" t="str">
        <x:v>Inactive</x:v>
      </x:c>
      <x:c r="AS561" s="7" t="str">
        <x:v>Current detail page</x:v>
      </x:c>
    </x:row>
    <x:row r="562" ht="52" customHeight="1">
      <x:c r="A562" s="7" t="str">
        <x:v>AGUILAR JESSE JR</x:v>
      </x:c>
      <x:c r="B562" s="14" t="str">
        <x:f>"0802313"</x:f>
        <x:v>0802313</x:v>
      </x:c>
      <x:c r="C562" s="7" t="str">
        <x:v>Omitted</x:v>
      </x:c>
      <x:c r="D562" s="7" t="str">
        <x:v>FAIL</x:v>
      </x:c>
      <x:c r="E562" s="13" t="str">
        <x:v>Pending</x:v>
      </x:c>
      <x:c r="F562" s="13" t="str"/>
      <x:c r="G562" s="13" t="str"/>
      <x:c r="H562" s="13" t="str"/>
      <x:c r="I562" s="7" t="str">
        <x:v>Was this person reviewed? If rejected, give the actual rule and evidence. If acceptable, correct the omission. Confirm the Life-qualification gate and any record change since selection.</x:v>
      </x:c>
      <x:c r="J562" s="7" t="str">
        <x:v>L1</x:v>
      </x:c>
      <x:c r="K562" s="7" t="str">
        <x:v>Verified qualifications do not include active general Life. Current target-pool mismatch; actual historical omission reason unknown.</x:v>
      </x:c>
      <x:c r="L562" s="7" t="str">
        <x:v>Not supplied; membership is known, motive is not</x:v>
      </x:c>
      <x:c r="M562" s="7" t="n">
        <x:v>7</x:v>
      </x:c>
      <x:c r="N562" s="7" t="str">
        <x:v>Outside current general-Life recruiting pool</x:v>
      </x:c>
      <x:c r="O562" s="7" t="str">
        <x:v>Not displayed</x:v>
      </x:c>
      <x:c r="P562" s="7" t="str"/>
      <x:c r="Q562" s="7" t="str"/>
      <x:c r="R562" s="7" t="str"/>
      <x:c r="S562" s="15" t="str"/>
      <x:c r="T562" s="7" t="str">
        <x:v>No public business phone in collected record</x:v>
      </x:c>
      <x:c r="U562" s="7" t="str"/>
      <x:c r="V562" s="7" t="str">
        <x:v>Resident</x:v>
      </x:c>
      <x:c r="W562" s="7" t="str">
        <x:v>CA</x:v>
      </x:c>
      <x:c r="X562" s="7" t="str"/>
      <x:c r="Y562" s="7" t="str"/>
      <x:c r="Z562" s="7" t="str"/>
      <x:c r="AA562" s="7" t="str"/>
      <x:c r="AB562" s="7" t="str"/>
      <x:c r="AC562" s="7" t="str"/>
      <x:c r="AD562" s="7" t="str">
        <x:v>No agency or insurer displayed: onboarding opportunity possible; existing business unknown</x:v>
      </x:c>
      <x:c r="AE562" s="7" t="str">
        <x:v>No public business phone: contact enrichment needed, not proof of poor recruiting fit</x:v>
      </x:c>
      <x:c r="AF562" s="16" t="str"/>
      <x:c r="AG562" s="17" t="str"/>
      <x:c r="AH562" s="7" t="str"/>
      <x:c r="AI562" s="7" t="str"/>
      <x:c r="AJ562" s="7" t="str"/>
      <x:c r="AK562" s="15" t="str"/>
      <x:c r="AL562" s="7" t="str"/>
      <x:c r="AM562" s="7" t="str">
        <x:v>AGUILAR  JESSE</x:v>
      </x:c>
      <x:c r="AN562" s="7" t="str">
        <x:v>https://cdicloud.insurance.ca.gov/cal/LicenseDetail?SearchType=IND&amp;SearchLicNbr=0802313&amp;SearchIndvId=126428</x:v>
      </x:c>
      <x:c r="AO562" s="7" t="str">
        <x:v>2026-10-08</x:v>
      </x:c>
      <x:c r="AP562" s="7" t="str">
        <x:v>4aee38fbff3fc8ce642677dc67741ebca87c699eca410a4e14e4f66c82e309c2</x:v>
      </x:c>
      <x:c r="AQ562" s="7" t="str">
        <x:v>Accident and Health / Inactive / 08/27/1990 / 08/31/1994 / 08/31/1994
Casualty Broker-Agent / Inactive / 12/12/1990 / 08/31/1994 / 08/31/1994
Life-Only / Inactive / 08/27/1990 / 08/31/1994 / 08/31/1994
Property Broker-Agent / Inactive / 12/12/1990 / 08/31/1994 / 08/31/1994</x:v>
      </x:c>
      <x:c r="AR562" s="7" t="str">
        <x:v>Inactive</x:v>
      </x:c>
      <x:c r="AS562" s="7" t="str">
        <x:v>Current detail page</x:v>
      </x:c>
    </x:row>
    <x:row r="563" ht="52" customHeight="1">
      <x:c r="A563" s="7" t="str">
        <x:v>AGUILAR JESSE LYAL</x:v>
      </x:c>
      <x:c r="B563" s="14" t="str">
        <x:f>"0F33500"</x:f>
        <x:v>0F33500</x:v>
      </x:c>
      <x:c r="C563" s="7" t="str">
        <x:v>Omitted</x:v>
      </x:c>
      <x:c r="D563" s="7" t="str">
        <x:v>FAIL</x:v>
      </x:c>
      <x:c r="E563" s="13" t="str">
        <x:v>Pending</x:v>
      </x:c>
      <x:c r="F563" s="13" t="str"/>
      <x:c r="G563" s="13" t="str"/>
      <x:c r="H563" s="13" t="str"/>
      <x:c r="I563" s="7" t="str">
        <x:v>Was this person reviewed? If rejected, give the actual rule and evidence. If acceptable, correct the omission. Confirm the Life-qualification gate and any record change since selection.</x:v>
      </x:c>
      <x:c r="J563" s="7" t="str">
        <x:v>L1</x:v>
      </x:c>
      <x:c r="K563" s="7" t="str">
        <x:v>Verified qualifications do not include active general Life. Current target-pool mismatch; actual historical omission reason unknown.</x:v>
      </x:c>
      <x:c r="L563" s="7" t="str">
        <x:v>Not supplied; membership is known, motive is not</x:v>
      </x:c>
      <x:c r="M563" s="7" t="n">
        <x:v>7</x:v>
      </x:c>
      <x:c r="N563" s="7" t="str">
        <x:v>Outside current general-Life recruiting pool</x:v>
      </x:c>
      <x:c r="O563" s="7" t="str">
        <x:v>Not displayed</x:v>
      </x:c>
      <x:c r="P563" s="7" t="str"/>
      <x:c r="Q563" s="7" t="str"/>
      <x:c r="R563" s="7" t="str"/>
      <x:c r="S563" s="15" t="str"/>
      <x:c r="T563" s="7" t="str">
        <x:v>No public business phone in collected record</x:v>
      </x:c>
      <x:c r="U563" s="7" t="str"/>
      <x:c r="V563" s="7" t="str">
        <x:v>Resident</x:v>
      </x:c>
      <x:c r="W563" s="7" t="str">
        <x:v>CA</x:v>
      </x:c>
      <x:c r="X563" s="7" t="str"/>
      <x:c r="Y563" s="7" t="str"/>
      <x:c r="Z563" s="7" t="str"/>
      <x:c r="AA563" s="7" t="str"/>
      <x:c r="AB563" s="7" t="str"/>
      <x:c r="AC563" s="7" t="str"/>
      <x:c r="AD563" s="7" t="str">
        <x:v>No agency or insurer displayed: onboarding opportunity possible; existing business unknown</x:v>
      </x:c>
      <x:c r="AE563" s="7" t="str">
        <x:v>No public business phone: contact enrichment needed, not proof of poor recruiting fit</x:v>
      </x:c>
      <x:c r="AF563" s="16" t="str"/>
      <x:c r="AG563" s="17" t="str"/>
      <x:c r="AH563" s="7" t="str"/>
      <x:c r="AI563" s="7" t="str"/>
      <x:c r="AJ563" s="7" t="str"/>
      <x:c r="AK563" s="15" t="str"/>
      <x:c r="AL563" s="7" t="str"/>
      <x:c r="AM563" s="7" t="str">
        <x:v>AGUILAR LYAL JESSE</x:v>
      </x:c>
      <x:c r="AN563" s="7" t="str">
        <x:v>https://cdicloud.insurance.ca.gov/cal/LicenseDetail?SearchType=IND&amp;SearchLicNbr=0F33500&amp;SearchIndvId=1045075</x:v>
      </x:c>
      <x:c r="AO563" s="7" t="str">
        <x:v>2026-10-08</x:v>
      </x:c>
      <x:c r="AP563" s="7" t="str">
        <x:v>d2f4b7a64cfdfb207b3deae1e90a19dc5d8db9a62308204f383580a797533e66</x:v>
      </x:c>
      <x:c r="AQ563" s="7" t="str">
        <x:v>Personal Lines Broker-Agent / Inactive / 09/13/2006 / 04/01/2007 / 04/01/2007</x:v>
      </x:c>
      <x:c r="AR563" s="7" t="str">
        <x:v>Inactive</x:v>
      </x:c>
      <x:c r="AS563" s="7" t="str">
        <x:v>Current detail page</x:v>
      </x:c>
    </x:row>
    <x:row r="564" ht="52" customHeight="1">
      <x:c r="A564" s="7" t="str">
        <x:v>AGUILAR JESSE OSCAR</x:v>
      </x:c>
      <x:c r="B564" s="14" t="str">
        <x:f>"0589228"</x:f>
        <x:v>0589228</x:v>
      </x:c>
      <x:c r="C564" s="7" t="str">
        <x:v>Omitted</x:v>
      </x:c>
      <x:c r="D564" s="7" t="str">
        <x:v>FAIL</x:v>
      </x:c>
      <x:c r="E564" s="13" t="str">
        <x:v>Pending</x:v>
      </x:c>
      <x:c r="F564" s="13" t="str"/>
      <x:c r="G564" s="13" t="str"/>
      <x:c r="H564" s="13" t="str"/>
      <x:c r="I564" s="7" t="str">
        <x:v>Was this person reviewed? If rejected, give the actual rule and evidence. If acceptable, correct the omission. Confirm the Life-qualification gate and any record change since selection.</x:v>
      </x:c>
      <x:c r="J564" s="7" t="str">
        <x:v>L1</x:v>
      </x:c>
      <x:c r="K564" s="7" t="str">
        <x:v>Verified qualifications do not include active general Life. Current target-pool mismatch; actual historical omission reason unknown.</x:v>
      </x:c>
      <x:c r="L564" s="7" t="str">
        <x:v>Not supplied; membership is known, motive is not</x:v>
      </x:c>
      <x:c r="M564" s="7" t="n">
        <x:v>7</x:v>
      </x:c>
      <x:c r="N564" s="7" t="str">
        <x:v>Outside current general-Life recruiting pool</x:v>
      </x:c>
      <x:c r="O564" s="7" t="str">
        <x:v>Not displayed</x:v>
      </x:c>
      <x:c r="P564" s="7" t="str"/>
      <x:c r="Q564" s="7" t="str"/>
      <x:c r="R564" s="7" t="str"/>
      <x:c r="S564" s="15" t="str"/>
      <x:c r="T564" s="7" t="str">
        <x:v>No public business phone in collected record</x:v>
      </x:c>
      <x:c r="U564" s="7" t="str"/>
      <x:c r="V564" s="7" t="str">
        <x:v>Resident</x:v>
      </x:c>
      <x:c r="W564" s="7" t="str">
        <x:v>CA</x:v>
      </x:c>
      <x:c r="X564" s="7" t="str"/>
      <x:c r="Y564" s="7" t="str"/>
      <x:c r="Z564" s="7" t="str">
        <x:v>ORDER ID: &lt;LA015432&gt; AP LICENSES AND LICENSING RIGHTS OF RESPONDENT TO ACT AS FX &amp; LX AGENT IS HEREBY REVOKED. ISSUE IN LIEU THEREOF A RESTRICTED LICENSE. / 01/03/2001</x:v>
      </x:c>
      <x:c r="AA564" s="7" t="str"/>
      <x:c r="AB564" s="7" t="str"/>
      <x:c r="AC564" s="7" t="str"/>
      <x:c r="AD564" s="7" t="str">
        <x:v>No agency or insurer displayed: onboarding opportunity possible; existing business unknown</x:v>
      </x:c>
      <x:c r="AE564" s="7" t="str">
        <x:v>Enforcement order requires direct review; latest displayed order is not a removal order | No public business phone: contact enrichment needed, not proof of poor recruiting fit</x:v>
      </x:c>
      <x:c r="AF564" s="16" t="str"/>
      <x:c r="AG564" s="17" t="str"/>
      <x:c r="AH564" s="7" t="str"/>
      <x:c r="AI564" s="7" t="str"/>
      <x:c r="AJ564" s="7" t="str"/>
      <x:c r="AK564" s="15" t="str"/>
      <x:c r="AL564" s="7" t="str"/>
      <x:c r="AM564" s="7" t="str">
        <x:v>AGUILAR OSCAR JESSE</x:v>
      </x:c>
      <x:c r="AN564" s="7" t="str">
        <x:v>https://cdicloud.insurance.ca.gov/cal/LicenseDetail?SearchType=IND&amp;SearchLicNbr=0589228&amp;SearchIndvId=387389</x:v>
      </x:c>
      <x:c r="AO564" s="7" t="str">
        <x:v>2026-10-08</x:v>
      </x:c>
      <x:c r="AP564" s="7" t="str">
        <x:v>bdd29abfdd96e845226c5ffd5736ef0db8e948a583b61a565d8ec978cba31086</x:v>
      </x:c>
      <x:c r="AQ564" s="7" t="str">
        <x:v>Accident and Health / Inactive / 06/12/1980 / 11/30/2010 / 11/30/2010
Casualty Broker-Agent / Inactive / 02/25/1993 / 11/30/2010 / 11/30/2010
Life-Only / Inactive / 06/12/1980 / 11/30/2010 / 11/30/2010
Property Broker-Agent / Inactive / 02/25/1993 / 11/30/2010 / 11/30/2010</x:v>
      </x:c>
      <x:c r="AR564" s="7" t="str">
        <x:v>Inactive</x:v>
      </x:c>
      <x:c r="AS564" s="7" t="str">
        <x:v>Current detail page</x:v>
      </x:c>
    </x:row>
    <x:row r="565" ht="52" customHeight="1">
      <x:c r="A565" s="7" t="str">
        <x:v>AGUILAR JESSENIA</x:v>
      </x:c>
      <x:c r="B565" s="14" t="str">
        <x:f>"0H00370"</x:f>
        <x:v>0H00370</x:v>
      </x:c>
      <x:c r="C565" s="7" t="str">
        <x:v>Omitted</x:v>
      </x:c>
      <x:c r="D565" s="7" t="str">
        <x:v>FAIL</x:v>
      </x:c>
      <x:c r="E565" s="13" t="str">
        <x:v>Pending</x:v>
      </x:c>
      <x:c r="F565" s="13" t="str"/>
      <x:c r="G565" s="13" t="str"/>
      <x:c r="H565" s="13" t="str"/>
      <x:c r="I565" s="7" t="str">
        <x:v>Was this person reviewed? If rejected, give the actual rule and evidence. If acceptable, correct the omission. Confirm the Life-qualification gate and any record change since selection.</x:v>
      </x:c>
      <x:c r="J565" s="7" t="str">
        <x:v>L1</x:v>
      </x:c>
      <x:c r="K565" s="7" t="str">
        <x:v>Verified qualifications do not include active general Life. Current target-pool mismatch; actual historical omission reason unknown.</x:v>
      </x:c>
      <x:c r="L565" s="7" t="str">
        <x:v>Not supplied; membership is known, motive is not</x:v>
      </x:c>
      <x:c r="M565" s="7" t="n">
        <x:v>7</x:v>
      </x:c>
      <x:c r="N565" s="7" t="str">
        <x:v>Outside current general-Life recruiting pool</x:v>
      </x:c>
      <x:c r="O565" s="7" t="str">
        <x:v>Not displayed</x:v>
      </x:c>
      <x:c r="P565" s="7" t="str"/>
      <x:c r="Q565" s="7" t="str"/>
      <x:c r="R565" s="7" t="str"/>
      <x:c r="S565" s="15" t="str"/>
      <x:c r="T565" s="7" t="str">
        <x:v>No public business phone in collected record</x:v>
      </x:c>
      <x:c r="U565" s="7" t="str"/>
      <x:c r="V565" s="7" t="str">
        <x:v>Resident</x:v>
      </x:c>
      <x:c r="W565" s="7" t="str">
        <x:v>CA</x:v>
      </x:c>
      <x:c r="X565" s="7" t="str"/>
      <x:c r="Y565" s="7" t="str"/>
      <x:c r="Z565" s="7" t="str"/>
      <x:c r="AA565" s="7" t="str"/>
      <x:c r="AB565" s="7" t="str"/>
      <x:c r="AC565" s="7" t="str"/>
      <x:c r="AD565" s="7" t="str">
        <x:v>No agency or insurer displayed: onboarding opportunity possible; existing business unknown</x:v>
      </x:c>
      <x:c r="AE565" s="7" t="str">
        <x:v>No public business phone: contact enrichment needed, not proof of poor recruiting fit</x:v>
      </x:c>
      <x:c r="AF565" s="16" t="str"/>
      <x:c r="AG565" s="17" t="str"/>
      <x:c r="AH565" s="7" t="str"/>
      <x:c r="AI565" s="7" t="str"/>
      <x:c r="AJ565" s="7" t="str"/>
      <x:c r="AK565" s="15" t="str"/>
      <x:c r="AL565" s="7" t="str"/>
      <x:c r="AM565" s="7" t="str">
        <x:v>AGUILAR  JESSENIA</x:v>
      </x:c>
      <x:c r="AN565" s="7" t="str">
        <x:v>https://cdicloud.insurance.ca.gov/cal/LicenseDetail?SearchType=IND&amp;SearchLicNbr=0H00370&amp;SearchIndvId=1334197</x:v>
      </x:c>
      <x:c r="AO565" s="7" t="str">
        <x:v>2026-10-08</x:v>
      </x:c>
      <x:c r="AP565" s="7" t="str">
        <x:v>6ad90ba1619e9ae3395ccd23a1701799f4ad2c31c0676919c11577e43f3186e3</x:v>
      </x:c>
      <x:c r="AQ565" s="7" t="str">
        <x:v>Life-Only / Inactive / 05/25/2010 / 05/31/2012 / 05/31/2012</x:v>
      </x:c>
      <x:c r="AR565" s="7" t="str">
        <x:v>Inactive</x:v>
      </x:c>
      <x:c r="AS565" s="7" t="str">
        <x:v>Current detail page</x:v>
      </x:c>
    </x:row>
    <x:row r="566" ht="52" customHeight="1">
      <x:c r="A566" s="7" t="str">
        <x:v>AGUILAR JESSICA</x:v>
      </x:c>
      <x:c r="B566" s="14" t="str">
        <x:f>"0G30744"</x:f>
        <x:v>0G30744</x:v>
      </x:c>
      <x:c r="C566" s="7" t="str">
        <x:v>Omitted</x:v>
      </x:c>
      <x:c r="D566" s="7" t="str">
        <x:v>FAIL</x:v>
      </x:c>
      <x:c r="E566" s="13" t="str">
        <x:v>Pending</x:v>
      </x:c>
      <x:c r="F566" s="13" t="str"/>
      <x:c r="G566" s="13" t="str"/>
      <x:c r="H566" s="13" t="str"/>
      <x:c r="I566" s="7" t="str">
        <x:v>Was this person reviewed? If rejected, give the actual rule and evidence. If acceptable, correct the omission. Confirm the Life-qualification gate and any record change since selection.</x:v>
      </x:c>
      <x:c r="J566" s="7" t="str">
        <x:v>L1</x:v>
      </x:c>
      <x:c r="K566" s="7" t="str">
        <x:v>Verified qualifications do not include active general Life. Current target-pool mismatch; actual historical omission reason unknown.</x:v>
      </x:c>
      <x:c r="L566" s="7" t="str">
        <x:v>Not supplied; membership is known, motive is not</x:v>
      </x:c>
      <x:c r="M566" s="7" t="n">
        <x:v>7</x:v>
      </x:c>
      <x:c r="N566" s="7" t="str">
        <x:v>Outside current general-Life recruiting pool</x:v>
      </x:c>
      <x:c r="O566" s="7" t="str">
        <x:v>Not displayed</x:v>
      </x:c>
      <x:c r="P566" s="7" t="str"/>
      <x:c r="Q566" s="7" t="str"/>
      <x:c r="R566" s="7" t="str"/>
      <x:c r="S566" s="15" t="str"/>
      <x:c r="T566" s="7" t="str">
        <x:v>No public business phone in collected record</x:v>
      </x:c>
      <x:c r="U566" s="7" t="str"/>
      <x:c r="V566" s="7" t="str">
        <x:v>Resident</x:v>
      </x:c>
      <x:c r="W566" s="7" t="str">
        <x:v>CA</x:v>
      </x:c>
      <x:c r="X566" s="7" t="str"/>
      <x:c r="Y566" s="7" t="str"/>
      <x:c r="Z566" s="7" t="str"/>
      <x:c r="AA566" s="7" t="str"/>
      <x:c r="AB566" s="7" t="str"/>
      <x:c r="AC566" s="7" t="str"/>
      <x:c r="AD566" s="7" t="str">
        <x:v>No agency or insurer displayed: onboarding opportunity possible; existing business unknown</x:v>
      </x:c>
      <x:c r="AE566" s="7" t="str">
        <x:v>No public business phone: contact enrichment needed, not proof of poor recruiting fit</x:v>
      </x:c>
      <x:c r="AF566" s="16" t="str"/>
      <x:c r="AG566" s="17" t="str"/>
      <x:c r="AH566" s="7" t="str"/>
      <x:c r="AI566" s="7" t="str"/>
      <x:c r="AJ566" s="7" t="str"/>
      <x:c r="AK566" s="15" t="str"/>
      <x:c r="AL566" s="7" t="str"/>
      <x:c r="AM566" s="7" t="str">
        <x:v>AGUILAR  JESSICA</x:v>
      </x:c>
      <x:c r="AN566" s="7" t="str">
        <x:v>https://cdicloud.insurance.ca.gov/cal/LicenseDetail?SearchType=IND&amp;SearchLicNbr=0G30744&amp;SearchIndvId=1179048</x:v>
      </x:c>
      <x:c r="AO566" s="7" t="str">
        <x:v>2026-10-08</x:v>
      </x:c>
      <x:c r="AP566" s="7" t="str">
        <x:v>dd6f9f59e5d1757fafe2632e9f0a6718373c072987a68d2fb7415bed94236894</x:v>
      </x:c>
      <x:c r="AQ566" s="7" t="str">
        <x:v>Life-Only / Inactive / 09/18/2008 / 09/30/2010 / 09/30/2010</x:v>
      </x:c>
      <x:c r="AR566" s="7" t="str">
        <x:v>Inactive</x:v>
      </x:c>
      <x:c r="AS566" s="7" t="str">
        <x:v>Current detail page</x:v>
      </x:c>
    </x:row>
    <x:row r="567" ht="52" customHeight="1">
      <x:c r="A567" s="7" t="str">
        <x:v>AGUILAR JESSICA</x:v>
      </x:c>
      <x:c r="B567" s="14" t="str">
        <x:f>"0J17408"</x:f>
        <x:v>0J17408</x:v>
      </x:c>
      <x:c r="C567" s="7" t="str">
        <x:v>Omitted</x:v>
      </x:c>
      <x:c r="D567" s="7" t="str">
        <x:v>FAIL</x:v>
      </x:c>
      <x:c r="E567" s="13" t="str">
        <x:v>Pending</x:v>
      </x:c>
      <x:c r="F567" s="13" t="str"/>
      <x:c r="G567" s="13" t="str"/>
      <x:c r="H567" s="13" t="str"/>
      <x:c r="I567" s="7" t="str">
        <x:v>Was this person reviewed? If rejected, give the actual rule and evidence. If acceptable, correct the omission. Confirm the Life-qualification gate and any record change since selection.</x:v>
      </x:c>
      <x:c r="J567" s="7" t="str">
        <x:v>L1</x:v>
      </x:c>
      <x:c r="K567" s="7" t="str">
        <x:v>Verified qualifications do not include active general Life. Current target-pool mismatch; actual historical omission reason unknown.</x:v>
      </x:c>
      <x:c r="L567" s="7" t="str">
        <x:v>Not supplied; membership is known, motive is not</x:v>
      </x:c>
      <x:c r="M567" s="7" t="n">
        <x:v>7</x:v>
      </x:c>
      <x:c r="N567" s="7" t="str">
        <x:v>Outside current general-Life recruiting pool</x:v>
      </x:c>
      <x:c r="O567" s="7" t="str">
        <x:v>Not displayed</x:v>
      </x:c>
      <x:c r="P567" s="7" t="str"/>
      <x:c r="Q567" s="7" t="str"/>
      <x:c r="R567" s="7" t="str"/>
      <x:c r="S567" s="15" t="str"/>
      <x:c r="T567" s="7" t="str">
        <x:v>No public business phone in collected record</x:v>
      </x:c>
      <x:c r="U567" s="7" t="str">
        <x:v>637 GAVIOTA SAN ELIZARIO TX, 79849-7410</x:v>
      </x:c>
      <x:c r="V567" s="7" t="str">
        <x:v>Non-resident</x:v>
      </x:c>
      <x:c r="W567" s="7" t="str">
        <x:v>TX</x:v>
      </x:c>
      <x:c r="X567" s="7" t="str"/>
      <x:c r="Y567" s="7" t="str"/>
      <x:c r="Z567" s="7" t="str"/>
      <x:c r="AA567" s="7" t="str"/>
      <x:c r="AB567" s="7" t="str"/>
      <x:c r="AC567" s="7" t="str"/>
      <x:c r="AD567" s="7" t="str">
        <x:v>No agency or insurer displayed: onboarding opportunity possible; existing business unknown</x:v>
      </x:c>
      <x:c r="AE567" s="7" t="str">
        <x:v>Nonresident or address state outside CA; confirm geographic recruiting scope | No public business phone: contact enrichment needed, not proof of poor recruiting fit</x:v>
      </x:c>
      <x:c r="AF567" s="16" t="str"/>
      <x:c r="AG567" s="17" t="str"/>
      <x:c r="AH567" s="7" t="str"/>
      <x:c r="AI567" s="7" t="str"/>
      <x:c r="AJ567" s="7" t="str"/>
      <x:c r="AK567" s="15" t="str"/>
      <x:c r="AL567" s="7" t="str"/>
      <x:c r="AM567" s="7" t="str">
        <x:v>AGUILAR  JESSICA</x:v>
      </x:c>
      <x:c r="AN567" s="7" t="str">
        <x:v>https://cdicloud.insurance.ca.gov/cal/LicenseDetail?SearchType=IND&amp;SearchLicNbr=0J17408&amp;SearchIndvId=1719138</x:v>
      </x:c>
      <x:c r="AO567" s="7" t="str">
        <x:v>2026-10-08</x:v>
      </x:c>
      <x:c r="AP567" s="7" t="str">
        <x:v>2334e2784effccb392922129c06d142dac6e21b1fee848006c94c47584528705</x:v>
      </x:c>
      <x:c r="AQ567" s="7" t="str">
        <x:v>Casualty / Inactive / 11/03/2014 / 11/30/2024 / 11/30/2024
Property / Inactive / 11/03/2014 / 11/30/2024 / 11/30/2024</x:v>
      </x:c>
      <x:c r="AR567" s="7" t="str">
        <x:v>Inactive</x:v>
      </x:c>
      <x:c r="AS567" s="7" t="str">
        <x:v>Current detail page</x:v>
      </x:c>
    </x:row>
    <x:row r="568" ht="52" customHeight="1">
      <x:c r="A568" s="7" t="str">
        <x:v>AGUILAR JESSICA</x:v>
      </x:c>
      <x:c r="B568" s="14" t="str">
        <x:f>"4003770"</x:f>
        <x:v>4003770</x:v>
      </x:c>
      <x:c r="C568" s="7" t="str">
        <x:v>Omitted</x:v>
      </x:c>
      <x:c r="D568" s="7" t="str">
        <x:v>FAIL</x:v>
      </x:c>
      <x:c r="E568" s="13" t="str">
        <x:v>Pending</x:v>
      </x:c>
      <x:c r="F568" s="13" t="str"/>
      <x:c r="G568" s="13" t="str"/>
      <x:c r="H568" s="13" t="str"/>
      <x:c r="I568" s="7" t="str">
        <x:v>Was this person reviewed? If rejected, give the actual rule and evidence. If acceptable, correct the omission. Confirm the Life-qualification gate and any record change since selection.</x:v>
      </x:c>
      <x:c r="J568" s="7" t="str">
        <x:v>L1</x:v>
      </x:c>
      <x:c r="K568" s="7" t="str">
        <x:v>Verified qualifications do not include active general Life. Current target-pool mismatch; actual historical omission reason unknown.</x:v>
      </x:c>
      <x:c r="L568" s="7" t="str">
        <x:v>Not supplied; membership is known, motive is not</x:v>
      </x:c>
      <x:c r="M568" s="7" t="n">
        <x:v>7</x:v>
      </x:c>
      <x:c r="N568" s="7" t="str">
        <x:v>Outside current general-Life recruiting pool</x:v>
      </x:c>
      <x:c r="O568" s="7" t="str">
        <x:v>Not displayed</x:v>
      </x:c>
      <x:c r="P568" s="7" t="str"/>
      <x:c r="Q568" s="7" t="str"/>
      <x:c r="R568" s="7" t="str"/>
      <x:c r="S568" s="15" t="str"/>
      <x:c r="T568" s="7" t="str">
        <x:v>No public business phone in collected record</x:v>
      </x:c>
      <x:c r="U568" s="7" t="str"/>
      <x:c r="V568" s="7" t="str">
        <x:v>Non-resident</x:v>
      </x:c>
      <x:c r="W568" s="7" t="str">
        <x:v>TX</x:v>
      </x:c>
      <x:c r="X568" s="7" t="str"/>
      <x:c r="Y568" s="7" t="str"/>
      <x:c r="Z568" s="7" t="str"/>
      <x:c r="AA568" s="7" t="str"/>
      <x:c r="AB568" s="7" t="str"/>
      <x:c r="AC568" s="7" t="str"/>
      <x:c r="AD568" s="7" t="str">
        <x:v>No agency or insurer displayed: onboarding opportunity possible; existing business unknown</x:v>
      </x:c>
      <x:c r="AE568" s="7" t="str">
        <x:v>Nonresident or address state outside CA; confirm geographic recruiting scope | No public business phone: contact enrichment needed, not proof of poor recruiting fit</x:v>
      </x:c>
      <x:c r="AF568" s="16" t="str"/>
      <x:c r="AG568" s="17" t="str"/>
      <x:c r="AH568" s="7" t="str"/>
      <x:c r="AI568" s="7" t="str"/>
      <x:c r="AJ568" s="7" t="str"/>
      <x:c r="AK568" s="15" t="str"/>
      <x:c r="AL568" s="7" t="str"/>
      <x:c r="AM568" s="7" t="str">
        <x:v>AGUILAR  JESSICA</x:v>
      </x:c>
      <x:c r="AN568" s="7" t="str">
        <x:v>https://cdicloud.insurance.ca.gov/cal/LicenseDetail?SearchType=IND&amp;SearchLicNbr=4003770&amp;SearchIndvId=4003770</x:v>
      </x:c>
      <x:c r="AO568" s="7" t="str">
        <x:v>2026-10-08</x:v>
      </x:c>
      <x:c r="AP568" s="7" t="str">
        <x:v>8387f0cda3efa5ff0ab51e77c7d773c21e93055791a1c86e6e49d8484e466c3d</x:v>
      </x:c>
      <x:c r="AQ568" s="7" t="str">
        <x:v>Casualty / Inactive / 09/19/2019 / 09/30/2021 / 09/30/2021
Property / Inactive / 09/19/2019 / 09/30/2021 / 09/30/2021</x:v>
      </x:c>
      <x:c r="AR568" s="7" t="str">
        <x:v>Inactive</x:v>
      </x:c>
      <x:c r="AS568" s="7" t="str">
        <x:v>Current detail page</x:v>
      </x:c>
    </x:row>
    <x:row r="569" ht="52" customHeight="1">
      <x:c r="A569" s="7" t="str">
        <x:v>AGUILAR JESSICA</x:v>
      </x:c>
      <x:c r="B569" s="14" t="str">
        <x:f>"4437825"</x:f>
        <x:v>4437825</x:v>
      </x:c>
      <x:c r="C569" s="7" t="str">
        <x:v>Omitted</x:v>
      </x:c>
      <x:c r="D569" s="7" t="str">
        <x:v>FAIL</x:v>
      </x:c>
      <x:c r="E569" s="13" t="str">
        <x:v>Pending</x:v>
      </x:c>
      <x:c r="F569" s="13" t="str"/>
      <x:c r="G569" s="13" t="str"/>
      <x:c r="H569" s="13" t="str"/>
      <x:c r="I569" s="7" t="str">
        <x:v>Was this person reviewed? If rejected, give the actual rule and evidence. If acceptable, correct the omission. Confirm the Life-qualification gate and any record change since selection.</x:v>
      </x:c>
      <x:c r="J569" s="7" t="str">
        <x:v>L1</x:v>
      </x:c>
      <x:c r="K569" s="7" t="str">
        <x:v>Verified qualifications do not include active general Life. Current target-pool mismatch; actual historical omission reason unknown.</x:v>
      </x:c>
      <x:c r="L569" s="7" t="str">
        <x:v>Not supplied; membership is known, motive is not</x:v>
      </x:c>
      <x:c r="M569" s="7" t="n">
        <x:v>7</x:v>
      </x:c>
      <x:c r="N569" s="7" t="str">
        <x:v>Outside current general-Life recruiting pool</x:v>
      </x:c>
      <x:c r="O569" s="7" t="str">
        <x:v>Not displayed</x:v>
      </x:c>
      <x:c r="P569" s="7" t="str"/>
      <x:c r="Q569" s="7" t="str"/>
      <x:c r="R569" s="7" t="str">
        <x:v>Personal Lines</x:v>
      </x:c>
      <x:c r="S569" s="15" t="str"/>
      <x:c r="T569" s="7" t="str">
        <x:v>No public business phone in collected record</x:v>
      </x:c>
      <x:c r="U569" s="7" t="str">
        <x:v>7810 E ESCALANTE RD TUCSON AZ, 85730</x:v>
      </x:c>
      <x:c r="V569" s="7" t="str">
        <x:v>Non-resident</x:v>
      </x:c>
      <x:c r="W569" s="7" t="str">
        <x:v>AZ</x:v>
      </x:c>
      <x:c r="X569" s="7" t="str"/>
      <x:c r="Y569" s="7" t="str"/>
      <x:c r="Z569" s="7" t="str"/>
      <x:c r="AA569" s="7" t="str"/>
      <x:c r="AB569" s="7" t="str"/>
      <x:c r="AC569" s="7" t="str"/>
      <x:c r="AD569" s="7" t="str">
        <x:v>No agency or insurer displayed: onboarding opportunity possible; existing business unknown</x:v>
      </x:c>
      <x:c r="AE569"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569" s="16" t="str"/>
      <x:c r="AG569" s="17" t="str"/>
      <x:c r="AH569" s="7" t="str"/>
      <x:c r="AI569" s="7" t="str"/>
      <x:c r="AJ569" s="7" t="str"/>
      <x:c r="AK569" s="15" t="str"/>
      <x:c r="AL569" s="7" t="str"/>
      <x:c r="AM569" s="7" t="str">
        <x:v>AGUILAR  JESSICA</x:v>
      </x:c>
      <x:c r="AN569" s="7" t="str">
        <x:v>https://cdicloud.insurance.ca.gov/cal/LicenseDetail?SearchType=IND&amp;SearchLicNbr=4437825&amp;SearchIndvId=4437825</x:v>
      </x:c>
      <x:c r="AO569" s="7" t="str">
        <x:v>2026-10-08</x:v>
      </x:c>
      <x:c r="AP569" s="7" t="str">
        <x:v>335313d2ab80710d860997f7c3c97c8609597a27681d2f5c3cad3692e5fad7c7</x:v>
      </x:c>
      <x:c r="AQ569" s="7" t="str">
        <x:v>Personal Lines / Active / 01/14/2025 / 01/14/2025 / 01/31/2027</x:v>
      </x:c>
      <x:c r="AR569" s="7" t="str">
        <x:v>Active</x:v>
      </x:c>
      <x:c r="AS569" s="7" t="str">
        <x:v>Current detail page</x:v>
      </x:c>
    </x:row>
    <x:row r="570" ht="52" customHeight="1">
      <x:c r="A570" s="7" t="str">
        <x:v>AGUILAR JESSICA BRIANNA</x:v>
      </x:c>
      <x:c r="B570" s="14" t="str">
        <x:f>"0L73473"</x:f>
        <x:v>0L73473</x:v>
      </x:c>
      <x:c r="C570" s="7" t="str">
        <x:v>Omitted</x:v>
      </x:c>
      <x:c r="D570" s="7" t="str">
        <x:v>FAIL</x:v>
      </x:c>
      <x:c r="E570" s="13" t="str">
        <x:v>Pending</x:v>
      </x:c>
      <x:c r="F570" s="13" t="str"/>
      <x:c r="G570" s="13" t="str"/>
      <x:c r="H570" s="13" t="str"/>
      <x:c r="I570" s="7" t="str">
        <x:v>Was this person reviewed? If rejected, give the actual rule and evidence. If acceptable, correct the omission. Confirm the Life-qualification gate and any record change since selection.</x:v>
      </x:c>
      <x:c r="J570" s="7" t="str">
        <x:v>L1</x:v>
      </x:c>
      <x:c r="K570" s="7" t="str">
        <x:v>Verified qualifications do not include active general Life. Current target-pool mismatch; actual historical omission reason unknown.</x:v>
      </x:c>
      <x:c r="L570" s="7" t="str">
        <x:v>Not supplied; membership is known, motive is not</x:v>
      </x:c>
      <x:c r="M570" s="7" t="n">
        <x:v>7</x:v>
      </x:c>
      <x:c r="N570" s="7" t="str">
        <x:v>Outside current general-Life recruiting pool</x:v>
      </x:c>
      <x:c r="O570" s="7" t="str">
        <x:v>Not displayed</x:v>
      </x:c>
      <x:c r="P570" s="7" t="str"/>
      <x:c r="Q570" s="7" t="str"/>
      <x:c r="R570" s="7" t="str"/>
      <x:c r="S570" s="15" t="str"/>
      <x:c r="T570" s="7" t="str">
        <x:v>No public business phone in collected record</x:v>
      </x:c>
      <x:c r="U570" s="7" t="str"/>
      <x:c r="V570" s="7" t="str">
        <x:v>Resident</x:v>
      </x:c>
      <x:c r="W570" s="7" t="str">
        <x:v>CA</x:v>
      </x:c>
      <x:c r="X570" s="7" t="str"/>
      <x:c r="Y570" s="7" t="str"/>
      <x:c r="Z570" s="7" t="str"/>
      <x:c r="AA570" s="7" t="str"/>
      <x:c r="AB570" s="7" t="str"/>
      <x:c r="AC570" s="7" t="str"/>
      <x:c r="AD570" s="7" t="str">
        <x:v>No agency or insurer displayed: onboarding opportunity possible; existing business unknown</x:v>
      </x:c>
      <x:c r="AE570" s="7" t="str">
        <x:v>No public business phone: contact enrichment needed, not proof of poor recruiting fit</x:v>
      </x:c>
      <x:c r="AF570" s="16" t="str"/>
      <x:c r="AG570" s="17" t="str"/>
      <x:c r="AH570" s="7" t="str"/>
      <x:c r="AI570" s="7" t="str"/>
      <x:c r="AJ570" s="7" t="str"/>
      <x:c r="AK570" s="15" t="str"/>
      <x:c r="AL570" s="7" t="str"/>
      <x:c r="AM570" s="7" t="str">
        <x:v>Aguilar B Jessica | AGUILAR BRIANNA JESSICA</x:v>
      </x:c>
      <x:c r="AN570" s="7" t="str">
        <x:v>https://cdicloud.insurance.ca.gov/cal/LicenseDetail?SearchType=IND&amp;SearchLicNbr=0L73473&amp;SearchIndvId=1898343</x:v>
      </x:c>
      <x:c r="AO570" s="7" t="str">
        <x:v>2026-10-08</x:v>
      </x:c>
      <x:c r="AP570" s="7" t="str">
        <x:v>877ef0670489da34796bfbb83b6bfcef995b7f2cba16e3dcd4bff9c5cdbbae4c</x:v>
      </x:c>
      <x:c r="AQ570" s="7" t="str">
        <x:v>Accident and Health / Inactive / 05/05/2017 / 05/31/2019 / 05/31/2019
Life-Only / Inactive / 05/05/2017 / 05/31/2019 / 05/31/2019</x:v>
      </x:c>
      <x:c r="AR570" s="7" t="str">
        <x:v>Inactive</x:v>
      </x:c>
      <x:c r="AS570" s="7" t="str">
        <x:v>Current detail page</x:v>
      </x:c>
    </x:row>
    <x:row r="571" ht="52" customHeight="1">
      <x:c r="A571" s="7" t="str">
        <x:v>AGUILAR JESSICA DEL CARMEN</x:v>
      </x:c>
      <x:c r="B571" s="14" t="str">
        <x:f>"0L93093"</x:f>
        <x:v>0L93093</x:v>
      </x:c>
      <x:c r="C571" s="7" t="str">
        <x:v>Omitted</x:v>
      </x:c>
      <x:c r="D571" s="7" t="str">
        <x:v>FAIL</x:v>
      </x:c>
      <x:c r="E571" s="13" t="str">
        <x:v>Pending</x:v>
      </x:c>
      <x:c r="F571" s="13" t="str"/>
      <x:c r="G571" s="13" t="str"/>
      <x:c r="H571" s="13" t="str"/>
      <x:c r="I571" s="7" t="str">
        <x:v>Was this person reviewed? If rejected, give the actual rule and evidence. If acceptable, correct the omission. Confirm the Life-qualification gate and any record change since selection.</x:v>
      </x:c>
      <x:c r="J571" s="7" t="str">
        <x:v>L1</x:v>
      </x:c>
      <x:c r="K571" s="7" t="str">
        <x:v>Verified qualifications do not include active general Life. Current target-pool mismatch; actual historical omission reason unknown.</x:v>
      </x:c>
      <x:c r="L571" s="7" t="str">
        <x:v>Not supplied; membership is known, motive is not</x:v>
      </x:c>
      <x:c r="M571" s="7" t="n">
        <x:v>7</x:v>
      </x:c>
      <x:c r="N571" s="7" t="str">
        <x:v>Outside current general-Life recruiting pool</x:v>
      </x:c>
      <x:c r="O571" s="7" t="str">
        <x:v>Not displayed</x:v>
      </x:c>
      <x:c r="P571" s="7" t="str"/>
      <x:c r="Q571" s="7" t="str"/>
      <x:c r="R571" s="7" t="str"/>
      <x:c r="S571" s="15" t="str"/>
      <x:c r="T571" s="7" t="str">
        <x:v>No public business phone in collected record</x:v>
      </x:c>
      <x:c r="U571" s="7" t="str"/>
      <x:c r="V571" s="7" t="str">
        <x:v>Resident</x:v>
      </x:c>
      <x:c r="W571" s="7" t="str">
        <x:v>CA</x:v>
      </x:c>
      <x:c r="X571" s="7" t="str"/>
      <x:c r="Y571" s="7" t="str"/>
      <x:c r="Z571" s="7" t="str"/>
      <x:c r="AA571" s="7" t="str"/>
      <x:c r="AB571" s="7" t="str"/>
      <x:c r="AC571" s="7" t="str"/>
      <x:c r="AD571" s="7" t="str">
        <x:v>No agency or insurer displayed: onboarding opportunity possible; existing business unknown</x:v>
      </x:c>
      <x:c r="AE571" s="7" t="str">
        <x:v>No public business phone: contact enrichment needed, not proof of poor recruiting fit</x:v>
      </x:c>
      <x:c r="AF571" s="16" t="str"/>
      <x:c r="AG571" s="17" t="str"/>
      <x:c r="AH571" s="7" t="str"/>
      <x:c r="AI571" s="7" t="str">
        <x:v>English</x:v>
      </x:c>
      <x:c r="AJ571" s="7" t="str"/>
      <x:c r="AK571" s="15" t="str"/>
      <x:c r="AL571" s="7" t="str"/>
      <x:c r="AM571" s="7" t="str">
        <x:v>aguilar d jessica | AGUILAR DEL CARMEN JESSICA</x:v>
      </x:c>
      <x:c r="AN571" s="7" t="str">
        <x:v>https://cdicloud.insurance.ca.gov/cal/LicenseDetail?SearchType=IND&amp;SearchLicNbr=0L93093&amp;SearchIndvId=1963729</x:v>
      </x:c>
      <x:c r="AO571" s="7" t="str">
        <x:v>2026-10-08</x:v>
      </x:c>
      <x:c r="AP571" s="7" t="str">
        <x:v>f576289477613abfa2bfdc0522a9b0aeb444367cb55b10a7a4bf6bb1784e07fc</x:v>
      </x:c>
      <x:c r="AQ571" s="7" t="str">
        <x:v>Accident and Health / Inactive / 09/11/2017 / 09/30/2019 / 09/30/2019
Life-Only / Inactive / 09/11/2017 / 09/30/2019 / 09/30/2019</x:v>
      </x:c>
      <x:c r="AR571" s="7" t="str">
        <x:v>Inactive</x:v>
      </x:c>
      <x:c r="AS571" s="7" t="str">
        <x:v>Current detail page</x:v>
      </x:c>
    </x:row>
    <x:row r="572" ht="52" customHeight="1">
      <x:c r="A572" s="7" t="str">
        <x:v>AGUILAR JESSICA ERINDENIE</x:v>
      </x:c>
      <x:c r="B572" s="14" t="str">
        <x:f>"4174911"</x:f>
        <x:v>4174911</x:v>
      </x:c>
      <x:c r="C572" s="7" t="str">
        <x:v>Omitted</x:v>
      </x:c>
      <x:c r="D572" s="7" t="str">
        <x:v>FAIL</x:v>
      </x:c>
      <x:c r="E572" s="13" t="str">
        <x:v>Pending</x:v>
      </x:c>
      <x:c r="F572" s="13" t="str"/>
      <x:c r="G572" s="13" t="str"/>
      <x:c r="H572" s="13" t="str"/>
      <x:c r="I572" s="7" t="str">
        <x:v>Was this person reviewed? If rejected, give the actual rule and evidence. If acceptable, correct the omission. Confirm the Life-qualification gate and any record change since selection.</x:v>
      </x:c>
      <x:c r="J572" s="7" t="str">
        <x:v>L1</x:v>
      </x:c>
      <x:c r="K572" s="7" t="str">
        <x:v>Verified qualifications do not include active general Life. Current target-pool mismatch; actual historical omission reason unknown.</x:v>
      </x:c>
      <x:c r="L572" s="7" t="str">
        <x:v>Not supplied; membership is known, motive is not</x:v>
      </x:c>
      <x:c r="M572" s="7" t="n">
        <x:v>7</x:v>
      </x:c>
      <x:c r="N572" s="7" t="str">
        <x:v>Outside current general-Life recruiting pool</x:v>
      </x:c>
      <x:c r="O572" s="7" t="str">
        <x:v>Inactive</x:v>
      </x:c>
      <x:c r="P572" s="7" t="str">
        <x:v>11/18/2021</x:v>
      </x:c>
      <x:c r="Q572" s="7" t="str">
        <x:v>11/30/2023</x:v>
      </x:c>
      <x:c r="R572" s="7" t="str"/>
      <x:c r="S572" s="15" t="str">
        <x:v>559-765-2619</x:v>
      </x:c>
      <x:c r="T572" s="7" t="str">
        <x:v>Current CDI</x:v>
      </x:c>
      <x:c r="U572" s="7" t="str">
        <x:v>4991 E MCKINLEY AVE #104 FRESNO CA, 93727</x:v>
      </x:c>
      <x:c r="V572" s="7" t="str">
        <x:v>Resident</x:v>
      </x:c>
      <x:c r="W572" s="7" t="str">
        <x:v>CA</x:v>
      </x:c>
      <x:c r="X572" s="7" t="str"/>
      <x:c r="Y572" s="7" t="str"/>
      <x:c r="Z572" s="7" t="str"/>
      <x:c r="AA572" s="7" t="str"/>
      <x:c r="AB572" s="7" t="str"/>
      <x:c r="AC572" s="7" t="str"/>
      <x:c r="AD572" s="7" t="str">
        <x:v>No agency or insurer displayed: onboarding opportunity possible; existing business unknown</x:v>
      </x:c>
      <x:c r="AE572" s="7" t="str"/>
      <x:c r="AF572" s="16" t="str"/>
      <x:c r="AG572" s="17" t="str"/>
      <x:c r="AH572" s="7" t="str"/>
      <x:c r="AI572" s="7" t="str">
        <x:v>English</x:v>
      </x:c>
      <x:c r="AJ572" s="7" t="str"/>
      <x:c r="AK572" s="15" t="str"/>
      <x:c r="AL572" s="7" t="str"/>
      <x:c r="AM572" s="7" t="str">
        <x:v>AGUILAR ERINDENIE JESSICA</x:v>
      </x:c>
      <x:c r="AN572" s="7" t="str">
        <x:v>https://cdicloud.insurance.ca.gov/cal/LicenseDetail?SearchType=IND&amp;SearchLicNbr=4174911&amp;SearchIndvId=4174911</x:v>
      </x:c>
      <x:c r="AO572" s="7" t="str">
        <x:v>2026-10-08</x:v>
      </x:c>
      <x:c r="AP572" s="7" t="str">
        <x:v>8053a847d887206f0e4c5ed246eff46e35409004d53c71ddb6d4edeec5f8cbcd</x:v>
      </x:c>
      <x:c r="AQ572" s="7" t="str">
        <x:v>Life / Inactive / 11/18/2021 / 11/30/2023 / 11/30/2023</x:v>
      </x:c>
      <x:c r="AR572" s="7" t="str">
        <x:v>Inactive</x:v>
      </x:c>
      <x:c r="AS572" s="7" t="str">
        <x:v>Current detail page</x:v>
      </x:c>
    </x:row>
    <x:row r="573" ht="52" customHeight="1">
      <x:c r="A573" s="7" t="str">
        <x:v>AGUILAR JESSICA ESTHER LEZAMA</x:v>
      </x:c>
      <x:c r="B573" s="14" t="str">
        <x:f>"0M77519"</x:f>
        <x:v>0M77519</x:v>
      </x:c>
      <x:c r="C573" s="7" t="str">
        <x:v>Omitted</x:v>
      </x:c>
      <x:c r="D573" s="7" t="str">
        <x:v>FAIL</x:v>
      </x:c>
      <x:c r="E573" s="13" t="str">
        <x:v>Pending</x:v>
      </x:c>
      <x:c r="F573" s="13" t="str"/>
      <x:c r="G573" s="13" t="str"/>
      <x:c r="H573" s="13" t="str"/>
      <x:c r="I573" s="7" t="str">
        <x:v>Was this person reviewed? If rejected, give the actual rule and evidence. If acceptable, correct the omission. Confirm the Life-qualification gate and any record change since selection.</x:v>
      </x:c>
      <x:c r="J573" s="7" t="str">
        <x:v>L1</x:v>
      </x:c>
      <x:c r="K573" s="7" t="str">
        <x:v>Verified qualifications do not include active general Life. Current target-pool mismatch; actual historical omission reason unknown.</x:v>
      </x:c>
      <x:c r="L573" s="7" t="str">
        <x:v>Not supplied; membership is known, motive is not</x:v>
      </x:c>
      <x:c r="M573" s="7" t="n">
        <x:v>7</x:v>
      </x:c>
      <x:c r="N573" s="7" t="str">
        <x:v>Outside current general-Life recruiting pool</x:v>
      </x:c>
      <x:c r="O573" s="7" t="str">
        <x:v>Inactive</x:v>
      </x:c>
      <x:c r="P573" s="7" t="str">
        <x:v>01/14/2019</x:v>
      </x:c>
      <x:c r="Q573" s="7" t="str">
        <x:v>01/31/2025</x:v>
      </x:c>
      <x:c r="R573" s="7" t="str"/>
      <x:c r="S573" s="15" t="str">
        <x:v>951-784-4353</x:v>
      </x:c>
      <x:c r="T573" s="7" t="str">
        <x:v>Current CDI</x:v>
      </x:c>
      <x:c r="U573" s="7" t="str">
        <x:v>5053 LA MART DR STE 103 RIVERSIDE CA, 92507</x:v>
      </x:c>
      <x:c r="V573" s="7" t="str">
        <x:v>Resident</x:v>
      </x:c>
      <x:c r="W573" s="7" t="str">
        <x:v>CA</x:v>
      </x:c>
      <x:c r="X573" s="7" t="str"/>
      <x:c r="Y573" s="7" t="str"/>
      <x:c r="Z573" s="7" t="str"/>
      <x:c r="AA573" s="7" t="str"/>
      <x:c r="AB573" s="7" t="str">
        <x:v>COTHRAN INSURANCE AGENCY, INC. / Casualty / 01/15/2019
COTHRAN INSURANCE AGENCY, INC. / Property / 01/15/2019</x:v>
      </x:c>
      <x:c r="AC573" s="7" t="str"/>
      <x:c r="AD573" s="7" t="str">
        <x:v>No agency or insurer displayed: onboarding opportunity possible; existing business unknown</x:v>
      </x:c>
      <x:c r="AE573" s="7" t="str">
        <x:v>Sponsor relationships displayed: COTHRAN INSURANCE AGENCY, INC.; inspect line-specific relationship, not a blanket employment inference</x:v>
      </x:c>
      <x:c r="AF573" s="16" t="str"/>
      <x:c r="AG573" s="17" t="str"/>
      <x:c r="AH573" s="7" t="str"/>
      <x:c r="AI573" s="7" t="str">
        <x:v>English</x:v>
      </x:c>
      <x:c r="AJ573" s="7" t="str"/>
      <x:c r="AK573" s="15" t="str"/>
      <x:c r="AL573" s="7" t="str"/>
      <x:c r="AM573" s="7" t="str">
        <x:v>AGUILAR ESTHER LEZAMA JESSICA</x:v>
      </x:c>
      <x:c r="AN573" s="7" t="str">
        <x:v>https://cdicloud.insurance.ca.gov/cal/LicenseDetail?SearchType=IND&amp;SearchLicNbr=0M77519&amp;SearchIndvId=2079076</x:v>
      </x:c>
      <x:c r="AO573" s="7" t="str">
        <x:v>2026-10-08</x:v>
      </x:c>
      <x:c r="AP573" s="7" t="str">
        <x:v>06fbf35390bd5844bde69468ae20a9731f649a93d231e457d65d536765d064bb</x:v>
      </x:c>
      <x:c r="AQ573" s="7" t="str">
        <x:v>Accident &amp; Health or Sickness / Inactive / 01/14/2019 / 01/31/2025 / 01/31/2025
Casualty / Inactive / 01/14/2019 / 01/31/2025 / 01/31/2025
Life / Inactive / 01/14/2019 / 01/31/2025 / 01/31/2025
Property / Inactive / 01/14/2019 / 01/31/2025 / 01/31/2025</x:v>
      </x:c>
      <x:c r="AR573" s="7" t="str">
        <x:v>Inactive</x:v>
      </x:c>
      <x:c r="AS573" s="7" t="str">
        <x:v>Current detail page</x:v>
      </x:c>
    </x:row>
    <x:row r="574" ht="52" customHeight="1">
      <x:c r="A574" s="7" t="str">
        <x:v>AGUILAR JESSICA LYNN</x:v>
      </x:c>
      <x:c r="B574" s="14" t="str">
        <x:f>"0F70073"</x:f>
        <x:v>0F70073</x:v>
      </x:c>
      <x:c r="C574" s="7" t="str">
        <x:v>Omitted</x:v>
      </x:c>
      <x:c r="D574" s="7" t="str">
        <x:v>FAIL</x:v>
      </x:c>
      <x:c r="E574" s="13" t="str">
        <x:v>Pending</x:v>
      </x:c>
      <x:c r="F574" s="13" t="str"/>
      <x:c r="G574" s="13" t="str"/>
      <x:c r="H574" s="13" t="str"/>
      <x:c r="I574" s="7" t="str">
        <x:v>Was this person reviewed? If rejected, give the actual rule and evidence. If acceptable, correct the omission. Confirm the Life-qualification gate and any record change since selection.</x:v>
      </x:c>
      <x:c r="J574" s="7" t="str">
        <x:v>L1</x:v>
      </x:c>
      <x:c r="K574" s="7" t="str">
        <x:v>Verified qualifications do not include active general Life. Current target-pool mismatch; actual historical omission reason unknown.</x:v>
      </x:c>
      <x:c r="L574" s="7" t="str">
        <x:v>Not supplied; membership is known, motive is not</x:v>
      </x:c>
      <x:c r="M574" s="7" t="n">
        <x:v>7</x:v>
      </x:c>
      <x:c r="N574" s="7" t="str">
        <x:v>Outside current general-Life recruiting pool</x:v>
      </x:c>
      <x:c r="O574" s="7" t="str">
        <x:v>Not displayed</x:v>
      </x:c>
      <x:c r="P574" s="7" t="str"/>
      <x:c r="Q574" s="7" t="str"/>
      <x:c r="R574" s="7" t="str"/>
      <x:c r="S574" s="15" t="str"/>
      <x:c r="T574" s="7" t="str">
        <x:v>No public business phone in collected record</x:v>
      </x:c>
      <x:c r="U574" s="7" t="str"/>
      <x:c r="V574" s="7" t="str">
        <x:v>Non-resident</x:v>
      </x:c>
      <x:c r="W574" s="7" t="str">
        <x:v>TX</x:v>
      </x:c>
      <x:c r="X574" s="7" t="str"/>
      <x:c r="Y574" s="7" t="str"/>
      <x:c r="Z574" s="7" t="str"/>
      <x:c r="AA574" s="7" t="str"/>
      <x:c r="AB574" s="7" t="str"/>
      <x:c r="AC574" s="7" t="str"/>
      <x:c r="AD574" s="7" t="str">
        <x:v>No agency or insurer displayed: onboarding opportunity possible; existing business unknown</x:v>
      </x:c>
      <x:c r="AE574" s="7" t="str">
        <x:v>Nonresident or address state outside CA; confirm geographic recruiting scope | No public business phone: contact enrichment needed, not proof of poor recruiting fit</x:v>
      </x:c>
      <x:c r="AF574" s="16" t="str"/>
      <x:c r="AG574" s="17" t="str"/>
      <x:c r="AH574" s="7" t="str"/>
      <x:c r="AI574" s="7" t="str"/>
      <x:c r="AJ574" s="7" t="str"/>
      <x:c r="AK574" s="15" t="str"/>
      <x:c r="AL574" s="7" t="str"/>
      <x:c r="AM574" s="7" t="str">
        <x:v>AGUILAR LYNN JESSICA</x:v>
      </x:c>
      <x:c r="AN574" s="7" t="str">
        <x:v>https://cdicloud.insurance.ca.gov/cal/LicenseDetail?SearchType=IND&amp;SearchLicNbr=0F70073&amp;SearchIndvId=1087859</x:v>
      </x:c>
      <x:c r="AO574" s="7" t="str">
        <x:v>2026-10-08</x:v>
      </x:c>
      <x:c r="AP574" s="7" t="str">
        <x:v>109e84e8665a5909c3eca5ab1d59f8be1862ff245b9394349ab99638597ea468</x:v>
      </x:c>
      <x:c r="AQ574" s="7" t="str">
        <x:v>Casualty Broker-Agent / Inactive / 06/18/2007 / 06/30/2009 / 06/30/2009
Property Broker-Agent / Inactive / 06/18/2007 / 06/30/2009 / 06/30/2009</x:v>
      </x:c>
      <x:c r="AR574" s="7" t="str">
        <x:v>Inactive</x:v>
      </x:c>
      <x:c r="AS574" s="7" t="str">
        <x:v>Current detail page</x:v>
      </x:c>
    </x:row>
    <x:row r="575" ht="52" customHeight="1">
      <x:c r="A575" s="7" t="str">
        <x:v>AGUILAR JESSICA NOEMI</x:v>
      </x:c>
      <x:c r="B575" s="14" t="str">
        <x:f>"0G00598"</x:f>
        <x:v>0G00598</x:v>
      </x:c>
      <x:c r="C575" s="7" t="str">
        <x:v>Omitted</x:v>
      </x:c>
      <x:c r="D575" s="7" t="str">
        <x:v>FAIL</x:v>
      </x:c>
      <x:c r="E575" s="13" t="str">
        <x:v>Pending</x:v>
      </x:c>
      <x:c r="F575" s="13" t="str"/>
      <x:c r="G575" s="13" t="str"/>
      <x:c r="H575" s="13" t="str"/>
      <x:c r="I575" s="7" t="str">
        <x:v>Was this person reviewed? If rejected, give the actual rule and evidence. If acceptable, correct the omission. Confirm the Life-qualification gate and any record change since selection.</x:v>
      </x:c>
      <x:c r="J575" s="7" t="str">
        <x:v>L1</x:v>
      </x:c>
      <x:c r="K575" s="7" t="str">
        <x:v>Verified qualifications do not include active general Life. Current target-pool mismatch; actual historical omission reason unknown.</x:v>
      </x:c>
      <x:c r="L575" s="7" t="str">
        <x:v>Not supplied; membership is known, motive is not</x:v>
      </x:c>
      <x:c r="M575" s="7" t="n">
        <x:v>7</x:v>
      </x:c>
      <x:c r="N575" s="7" t="str">
        <x:v>Outside current general-Life recruiting pool</x:v>
      </x:c>
      <x:c r="O575" s="7" t="str">
        <x:v>Not displayed</x:v>
      </x:c>
      <x:c r="P575" s="7" t="str"/>
      <x:c r="Q575" s="7" t="str"/>
      <x:c r="R575" s="7" t="str"/>
      <x:c r="S575" s="15" t="str"/>
      <x:c r="T575" s="7" t="str">
        <x:v>No public business phone in collected record</x:v>
      </x:c>
      <x:c r="U575" s="7" t="str"/>
      <x:c r="V575" s="7" t="str">
        <x:v>Resident</x:v>
      </x:c>
      <x:c r="W575" s="7" t="str">
        <x:v>CA</x:v>
      </x:c>
      <x:c r="X575" s="7" t="str"/>
      <x:c r="Y575" s="7" t="str"/>
      <x:c r="Z575" s="7" t="str"/>
      <x:c r="AA575" s="7" t="str"/>
      <x:c r="AB575" s="7" t="str"/>
      <x:c r="AC575" s="7" t="str"/>
      <x:c r="AD575" s="7" t="str">
        <x:v>No agency or insurer displayed: onboarding opportunity possible; existing business unknown</x:v>
      </x:c>
      <x:c r="AE575" s="7" t="str">
        <x:v>No public business phone: contact enrichment needed, not proof of poor recruiting fit</x:v>
      </x:c>
      <x:c r="AF575" s="16" t="str"/>
      <x:c r="AG575" s="17" t="str"/>
      <x:c r="AH575" s="7" t="str"/>
      <x:c r="AI575" s="7" t="str"/>
      <x:c r="AJ575" s="7" t="str"/>
      <x:c r="AK575" s="15" t="str"/>
      <x:c r="AL575" s="7" t="str"/>
      <x:c r="AM575" s="7" t="str">
        <x:v>AGUILAR NOEMI JESSICA</x:v>
      </x:c>
      <x:c r="AN575" s="7" t="str">
        <x:v>https://cdicloud.insurance.ca.gov/cal/LicenseDetail?SearchType=IND&amp;SearchLicNbr=0G00598&amp;SearchIndvId=1125312</x:v>
      </x:c>
      <x:c r="AO575" s="7" t="str">
        <x:v>2026-10-08</x:v>
      </x:c>
      <x:c r="AP575" s="7" t="str">
        <x:v>da78616242a04f5a97e5470f19e6aece6f7575873d8274ea65dc0c1333dd2b7b</x:v>
      </x:c>
      <x:c r="AQ575" s="7" t="str">
        <x:v>Casualty Broker-Agent / Inactive / 02/27/2008 / 02/28/2010 / 02/28/2010
Property Broker-Agent / Inactive / 02/27/2008 / 02/28/2010 / 02/28/2010</x:v>
      </x:c>
      <x:c r="AR575" s="7" t="str">
        <x:v>Inactive</x:v>
      </x:c>
      <x:c r="AS575" s="7" t="str">
        <x:v>Current detail page</x:v>
      </x:c>
    </x:row>
    <x:row r="576" ht="52" customHeight="1">
      <x:c r="A576" s="7" t="str">
        <x:v>AGUILAR JESSICA NOEMI</x:v>
      </x:c>
      <x:c r="B576" s="14" t="str">
        <x:f>"0K72178"</x:f>
        <x:v>0K72178</x:v>
      </x:c>
      <x:c r="C576" s="7" t="str">
        <x:v>Omitted</x:v>
      </x:c>
      <x:c r="D576" s="7" t="str">
        <x:v>FAIL</x:v>
      </x:c>
      <x:c r="E576" s="13" t="str">
        <x:v>Pending</x:v>
      </x:c>
      <x:c r="F576" s="13" t="str"/>
      <x:c r="G576" s="13" t="str"/>
      <x:c r="H576" s="13" t="str"/>
      <x:c r="I576" s="7" t="str">
        <x:v>Was this person reviewed? If rejected, give the actual rule and evidence. If acceptable, correct the omission. Confirm the Life-qualification gate and any record change since selection.</x:v>
      </x:c>
      <x:c r="J576" s="7" t="str">
        <x:v>L1</x:v>
      </x:c>
      <x:c r="K576" s="7" t="str">
        <x:v>Verified qualifications do not include active general Life. Current target-pool mismatch; actual historical omission reason unknown.</x:v>
      </x:c>
      <x:c r="L576" s="7" t="str">
        <x:v>Not supplied; membership is known, motive is not</x:v>
      </x:c>
      <x:c r="M576" s="7" t="n">
        <x:v>7</x:v>
      </x:c>
      <x:c r="N576" s="7" t="str">
        <x:v>Outside current general-Life recruiting pool</x:v>
      </x:c>
      <x:c r="O576" s="7" t="str">
        <x:v>Not displayed</x:v>
      </x:c>
      <x:c r="P576" s="7" t="str"/>
      <x:c r="Q576" s="7" t="str"/>
      <x:c r="R576" s="7" t="str"/>
      <x:c r="S576" s="15" t="str"/>
      <x:c r="T576" s="7" t="str">
        <x:v>No public business phone in collected record</x:v>
      </x:c>
      <x:c r="U576" s="7" t="str"/>
      <x:c r="V576" s="7" t="str">
        <x:v>Resident</x:v>
      </x:c>
      <x:c r="W576" s="7" t="str">
        <x:v>CA</x:v>
      </x:c>
      <x:c r="X576" s="7" t="str"/>
      <x:c r="Y576" s="7" t="str"/>
      <x:c r="Z576" s="7" t="str"/>
      <x:c r="AA576" s="7" t="str"/>
      <x:c r="AB576" s="7" t="str"/>
      <x:c r="AC576" s="7" t="str"/>
      <x:c r="AD576" s="7" t="str">
        <x:v>No agency or insurer displayed: onboarding opportunity possible; existing business unknown</x:v>
      </x:c>
      <x:c r="AE576" s="7" t="str">
        <x:v>No public business phone: contact enrichment needed, not proof of poor recruiting fit</x:v>
      </x:c>
      <x:c r="AF576" s="16" t="str"/>
      <x:c r="AG576" s="17" t="str"/>
      <x:c r="AH576" s="7" t="str"/>
      <x:c r="AI576" s="7" t="str"/>
      <x:c r="AJ576" s="7" t="str"/>
      <x:c r="AK576" s="15" t="str"/>
      <x:c r="AL576" s="7" t="str"/>
      <x:c r="AM576" s="7" t="str">
        <x:v>AGUILAR NOEMI JESSICA</x:v>
      </x:c>
      <x:c r="AN576" s="7" t="str">
        <x:v>https://cdicloud.insurance.ca.gov/cal/LicenseDetail?SearchType=IND&amp;SearchLicNbr=0K72178&amp;SearchIndvId=1806509</x:v>
      </x:c>
      <x:c r="AO576" s="7" t="str">
        <x:v>2026-10-08</x:v>
      </x:c>
      <x:c r="AP576" s="7" t="str">
        <x:v>4c69e0b4960f2402e46c5dbf7e949fb6ceee8a042eee267959106da4c4beb876</x:v>
      </x:c>
      <x:c r="AQ576" s="7" t="str">
        <x:v>Accident and Health / Inactive / 02/01/2016 / 02/28/2018 / 02/28/2018
Life-Only / Inactive / 02/01/2016 / 02/28/2018 / 02/28/2018</x:v>
      </x:c>
      <x:c r="AR576" s="7" t="str">
        <x:v>Inactive</x:v>
      </x:c>
      <x:c r="AS576" s="7" t="str">
        <x:v>Current detail page</x:v>
      </x:c>
    </x:row>
    <x:row r="577" ht="52" customHeight="1">
      <x:c r="A577" s="7" t="str">
        <x:v>AGUILAR JESSICA PATROCINIO</x:v>
      </x:c>
      <x:c r="B577" s="14" t="str">
        <x:f>"0L83321"</x:f>
        <x:v>0L83321</x:v>
      </x:c>
      <x:c r="C577" s="7" t="str">
        <x:v>Omitted</x:v>
      </x:c>
      <x:c r="D577" s="7" t="str">
        <x:v>FAIL</x:v>
      </x:c>
      <x:c r="E577" s="13" t="str">
        <x:v>Pending</x:v>
      </x:c>
      <x:c r="F577" s="13" t="str"/>
      <x:c r="G577" s="13" t="str"/>
      <x:c r="H577" s="13" t="str"/>
      <x:c r="I577" s="7" t="str">
        <x:v>Was this person reviewed? If rejected, give the actual rule and evidence. If acceptable, correct the omission. Confirm the Life-qualification gate and any record change since selection.</x:v>
      </x:c>
      <x:c r="J577" s="7" t="str">
        <x:v>L1</x:v>
      </x:c>
      <x:c r="K577" s="7" t="str">
        <x:v>Verified qualifications do not include active general Life. Current target-pool mismatch; actual historical omission reason unknown.</x:v>
      </x:c>
      <x:c r="L577" s="7" t="str">
        <x:v>Not supplied; membership is known, motive is not</x:v>
      </x:c>
      <x:c r="M577" s="7" t="n">
        <x:v>7</x:v>
      </x:c>
      <x:c r="N577" s="7" t="str">
        <x:v>Outside current general-Life recruiting pool</x:v>
      </x:c>
      <x:c r="O577" s="7" t="str">
        <x:v>Not displayed</x:v>
      </x:c>
      <x:c r="P577" s="7" t="str"/>
      <x:c r="Q577" s="7" t="str"/>
      <x:c r="R577" s="7" t="str"/>
      <x:c r="S577" s="15" t="str"/>
      <x:c r="T577" s="7" t="str">
        <x:v>No public business phone in collected record</x:v>
      </x:c>
      <x:c r="U577" s="7" t="str"/>
      <x:c r="V577" s="7" t="str">
        <x:v>Resident</x:v>
      </x:c>
      <x:c r="W577" s="7" t="str">
        <x:v>CA</x:v>
      </x:c>
      <x:c r="X577" s="7" t="str"/>
      <x:c r="Y577" s="7" t="str"/>
      <x:c r="Z577" s="7" t="str"/>
      <x:c r="AA577" s="7" t="str"/>
      <x:c r="AB577" s="7" t="str"/>
      <x:c r="AC577" s="7" t="str"/>
      <x:c r="AD577" s="7" t="str">
        <x:v>No agency or insurer displayed: onboarding opportunity possible; existing business unknown</x:v>
      </x:c>
      <x:c r="AE577" s="7" t="str">
        <x:v>No public business phone: contact enrichment needed, not proof of poor recruiting fit</x:v>
      </x:c>
      <x:c r="AF577" s="16" t="str"/>
      <x:c r="AG577" s="17" t="str"/>
      <x:c r="AH577" s="7" t="str"/>
      <x:c r="AI577" s="7" t="str"/>
      <x:c r="AJ577" s="7" t="str"/>
      <x:c r="AK577" s="15" t="str"/>
      <x:c r="AL577" s="7" t="str"/>
      <x:c r="AM577" s="7" t="str">
        <x:v>AGUILAR PATROCINIO JESSICA</x:v>
      </x:c>
      <x:c r="AN577" s="7" t="str">
        <x:v>https://cdicloud.insurance.ca.gov/cal/LicenseDetail?SearchType=IND&amp;SearchLicNbr=0L83321&amp;SearchIndvId=1942103</x:v>
      </x:c>
      <x:c r="AO577" s="7" t="str">
        <x:v>2026-10-08</x:v>
      </x:c>
      <x:c r="AP577" s="7" t="str">
        <x:v>2eb6bd6417aaa51f00b9a494218f1df0d91042fd0ec74f53454ada3726c7b26a</x:v>
      </x:c>
      <x:c r="AQ577" s="7" t="str">
        <x:v>Life-Only / Inactive / 07/14/2017 / 07/31/2019 / 07/31/2019</x:v>
      </x:c>
      <x:c r="AR577" s="7" t="str">
        <x:v>Inactive</x:v>
      </x:c>
      <x:c r="AS577" s="7" t="str">
        <x:v>Current detail page</x:v>
      </x:c>
    </x:row>
    <x:row r="578" ht="52" customHeight="1">
      <x:c r="A578" s="7" t="str">
        <x:v>AGUILAR JESSICA TATIANA</x:v>
      </x:c>
      <x:c r="B578" s="14" t="str">
        <x:f>"0F21622"</x:f>
        <x:v>0F21622</x:v>
      </x:c>
      <x:c r="C578" s="7" t="str">
        <x:v>Omitted</x:v>
      </x:c>
      <x:c r="D578" s="7" t="str">
        <x:v>FAIL</x:v>
      </x:c>
      <x:c r="E578" s="13" t="str">
        <x:v>Pending</x:v>
      </x:c>
      <x:c r="F578" s="13" t="str"/>
      <x:c r="G578" s="13" t="str"/>
      <x:c r="H578" s="13" t="str"/>
      <x:c r="I578" s="7" t="str">
        <x:v>Was this person reviewed? If rejected, give the actual rule and evidence. If acceptable, correct the omission. Confirm the Life-qualification gate and any record change since selection.</x:v>
      </x:c>
      <x:c r="J578" s="7" t="str">
        <x:v>L1</x:v>
      </x:c>
      <x:c r="K578" s="7" t="str">
        <x:v>Verified qualifications do not include active general Life. Current target-pool mismatch; actual historical omission reason unknown.</x:v>
      </x:c>
      <x:c r="L578" s="7" t="str">
        <x:v>Not supplied; membership is known, motive is not</x:v>
      </x:c>
      <x:c r="M578" s="7" t="n">
        <x:v>7</x:v>
      </x:c>
      <x:c r="N578" s="7" t="str">
        <x:v>Outside current general-Life recruiting pool</x:v>
      </x:c>
      <x:c r="O578" s="7" t="str">
        <x:v>Not displayed</x:v>
      </x:c>
      <x:c r="P578" s="7" t="str"/>
      <x:c r="Q578" s="7" t="str"/>
      <x:c r="R578" s="7" t="str"/>
      <x:c r="S578" s="15" t="str"/>
      <x:c r="T578" s="7" t="str">
        <x:v>No public business phone in collected record</x:v>
      </x:c>
      <x:c r="U578" s="7" t="str"/>
      <x:c r="V578" s="7" t="str">
        <x:v>Resident</x:v>
      </x:c>
      <x:c r="W578" s="7" t="str">
        <x:v>CA</x:v>
      </x:c>
      <x:c r="X578" s="7" t="str"/>
      <x:c r="Y578" s="7" t="str"/>
      <x:c r="Z578" s="7" t="str"/>
      <x:c r="AA578" s="7" t="str"/>
      <x:c r="AB578" s="7" t="str"/>
      <x:c r="AC578" s="7" t="str"/>
      <x:c r="AD578" s="7" t="str">
        <x:v>No agency or insurer displayed: onboarding opportunity possible; existing business unknown</x:v>
      </x:c>
      <x:c r="AE578" s="7" t="str">
        <x:v>No public business phone: contact enrichment needed, not proof of poor recruiting fit</x:v>
      </x:c>
      <x:c r="AF578" s="16" t="str"/>
      <x:c r="AG578" s="17" t="str"/>
      <x:c r="AH578" s="7" t="str"/>
      <x:c r="AI578" s="7" t="str"/>
      <x:c r="AJ578" s="7" t="str"/>
      <x:c r="AK578" s="15" t="str"/>
      <x:c r="AL578" s="7" t="str"/>
      <x:c r="AM578" s="7" t="str">
        <x:v>AGUILAR TATIANA JESSICA</x:v>
      </x:c>
      <x:c r="AN578" s="7" t="str">
        <x:v>https://cdicloud.insurance.ca.gov/cal/LicenseDetail?SearchType=IND&amp;SearchLicNbr=0F21622&amp;SearchIndvId=1028031</x:v>
      </x:c>
      <x:c r="AO578" s="7" t="str">
        <x:v>2026-10-08</x:v>
      </x:c>
      <x:c r="AP578" s="7" t="str">
        <x:v>02d584da6a97ac663c6798d98f49ec8dcc0b9d795e8e39caa1789dd9f778a29b</x:v>
      </x:c>
      <x:c r="AQ578" s="7" t="str">
        <x:v>Accident and Health / Inactive / 05/31/2006 / 05/31/2010 / 05/31/2010
Life-Only / Inactive / 05/31/2006 / 05/31/2010 / 05/31/2010</x:v>
      </x:c>
      <x:c r="AR578" s="7" t="str">
        <x:v>Inactive</x:v>
      </x:c>
      <x:c r="AS578" s="7" t="str">
        <x:v>Current detail page</x:v>
      </x:c>
    </x:row>
    <x:row r="579" ht="52" customHeight="1">
      <x:c r="A579" s="7" t="str">
        <x:v>AGUILAR JESSICA TORRES</x:v>
      </x:c>
      <x:c r="B579" s="14" t="str">
        <x:f>"0K79623"</x:f>
        <x:v>0K79623</x:v>
      </x:c>
      <x:c r="C579" s="7" t="str">
        <x:v>Omitted</x:v>
      </x:c>
      <x:c r="D579" s="7" t="str">
        <x:v>FAIL</x:v>
      </x:c>
      <x:c r="E579" s="13" t="str">
        <x:v>Pending</x:v>
      </x:c>
      <x:c r="F579" s="13" t="str"/>
      <x:c r="G579" s="13" t="str"/>
      <x:c r="H579" s="13" t="str"/>
      <x:c r="I579" s="7" t="str">
        <x:v>Was this person reviewed? If rejected, give the actual rule and evidence. If acceptable, correct the omission. Confirm the Life-qualification gate and any record change since selection.</x:v>
      </x:c>
      <x:c r="J579" s="7" t="str">
        <x:v>L1</x:v>
      </x:c>
      <x:c r="K579" s="7" t="str">
        <x:v>Verified qualifications do not include active general Life. Current target-pool mismatch; actual historical omission reason unknown.</x:v>
      </x:c>
      <x:c r="L579" s="7" t="str">
        <x:v>Not supplied; membership is known, motive is not</x:v>
      </x:c>
      <x:c r="M579" s="7" t="n">
        <x:v>7</x:v>
      </x:c>
      <x:c r="N579" s="7" t="str">
        <x:v>Outside current general-Life recruiting pool</x:v>
      </x:c>
      <x:c r="O579" s="7" t="str">
        <x:v>Not displayed</x:v>
      </x:c>
      <x:c r="P579" s="7" t="str"/>
      <x:c r="Q579" s="7" t="str"/>
      <x:c r="R579" s="7" t="str"/>
      <x:c r="S579" s="15" t="str"/>
      <x:c r="T579" s="7" t="str">
        <x:v>No public business phone in collected record</x:v>
      </x:c>
      <x:c r="U579" s="7" t="str"/>
      <x:c r="V579" s="7" t="str">
        <x:v>Non-resident</x:v>
      </x:c>
      <x:c r="W579" s="7" t="str">
        <x:v>TX</x:v>
      </x:c>
      <x:c r="X579" s="7" t="str"/>
      <x:c r="Y579" s="7" t="str"/>
      <x:c r="Z579" s="7" t="str"/>
      <x:c r="AA579" s="7" t="str"/>
      <x:c r="AB579" s="7" t="str"/>
      <x:c r="AC579" s="7" t="str"/>
      <x:c r="AD579" s="7" t="str">
        <x:v>No agency or insurer displayed: onboarding opportunity possible; existing business unknown</x:v>
      </x:c>
      <x:c r="AE579" s="7" t="str">
        <x:v>Nonresident or address state outside CA; confirm geographic recruiting scope | No public business phone: contact enrichment needed, not proof of poor recruiting fit</x:v>
      </x:c>
      <x:c r="AF579" s="16" t="str"/>
      <x:c r="AG579" s="17" t="str"/>
      <x:c r="AH579" s="7" t="str"/>
      <x:c r="AI579" s="7" t="str"/>
      <x:c r="AJ579" s="7" t="str"/>
      <x:c r="AK579" s="15" t="str"/>
      <x:c r="AL579" s="7" t="str"/>
      <x:c r="AM579" s="7" t="str">
        <x:v>AGUILAR TORRES JESSICA</x:v>
      </x:c>
      <x:c r="AN579" s="7" t="str">
        <x:v>https://cdicloud.insurance.ca.gov/cal/LicenseDetail?SearchType=IND&amp;SearchLicNbr=0K79623&amp;SearchIndvId=1826668</x:v>
      </x:c>
      <x:c r="AO579" s="7" t="str">
        <x:v>2026-10-08</x:v>
      </x:c>
      <x:c r="AP579" s="7" t="str">
        <x:v>da9e0a5ceecbe1273240d44658dcfd0e89913b1db70e9319a41b9b32b952da32</x:v>
      </x:c>
      <x:c r="AQ579" s="7" t="str">
        <x:v>Accident and Health / Inactive / 03/16/2016 / 03/31/2018 / 03/31/2018
Life-Only / Inactive / 03/16/2016 / 03/31/2018 / 03/31/2018</x:v>
      </x:c>
      <x:c r="AR579" s="7" t="str">
        <x:v>Inactive</x:v>
      </x:c>
      <x:c r="AS579" s="7" t="str">
        <x:v>Current detail page</x:v>
      </x:c>
    </x:row>
    <x:row r="580" ht="52" customHeight="1">
      <x:c r="A580" s="7" t="str">
        <x:v>AGUILAR JESUS</x:v>
      </x:c>
      <x:c r="B580" s="14" t="str">
        <x:f>"0J07992"</x:f>
        <x:v>0J07992</x:v>
      </x:c>
      <x:c r="C580" s="7" t="str">
        <x:v>Omitted</x:v>
      </x:c>
      <x:c r="D580" s="7" t="str">
        <x:v>FAIL</x:v>
      </x:c>
      <x:c r="E580" s="13" t="str">
        <x:v>Pending</x:v>
      </x:c>
      <x:c r="F580" s="13" t="str"/>
      <x:c r="G580" s="13" t="str"/>
      <x:c r="H580" s="13" t="str"/>
      <x:c r="I580" s="7" t="str">
        <x:v>Was this person reviewed? If rejected, give the actual rule and evidence. If acceptable, correct the omission. Confirm the Life-qualification gate and any record change since selection.</x:v>
      </x:c>
      <x:c r="J580" s="7" t="str">
        <x:v>L1</x:v>
      </x:c>
      <x:c r="K580" s="7" t="str">
        <x:v>Verified qualifications do not include active general Life. Current target-pool mismatch; actual historical omission reason unknown.</x:v>
      </x:c>
      <x:c r="L580" s="7" t="str">
        <x:v>Not supplied; membership is known, motive is not</x:v>
      </x:c>
      <x:c r="M580" s="7" t="n">
        <x:v>7</x:v>
      </x:c>
      <x:c r="N580" s="7" t="str">
        <x:v>Outside current general-Life recruiting pool</x:v>
      </x:c>
      <x:c r="O580" s="7" t="str">
        <x:v>Not displayed</x:v>
      </x:c>
      <x:c r="P580" s="7" t="str"/>
      <x:c r="Q580" s="7" t="str"/>
      <x:c r="R580" s="7" t="str"/>
      <x:c r="S580" s="15" t="str"/>
      <x:c r="T580" s="7" t="str">
        <x:v>No public business phone in collected record</x:v>
      </x:c>
      <x:c r="U580" s="7" t="str"/>
      <x:c r="V580" s="7" t="str">
        <x:v>Non-resident</x:v>
      </x:c>
      <x:c r="W580" s="7" t="str">
        <x:v>AZ</x:v>
      </x:c>
      <x:c r="X580" s="7" t="str"/>
      <x:c r="Y580" s="7" t="str"/>
      <x:c r="Z580" s="7" t="str"/>
      <x:c r="AA580" s="7" t="str"/>
      <x:c r="AB580" s="7" t="str"/>
      <x:c r="AC580" s="7" t="str"/>
      <x:c r="AD580" s="7" t="str">
        <x:v>No agency or insurer displayed: onboarding opportunity possible; existing business unknown</x:v>
      </x:c>
      <x:c r="AE580" s="7" t="str">
        <x:v>Nonresident or address state outside CA; confirm geographic recruiting scope | No public business phone: contact enrichment needed, not proof of poor recruiting fit</x:v>
      </x:c>
      <x:c r="AF580" s="16" t="str"/>
      <x:c r="AG580" s="17" t="str"/>
      <x:c r="AH580" s="7" t="str"/>
      <x:c r="AI580" s="7" t="str"/>
      <x:c r="AJ580" s="7" t="str"/>
      <x:c r="AK580" s="15" t="str"/>
      <x:c r="AL580" s="7" t="str"/>
      <x:c r="AM580" s="7" t="str">
        <x:v>AGUILAR  JESUS</x:v>
      </x:c>
      <x:c r="AN580" s="7" t="str">
        <x:v>https://cdicloud.insurance.ca.gov/cal/LicenseDetail?SearchType=IND&amp;SearchLicNbr=0J07992&amp;SearchIndvId=1701194</x:v>
      </x:c>
      <x:c r="AO580" s="7" t="str">
        <x:v>2026-10-08</x:v>
      </x:c>
      <x:c r="AP580" s="7" t="str">
        <x:v>a56099268fb7b39faf689eaa5064c55f31f72f5c4cfeba9d71c96199a385e6de</x:v>
      </x:c>
      <x:c r="AQ580" s="7" t="str">
        <x:v>Accident and Health / Inactive / 09/18/2014 / 09/30/2016 / 09/30/2016</x:v>
      </x:c>
      <x:c r="AR580" s="7" t="str">
        <x:v>Inactive</x:v>
      </x:c>
      <x:c r="AS580" s="7" t="str">
        <x:v>Current detail page</x:v>
      </x:c>
    </x:row>
    <x:row r="581" ht="52" customHeight="1">
      <x:c r="A581" s="7" t="str">
        <x:v>AGUILAR JESUS</x:v>
      </x:c>
      <x:c r="B581" s="14" t="str">
        <x:f>"4082461"</x:f>
        <x:v>4082461</x:v>
      </x:c>
      <x:c r="C581" s="7" t="str">
        <x:v>Omitted</x:v>
      </x:c>
      <x:c r="D581" s="7" t="str">
        <x:v>FAIL</x:v>
      </x:c>
      <x:c r="E581" s="13" t="str">
        <x:v>Pending</x:v>
      </x:c>
      <x:c r="F581" s="13" t="str"/>
      <x:c r="G581" s="13" t="str"/>
      <x:c r="H581" s="13" t="str"/>
      <x:c r="I581" s="7" t="str">
        <x:v>Was this person reviewed? If rejected, give the actual rule and evidence. If acceptable, correct the omission. Confirm the Life-qualification gate and any record change since selection.</x:v>
      </x:c>
      <x:c r="J581" s="7" t="str">
        <x:v>L1</x:v>
      </x:c>
      <x:c r="K581" s="7" t="str">
        <x:v>Verified qualifications do not include active general Life. Current target-pool mismatch; actual historical omission reason unknown.</x:v>
      </x:c>
      <x:c r="L581" s="7" t="str">
        <x:v>Not supplied; membership is known, motive is not</x:v>
      </x:c>
      <x:c r="M581" s="7" t="n">
        <x:v>7</x:v>
      </x:c>
      <x:c r="N581" s="7" t="str">
        <x:v>Outside current general-Life recruiting pool</x:v>
      </x:c>
      <x:c r="O581" s="7" t="str">
        <x:v>Not displayed</x:v>
      </x:c>
      <x:c r="P581" s="7" t="str"/>
      <x:c r="Q581" s="7" t="str"/>
      <x:c r="R581" s="7" t="str">
        <x:v>Life Limited-Funeral &amp; Burial</x:v>
      </x:c>
      <x:c r="S581" s="15" t="str">
        <x:v>626-221-2710</x:v>
      </x:c>
      <x:c r="T581" s="7" t="str">
        <x:v>Current CDI</x:v>
      </x:c>
      <x:c r="U581" s="7" t="str">
        <x:v>810 W DUARTE RD #103 MONROVIA CA, 91016</x:v>
      </x:c>
      <x:c r="V581" s="7" t="str">
        <x:v>Resident</x:v>
      </x:c>
      <x:c r="W581" s="7" t="str">
        <x:v>CA</x:v>
      </x:c>
      <x:c r="X581" s="7" t="str"/>
      <x:c r="Y581" s="7" t="str">
        <x:v>FORETHOUGHT LIFE INSURANCE COMPANY / Life Only (Limited) / 03/26/2026</x:v>
      </x:c>
      <x:c r="Z581" s="7" t="str"/>
      <x:c r="AA581" s="7" t="str"/>
      <x:c r="AB581" s="7" t="str"/>
      <x:c r="AC581" s="7" t="str"/>
      <x:c r="AD581" s="7" t="str"/>
      <x:c r="AE581" s="7" t="str"/>
      <x:c r="AF581" s="16" t="str"/>
      <x:c r="AG581" s="17" t="str"/>
      <x:c r="AH581" s="7" t="str"/>
      <x:c r="AI581" s="7" t="str">
        <x:v>English</x:v>
      </x:c>
      <x:c r="AJ581" s="7" t="str"/>
      <x:c r="AK581" s="15" t="str"/>
      <x:c r="AL581" s="7" t="str"/>
      <x:c r="AM581" s="7" t="str">
        <x:v>AGUILAR  JESUS</x:v>
      </x:c>
      <x:c r="AN581" s="7" t="str">
        <x:v>https://cdicloud.insurance.ca.gov/cal/LicenseDetail?SearchType=IND&amp;SearchLicNbr=4082461&amp;SearchIndvId=4082461</x:v>
      </x:c>
      <x:c r="AO581" s="7" t="str">
        <x:v>2026-10-08</x:v>
      </x:c>
      <x:c r="AP581" s="7" t="str">
        <x:v>95e6b520effd6f0e13c46ece83bac5a8e05d24750bc127c4e4597c9656b4a387</x:v>
      </x:c>
      <x:c r="AQ581" s="7" t="str">
        <x:v>Life Limited-Funeral &amp; Burial / Active / 03/23/2026 / 03/23/2026 / 03/31/2028</x:v>
      </x:c>
      <x:c r="AR581" s="7" t="str">
        <x:v>Active</x:v>
      </x:c>
      <x:c r="AS581" s="7" t="str">
        <x:v>Current detail page</x:v>
      </x:c>
    </x:row>
    <x:row r="582" ht="52" customHeight="1">
      <x:c r="A582" s="7" t="str">
        <x:v>AGUILAR JESUS</x:v>
      </x:c>
      <x:c r="B582" s="14" t="str">
        <x:f>"4491722"</x:f>
        <x:v>4491722</x:v>
      </x:c>
      <x:c r="C582" s="7" t="str">
        <x:v>Omitted</x:v>
      </x:c>
      <x:c r="D582" s="7" t="str">
        <x:v>FAIL</x:v>
      </x:c>
      <x:c r="E582" s="13" t="str">
        <x:v>Pending</x:v>
      </x:c>
      <x:c r="F582" s="13" t="str"/>
      <x:c r="G582" s="13" t="str"/>
      <x:c r="H582" s="13" t="str"/>
      <x:c r="I582" s="7" t="str">
        <x:v>Was this person reviewed? If rejected, give the actual rule and evidence. If acceptable, correct the omission. Confirm the Life-qualification gate and any record change since selection.</x:v>
      </x:c>
      <x:c r="J582" s="7" t="str">
        <x:v>L1</x:v>
      </x:c>
      <x:c r="K582" s="7" t="str">
        <x:v>Verified qualifications do not include active general Life. Current target-pool mismatch; actual historical omission reason unknown.</x:v>
      </x:c>
      <x:c r="L582" s="7" t="str">
        <x:v>Not supplied; membership is known, motive is not</x:v>
      </x:c>
      <x:c r="M582" s="7" t="n">
        <x:v>7</x:v>
      </x:c>
      <x:c r="N582" s="7" t="str">
        <x:v>Outside current general-Life recruiting pool</x:v>
      </x:c>
      <x:c r="O582" s="7" t="str">
        <x:v>Not displayed</x:v>
      </x:c>
      <x:c r="P582" s="7" t="str"/>
      <x:c r="Q582" s="7" t="str"/>
      <x:c r="R582" s="7" t="str">
        <x:v>Accident &amp; Health or Sickness</x:v>
      </x:c>
      <x:c r="S582" s="15" t="str"/>
      <x:c r="T582" s="7" t="str">
        <x:v>No public business phone in collected record</x:v>
      </x:c>
      <x:c r="U582" s="7" t="str">
        <x:v>3207 SUFFOLK RD EL PASO TX, 79925</x:v>
      </x:c>
      <x:c r="V582" s="7" t="str">
        <x:v>Non-resident</x:v>
      </x:c>
      <x:c r="W582" s="7" t="str">
        <x:v>TX</x:v>
      </x:c>
      <x:c r="X582" s="7" t="str">
        <x:v>TTEC HEALTHCARE SOLUTIONS, INC. / Accident &amp; Health or Sickness / 09/26/2025</x:v>
      </x:c>
      <x:c r="Y582" s="7" t="str"/>
      <x:c r="Z582" s="7" t="str"/>
      <x:c r="AA582" s="7" t="str"/>
      <x:c r="AB582" s="7" t="str"/>
      <x:c r="AC582" s="7" t="str"/>
      <x:c r="AD582" s="7" t="str">
        <x:v>Active A&amp;H supports optional cross-selling; not necessary for target products</x:v>
      </x:c>
      <x:c r="AE582" s="7" t="str">
        <x:v>Nonresident or address state outside CA; confirm geographic recruiting scope | No public business phone: contact enrichment needed, not proof of poor recruiting fit</x:v>
      </x:c>
      <x:c r="AF582" s="16" t="str"/>
      <x:c r="AG582" s="17" t="str"/>
      <x:c r="AH582" s="7" t="str"/>
      <x:c r="AI582" s="7" t="str"/>
      <x:c r="AJ582" s="7" t="str"/>
      <x:c r="AK582" s="15" t="str"/>
      <x:c r="AL582" s="7" t="str"/>
      <x:c r="AM582" s="7" t="str">
        <x:v>Aguilar  Jesus</x:v>
      </x:c>
      <x:c r="AN582" s="7" t="str">
        <x:v>https://cdicloud.insurance.ca.gov/cal/LicenseDetail?SearchType=IND&amp;SearchLicNbr=4491722&amp;SearchIndvId=4491722</x:v>
      </x:c>
      <x:c r="AO582" s="7" t="str">
        <x:v>2026-10-08</x:v>
      </x:c>
      <x:c r="AP582" s="7" t="str">
        <x:v>4b42c7c98b17ff9edadb8683830543db8e20fb40b2c8e776eb3cdb99a7bbb113</x:v>
      </x:c>
      <x:c r="AQ582" s="7" t="str">
        <x:v>Accident &amp; Health or Sickness / Active / 09/23/2025 / 09/23/2025 / 09/30/2027</x:v>
      </x:c>
      <x:c r="AR582" s="7" t="str">
        <x:v>Active</x:v>
      </x:c>
      <x:c r="AS582" s="7" t="str">
        <x:v>Current detail page</x:v>
      </x:c>
    </x:row>
    <x:row r="583" ht="52" customHeight="1">
      <x:c r="A583" s="7" t="str">
        <x:v>AGUILAR JESUS CHAVEZ</x:v>
      </x:c>
      <x:c r="B583" s="14" t="str">
        <x:f>"0G61365"</x:f>
        <x:v>0G61365</x:v>
      </x:c>
      <x:c r="C583" s="7" t="str">
        <x:v>Omitted</x:v>
      </x:c>
      <x:c r="D583" s="7" t="str">
        <x:v>FAIL</x:v>
      </x:c>
      <x:c r="E583" s="13" t="str">
        <x:v>Pending</x:v>
      </x:c>
      <x:c r="F583" s="13" t="str"/>
      <x:c r="G583" s="13" t="str"/>
      <x:c r="H583" s="13" t="str"/>
      <x:c r="I583" s="7" t="str">
        <x:v>Was this person reviewed? If rejected, give the actual rule and evidence. If acceptable, correct the omission. Confirm the Life-qualification gate and any record change since selection.</x:v>
      </x:c>
      <x:c r="J583" s="7" t="str">
        <x:v>L1</x:v>
      </x:c>
      <x:c r="K583" s="7" t="str">
        <x:v>Verified qualifications do not include active general Life. Current target-pool mismatch; actual historical omission reason unknown.</x:v>
      </x:c>
      <x:c r="L583" s="7" t="str">
        <x:v>Not supplied; membership is known, motive is not</x:v>
      </x:c>
      <x:c r="M583" s="7" t="n">
        <x:v>7</x:v>
      </x:c>
      <x:c r="N583" s="7" t="str">
        <x:v>Outside current general-Life recruiting pool</x:v>
      </x:c>
      <x:c r="O583" s="7" t="str">
        <x:v>Not displayed</x:v>
      </x:c>
      <x:c r="P583" s="7" t="str"/>
      <x:c r="Q583" s="7" t="str"/>
      <x:c r="R583" s="7" t="str"/>
      <x:c r="S583" s="15" t="str"/>
      <x:c r="T583" s="7" t="str">
        <x:v>No public business phone in collected record</x:v>
      </x:c>
      <x:c r="U583" s="7" t="str"/>
      <x:c r="V583" s="7" t="str">
        <x:v>Resident</x:v>
      </x:c>
      <x:c r="W583" s="7" t="str">
        <x:v>CA</x:v>
      </x:c>
      <x:c r="X583" s="7" t="str"/>
      <x:c r="Y583" s="7" t="str"/>
      <x:c r="Z583" s="7" t="str"/>
      <x:c r="AA583" s="7" t="str"/>
      <x:c r="AB583" s="7" t="str"/>
      <x:c r="AC583" s="7" t="str"/>
      <x:c r="AD583" s="7" t="str">
        <x:v>No agency or insurer displayed: onboarding opportunity possible; existing business unknown</x:v>
      </x:c>
      <x:c r="AE583" s="7" t="str">
        <x:v>No public business phone: contact enrichment needed, not proof of poor recruiting fit</x:v>
      </x:c>
      <x:c r="AF583" s="16" t="str"/>
      <x:c r="AG583" s="17" t="str"/>
      <x:c r="AH583" s="7" t="str"/>
      <x:c r="AI583" s="7" t="str"/>
      <x:c r="AJ583" s="7" t="str"/>
      <x:c r="AK583" s="15" t="str"/>
      <x:c r="AL583" s="7" t="str"/>
      <x:c r="AM583" s="7" t="str">
        <x:v>AGUILAR CHAVEZ JESUS</x:v>
      </x:c>
      <x:c r="AN583" s="7" t="str">
        <x:v>https://cdicloud.insurance.ca.gov/cal/LicenseDetail?SearchType=IND&amp;SearchLicNbr=0G61365&amp;SearchIndvId=1250693</x:v>
      </x:c>
      <x:c r="AO583" s="7" t="str">
        <x:v>2026-10-08</x:v>
      </x:c>
      <x:c r="AP583" s="7" t="str">
        <x:v>f659e3fa5056bc7727792891db437093ae3bc630ea77f9fdc3a6d06300555799</x:v>
      </x:c>
      <x:c r="AQ583" s="7" t="str">
        <x:v>Life-Only / Inactive / 05/18/2009 / 05/31/2011 / 05/31/2011</x:v>
      </x:c>
      <x:c r="AR583" s="7" t="str">
        <x:v>Inactive</x:v>
      </x:c>
      <x:c r="AS583" s="7" t="str">
        <x:v>Current detail page</x:v>
      </x:c>
    </x:row>
    <x:row r="584" ht="52" customHeight="1">
      <x:c r="A584" s="7" t="str">
        <x:v>AGUILAR JESUS EMMANUEL MENDOZA</x:v>
      </x:c>
      <x:c r="B584" s="14" t="str">
        <x:f>"2055326"</x:f>
        <x:v>2055326</x:v>
      </x:c>
      <x:c r="C584" s="7" t="str">
        <x:v>Omitted</x:v>
      </x:c>
      <x:c r="D584" s="7" t="str">
        <x:v>FAIL</x:v>
      </x:c>
      <x:c r="E584" s="13" t="str">
        <x:v>Pending</x:v>
      </x:c>
      <x:c r="F584" s="13" t="str"/>
      <x:c r="G584" s="13" t="str"/>
      <x:c r="H584" s="13" t="str"/>
      <x:c r="I584" s="7" t="str">
        <x:v>Was this person reviewed? If rejected, give the actual rule and evidence. If acceptable, correct the omission. Confirm the Life-qualification gate and any record change since selection.</x:v>
      </x:c>
      <x:c r="J584" s="7" t="str">
        <x:v>L1</x:v>
      </x:c>
      <x:c r="K584" s="7" t="str">
        <x:v>Verified qualifications do not include active general Life. Current target-pool mismatch; actual historical omission reason unknown.</x:v>
      </x:c>
      <x:c r="L584" s="7" t="str">
        <x:v>Not supplied; membership is known, motive is not</x:v>
      </x:c>
      <x:c r="M584" s="7" t="n">
        <x:v>7</x:v>
      </x:c>
      <x:c r="N584" s="7" t="str">
        <x:v>Outside current general-Life recruiting pool</x:v>
      </x:c>
      <x:c r="O584" s="7" t="str">
        <x:v>Not displayed</x:v>
      </x:c>
      <x:c r="P584" s="7" t="str"/>
      <x:c r="Q584" s="7" t="str"/>
      <x:c r="R584" s="7" t="str">
        <x:v>Casualty; Property</x:v>
      </x:c>
      <x:c r="S584" s="15" t="str">
        <x:v>760-565-3062</x:v>
      </x:c>
      <x:c r="T584" s="7" t="str">
        <x:v>Current CDI</x:v>
      </x:c>
      <x:c r="U584" s="7" t="str">
        <x:v>79-440 CORPORATE CENTER DRIVE, SUITE 114 LA QUINTA CA, 92253</x:v>
      </x:c>
      <x:c r="V584" s="7" t="str">
        <x:v>Resident</x:v>
      </x:c>
      <x:c r="W584" s="7" t="str">
        <x:v>CA</x:v>
      </x:c>
      <x:c r="X584" s="7" t="str">
        <x:v>RELATION INSURANCE SERVICES, INC. / Casualty / 10/01/2019
RELATION INSURANCE SERVICES, INC. / Property / 10/01/2019</x:v>
      </x:c>
      <x:c r="Y584" s="7" t="str"/>
      <x:c r="Z584" s="7" t="str"/>
      <x:c r="AA584" s="7" t="str"/>
      <x:c r="AB584" s="7" t="str"/>
      <x:c r="AC584" s="7" t="str"/>
      <x:c r="AD584" s="7" t="str"/>
      <x:c r="AE584" s="7" t="str">
        <x:v>P&amp;C/Personal Lines authority without displayed core Life appointments; mixed profile requires review</x:v>
      </x:c>
      <x:c r="AF584" s="16" t="str"/>
      <x:c r="AG584" s="17" t="str"/>
      <x:c r="AH584" s="7" t="str"/>
      <x:c r="AI584" s="7" t="str">
        <x:v>English</x:v>
      </x:c>
      <x:c r="AJ584" s="7" t="str"/>
      <x:c r="AK584" s="15" t="str"/>
      <x:c r="AL584" s="7" t="str"/>
      <x:c r="AM584" s="7" t="str">
        <x:v>Aguilar E Jesus | AGUILAR EMMANUEL MENDOZA JESUS</x:v>
      </x:c>
      <x:c r="AN584" s="7" t="str">
        <x:v>https://cdicloud.insurance.ca.gov/cal/LicenseDetail?SearchType=IND&amp;SearchLicNbr=2055326&amp;SearchIndvId=2055326</x:v>
      </x:c>
      <x:c r="AO584" s="7" t="str">
        <x:v>2026-10-08</x:v>
      </x:c>
      <x:c r="AP584" s="7" t="str">
        <x:v>9a02c80ff9b597b2efab74ed927db54b82fdc8e70e9f35300a80d391342dc6e2</x:v>
      </x:c>
      <x:c r="AQ584" s="7" t="str">
        <x:v>Casualty / Active / 10/07/2019 / 10/07/2019 / 10/31/2027
Property / Active / 10/07/2019 / 10/07/2019 / 10/31/2027</x:v>
      </x:c>
      <x:c r="AR584" s="7" t="str">
        <x:v>Active</x:v>
      </x:c>
      <x:c r="AS584" s="7" t="str">
        <x:v>Current detail page</x:v>
      </x:c>
    </x:row>
    <x:row r="585" ht="52" customHeight="1">
      <x:c r="A585" s="7" t="str">
        <x:v>AGUILAR JESUS JAIRO</x:v>
      </x:c>
      <x:c r="B585" s="14" t="str">
        <x:f>"0J13448"</x:f>
        <x:v>0J13448</x:v>
      </x:c>
      <x:c r="C585" s="7" t="str">
        <x:v>Omitted</x:v>
      </x:c>
      <x:c r="D585" s="7" t="str">
        <x:v>FAIL</x:v>
      </x:c>
      <x:c r="E585" s="13" t="str">
        <x:v>Pending</x:v>
      </x:c>
      <x:c r="F585" s="13" t="str"/>
      <x:c r="G585" s="13" t="str"/>
      <x:c r="H585" s="13" t="str"/>
      <x:c r="I585" s="7" t="str">
        <x:v>Was this person reviewed? If rejected, give the actual rule and evidence. If acceptable, correct the omission. Confirm the Life-qualification gate and any record change since selection.</x:v>
      </x:c>
      <x:c r="J585" s="7" t="str">
        <x:v>L1</x:v>
      </x:c>
      <x:c r="K585" s="7" t="str">
        <x:v>Verified qualifications do not include active general Life. Current target-pool mismatch; actual historical omission reason unknown.</x:v>
      </x:c>
      <x:c r="L585" s="7" t="str">
        <x:v>Not supplied; membership is known, motive is not</x:v>
      </x:c>
      <x:c r="M585" s="7" t="n">
        <x:v>7</x:v>
      </x:c>
      <x:c r="N585" s="7" t="str">
        <x:v>Outside current general-Life recruiting pool</x:v>
      </x:c>
      <x:c r="O585" s="7" t="str">
        <x:v>Not displayed</x:v>
      </x:c>
      <x:c r="P585" s="7" t="str"/>
      <x:c r="Q585" s="7" t="str"/>
      <x:c r="R585" s="7" t="str"/>
      <x:c r="S585" s="15" t="str"/>
      <x:c r="T585" s="7" t="str">
        <x:v>No public business phone in collected record</x:v>
      </x:c>
      <x:c r="U585" s="7" t="str"/>
      <x:c r="V585" s="7" t="str">
        <x:v>Resident</x:v>
      </x:c>
      <x:c r="W585" s="7" t="str">
        <x:v>CA</x:v>
      </x:c>
      <x:c r="X585" s="7" t="str"/>
      <x:c r="Y585" s="7" t="str"/>
      <x:c r="Z585" s="7" t="str"/>
      <x:c r="AA585" s="7" t="str"/>
      <x:c r="AB585" s="7" t="str"/>
      <x:c r="AC585" s="7" t="str"/>
      <x:c r="AD585" s="7" t="str">
        <x:v>No agency or insurer displayed: onboarding opportunity possible; existing business unknown</x:v>
      </x:c>
      <x:c r="AE585" s="7" t="str">
        <x:v>No public business phone: contact enrichment needed, not proof of poor recruiting fit</x:v>
      </x:c>
      <x:c r="AF585" s="16" t="str"/>
      <x:c r="AG585" s="17" t="str"/>
      <x:c r="AH585" s="7" t="str"/>
      <x:c r="AI585" s="7" t="str"/>
      <x:c r="AJ585" s="7" t="str"/>
      <x:c r="AK585" s="15" t="str"/>
      <x:c r="AL585" s="7" t="str"/>
      <x:c r="AM585" s="7" t="str">
        <x:v>Aguilar J Jesus | AGUILAR JAIRO JESUS</x:v>
      </x:c>
      <x:c r="AN585" s="7" t="str">
        <x:v>https://cdicloud.insurance.ca.gov/cal/LicenseDetail?SearchType=IND&amp;SearchLicNbr=0J13448&amp;SearchIndvId=1694721</x:v>
      </x:c>
      <x:c r="AO585" s="7" t="str">
        <x:v>2026-10-08</x:v>
      </x:c>
      <x:c r="AP585" s="7" t="str">
        <x:v>e211b16a0d6340cbc002b900a54b9af215d5faa32b562cb06e27d35a1a75d38e</x:v>
      </x:c>
      <x:c r="AQ585" s="7" t="str">
        <x:v>Accident and Health / Inactive / 10/14/2014 / 10/31/2016 / 10/31/2016
Life-Only / Inactive / 10/14/2014 / 10/31/2016 / 10/31/2016</x:v>
      </x:c>
      <x:c r="AR585" s="7" t="str">
        <x:v>Inactive</x:v>
      </x:c>
      <x:c r="AS585" s="7" t="str">
        <x:v>Current detail page</x:v>
      </x:c>
    </x:row>
    <x:row r="586" ht="52" customHeight="1">
      <x:c r="A586" s="7" t="str">
        <x:v>AGUILAR JESUS ROMAN</x:v>
      </x:c>
      <x:c r="B586" s="14" t="str">
        <x:f>"0F87583"</x:f>
        <x:v>0F87583</x:v>
      </x:c>
      <x:c r="C586" s="7" t="str">
        <x:v>Omitted</x:v>
      </x:c>
      <x:c r="D586" s="7" t="str">
        <x:v>FAIL</x:v>
      </x:c>
      <x:c r="E586" s="13" t="str">
        <x:v>Pending</x:v>
      </x:c>
      <x:c r="F586" s="13" t="str"/>
      <x:c r="G586" s="13" t="str"/>
      <x:c r="H586" s="13" t="str"/>
      <x:c r="I586" s="7" t="str">
        <x:v>Was this person reviewed? If rejected, give the actual rule and evidence. If acceptable, correct the omission. Confirm the Life-qualification gate and any record change since selection.</x:v>
      </x:c>
      <x:c r="J586" s="7" t="str">
        <x:v>L1</x:v>
      </x:c>
      <x:c r="K586" s="7" t="str">
        <x:v>Verified qualifications do not include active general Life. Current target-pool mismatch; actual historical omission reason unknown.</x:v>
      </x:c>
      <x:c r="L586" s="7" t="str">
        <x:v>Not supplied; membership is known, motive is not</x:v>
      </x:c>
      <x:c r="M586" s="7" t="n">
        <x:v>7</x:v>
      </x:c>
      <x:c r="N586" s="7" t="str">
        <x:v>Outside current general-Life recruiting pool</x:v>
      </x:c>
      <x:c r="O586" s="7" t="str">
        <x:v>Not displayed</x:v>
      </x:c>
      <x:c r="P586" s="7" t="str"/>
      <x:c r="Q586" s="7" t="str"/>
      <x:c r="R586" s="7" t="str"/>
      <x:c r="S586" s="15" t="str"/>
      <x:c r="T586" s="7" t="str">
        <x:v>No public business phone in collected record</x:v>
      </x:c>
      <x:c r="U586" s="7" t="str"/>
      <x:c r="V586" s="7" t="str">
        <x:v>Resident</x:v>
      </x:c>
      <x:c r="W586" s="7" t="str">
        <x:v>CA</x:v>
      </x:c>
      <x:c r="X586" s="7" t="str"/>
      <x:c r="Y586" s="7" t="str"/>
      <x:c r="Z586" s="7" t="str"/>
      <x:c r="AA586" s="7" t="str"/>
      <x:c r="AB586" s="7" t="str"/>
      <x:c r="AC586" s="7" t="str"/>
      <x:c r="AD586" s="7" t="str">
        <x:v>No agency or insurer displayed: onboarding opportunity possible; existing business unknown</x:v>
      </x:c>
      <x:c r="AE586" s="7" t="str">
        <x:v>No public business phone: contact enrichment needed, not proof of poor recruiting fit</x:v>
      </x:c>
      <x:c r="AF586" s="16" t="str"/>
      <x:c r="AG586" s="17" t="str"/>
      <x:c r="AH586" s="7" t="str"/>
      <x:c r="AI586" s="7" t="str"/>
      <x:c r="AJ586" s="7" t="str"/>
      <x:c r="AK586" s="15" t="str"/>
      <x:c r="AL586" s="7" t="str"/>
      <x:c r="AM586" s="7" t="str">
        <x:v>AGUILAR ROMAN JESUS</x:v>
      </x:c>
      <x:c r="AN586" s="7" t="str">
        <x:v>https://cdicloud.insurance.ca.gov/cal/LicenseDetail?SearchType=IND&amp;SearchLicNbr=0F87583&amp;SearchIndvId=1113226</x:v>
      </x:c>
      <x:c r="AO586" s="7" t="str">
        <x:v>2026-10-08</x:v>
      </x:c>
      <x:c r="AP586" s="7" t="str">
        <x:v>d527e6fea6eb1ed54ba0025269480df38bc18cd998efbe947e7c5f3e5bd228be</x:v>
      </x:c>
      <x:c r="AQ586" s="7" t="str">
        <x:v>Accident and Health / Inactive / 11/28/2007 / 11/30/2011 / 11/30/2011
Life-Only / Inactive / 11/28/2007 / 11/30/2011 / 11/30/2011</x:v>
      </x:c>
      <x:c r="AR586" s="7" t="str">
        <x:v>Inactive</x:v>
      </x:c>
      <x:c r="AS586" s="7" t="str">
        <x:v>Current detail page</x:v>
      </x:c>
    </x:row>
    <x:row r="587" ht="52" customHeight="1">
      <x:c r="A587" s="7" t="str">
        <x:v>AGUILAR JO ANN</x:v>
      </x:c>
      <x:c r="B587" s="14" t="str">
        <x:f>"0A13428"</x:f>
        <x:v>0A13428</x:v>
      </x:c>
      <x:c r="C587" s="7" t="str">
        <x:v>Omitted</x:v>
      </x:c>
      <x:c r="D587" s="7" t="str">
        <x:v>FAIL</x:v>
      </x:c>
      <x:c r="E587" s="13" t="str">
        <x:v>Pending</x:v>
      </x:c>
      <x:c r="F587" s="13" t="str"/>
      <x:c r="G587" s="13" t="str"/>
      <x:c r="H587" s="13" t="str"/>
      <x:c r="I587" s="7" t="str">
        <x:v>Was this person reviewed? If rejected, give the actual rule and evidence. If acceptable, correct the omission. Confirm the Life-qualification gate and any record change since selection.</x:v>
      </x:c>
      <x:c r="J587" s="7" t="str">
        <x:v>L1</x:v>
      </x:c>
      <x:c r="K587" s="7" t="str">
        <x:v>Verified qualifications do not include active general Life. Current target-pool mismatch; actual historical omission reason unknown.</x:v>
      </x:c>
      <x:c r="L587" s="7" t="str">
        <x:v>Not supplied; membership is known, motive is not</x:v>
      </x:c>
      <x:c r="M587" s="7" t="n">
        <x:v>7</x:v>
      </x:c>
      <x:c r="N587" s="7" t="str">
        <x:v>Outside current general-Life recruiting pool</x:v>
      </x:c>
      <x:c r="O587" s="7" t="str">
        <x:v>Not displayed</x:v>
      </x:c>
      <x:c r="P587" s="7" t="str"/>
      <x:c r="Q587" s="7" t="str"/>
      <x:c r="R587" s="7" t="str"/>
      <x:c r="S587" s="15" t="str"/>
      <x:c r="T587" s="7" t="str">
        <x:v>No public business phone in collected record</x:v>
      </x:c>
      <x:c r="U587" s="7" t="str"/>
      <x:c r="V587" s="7" t="str">
        <x:v>Resident</x:v>
      </x:c>
      <x:c r="W587" s="7" t="str">
        <x:v>CA</x:v>
      </x:c>
      <x:c r="X587" s="7" t="str"/>
      <x:c r="Y587" s="7" t="str"/>
      <x:c r="Z587" s="7" t="str"/>
      <x:c r="AA587" s="7" t="str"/>
      <x:c r="AB587" s="7" t="str"/>
      <x:c r="AC587" s="7" t="str"/>
      <x:c r="AD587" s="7" t="str">
        <x:v>No agency or insurer displayed: onboarding opportunity possible; existing business unknown</x:v>
      </x:c>
      <x:c r="AE587" s="7" t="str">
        <x:v>No public business phone: contact enrichment needed, not proof of poor recruiting fit</x:v>
      </x:c>
      <x:c r="AF587" s="16" t="str"/>
      <x:c r="AG587" s="17" t="str"/>
      <x:c r="AH587" s="7" t="str"/>
      <x:c r="AI587" s="7" t="str"/>
      <x:c r="AJ587" s="7" t="str"/>
      <x:c r="AK587" s="15" t="str"/>
      <x:c r="AL587" s="7" t="str"/>
      <x:c r="AM587" s="7" t="str">
        <x:v>AGUILAR ANN JO</x:v>
      </x:c>
      <x:c r="AN587" s="7" t="str">
        <x:v>https://cdicloud.insurance.ca.gov/cal/LicenseDetail?SearchType=IND&amp;SearchLicNbr=0A13428&amp;SearchIndvId=147936</x:v>
      </x:c>
      <x:c r="AO587" s="7" t="str">
        <x:v>2026-10-08</x:v>
      </x:c>
      <x:c r="AP587" s="7" t="str">
        <x:v>12e26c0d821a7189b6301b855a42c9416ee3f881cf69e37c6300b93eefbe2b71</x:v>
      </x:c>
      <x:c r="AQ587" s="7" t="str">
        <x:v>Accident and Health / Inactive / 02/07/1991 / 08/31/1994 / 08/31/1994
Life-Only / Inactive / 02/07/1991 / 08/31/1994 / 08/31/1994</x:v>
      </x:c>
      <x:c r="AR587" s="7" t="str">
        <x:v>Inactive</x:v>
      </x:c>
      <x:c r="AS587" s="7" t="str">
        <x:v>Current detail page</x:v>
      </x:c>
    </x:row>
    <x:row r="588" ht="52" customHeight="1">
      <x:c r="A588" s="7" t="str">
        <x:v>AGUILAR JOANNE</x:v>
      </x:c>
      <x:c r="B588" s="14" t="str">
        <x:f>"0B70137"</x:f>
        <x:v>0B70137</x:v>
      </x:c>
      <x:c r="C588" s="7" t="str">
        <x:v>Omitted</x:v>
      </x:c>
      <x:c r="D588" s="7" t="str">
        <x:v>FAIL</x:v>
      </x:c>
      <x:c r="E588" s="13" t="str">
        <x:v>Pending</x:v>
      </x:c>
      <x:c r="F588" s="13" t="str"/>
      <x:c r="G588" s="13" t="str"/>
      <x:c r="H588" s="13" t="str"/>
      <x:c r="I588" s="7" t="str">
        <x:v>Was this person reviewed? If rejected, give the actual rule and evidence. If acceptable, correct the omission. Confirm the Life-qualification gate and any record change since selection.</x:v>
      </x:c>
      <x:c r="J588" s="7" t="str">
        <x:v>L1</x:v>
      </x:c>
      <x:c r="K588" s="7" t="str">
        <x:v>Verified qualifications do not include active general Life. Current target-pool mismatch; actual historical omission reason unknown.</x:v>
      </x:c>
      <x:c r="L588" s="7" t="str">
        <x:v>Not supplied; membership is known, motive is not</x:v>
      </x:c>
      <x:c r="M588" s="7" t="n">
        <x:v>7</x:v>
      </x:c>
      <x:c r="N588" s="7" t="str">
        <x:v>Outside current general-Life recruiting pool</x:v>
      </x:c>
      <x:c r="O588" s="7" t="str">
        <x:v>Not displayed</x:v>
      </x:c>
      <x:c r="P588" s="7" t="str"/>
      <x:c r="Q588" s="7" t="str"/>
      <x:c r="R588" s="7" t="str"/>
      <x:c r="S588" s="15" t="str"/>
      <x:c r="T588" s="7" t="str">
        <x:v>No public business phone in collected record</x:v>
      </x:c>
      <x:c r="U588" s="7" t="str">
        <x:v>1953 E ZION WAY CHANDLER AZ, 85249-2867</x:v>
      </x:c>
      <x:c r="V588" s="7" t="str">
        <x:v>Non-resident</x:v>
      </x:c>
      <x:c r="W588" s="7" t="str">
        <x:v>AZ</x:v>
      </x:c>
      <x:c r="X588" s="7" t="str"/>
      <x:c r="Y588" s="7" t="str"/>
      <x:c r="Z588" s="7" t="str"/>
      <x:c r="AA588" s="7" t="str"/>
      <x:c r="AB588" s="7" t="str"/>
      <x:c r="AC588" s="7" t="str"/>
      <x:c r="AD588" s="7" t="str">
        <x:v>No agency or insurer displayed: onboarding opportunity possible; existing business unknown</x:v>
      </x:c>
      <x:c r="AE588" s="7" t="str">
        <x:v>Nonresident or address state outside CA; confirm geographic recruiting scope | No public business phone: contact enrichment needed, not proof of poor recruiting fit</x:v>
      </x:c>
      <x:c r="AF588" s="16" t="str"/>
      <x:c r="AG588" s="17" t="str"/>
      <x:c r="AH588" s="7" t="str"/>
      <x:c r="AI588" s="7" t="str"/>
      <x:c r="AJ588" s="7" t="str"/>
      <x:c r="AK588" s="15" t="str"/>
      <x:c r="AL588" s="7" t="str"/>
      <x:c r="AM588" s="7" t="str">
        <x:v>AGUILAR  JOANNE</x:v>
      </x:c>
      <x:c r="AN588" s="7" t="str">
        <x:v>https://cdicloud.insurance.ca.gov/cal/LicenseDetail?SearchType=IND&amp;SearchLicNbr=0B70137&amp;SearchIndvId=248383</x:v>
      </x:c>
      <x:c r="AO588" s="7" t="str">
        <x:v>2026-10-08</x:v>
      </x:c>
      <x:c r="AP588" s="7" t="str">
        <x:v>69c32dbf47007090b79500336783bb209aa65d6811a3775ae6195002933b9f7b</x:v>
      </x:c>
      <x:c r="AQ588" s="7" t="str">
        <x:v>Casualty / Inactive / 10/23/2009 / 10/31/2025 / 10/31/2025
Property / Inactive / 10/23/2009 / 10/31/2025 / 10/31/2025</x:v>
      </x:c>
      <x:c r="AR588" s="7" t="str">
        <x:v>Inactive</x:v>
      </x:c>
      <x:c r="AS588" s="7" t="str">
        <x:v>Current detail page</x:v>
      </x:c>
    </x:row>
    <x:row r="589" ht="52" customHeight="1">
      <x:c r="A589" s="7" t="str">
        <x:v>AGUILAR JOCELYN</x:v>
      </x:c>
      <x:c r="B589" s="14" t="str">
        <x:f>"4587290"</x:f>
        <x:v>4587290</x:v>
      </x:c>
      <x:c r="C589" s="7" t="str">
        <x:v>Omitted</x:v>
      </x:c>
      <x:c r="D589" s="7" t="str">
        <x:v>FAIL</x:v>
      </x:c>
      <x:c r="E589" s="13" t="str">
        <x:v>Pending</x:v>
      </x:c>
      <x:c r="F589" s="13" t="str"/>
      <x:c r="G589" s="13" t="str"/>
      <x:c r="H589" s="13" t="str"/>
      <x:c r="I589" s="7" t="str">
        <x:v>Was this person reviewed? If rejected, give the actual rule and evidence. If acceptable, correct the omission. Confirm the Life-qualification gate and any record change since selection.</x:v>
      </x:c>
      <x:c r="J589" s="7" t="str">
        <x:v>L1</x:v>
      </x:c>
      <x:c r="K589" s="7" t="str">
        <x:v>Verified qualifications do not include active general Life. Current target-pool mismatch; actual historical omission reason unknown.</x:v>
      </x:c>
      <x:c r="L589" s="7" t="str">
        <x:v>Not supplied; membership is known, motive is not</x:v>
      </x:c>
      <x:c r="M589" s="7" t="n">
        <x:v>7</x:v>
      </x:c>
      <x:c r="N589" s="7" t="str">
        <x:v>Outside current general-Life recruiting pool</x:v>
      </x:c>
      <x:c r="O589" s="7" t="str">
        <x:v>Not displayed</x:v>
      </x:c>
      <x:c r="P589" s="7" t="str"/>
      <x:c r="Q589" s="7" t="str"/>
      <x:c r="R589" s="7" t="str">
        <x:v>Casualty; Property</x:v>
      </x:c>
      <x:c r="S589" s="15" t="str"/>
      <x:c r="T589" s="7" t="str">
        <x:v>No public business phone in collected record</x:v>
      </x:c>
      <x:c r="U589" s="7" t="str">
        <x:v>2127 KILBORNE DR APT H CHARLOTTE NC, 28205</x:v>
      </x:c>
      <x:c r="V589" s="7" t="str">
        <x:v>Non-resident</x:v>
      </x:c>
      <x:c r="W589" s="7" t="str">
        <x:v>NC</x:v>
      </x:c>
      <x:c r="X589" s="7" t="str"/>
      <x:c r="Y589" s="7" t="str"/>
      <x:c r="Z589" s="7" t="str"/>
      <x:c r="AA589" s="7" t="str"/>
      <x:c r="AB589" s="7" t="str"/>
      <x:c r="AC589" s="7" t="str"/>
      <x:c r="AD589" s="7" t="str">
        <x:v>No agency or insurer displayed: onboarding opportunity possible; existing business unknown</x:v>
      </x:c>
      <x:c r="AE589"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589" s="16" t="str"/>
      <x:c r="AG589" s="17" t="str"/>
      <x:c r="AH589" s="7" t="str"/>
      <x:c r="AI589" s="7" t="str"/>
      <x:c r="AJ589" s="7" t="str"/>
      <x:c r="AK589" s="15" t="str"/>
      <x:c r="AL589" s="7" t="str"/>
      <x:c r="AM589" s="7" t="str">
        <x:v>AGUILAR  JOCELYN</x:v>
      </x:c>
      <x:c r="AN589" s="7" t="str">
        <x:v>https://cdicloud.insurance.ca.gov/cal/LicenseDetail?SearchType=IND&amp;SearchLicNbr=4587290&amp;SearchIndvId=4587290</x:v>
      </x:c>
      <x:c r="AO589" s="7" t="str">
        <x:v>2026-10-08</x:v>
      </x:c>
      <x:c r="AP589" s="7" t="str">
        <x:v>50bbdbdefded2a4cc1fb1cf4ab38db744bb06a5f02bd98fc094a4a2dc4a067b3</x:v>
      </x:c>
      <x:c r="AQ589" s="7" t="str">
        <x:v>Casualty / Active / 10/01/2026 / 10/01/2026 / 10/31/2028
Property / Active / 10/01/2026 / 10/01/2026 / 10/31/2028</x:v>
      </x:c>
      <x:c r="AR589" s="7" t="str">
        <x:v>Active</x:v>
      </x:c>
      <x:c r="AS589" s="7" t="str">
        <x:v>Current detail page</x:v>
      </x:c>
    </x:row>
    <x:row r="590" ht="52" customHeight="1">
      <x:c r="A590" s="7" t="str">
        <x:v>AGUILAR JOEL</x:v>
      </x:c>
      <x:c r="B590" s="14" t="str">
        <x:f>"0F85959"</x:f>
        <x:v>0F85959</x:v>
      </x:c>
      <x:c r="C590" s="7" t="str">
        <x:v>Omitted</x:v>
      </x:c>
      <x:c r="D590" s="7" t="str">
        <x:v>FAIL</x:v>
      </x:c>
      <x:c r="E590" s="13" t="str">
        <x:v>Pending</x:v>
      </x:c>
      <x:c r="F590" s="13" t="str"/>
      <x:c r="G590" s="13" t="str"/>
      <x:c r="H590" s="13" t="str"/>
      <x:c r="I590" s="7" t="str">
        <x:v>Was this person reviewed? If rejected, give the actual rule and evidence. If acceptable, correct the omission. Confirm the Life-qualification gate and any record change since selection.</x:v>
      </x:c>
      <x:c r="J590" s="7" t="str">
        <x:v>L1</x:v>
      </x:c>
      <x:c r="K590" s="7" t="str">
        <x:v>Verified qualifications do not include active general Life. Current target-pool mismatch; actual historical omission reason unknown.</x:v>
      </x:c>
      <x:c r="L590" s="7" t="str">
        <x:v>Not supplied; membership is known, motive is not</x:v>
      </x:c>
      <x:c r="M590" s="7" t="n">
        <x:v>7</x:v>
      </x:c>
      <x:c r="N590" s="7" t="str">
        <x:v>Outside current general-Life recruiting pool</x:v>
      </x:c>
      <x:c r="O590" s="7" t="str">
        <x:v>Not displayed</x:v>
      </x:c>
      <x:c r="P590" s="7" t="str"/>
      <x:c r="Q590" s="7" t="str"/>
      <x:c r="R590" s="7" t="str"/>
      <x:c r="S590" s="15" t="str"/>
      <x:c r="T590" s="7" t="str">
        <x:v>No public business phone in collected record</x:v>
      </x:c>
      <x:c r="U590" s="7" t="str"/>
      <x:c r="V590" s="7" t="str">
        <x:v>Resident</x:v>
      </x:c>
      <x:c r="W590" s="7" t="str">
        <x:v>CA</x:v>
      </x:c>
      <x:c r="X590" s="7" t="str"/>
      <x:c r="Y590" s="7" t="str"/>
      <x:c r="Z590" s="7" t="str"/>
      <x:c r="AA590" s="7" t="str"/>
      <x:c r="AB590" s="7" t="str"/>
      <x:c r="AC590" s="7" t="str"/>
      <x:c r="AD590" s="7" t="str">
        <x:v>No agency or insurer displayed: onboarding opportunity possible; existing business unknown</x:v>
      </x:c>
      <x:c r="AE590" s="7" t="str">
        <x:v>No public business phone: contact enrichment needed, not proof of poor recruiting fit</x:v>
      </x:c>
      <x:c r="AF590" s="16" t="str"/>
      <x:c r="AG590" s="17" t="str"/>
      <x:c r="AH590" s="7" t="str"/>
      <x:c r="AI590" s="7" t="str"/>
      <x:c r="AJ590" s="7" t="str"/>
      <x:c r="AK590" s="15" t="str"/>
      <x:c r="AL590" s="7" t="str"/>
      <x:c r="AM590" s="7" t="str">
        <x:v>AGUILAR  JOEL</x:v>
      </x:c>
      <x:c r="AN590" s="7" t="str">
        <x:v>https://cdicloud.insurance.ca.gov/cal/LicenseDetail?SearchType=IND&amp;SearchLicNbr=0F85959&amp;SearchIndvId=1109232</x:v>
      </x:c>
      <x:c r="AO590" s="7" t="str">
        <x:v>2026-10-08</x:v>
      </x:c>
      <x:c r="AP590" s="7" t="str">
        <x:v>7598e86b2d1f8edf9a4f04c7f623bf4ba5bc0a144daabea09658d00463ddf360</x:v>
      </x:c>
      <x:c r="AQ590" s="7" t="str">
        <x:v>Accident and Health / Inactive / 10/31/2007 / 10/31/2009 / 10/31/2009
Life-Only / Inactive / 10/31/2007 / 10/31/2009 / 10/31/2009</x:v>
      </x:c>
      <x:c r="AR590" s="7" t="str">
        <x:v>Inactive</x:v>
      </x:c>
      <x:c r="AS590" s="7" t="str">
        <x:v>Current detail page</x:v>
      </x:c>
    </x:row>
    <x:row r="591" ht="52" customHeight="1">
      <x:c r="A591" s="7" t="str">
        <x:v>AGUILAR JOEL</x:v>
      </x:c>
      <x:c r="B591" s="14" t="str">
        <x:f>"4251753"</x:f>
        <x:v>4251753</x:v>
      </x:c>
      <x:c r="C591" s="7" t="str">
        <x:v>Omitted</x:v>
      </x:c>
      <x:c r="D591" s="7" t="str">
        <x:v>FAIL</x:v>
      </x:c>
      <x:c r="E591" s="13" t="str">
        <x:v>Pending</x:v>
      </x:c>
      <x:c r="F591" s="13" t="str"/>
      <x:c r="G591" s="13" t="str"/>
      <x:c r="H591" s="13" t="str"/>
      <x:c r="I591" s="7" t="str">
        <x:v>Was this person reviewed? If rejected, give the actual rule and evidence. If acceptable, correct the omission. Confirm the Life-qualification gate and any record change since selection.</x:v>
      </x:c>
      <x:c r="J591" s="7" t="str">
        <x:v>L1</x:v>
      </x:c>
      <x:c r="K591" s="7" t="str">
        <x:v>Verified qualifications do not include active general Life. Current target-pool mismatch; actual historical omission reason unknown.</x:v>
      </x:c>
      <x:c r="L591" s="7" t="str">
        <x:v>Not supplied; membership is known, motive is not</x:v>
      </x:c>
      <x:c r="M591" s="7" t="n">
        <x:v>7</x:v>
      </x:c>
      <x:c r="N591" s="7" t="str">
        <x:v>Outside current general-Life recruiting pool</x:v>
      </x:c>
      <x:c r="O591" s="7" t="str">
        <x:v>Not displayed</x:v>
      </x:c>
      <x:c r="P591" s="7" t="str"/>
      <x:c r="Q591" s="7" t="str"/>
      <x:c r="R591" s="7" t="str"/>
      <x:c r="S591" s="15" t="str"/>
      <x:c r="T591" s="7" t="str">
        <x:v>No public business phone in collected record</x:v>
      </x:c>
      <x:c r="U591" s="7" t="str">
        <x:v>420 PILOT RD LAS VEGAS NV, 89119</x:v>
      </x:c>
      <x:c r="V591" s="7" t="str">
        <x:v>Non-resident</x:v>
      </x:c>
      <x:c r="W591" s="7" t="str">
        <x:v>NV</x:v>
      </x:c>
      <x:c r="X591" s="7" t="str"/>
      <x:c r="Y591" s="7" t="str"/>
      <x:c r="Z591" s="7" t="str"/>
      <x:c r="AA591" s="7" t="str"/>
      <x:c r="AB591" s="7" t="str"/>
      <x:c r="AC591" s="7" t="str"/>
      <x:c r="AD591" s="7" t="str">
        <x:v>No agency or insurer displayed: onboarding opportunity possible; existing business unknown</x:v>
      </x:c>
      <x:c r="AE591" s="7" t="str">
        <x:v>Nonresident or address state outside CA; confirm geographic recruiting scope | No public business phone: contact enrichment needed, not proof of poor recruiting fit</x:v>
      </x:c>
      <x:c r="AF591" s="16" t="str"/>
      <x:c r="AG591" s="17" t="str"/>
      <x:c r="AH591" s="7" t="str"/>
      <x:c r="AI591" s="7" t="str"/>
      <x:c r="AJ591" s="7" t="str"/>
      <x:c r="AK591" s="15" t="str"/>
      <x:c r="AL591" s="7" t="str"/>
      <x:c r="AM591" s="7" t="str">
        <x:v>AGUILAR  JOEL</x:v>
      </x:c>
      <x:c r="AN591" s="7" t="str">
        <x:v>https://cdicloud.insurance.ca.gov/cal/LicenseDetail?SearchType=IND&amp;SearchLicNbr=4251753&amp;SearchIndvId=4251753</x:v>
      </x:c>
      <x:c r="AO591" s="7" t="str">
        <x:v>2026-10-08</x:v>
      </x:c>
      <x:c r="AP591" s="7" t="str">
        <x:v>df869f057fe560e16430ae50f3726270b2cc46e2e414d511b4c9a5f5bfeb1f60</x:v>
      </x:c>
      <x:c r="AQ591" s="7" t="str">
        <x:v>Personal Lines / Inactive / 11/03/2022 / 11/30/2024 / 11/30/2024</x:v>
      </x:c>
      <x:c r="AR591" s="7" t="str">
        <x:v>Inactive</x:v>
      </x:c>
      <x:c r="AS591" s="7" t="str">
        <x:v>Current detail page</x:v>
      </x:c>
    </x:row>
    <x:row r="592" ht="52" customHeight="1">
      <x:c r="A592" s="7" t="str">
        <x:v>AGUILAR JOETTA KAY</x:v>
      </x:c>
      <x:c r="B592" s="14" t="str">
        <x:f>"0N02861"</x:f>
        <x:v>0N02861</x:v>
      </x:c>
      <x:c r="C592" s="7" t="str">
        <x:v>Omitted</x:v>
      </x:c>
      <x:c r="D592" s="7" t="str">
        <x:v>FAIL</x:v>
      </x:c>
      <x:c r="E592" s="13" t="str">
        <x:v>Pending</x:v>
      </x:c>
      <x:c r="F592" s="13" t="str"/>
      <x:c r="G592" s="13" t="str"/>
      <x:c r="H592" s="13" t="str"/>
      <x:c r="I592" s="7" t="str">
        <x:v>Was this person reviewed? If rejected, give the actual rule and evidence. If acceptable, correct the omission. Confirm the Life-qualification gate and any record change since selection.</x:v>
      </x:c>
      <x:c r="J592" s="7" t="str">
        <x:v>L1</x:v>
      </x:c>
      <x:c r="K592" s="7" t="str">
        <x:v>Verified qualifications do not include active general Life. Current target-pool mismatch; actual historical omission reason unknown.</x:v>
      </x:c>
      <x:c r="L592" s="7" t="str">
        <x:v>Not supplied; membership is known, motive is not</x:v>
      </x:c>
      <x:c r="M592" s="7" t="n">
        <x:v>7</x:v>
      </x:c>
      <x:c r="N592" s="7" t="str">
        <x:v>Outside current general-Life recruiting pool</x:v>
      </x:c>
      <x:c r="O592" s="7" t="str">
        <x:v>Inactive</x:v>
      </x:c>
      <x:c r="P592" s="7" t="str">
        <x:v>06/13/2019</x:v>
      </x:c>
      <x:c r="Q592" s="7" t="str">
        <x:v>06/30/2021</x:v>
      </x:c>
      <x:c r="R592" s="7" t="str"/>
      <x:c r="S592" s="15" t="str"/>
      <x:c r="T592" s="7" t="str">
        <x:v>No public business phone in collected record</x:v>
      </x:c>
      <x:c r="U592" s="7" t="str"/>
      <x:c r="V592" s="7" t="str">
        <x:v>Resident</x:v>
      </x:c>
      <x:c r="W592" s="7" t="str">
        <x:v>CA</x:v>
      </x:c>
      <x:c r="X592" s="7" t="str"/>
      <x:c r="Y592" s="7" t="str"/>
      <x:c r="Z592" s="7" t="str"/>
      <x:c r="AA592" s="7" t="str"/>
      <x:c r="AB592" s="7" t="str"/>
      <x:c r="AC592" s="7" t="str"/>
      <x:c r="AD592" s="7" t="str">
        <x:v>No agency or insurer displayed: onboarding opportunity possible; existing business unknown</x:v>
      </x:c>
      <x:c r="AE592" s="7" t="str">
        <x:v>No public business phone: contact enrichment needed, not proof of poor recruiting fit</x:v>
      </x:c>
      <x:c r="AF592" s="16" t="str"/>
      <x:c r="AG592" s="17" t="str"/>
      <x:c r="AH592" s="7" t="str"/>
      <x:c r="AI592" s="7" t="str"/>
      <x:c r="AJ592" s="7" t="str"/>
      <x:c r="AK592" s="15" t="str"/>
      <x:c r="AL592" s="7" t="str"/>
      <x:c r="AM592" s="7" t="str">
        <x:v>Aguilar K Joetta | AGUILAR KAY JOETTA</x:v>
      </x:c>
      <x:c r="AN592" s="7" t="str">
        <x:v>https://cdicloud.insurance.ca.gov/cal/LicenseDetail?SearchType=IND&amp;SearchLicNbr=0N02861&amp;SearchIndvId=2101034</x:v>
      </x:c>
      <x:c r="AO592" s="7" t="str">
        <x:v>2026-10-08</x:v>
      </x:c>
      <x:c r="AP592" s="7" t="str">
        <x:v>8ec1b32ec58f28d0a094f63b5b9de1af6569106c627cf25eb22245e9e35931c0</x:v>
      </x:c>
      <x:c r="AQ592" s="7" t="str">
        <x:v>Accident &amp; Health or Sickness / Inactive / 06/13/2019 / 06/30/2021 / 06/30/2021
Life / Inactive / 06/13/2019 / 06/30/2021 / 06/30/2021</x:v>
      </x:c>
      <x:c r="AR592" s="7" t="str">
        <x:v>Inactive</x:v>
      </x:c>
      <x:c r="AS592" s="7" t="str">
        <x:v>Current detail page</x:v>
      </x:c>
    </x:row>
    <x:row r="593" ht="52" customHeight="1">
      <x:c r="A593" s="7" t="str">
        <x:v>AGUILAR JOHAN OMAR</x:v>
      </x:c>
      <x:c r="B593" s="14" t="str">
        <x:f>"4219980"</x:f>
        <x:v>4219980</x:v>
      </x:c>
      <x:c r="C593" s="7" t="str">
        <x:v>Omitted</x:v>
      </x:c>
      <x:c r="D593" s="7" t="str">
        <x:v>FAIL</x:v>
      </x:c>
      <x:c r="E593" s="13" t="str">
        <x:v>Pending</x:v>
      </x:c>
      <x:c r="F593" s="13" t="str"/>
      <x:c r="G593" s="13" t="str"/>
      <x:c r="H593" s="13" t="str"/>
      <x:c r="I593" s="7" t="str">
        <x:v>Was this person reviewed? If rejected, give the actual rule and evidence. If acceptable, correct the omission. Confirm the Life-qualification gate and any record change since selection.</x:v>
      </x:c>
      <x:c r="J593" s="7" t="str">
        <x:v>L1</x:v>
      </x:c>
      <x:c r="K593" s="7" t="str">
        <x:v>Verified qualifications do not include active general Life. Current target-pool mismatch; actual historical omission reason unknown.</x:v>
      </x:c>
      <x:c r="L593" s="7" t="str">
        <x:v>Not supplied; membership is known, motive is not</x:v>
      </x:c>
      <x:c r="M593" s="7" t="n">
        <x:v>7</x:v>
      </x:c>
      <x:c r="N593" s="7" t="str">
        <x:v>Outside current general-Life recruiting pool</x:v>
      </x:c>
      <x:c r="O593" s="7" t="str">
        <x:v>Inactive</x:v>
      </x:c>
      <x:c r="P593" s="7" t="str">
        <x:v>07/07/2022</x:v>
      </x:c>
      <x:c r="Q593" s="7" t="str">
        <x:v>07/31/2026</x:v>
      </x:c>
      <x:c r="R593" s="7" t="str"/>
      <x:c r="S593" s="15" t="str">
        <x:v>209-818-6158</x:v>
      </x:c>
      <x:c r="T593" s="7" t="str">
        <x:v>Current CDI</x:v>
      </x:c>
      <x:c r="U593" s="7" t="str">
        <x:v>5172 KIERNAN CT STE C SALIDA CA, 95368</x:v>
      </x:c>
      <x:c r="V593" s="7" t="str">
        <x:v>Resident</x:v>
      </x:c>
      <x:c r="W593" s="7" t="str">
        <x:v>CA</x:v>
      </x:c>
      <x:c r="X593" s="7" t="str"/>
      <x:c r="Y593" s="7" t="str"/>
      <x:c r="Z593" s="7" t="str"/>
      <x:c r="AA593" s="7" t="str"/>
      <x:c r="AB593" s="7" t="str"/>
      <x:c r="AC593" s="7" t="str"/>
      <x:c r="AD593" s="7" t="str">
        <x:v>No agency or insurer displayed: onboarding opportunity possible; existing business unknown</x:v>
      </x:c>
      <x:c r="AE593" s="7" t="str"/>
      <x:c r="AF593" s="16" t="str"/>
      <x:c r="AG593" s="17" t="str"/>
      <x:c r="AH593" s="7" t="str"/>
      <x:c r="AI593" s="7" t="str">
        <x:v>English</x:v>
      </x:c>
      <x:c r="AJ593" s="7" t="str"/>
      <x:c r="AK593" s="15" t="str"/>
      <x:c r="AL593" s="7" t="str"/>
      <x:c r="AM593" s="7" t="str">
        <x:v>AGUILAR OMAR JOHAN</x:v>
      </x:c>
      <x:c r="AN593" s="7" t="str">
        <x:v>https://cdicloud.insurance.ca.gov/cal/LicenseDetail?SearchType=IND&amp;SearchLicNbr=4219980&amp;SearchIndvId=4219980</x:v>
      </x:c>
      <x:c r="AO593" s="7" t="str">
        <x:v>2026-10-08</x:v>
      </x:c>
      <x:c r="AP593" s="7" t="str">
        <x:v>3ac43411c9d8c118c74130b3575e36c7ba27646bcb9a422da446af9b4a6743e4</x:v>
      </x:c>
      <x:c r="AQ593" s="7" t="str">
        <x:v>Accident &amp; Health or Sickness / Inactive / 07/07/2022 / 07/31/2026 / 07/31/2026
Life / Inactive / 07/07/2022 / 07/31/2026 / 07/31/2026</x:v>
      </x:c>
      <x:c r="AR593" s="7" t="str">
        <x:v>Inactive</x:v>
      </x:c>
      <x:c r="AS593" s="7" t="str">
        <x:v>Current detail page</x:v>
      </x:c>
    </x:row>
    <x:row r="594" ht="52" customHeight="1">
      <x:c r="A594" s="7" t="str">
        <x:v>AGUILAR JOHANNA</x:v>
      </x:c>
      <x:c r="B594" s="14" t="str">
        <x:f>"0K44445"</x:f>
        <x:v>0K44445</x:v>
      </x:c>
      <x:c r="C594" s="7" t="str">
        <x:v>Omitted</x:v>
      </x:c>
      <x:c r="D594" s="7" t="str">
        <x:v>FAIL</x:v>
      </x:c>
      <x:c r="E594" s="13" t="str">
        <x:v>Pending</x:v>
      </x:c>
      <x:c r="F594" s="13" t="str"/>
      <x:c r="G594" s="13" t="str"/>
      <x:c r="H594" s="13" t="str"/>
      <x:c r="I594" s="7" t="str">
        <x:v>Was this person reviewed? If rejected, give the actual rule and evidence. If acceptable, correct the omission. Confirm the Life-qualification gate and any record change since selection.</x:v>
      </x:c>
      <x:c r="J594" s="7" t="str">
        <x:v>L1</x:v>
      </x:c>
      <x:c r="K594" s="7" t="str">
        <x:v>Verified qualifications do not include active general Life. Current target-pool mismatch; actual historical omission reason unknown.</x:v>
      </x:c>
      <x:c r="L594" s="7" t="str">
        <x:v>Not supplied; membership is known, motive is not</x:v>
      </x:c>
      <x:c r="M594" s="7" t="n">
        <x:v>7</x:v>
      </x:c>
      <x:c r="N594" s="7" t="str">
        <x:v>Outside current general-Life recruiting pool</x:v>
      </x:c>
      <x:c r="O594" s="7" t="str">
        <x:v>Not displayed</x:v>
      </x:c>
      <x:c r="P594" s="7" t="str"/>
      <x:c r="Q594" s="7" t="str"/>
      <x:c r="R594" s="7" t="str">
        <x:v>Life Limited-Funeral &amp; Burial</x:v>
      </x:c>
      <x:c r="S594" s="15" t="str">
        <x:v>213-798-9040</x:v>
      </x:c>
      <x:c r="T594" s="7" t="str">
        <x:v>Current CDI</x:v>
      </x:c>
      <x:c r="U594" s="7" t="str">
        <x:v>11160 STRANWOOD AVE MISSION HILLS CA, 91345</x:v>
      </x:c>
      <x:c r="V594" s="7" t="str">
        <x:v>Resident</x:v>
      </x:c>
      <x:c r="W594" s="7" t="str">
        <x:v>CA</x:v>
      </x:c>
      <x:c r="X594" s="7" t="str">
        <x:v>ARCHDIOCESE OF LOS ANGELES FUNERAL AND MORTUARY SERVICES CORPORATION / Life Limited-Funeral &amp; Burial / 12/15/2022</x:v>
      </x:c>
      <x:c r="Y594" s="7" t="str">
        <x:v>FORETHOUGHT LIFE INSURANCE COMPANY / Life Only (Limited) / 10/16/2015</x:v>
      </x:c>
      <x:c r="Z594" s="7" t="str"/>
      <x:c r="AA594" s="7" t="str"/>
      <x:c r="AB594" s="7" t="str"/>
      <x:c r="AC594" s="7" t="str"/>
      <x:c r="AD594" s="7" t="str"/>
      <x:c r="AE594" s="7" t="str"/>
      <x:c r="AF594" s="16" t="str"/>
      <x:c r="AG594" s="17" t="str"/>
      <x:c r="AH594" s="7" t="str"/>
      <x:c r="AI594" s="7" t="str">
        <x:v>English, Spanish, Spanish</x:v>
      </x:c>
      <x:c r="AJ594" s="7" t="str"/>
      <x:c r="AK594" s="15" t="str"/>
      <x:c r="AL594" s="7" t="str"/>
      <x:c r="AM594" s="7" t="str">
        <x:v>AGUILAR  JOHANNA</x:v>
      </x:c>
      <x:c r="AN594" s="7" t="str">
        <x:v>https://cdicloud.insurance.ca.gov/cal/LicenseDetail?SearchType=IND&amp;SearchLicNbr=0K44445&amp;SearchIndvId=1781500</x:v>
      </x:c>
      <x:c r="AO594" s="7" t="str">
        <x:v>2026-10-08</x:v>
      </x:c>
      <x:c r="AP594" s="7" t="str">
        <x:v>e39dc018b48e07c4cc9515b40984e6cd064eebc48c9d34c24e0b3dc94d387059</x:v>
      </x:c>
      <x:c r="AQ594" s="7" t="str">
        <x:v>Life Limited-Funeral &amp; Burial / Active / 09/01/2015 / 09/01/2015 / 09/30/2027</x:v>
      </x:c>
      <x:c r="AR594" s="7" t="str">
        <x:v>Active</x:v>
      </x:c>
      <x:c r="AS594" s="7" t="str">
        <x:v>Current detail page</x:v>
      </x:c>
    </x:row>
    <x:row r="595" ht="52" customHeight="1">
      <x:c r="A595" s="7" t="str">
        <x:v>AGUILAR JOHN ANTHONY</x:v>
      </x:c>
      <x:c r="B595" s="14" t="str">
        <x:f>"0F33626"</x:f>
        <x:v>0F33626</x:v>
      </x:c>
      <x:c r="C595" s="7" t="str">
        <x:v>Omitted</x:v>
      </x:c>
      <x:c r="D595" s="7" t="str">
        <x:v>FAIL</x:v>
      </x:c>
      <x:c r="E595" s="13" t="str">
        <x:v>Pending</x:v>
      </x:c>
      <x:c r="F595" s="13" t="str"/>
      <x:c r="G595" s="13" t="str"/>
      <x:c r="H595" s="13" t="str"/>
      <x:c r="I595" s="7" t="str">
        <x:v>Was this person reviewed? If rejected, give the actual rule and evidence. If acceptable, correct the omission. Confirm the Life-qualification gate and any record change since selection.</x:v>
      </x:c>
      <x:c r="J595" s="7" t="str">
        <x:v>L1</x:v>
      </x:c>
      <x:c r="K595" s="7" t="str">
        <x:v>Verified qualifications do not include active general Life. Current target-pool mismatch; actual historical omission reason unknown.</x:v>
      </x:c>
      <x:c r="L595" s="7" t="str">
        <x:v>Not supplied; membership is known, motive is not</x:v>
      </x:c>
      <x:c r="M595" s="7" t="n">
        <x:v>7</x:v>
      </x:c>
      <x:c r="N595" s="7" t="str">
        <x:v>Outside current general-Life recruiting pool</x:v>
      </x:c>
      <x:c r="O595" s="7" t="str">
        <x:v>Not displayed</x:v>
      </x:c>
      <x:c r="P595" s="7" t="str"/>
      <x:c r="Q595" s="7" t="str"/>
      <x:c r="R595" s="7" t="str"/>
      <x:c r="S595" s="15" t="str"/>
      <x:c r="T595" s="7" t="str">
        <x:v>No public business phone in collected record</x:v>
      </x:c>
      <x:c r="U595" s="7" t="str"/>
      <x:c r="V595" s="7" t="str">
        <x:v>Resident</x:v>
      </x:c>
      <x:c r="W595" s="7" t="str">
        <x:v>CA</x:v>
      </x:c>
      <x:c r="X595" s="7" t="str"/>
      <x:c r="Y595" s="7" t="str"/>
      <x:c r="Z595" s="7" t="str"/>
      <x:c r="AA595" s="7" t="str"/>
      <x:c r="AB595" s="7" t="str"/>
      <x:c r="AC595" s="7" t="str"/>
      <x:c r="AD595" s="7" t="str">
        <x:v>No agency or insurer displayed: onboarding opportunity possible; existing business unknown</x:v>
      </x:c>
      <x:c r="AE595" s="7" t="str">
        <x:v>No public business phone: contact enrichment needed, not proof of poor recruiting fit</x:v>
      </x:c>
      <x:c r="AF595" s="16" t="str"/>
      <x:c r="AG595" s="17" t="str"/>
      <x:c r="AH595" s="7" t="str"/>
      <x:c r="AI595" s="7" t="str"/>
      <x:c r="AJ595" s="7" t="str"/>
      <x:c r="AK595" s="15" t="str"/>
      <x:c r="AL595" s="7" t="str"/>
      <x:c r="AM595" s="7" t="str">
        <x:v>AGUILAR ANTHONY JOHN</x:v>
      </x:c>
      <x:c r="AN595" s="7" t="str">
        <x:v>https://cdicloud.insurance.ca.gov/cal/LicenseDetail?SearchType=IND&amp;SearchLicNbr=0F33626&amp;SearchIndvId=1043606</x:v>
      </x:c>
      <x:c r="AO595" s="7" t="str">
        <x:v>2026-10-08</x:v>
      </x:c>
      <x:c r="AP595" s="7" t="str">
        <x:v>9bde5acf3cacb6515562f0cad69c5b1656a6023cfe0e2435dc416816b13e97f6</x:v>
      </x:c>
      <x:c r="AQ595" s="7" t="str">
        <x:v>Accident and Health / Inactive / 09/01/2006 / 09/30/2008 / 09/30/2008
Life-Only / Inactive / 09/01/2006 / 09/30/2008 / 09/30/2008</x:v>
      </x:c>
      <x:c r="AR595" s="7" t="str">
        <x:v>Inactive</x:v>
      </x:c>
      <x:c r="AS595" s="7" t="str">
        <x:v>Current detail page</x:v>
      </x:c>
    </x:row>
    <x:row r="596" ht="52" customHeight="1">
      <x:c r="A596" s="7" t="str">
        <x:v>AGUILAR JOHNNA KAYLEENE</x:v>
      </x:c>
      <x:c r="B596" s="14" t="str">
        <x:f>"0E51371"</x:f>
        <x:v>0E51371</x:v>
      </x:c>
      <x:c r="C596" s="7" t="str">
        <x:v>Omitted</x:v>
      </x:c>
      <x:c r="D596" s="7" t="str">
        <x:v>FAIL</x:v>
      </x:c>
      <x:c r="E596" s="13" t="str">
        <x:v>Pending</x:v>
      </x:c>
      <x:c r="F596" s="13" t="str"/>
      <x:c r="G596" s="13" t="str"/>
      <x:c r="H596" s="13" t="str"/>
      <x:c r="I596" s="7" t="str">
        <x:v>Was this person reviewed? If rejected, give the actual rule and evidence. If acceptable, correct the omission. Confirm the Life-qualification gate and any record change since selection.</x:v>
      </x:c>
      <x:c r="J596" s="7" t="str">
        <x:v>L1</x:v>
      </x:c>
      <x:c r="K596" s="7" t="str">
        <x:v>Verified qualifications do not include active general Life. Current target-pool mismatch; actual historical omission reason unknown.</x:v>
      </x:c>
      <x:c r="L596" s="7" t="str">
        <x:v>Not supplied; membership is known, motive is not</x:v>
      </x:c>
      <x:c r="M596" s="7" t="n">
        <x:v>7</x:v>
      </x:c>
      <x:c r="N596" s="7" t="str">
        <x:v>Outside current general-Life recruiting pool</x:v>
      </x:c>
      <x:c r="O596" s="7" t="str">
        <x:v>Not displayed</x:v>
      </x:c>
      <x:c r="P596" s="7" t="str"/>
      <x:c r="Q596" s="7" t="str"/>
      <x:c r="R596" s="7" t="str"/>
      <x:c r="S596" s="15" t="str"/>
      <x:c r="T596" s="7" t="str">
        <x:v>No public business phone in collected record</x:v>
      </x:c>
      <x:c r="U596" s="7" t="str"/>
      <x:c r="V596" s="7" t="str">
        <x:v>Resident</x:v>
      </x:c>
      <x:c r="W596" s="7" t="str">
        <x:v>CA</x:v>
      </x:c>
      <x:c r="X596" s="7" t="str"/>
      <x:c r="Y596" s="7" t="str"/>
      <x:c r="Z596" s="7" t="str"/>
      <x:c r="AA596" s="7" t="str"/>
      <x:c r="AB596" s="7" t="str"/>
      <x:c r="AC596" s="7" t="str"/>
      <x:c r="AD596" s="7" t="str">
        <x:v>No agency or insurer displayed: onboarding opportunity possible; existing business unknown</x:v>
      </x:c>
      <x:c r="AE596" s="7" t="str">
        <x:v>No public business phone: contact enrichment needed, not proof of poor recruiting fit</x:v>
      </x:c>
      <x:c r="AF596" s="16" t="str"/>
      <x:c r="AG596" s="17" t="str"/>
      <x:c r="AH596" s="7" t="str"/>
      <x:c r="AI596" s="7" t="str"/>
      <x:c r="AJ596" s="7" t="str"/>
      <x:c r="AK596" s="15" t="str"/>
      <x:c r="AL596" s="7" t="str"/>
      <x:c r="AM596" s="7" t="str">
        <x:v>AGUILAR KAYLEENE JOHNNA</x:v>
      </x:c>
      <x:c r="AN596" s="7" t="str">
        <x:v>https://cdicloud.insurance.ca.gov/cal/LicenseDetail?SearchType=IND&amp;SearchLicNbr=0E51371&amp;SearchIndvId=909223</x:v>
      </x:c>
      <x:c r="AO596" s="7" t="str">
        <x:v>2026-10-08</x:v>
      </x:c>
      <x:c r="AP596" s="7" t="str">
        <x:v>d87f87ee93e2a34d0e273a8ff3f3e1f482a1c6cbd95f0697216f9ef60245a882</x:v>
      </x:c>
      <x:c r="AQ596" s="7" t="str">
        <x:v>Accident and Health / Inactive / 08/05/2004 / 08/31/2006 / 08/31/2006
Life-Only / Inactive / 08/05/2004 / 08/31/2006 / 08/31/2006</x:v>
      </x:c>
      <x:c r="AR596" s="7" t="str">
        <x:v>Inactive</x:v>
      </x:c>
      <x:c r="AS596" s="7" t="str">
        <x:v>Current detail page</x:v>
      </x:c>
    </x:row>
    <x:row r="597" ht="52" customHeight="1">
      <x:c r="A597" s="7" t="str">
        <x:v>AGUILAR JOHNNY J</x:v>
      </x:c>
      <x:c r="B597" s="14" t="str">
        <x:f>"4062557"</x:f>
        <x:v>4062557</x:v>
      </x:c>
      <x:c r="C597" s="7" t="str">
        <x:v>Omitted</x:v>
      </x:c>
      <x:c r="D597" s="7" t="str">
        <x:v>FAIL</x:v>
      </x:c>
      <x:c r="E597" s="13" t="str">
        <x:v>Pending</x:v>
      </x:c>
      <x:c r="F597" s="13" t="str"/>
      <x:c r="G597" s="13" t="str"/>
      <x:c r="H597" s="13" t="str"/>
      <x:c r="I597" s="7" t="str">
        <x:v>Was this person reviewed? If rejected, give the actual rule and evidence. If acceptable, correct the omission. Confirm the Life-qualification gate and any record change since selection.</x:v>
      </x:c>
      <x:c r="J597" s="7" t="str">
        <x:v>L1</x:v>
      </x:c>
      <x:c r="K597" s="7" t="str">
        <x:v>Verified qualifications do not include active general Life. Current target-pool mismatch; actual historical omission reason unknown.</x:v>
      </x:c>
      <x:c r="L597" s="7" t="str">
        <x:v>Not supplied; membership is known, motive is not</x:v>
      </x:c>
      <x:c r="M597" s="7" t="n">
        <x:v>7</x:v>
      </x:c>
      <x:c r="N597" s="7" t="str">
        <x:v>Outside current general-Life recruiting pool</x:v>
      </x:c>
      <x:c r="O597" s="7" t="str">
        <x:v>Not displayed</x:v>
      </x:c>
      <x:c r="P597" s="7" t="str"/>
      <x:c r="Q597" s="7" t="str"/>
      <x:c r="R597" s="7" t="str">
        <x:v>Casualty; Property</x:v>
      </x:c>
      <x:c r="S597" s="15" t="str">
        <x:v>818-209-8226</x:v>
      </x:c>
      <x:c r="T597" s="7" t="str">
        <x:v>Current CDI</x:v>
      </x:c>
      <x:c r="U597" s="7" t="str">
        <x:v>27557 AMETHYST WAY CASTAIC CA, 91384</x:v>
      </x:c>
      <x:c r="V597" s="7" t="str">
        <x:v>Resident</x:v>
      </x:c>
      <x:c r="W597" s="7" t="str">
        <x:v>CA</x:v>
      </x:c>
      <x:c r="X597" s="7" t="str">
        <x:v>PARAMOUNT EXCLUSIVE INSURANCE SERVICES, INC. / Casualty / 09/08/2020
PARAMOUNT EXCLUSIVE INSURANCE SERVICES, INC. / Property / 09/08/2020</x:v>
      </x:c>
      <x:c r="Y597" s="7" t="str"/>
      <x:c r="Z597" s="7" t="str"/>
      <x:c r="AA597" s="7" t="str"/>
      <x:c r="AB597" s="7" t="str"/>
      <x:c r="AC597" s="7" t="str"/>
      <x:c r="AD597" s="7" t="str"/>
      <x:c r="AE597" s="7" t="str">
        <x:v>P&amp;C/Personal Lines authority without displayed core Life appointments; mixed profile requires review</x:v>
      </x:c>
      <x:c r="AF597" s="16" t="str"/>
      <x:c r="AG597" s="17" t="str"/>
      <x:c r="AH597" s="7" t="str"/>
      <x:c r="AI597" s="7" t="str">
        <x:v>English</x:v>
      </x:c>
      <x:c r="AJ597" s="7" t="str"/>
      <x:c r="AK597" s="15" t="str"/>
      <x:c r="AL597" s="7" t="str"/>
      <x:c r="AM597" s="7" t="str">
        <x:v>AGUILAR j JOHNNY</x:v>
      </x:c>
      <x:c r="AN597" s="7" t="str">
        <x:v>https://cdicloud.insurance.ca.gov/cal/LicenseDetail?SearchType=IND&amp;SearchLicNbr=4062557&amp;SearchIndvId=4062557</x:v>
      </x:c>
      <x:c r="AO597" s="7" t="str">
        <x:v>2026-10-08</x:v>
      </x:c>
      <x:c r="AP597" s="7" t="str">
        <x:v>affba7923213e77029db5e1c7bec7bd99ebcfbcfe139a63fa510f0bd6fb9b5f1</x:v>
      </x:c>
      <x:c r="AQ597" s="7" t="str">
        <x:v>Casualty / Active / 09/08/2020 / 09/08/2020 / 09/30/2028
Property / Active / 09/08/2020 / 09/08/2020 / 09/30/2028</x:v>
      </x:c>
      <x:c r="AR597" s="7" t="str">
        <x:v>Active</x:v>
      </x:c>
      <x:c r="AS597" s="7" t="str">
        <x:v>Current detail page</x:v>
      </x:c>
    </x:row>
    <x:row r="598" ht="52" customHeight="1">
      <x:c r="A598" s="7" t="str">
        <x:v>AGUILAR JOHNSON CHRISTIAN ANTHONY</x:v>
      </x:c>
      <x:c r="B598" s="14" t="str">
        <x:f>"0H78843"</x:f>
        <x:v>0H78843</x:v>
      </x:c>
      <x:c r="C598" s="7" t="str">
        <x:v>Omitted</x:v>
      </x:c>
      <x:c r="D598" s="7" t="str">
        <x:v>FAIL</x:v>
      </x:c>
      <x:c r="E598" s="13" t="str">
        <x:v>Pending</x:v>
      </x:c>
      <x:c r="F598" s="13" t="str"/>
      <x:c r="G598" s="13" t="str"/>
      <x:c r="H598" s="13" t="str"/>
      <x:c r="I598" s="7" t="str">
        <x:v>Was this person reviewed? If rejected, give the actual rule and evidence. If acceptable, correct the omission. Confirm the Life-qualification gate and any record change since selection.</x:v>
      </x:c>
      <x:c r="J598" s="7" t="str">
        <x:v>L1</x:v>
      </x:c>
      <x:c r="K598" s="7" t="str">
        <x:v>Verified qualifications do not include active general Life. Current target-pool mismatch; actual historical omission reason unknown.</x:v>
      </x:c>
      <x:c r="L598" s="7" t="str">
        <x:v>Not supplied; membership is known, motive is not</x:v>
      </x:c>
      <x:c r="M598" s="7" t="n">
        <x:v>7</x:v>
      </x:c>
      <x:c r="N598" s="7" t="str">
        <x:v>Outside current general-Life recruiting pool</x:v>
      </x:c>
      <x:c r="O598" s="7" t="str">
        <x:v>Not displayed</x:v>
      </x:c>
      <x:c r="P598" s="7" t="str"/>
      <x:c r="Q598" s="7" t="str"/>
      <x:c r="R598" s="7" t="str"/>
      <x:c r="S598" s="15" t="str"/>
      <x:c r="T598" s="7" t="str">
        <x:v>No public business phone in collected record</x:v>
      </x:c>
      <x:c r="U598" s="7" t="str"/>
      <x:c r="V598" s="7" t="str">
        <x:v>Resident</x:v>
      </x:c>
      <x:c r="W598" s="7" t="str">
        <x:v>CA</x:v>
      </x:c>
      <x:c r="X598" s="7" t="str"/>
      <x:c r="Y598" s="7" t="str"/>
      <x:c r="Z598" s="7" t="str"/>
      <x:c r="AA598" s="7" t="str"/>
      <x:c r="AB598" s="7" t="str"/>
      <x:c r="AC598" s="7" t="str"/>
      <x:c r="AD598" s="7" t="str">
        <x:v>No agency or insurer displayed: onboarding opportunity possible; existing business unknown</x:v>
      </x:c>
      <x:c r="AE598" s="7" t="str">
        <x:v>No public business phone: contact enrichment needed, not proof of poor recruiting fit</x:v>
      </x:c>
      <x:c r="AF598" s="16" t="str"/>
      <x:c r="AG598" s="17" t="str"/>
      <x:c r="AH598" s="7" t="str"/>
      <x:c r="AI598" s="7" t="str"/>
      <x:c r="AJ598" s="7" t="str"/>
      <x:c r="AK598" s="15" t="str"/>
      <x:c r="AL598" s="7" t="str"/>
      <x:c r="AM598" s="7" t="str">
        <x:v>AGUILAR JOHNSON ANTHONY CHRISTIAN</x:v>
      </x:c>
      <x:c r="AN598" s="7" t="str">
        <x:v>https://cdicloud.insurance.ca.gov/cal/LicenseDetail?SearchType=IND&amp;SearchLicNbr=0H78843&amp;SearchIndvId=1501947</x:v>
      </x:c>
      <x:c r="AO598" s="7" t="str">
        <x:v>2026-10-08</x:v>
      </x:c>
      <x:c r="AP598" s="7" t="str">
        <x:v>039d808a7730b386bfd783b2a11f355d2ed6628b3ca4543e22f49ebc227eb6eb</x:v>
      </x:c>
      <x:c r="AQ598" s="7" t="str">
        <x:v>Accident and Health / Inactive / 02/29/2012 / 02/28/2014 / 02/28/2014
Life-Only / Inactive / 02/29/2012 / 02/28/2014 / 02/28/2014</x:v>
      </x:c>
      <x:c r="AR598" s="7" t="str">
        <x:v>Inactive</x:v>
      </x:c>
      <x:c r="AS598" s="7" t="str">
        <x:v>Current detail page</x:v>
      </x:c>
    </x:row>
    <x:row r="599" ht="52" customHeight="1">
      <x:c r="A599" s="7" t="str">
        <x:v>AGUILAR JOKABED ALEJANDRA</x:v>
      </x:c>
      <x:c r="B599" s="14" t="str">
        <x:f>"0G29751"</x:f>
        <x:v>0G29751</x:v>
      </x:c>
      <x:c r="C599" s="7" t="str">
        <x:v>Omitted</x:v>
      </x:c>
      <x:c r="D599" s="7" t="str">
        <x:v>FAIL</x:v>
      </x:c>
      <x:c r="E599" s="13" t="str">
        <x:v>Pending</x:v>
      </x:c>
      <x:c r="F599" s="13" t="str"/>
      <x:c r="G599" s="13" t="str"/>
      <x:c r="H599" s="13" t="str"/>
      <x:c r="I599" s="7" t="str">
        <x:v>Was this person reviewed? If rejected, give the actual rule and evidence. If acceptable, correct the omission. Confirm the Life-qualification gate and any record change since selection.</x:v>
      </x:c>
      <x:c r="J599" s="7" t="str">
        <x:v>L1</x:v>
      </x:c>
      <x:c r="K599" s="7" t="str">
        <x:v>Verified qualifications do not include active general Life. Current target-pool mismatch; actual historical omission reason unknown.</x:v>
      </x:c>
      <x:c r="L599" s="7" t="str">
        <x:v>Not supplied; membership is known, motive is not</x:v>
      </x:c>
      <x:c r="M599" s="7" t="n">
        <x:v>7</x:v>
      </x:c>
      <x:c r="N599" s="7" t="str">
        <x:v>Outside current general-Life recruiting pool</x:v>
      </x:c>
      <x:c r="O599" s="7" t="str">
        <x:v>Not displayed</x:v>
      </x:c>
      <x:c r="P599" s="7" t="str"/>
      <x:c r="Q599" s="7" t="str"/>
      <x:c r="R599" s="7" t="str"/>
      <x:c r="S599" s="15" t="str"/>
      <x:c r="T599" s="7" t="str">
        <x:v>No public business phone in collected record</x:v>
      </x:c>
      <x:c r="U599" s="7" t="str"/>
      <x:c r="V599" s="7" t="str">
        <x:v>Resident</x:v>
      </x:c>
      <x:c r="W599" s="7" t="str">
        <x:v>CA</x:v>
      </x:c>
      <x:c r="X599" s="7" t="str"/>
      <x:c r="Y599" s="7" t="str"/>
      <x:c r="Z599" s="7" t="str"/>
      <x:c r="AA599" s="7" t="str"/>
      <x:c r="AB599" s="7" t="str"/>
      <x:c r="AC599" s="7" t="str"/>
      <x:c r="AD599" s="7" t="str">
        <x:v>No agency or insurer displayed: onboarding opportunity possible; existing business unknown</x:v>
      </x:c>
      <x:c r="AE599" s="7" t="str">
        <x:v>No public business phone: contact enrichment needed, not proof of poor recruiting fit</x:v>
      </x:c>
      <x:c r="AF599" s="16" t="str"/>
      <x:c r="AG599" s="17" t="str"/>
      <x:c r="AH599" s="7" t="str"/>
      <x:c r="AI599" s="7" t="str"/>
      <x:c r="AJ599" s="7" t="str"/>
      <x:c r="AK599" s="15" t="str"/>
      <x:c r="AL599" s="7" t="str"/>
      <x:c r="AM599" s="7" t="str">
        <x:v>AGUILAR ALEJANDRA JOKABED</x:v>
      </x:c>
      <x:c r="AN599" s="7" t="str">
        <x:v>https://cdicloud.insurance.ca.gov/cal/LicenseDetail?SearchType=IND&amp;SearchLicNbr=0G29751&amp;SearchIndvId=1178481</x:v>
      </x:c>
      <x:c r="AO599" s="7" t="str">
        <x:v>2026-10-08</x:v>
      </x:c>
      <x:c r="AP599" s="7" t="str">
        <x:v>9d9eea3acc918eab43c8c05b27da9e20301a23401089e66479a7dd3ee5964b31</x:v>
      </x:c>
      <x:c r="AQ599" s="7" t="str">
        <x:v>Limited Lines Automobile / Inactive / 09/15/2008 / 09/30/2010 / 09/30/2010</x:v>
      </x:c>
      <x:c r="AR599" s="7" t="str">
        <x:v>Inactive</x:v>
      </x:c>
      <x:c r="AS599" s="7" t="str">
        <x:v>Current detail page</x:v>
      </x:c>
    </x:row>
    <x:row r="600" ht="52" customHeight="1">
      <x:c r="A600" s="7" t="str">
        <x:v>AGUILAR JONATHAN</x:v>
      </x:c>
      <x:c r="B600" s="14" t="str">
        <x:f>"0L74275"</x:f>
        <x:v>0L74275</x:v>
      </x:c>
      <x:c r="C600" s="7" t="str">
        <x:v>Omitted</x:v>
      </x:c>
      <x:c r="D600" s="7" t="str">
        <x:v>FAIL</x:v>
      </x:c>
      <x:c r="E600" s="13" t="str">
        <x:v>Pending</x:v>
      </x:c>
      <x:c r="F600" s="13" t="str"/>
      <x:c r="G600" s="13" t="str"/>
      <x:c r="H600" s="13" t="str"/>
      <x:c r="I600" s="7" t="str">
        <x:v>Was this person reviewed? If rejected, give the actual rule and evidence. If acceptable, correct the omission. Confirm the Life-qualification gate and any record change since selection.</x:v>
      </x:c>
      <x:c r="J600" s="7" t="str">
        <x:v>L1</x:v>
      </x:c>
      <x:c r="K600" s="7" t="str">
        <x:v>Verified qualifications do not include active general Life. Current target-pool mismatch; actual historical omission reason unknown.</x:v>
      </x:c>
      <x:c r="L600" s="7" t="str">
        <x:v>Not supplied; membership is known, motive is not</x:v>
      </x:c>
      <x:c r="M600" s="7" t="n">
        <x:v>7</x:v>
      </x:c>
      <x:c r="N600" s="7" t="str">
        <x:v>Outside current general-Life recruiting pool</x:v>
      </x:c>
      <x:c r="O600" s="7" t="str">
        <x:v>Not displayed</x:v>
      </x:c>
      <x:c r="P600" s="7" t="str"/>
      <x:c r="Q600" s="7" t="str"/>
      <x:c r="R600" s="7" t="str"/>
      <x:c r="S600" s="15" t="str"/>
      <x:c r="T600" s="7" t="str">
        <x:v>No public business phone in collected record</x:v>
      </x:c>
      <x:c r="U600" s="7" t="str"/>
      <x:c r="V600" s="7" t="str">
        <x:v>Resident</x:v>
      </x:c>
      <x:c r="W600" s="7" t="str">
        <x:v>CA</x:v>
      </x:c>
      <x:c r="X600" s="7" t="str"/>
      <x:c r="Y600" s="7" t="str"/>
      <x:c r="Z600" s="7" t="str"/>
      <x:c r="AA600" s="7" t="str"/>
      <x:c r="AB600" s="7" t="str"/>
      <x:c r="AC600" s="7" t="str"/>
      <x:c r="AD600" s="7" t="str">
        <x:v>No agency or insurer displayed: onboarding opportunity possible; existing business unknown</x:v>
      </x:c>
      <x:c r="AE600" s="7" t="str">
        <x:v>No public business phone: contact enrichment needed, not proof of poor recruiting fit</x:v>
      </x:c>
      <x:c r="AF600" s="16" t="str"/>
      <x:c r="AG600" s="17" t="str"/>
      <x:c r="AH600" s="7" t="str"/>
      <x:c r="AI600" s="7" t="str"/>
      <x:c r="AJ600" s="7" t="str"/>
      <x:c r="AK600" s="15" t="str"/>
      <x:c r="AL600" s="7" t="str"/>
      <x:c r="AM600" s="7" t="str">
        <x:v>AGUILAR  JONATHAN</x:v>
      </x:c>
      <x:c r="AN600" s="7" t="str">
        <x:v>https://cdicloud.insurance.ca.gov/cal/LicenseDetail?SearchType=IND&amp;SearchLicNbr=0L74275&amp;SearchIndvId=1932140</x:v>
      </x:c>
      <x:c r="AO600" s="7" t="str">
        <x:v>2026-10-08</x:v>
      </x:c>
      <x:c r="AP600" s="7" t="str">
        <x:v>43ade50b659ddf4120fb976f2d15ba448d101688bca594eca40ec536bfaa7b98</x:v>
      </x:c>
      <x:c r="AQ600" s="7" t="str">
        <x:v>Life-Only / Inactive / 05/10/2017 / 05/31/2019 / 05/31/2019</x:v>
      </x:c>
      <x:c r="AR600" s="7" t="str">
        <x:v>Inactive</x:v>
      </x:c>
      <x:c r="AS600" s="7" t="str">
        <x:v>Current detail page</x:v>
      </x:c>
    </x:row>
    <x:row r="601" ht="52" customHeight="1">
      <x:c r="A601" s="7" t="str">
        <x:v>AGUILAR JONATHAN</x:v>
      </x:c>
      <x:c r="B601" s="14" t="str">
        <x:f>"1K32189"</x:f>
        <x:v>1K32189</x:v>
      </x:c>
      <x:c r="C601" s="7" t="str">
        <x:v>Omitted</x:v>
      </x:c>
      <x:c r="D601" s="7" t="str">
        <x:v>FAIL</x:v>
      </x:c>
      <x:c r="E601" s="13" t="str">
        <x:v>Pending</x:v>
      </x:c>
      <x:c r="F601" s="13" t="str"/>
      <x:c r="G601" s="13" t="str"/>
      <x:c r="H601" s="13" t="str"/>
      <x:c r="I601" s="7" t="str">
        <x:v>Was this person reviewed? If rejected, give the actual rule and evidence. If acceptable, correct the omission. Confirm the Life-qualification gate and any record change since selection.</x:v>
      </x:c>
      <x:c r="J601" s="7" t="str">
        <x:v>L1</x:v>
      </x:c>
      <x:c r="K601" s="7" t="str">
        <x:v>Verified qualifications do not include active general Life. Current target-pool mismatch; actual historical omission reason unknown.</x:v>
      </x:c>
      <x:c r="L601" s="7" t="str">
        <x:v>Not supplied; membership is known, motive is not</x:v>
      </x:c>
      <x:c r="M601" s="7" t="n">
        <x:v>7</x:v>
      </x:c>
      <x:c r="N601" s="7" t="str">
        <x:v>Outside current general-Life recruiting pool</x:v>
      </x:c>
      <x:c r="O601" s="7" t="str">
        <x:v>Not displayed</x:v>
      </x:c>
      <x:c r="P601" s="7" t="str"/>
      <x:c r="Q601" s="7" t="str"/>
      <x:c r="R601" s="7" t="str"/>
      <x:c r="S601" s="15" t="str"/>
      <x:c r="T601" s="7" t="str">
        <x:v>No public business phone in collected record</x:v>
      </x:c>
      <x:c r="U601" s="7" t="str"/>
      <x:c r="V601" s="7" t="str">
        <x:v>Resident</x:v>
      </x:c>
      <x:c r="W601" s="7" t="str">
        <x:v>CA</x:v>
      </x:c>
      <x:c r="X601" s="7" t="str"/>
      <x:c r="Y601" s="7" t="str"/>
      <x:c r="Z601" s="7" t="str"/>
      <x:c r="AA601" s="7" t="str"/>
      <x:c r="AB601" s="7" t="str"/>
      <x:c r="AC601" s="7" t="str"/>
      <x:c r="AD601" s="7" t="str">
        <x:v>No agency or insurer displayed: onboarding opportunity possible; existing business unknown</x:v>
      </x:c>
      <x:c r="AE601" s="7" t="str">
        <x:v>No public business phone: contact enrichment needed, not proof of poor recruiting fit</x:v>
      </x:c>
      <x:c r="AF601" s="16" t="str"/>
      <x:c r="AG601" s="17" t="str"/>
      <x:c r="AH601" s="7" t="str"/>
      <x:c r="AI601" s="7" t="str"/>
      <x:c r="AJ601" s="7" t="str"/>
      <x:c r="AK601" s="15" t="str"/>
      <x:c r="AL601" s="7" t="str"/>
      <x:c r="AM601" s="7" t="str">
        <x:v>AGUILAR  JONATHAN</x:v>
      </x:c>
      <x:c r="AN601" s="7" t="str">
        <x:v>https://cdicloud.insurance.ca.gov/cal/LicenseDetail?SearchType=IND&amp;SearchLicNbr=1K32189&amp;SearchIndvId=1763326</x:v>
      </x:c>
      <x:c r="AO601" s="7" t="str">
        <x:v>2026-10-08</x:v>
      </x:c>
      <x:c r="AP601" s="7" t="str">
        <x:v>93be166f96196e9a32b1627700be8dba5cbf3cc772ef3e7faf3639609fc0c137</x:v>
      </x:c>
      <x:c r="AQ601" s="7" t="str">
        <x:v>Bail Agent / Inactive / 06/23/2015 / 08/21/2017 / 08/21/2017</x:v>
      </x:c>
      <x:c r="AR601" s="7" t="str">
        <x:v>Inactive</x:v>
      </x:c>
      <x:c r="AS601" s="7" t="str">
        <x:v>Current detail page</x:v>
      </x:c>
    </x:row>
    <x:row r="602" ht="52" customHeight="1">
      <x:c r="A602" s="7" t="str">
        <x:v>AGUILAR JONATHAN RAY</x:v>
      </x:c>
      <x:c r="B602" s="14" t="str">
        <x:f>"4011202"</x:f>
        <x:v>4011202</x:v>
      </x:c>
      <x:c r="C602" s="7" t="str">
        <x:v>Omitted</x:v>
      </x:c>
      <x:c r="D602" s="7" t="str">
        <x:v>FAIL</x:v>
      </x:c>
      <x:c r="E602" s="13" t="str">
        <x:v>Pending</x:v>
      </x:c>
      <x:c r="F602" s="13" t="str"/>
      <x:c r="G602" s="13" t="str"/>
      <x:c r="H602" s="13" t="str"/>
      <x:c r="I602" s="7" t="str">
        <x:v>Was this person reviewed? If rejected, give the actual rule and evidence. If acceptable, correct the omission. Confirm the Life-qualification gate and any record change since selection.</x:v>
      </x:c>
      <x:c r="J602" s="7" t="str">
        <x:v>L1</x:v>
      </x:c>
      <x:c r="K602" s="7" t="str">
        <x:v>Verified qualifications do not include active general Life. Current target-pool mismatch; actual historical omission reason unknown.</x:v>
      </x:c>
      <x:c r="L602" s="7" t="str">
        <x:v>Not supplied; membership is known, motive is not</x:v>
      </x:c>
      <x:c r="M602" s="7" t="n">
        <x:v>7</x:v>
      </x:c>
      <x:c r="N602" s="7" t="str">
        <x:v>Outside current general-Life recruiting pool</x:v>
      </x:c>
      <x:c r="O602" s="7" t="str">
        <x:v>Not displayed</x:v>
      </x:c>
      <x:c r="P602" s="7" t="str"/>
      <x:c r="Q602" s="7" t="str"/>
      <x:c r="R602" s="7" t="str"/>
      <x:c r="S602" s="15" t="str">
        <x:v>714-841-4536</x:v>
      </x:c>
      <x:c r="T602" s="7" t="str">
        <x:v>Current CDI</x:v>
      </x:c>
      <x:c r="U602" s="7" t="str">
        <x:v>8907 WARNER AVE STE 261 HUNTINGTON BEACH CA, 92647</x:v>
      </x:c>
      <x:c r="V602" s="7" t="str">
        <x:v>Resident</x:v>
      </x:c>
      <x:c r="W602" s="7" t="str">
        <x:v>CA</x:v>
      </x:c>
      <x:c r="X602" s="7" t="str"/>
      <x:c r="Y602" s="7" t="str"/>
      <x:c r="Z602" s="7" t="str"/>
      <x:c r="AA602" s="7" t="str"/>
      <x:c r="AB602" s="7" t="str"/>
      <x:c r="AC602" s="7" t="str"/>
      <x:c r="AD602" s="7" t="str">
        <x:v>No agency or insurer displayed: onboarding opportunity possible; existing business unknown</x:v>
      </x:c>
      <x:c r="AE602" s="7" t="str"/>
      <x:c r="AF602" s="16" t="str"/>
      <x:c r="AG602" s="17" t="str"/>
      <x:c r="AH602" s="7" t="str"/>
      <x:c r="AI602" s="7" t="str">
        <x:v>English</x:v>
      </x:c>
      <x:c r="AJ602" s="7" t="str"/>
      <x:c r="AK602" s="15" t="str"/>
      <x:c r="AL602" s="7" t="str"/>
      <x:c r="AM602" s="7" t="str">
        <x:v>Aguilar R Jonathan | AGUILAR RAY JONATHAN</x:v>
      </x:c>
      <x:c r="AN602" s="7" t="str">
        <x:v>https://cdicloud.insurance.ca.gov/cal/LicenseDetail?SearchType=IND&amp;SearchLicNbr=4011202&amp;SearchIndvId=4011202</x:v>
      </x:c>
      <x:c r="AO602" s="7" t="str">
        <x:v>2026-10-08</x:v>
      </x:c>
      <x:c r="AP602" s="7" t="str">
        <x:v>7f9d280e1165447932970649ca1bf65007ba384e1cc0d9dfcf477db71f67fdb0</x:v>
      </x:c>
      <x:c r="AQ602" s="7" t="str">
        <x:v>Personal Lines / Inactive / 10/29/2019 / 10/31/2025 / 10/31/2025</x:v>
      </x:c>
      <x:c r="AR602" s="7" t="str">
        <x:v>Inactive</x:v>
      </x:c>
      <x:c r="AS602" s="7" t="str">
        <x:v>Current detail page</x:v>
      </x:c>
    </x:row>
    <x:row r="603" ht="52" customHeight="1">
      <x:c r="A603" s="7" t="str">
        <x:v>AGUILAR JONATHAN SANCHEZ</x:v>
      </x:c>
      <x:c r="B603" s="14" t="str">
        <x:f>"0F98446"</x:f>
        <x:v>0F98446</x:v>
      </x:c>
      <x:c r="C603" s="7" t="str">
        <x:v>Omitted</x:v>
      </x:c>
      <x:c r="D603" s="7" t="str">
        <x:v>FAIL</x:v>
      </x:c>
      <x:c r="E603" s="13" t="str">
        <x:v>Pending</x:v>
      </x:c>
      <x:c r="F603" s="13" t="str"/>
      <x:c r="G603" s="13" t="str"/>
      <x:c r="H603" s="13" t="str"/>
      <x:c r="I603" s="7" t="str">
        <x:v>Was this person reviewed? If rejected, give the actual rule and evidence. If acceptable, correct the omission. Confirm the Life-qualification gate and any record change since selection.</x:v>
      </x:c>
      <x:c r="J603" s="7" t="str">
        <x:v>L1</x:v>
      </x:c>
      <x:c r="K603" s="7" t="str">
        <x:v>Verified qualifications do not include active general Life. Current target-pool mismatch; actual historical omission reason unknown.</x:v>
      </x:c>
      <x:c r="L603" s="7" t="str">
        <x:v>Not supplied; membership is known, motive is not</x:v>
      </x:c>
      <x:c r="M603" s="7" t="n">
        <x:v>7</x:v>
      </x:c>
      <x:c r="N603" s="7" t="str">
        <x:v>Outside current general-Life recruiting pool</x:v>
      </x:c>
      <x:c r="O603" s="7" t="str">
        <x:v>Not displayed</x:v>
      </x:c>
      <x:c r="P603" s="7" t="str"/>
      <x:c r="Q603" s="7" t="str"/>
      <x:c r="R603" s="7" t="str"/>
      <x:c r="S603" s="15" t="str"/>
      <x:c r="T603" s="7" t="str">
        <x:v>No public business phone in collected record</x:v>
      </x:c>
      <x:c r="U603" s="7" t="str"/>
      <x:c r="V603" s="7" t="str">
        <x:v>Resident</x:v>
      </x:c>
      <x:c r="W603" s="7" t="str">
        <x:v>CA</x:v>
      </x:c>
      <x:c r="X603" s="7" t="str"/>
      <x:c r="Y603" s="7" t="str"/>
      <x:c r="Z603" s="7" t="str"/>
      <x:c r="AA603" s="7" t="str"/>
      <x:c r="AB603" s="7" t="str"/>
      <x:c r="AC603" s="7" t="str"/>
      <x:c r="AD603" s="7" t="str">
        <x:v>No agency or insurer displayed: onboarding opportunity possible; existing business unknown</x:v>
      </x:c>
      <x:c r="AE603" s="7" t="str">
        <x:v>No public business phone: contact enrichment needed, not proof of poor recruiting fit</x:v>
      </x:c>
      <x:c r="AF603" s="16" t="str"/>
      <x:c r="AG603" s="17" t="str"/>
      <x:c r="AH603" s="7" t="str"/>
      <x:c r="AI603" s="7" t="str"/>
      <x:c r="AJ603" s="7" t="str"/>
      <x:c r="AK603" s="15" t="str"/>
      <x:c r="AL603" s="7" t="str"/>
      <x:c r="AM603" s="7" t="str">
        <x:v>AGUILAR SANCHEZ JONATHAN</x:v>
      </x:c>
      <x:c r="AN603" s="7" t="str">
        <x:v>https://cdicloud.insurance.ca.gov/cal/LicenseDetail?SearchType=IND&amp;SearchLicNbr=0F98446&amp;SearchIndvId=1121842</x:v>
      </x:c>
      <x:c r="AO603" s="7" t="str">
        <x:v>2026-10-08</x:v>
      </x:c>
      <x:c r="AP603" s="7" t="str">
        <x:v>7d0d4de1dc6ee6550835e97d1631d08ccfdb23b6779911e37493d8d17ed9ae4e</x:v>
      </x:c>
      <x:c r="AQ603" s="7" t="str">
        <x:v>Life-Only / Inactive / 02/01/2008 / 02/28/2010 / 02/28/2010</x:v>
      </x:c>
      <x:c r="AR603" s="7" t="str">
        <x:v>Inactive</x:v>
      </x:c>
      <x:c r="AS603" s="7" t="str">
        <x:v>Current detail page</x:v>
      </x:c>
    </x:row>
    <x:row r="604" ht="52" customHeight="1">
      <x:c r="A604" s="7" t="str">
        <x:v>AGUILAR JORDAN MICHAEL</x:v>
      </x:c>
      <x:c r="B604" s="14" t="str">
        <x:f>"0G47948"</x:f>
        <x:v>0G47948</x:v>
      </x:c>
      <x:c r="C604" s="7" t="str">
        <x:v>Omitted</x:v>
      </x:c>
      <x:c r="D604" s="7" t="str">
        <x:v>FAIL</x:v>
      </x:c>
      <x:c r="E604" s="13" t="str">
        <x:v>Pending</x:v>
      </x:c>
      <x:c r="F604" s="13" t="str"/>
      <x:c r="G604" s="13" t="str"/>
      <x:c r="H604" s="13" t="str"/>
      <x:c r="I604" s="7" t="str">
        <x:v>Was this person reviewed? If rejected, give the actual rule and evidence. If acceptable, correct the omission. Confirm the Life-qualification gate and any record change since selection.</x:v>
      </x:c>
      <x:c r="J604" s="7" t="str">
        <x:v>L1</x:v>
      </x:c>
      <x:c r="K604" s="7" t="str">
        <x:v>Verified qualifications do not include active general Life. Current target-pool mismatch; actual historical omission reason unknown.</x:v>
      </x:c>
      <x:c r="L604" s="7" t="str">
        <x:v>Not supplied; membership is known, motive is not</x:v>
      </x:c>
      <x:c r="M604" s="7" t="n">
        <x:v>7</x:v>
      </x:c>
      <x:c r="N604" s="7" t="str">
        <x:v>Outside current general-Life recruiting pool</x:v>
      </x:c>
      <x:c r="O604" s="7" t="str">
        <x:v>Not displayed</x:v>
      </x:c>
      <x:c r="P604" s="7" t="str"/>
      <x:c r="Q604" s="7" t="str"/>
      <x:c r="R604" s="7" t="str"/>
      <x:c r="S604" s="15" t="str"/>
      <x:c r="T604" s="7" t="str">
        <x:v>No public business phone in collected record</x:v>
      </x:c>
      <x:c r="U604" s="7" t="str"/>
      <x:c r="V604" s="7" t="str">
        <x:v>Resident</x:v>
      </x:c>
      <x:c r="W604" s="7" t="str">
        <x:v>CA</x:v>
      </x:c>
      <x:c r="X604" s="7" t="str"/>
      <x:c r="Y604" s="7" t="str"/>
      <x:c r="Z604" s="7" t="str"/>
      <x:c r="AA604" s="7" t="str"/>
      <x:c r="AB604" s="7" t="str"/>
      <x:c r="AC604" s="7" t="str"/>
      <x:c r="AD604" s="7" t="str">
        <x:v>No agency or insurer displayed: onboarding opportunity possible; existing business unknown</x:v>
      </x:c>
      <x:c r="AE604" s="7" t="str">
        <x:v>No public business phone: contact enrichment needed, not proof of poor recruiting fit</x:v>
      </x:c>
      <x:c r="AF604" s="16" t="str"/>
      <x:c r="AG604" s="17" t="str"/>
      <x:c r="AH604" s="7" t="str"/>
      <x:c r="AI604" s="7" t="str"/>
      <x:c r="AJ604" s="7" t="str"/>
      <x:c r="AK604" s="15" t="str"/>
      <x:c r="AL604" s="7" t="str"/>
      <x:c r="AM604" s="7" t="str">
        <x:v>AGUILAR MICHAEL JORDAN</x:v>
      </x:c>
      <x:c r="AN604" s="7" t="str">
        <x:v>https://cdicloud.insurance.ca.gov/cal/LicenseDetail?SearchType=IND&amp;SearchLicNbr=0G47948&amp;SearchIndvId=1223957</x:v>
      </x:c>
      <x:c r="AO604" s="7" t="str">
        <x:v>2026-10-08</x:v>
      </x:c>
      <x:c r="AP604" s="7" t="str">
        <x:v>39d0f41e445765100ab5099e8c7345ebe6bdcd8740b16b5774b0df144135647b</x:v>
      </x:c>
      <x:c r="AQ604" s="7" t="str">
        <x:v>Accident and Health / Inactive / 01/30/2009 / 01/31/2011 / 01/31/2011
Casualty Broker-Agent / Inactive / 01/30/2009 / 01/31/2011 / 01/31/2011
Life-Only / Inactive / 01/30/2009 / 01/31/2011 / 01/31/2011
Property Broker-Agent / Inactive / 01/30/2009 / 01/31/2011 / 01/31/2011</x:v>
      </x:c>
      <x:c r="AR604" s="7" t="str">
        <x:v>Inactive</x:v>
      </x:c>
      <x:c r="AS604" s="7" t="str">
        <x:v>Current detail page</x:v>
      </x:c>
    </x:row>
    <x:row r="605" ht="52" customHeight="1">
      <x:c r="A605" s="7" t="str">
        <x:v>AGUILAR JORGE</x:v>
      </x:c>
      <x:c r="B605" s="14" t="str">
        <x:f>"0F52614"</x:f>
        <x:v>0F52614</x:v>
      </x:c>
      <x:c r="C605" s="7" t="str">
        <x:v>Omitted</x:v>
      </x:c>
      <x:c r="D605" s="7" t="str">
        <x:v>FAIL</x:v>
      </x:c>
      <x:c r="E605" s="13" t="str">
        <x:v>Pending</x:v>
      </x:c>
      <x:c r="F605" s="13" t="str"/>
      <x:c r="G605" s="13" t="str"/>
      <x:c r="H605" s="13" t="str"/>
      <x:c r="I605" s="7" t="str">
        <x:v>Was this person reviewed? If rejected, give the actual rule and evidence. If acceptable, correct the omission. Confirm the Life-qualification gate and any record change since selection.</x:v>
      </x:c>
      <x:c r="J605" s="7" t="str">
        <x:v>L1</x:v>
      </x:c>
      <x:c r="K605" s="7" t="str">
        <x:v>Verified qualifications do not include active general Life. Current target-pool mismatch; actual historical omission reason unknown.</x:v>
      </x:c>
      <x:c r="L605" s="7" t="str">
        <x:v>Not supplied; membership is known, motive is not</x:v>
      </x:c>
      <x:c r="M605" s="7" t="n">
        <x:v>7</x:v>
      </x:c>
      <x:c r="N605" s="7" t="str">
        <x:v>Outside current general-Life recruiting pool</x:v>
      </x:c>
      <x:c r="O605" s="7" t="str">
        <x:v>Not displayed</x:v>
      </x:c>
      <x:c r="P605" s="7" t="str"/>
      <x:c r="Q605" s="7" t="str"/>
      <x:c r="R605" s="7" t="str"/>
      <x:c r="S605" s="15" t="str"/>
      <x:c r="T605" s="7" t="str">
        <x:v>No public business phone in collected record</x:v>
      </x:c>
      <x:c r="U605" s="7" t="str"/>
      <x:c r="V605" s="7" t="str">
        <x:v>Resident</x:v>
      </x:c>
      <x:c r="W605" s="7" t="str">
        <x:v>CA</x:v>
      </x:c>
      <x:c r="X605" s="7" t="str"/>
      <x:c r="Y605" s="7" t="str"/>
      <x:c r="Z605" s="7" t="str"/>
      <x:c r="AA605" s="7" t="str"/>
      <x:c r="AB605" s="7" t="str"/>
      <x:c r="AC605" s="7" t="str"/>
      <x:c r="AD605" s="7" t="str">
        <x:v>No agency or insurer displayed: onboarding opportunity possible; existing business unknown</x:v>
      </x:c>
      <x:c r="AE605" s="7" t="str">
        <x:v>No public business phone: contact enrichment needed, not proof of poor recruiting fit</x:v>
      </x:c>
      <x:c r="AF605" s="16" t="str"/>
      <x:c r="AG605" s="17" t="str"/>
      <x:c r="AH605" s="7" t="str"/>
      <x:c r="AI605" s="7" t="str"/>
      <x:c r="AJ605" s="7" t="str"/>
      <x:c r="AK605" s="15" t="str"/>
      <x:c r="AL605" s="7" t="str"/>
      <x:c r="AM605" s="7" t="str">
        <x:v>AGUILAR  JORGE</x:v>
      </x:c>
      <x:c r="AN605" s="7" t="str">
        <x:v>https://cdicloud.insurance.ca.gov/cal/LicenseDetail?SearchType=IND&amp;SearchLicNbr=0F52614&amp;SearchIndvId=1065811</x:v>
      </x:c>
      <x:c r="AO605" s="7" t="str">
        <x:v>2026-10-08</x:v>
      </x:c>
      <x:c r="AP605" s="7" t="str">
        <x:v>717ccae396e01ae2c1285e718027625edc7c2d1eac687d299c74910f442fa1ce</x:v>
      </x:c>
      <x:c r="AQ605" s="7" t="str">
        <x:v>Accident and Health / Inactive / 01/25/2007 / 01/31/2011 / 01/31/2011
Life-Only / Inactive / 01/25/2007 / 01/31/2011 / 01/31/2011</x:v>
      </x:c>
      <x:c r="AR605" s="7" t="str">
        <x:v>Inactive</x:v>
      </x:c>
      <x:c r="AS605" s="7" t="str">
        <x:v>Current detail page</x:v>
      </x:c>
    </x:row>
    <x:row r="606" ht="52" customHeight="1">
      <x:c r="A606" s="7" t="str">
        <x:v>AGUILAR JORGE</x:v>
      </x:c>
      <x:c r="B606" s="14" t="str">
        <x:f>"0I64224"</x:f>
        <x:v>0I64224</x:v>
      </x:c>
      <x:c r="C606" s="7" t="str">
        <x:v>Omitted</x:v>
      </x:c>
      <x:c r="D606" s="7" t="str">
        <x:v>FAIL</x:v>
      </x:c>
      <x:c r="E606" s="13" t="str">
        <x:v>Pending</x:v>
      </x:c>
      <x:c r="F606" s="13" t="str"/>
      <x:c r="G606" s="13" t="str"/>
      <x:c r="H606" s="13" t="str"/>
      <x:c r="I606" s="7" t="str">
        <x:v>Was this person reviewed? If rejected, give the actual rule and evidence. If acceptable, correct the omission. Confirm the Life-qualification gate and any record change since selection.</x:v>
      </x:c>
      <x:c r="J606" s="7" t="str">
        <x:v>L1</x:v>
      </x:c>
      <x:c r="K606" s="7" t="str">
        <x:v>Verified qualifications do not include active general Life. Current target-pool mismatch; actual historical omission reason unknown.</x:v>
      </x:c>
      <x:c r="L606" s="7" t="str">
        <x:v>Not supplied; membership is known, motive is not</x:v>
      </x:c>
      <x:c r="M606" s="7" t="n">
        <x:v>7</x:v>
      </x:c>
      <x:c r="N606" s="7" t="str">
        <x:v>Outside current general-Life recruiting pool</x:v>
      </x:c>
      <x:c r="O606" s="7" t="str">
        <x:v>Not displayed</x:v>
      </x:c>
      <x:c r="P606" s="7" t="str"/>
      <x:c r="Q606" s="7" t="str"/>
      <x:c r="R606" s="7" t="str"/>
      <x:c r="S606" s="15" t="str"/>
      <x:c r="T606" s="7" t="str">
        <x:v>No public business phone in collected record</x:v>
      </x:c>
      <x:c r="U606" s="7" t="str"/>
      <x:c r="V606" s="7" t="str">
        <x:v>Non-resident</x:v>
      </x:c>
      <x:c r="W606" s="7" t="str">
        <x:v>AZ</x:v>
      </x:c>
      <x:c r="X606" s="7" t="str"/>
      <x:c r="Y606" s="7" t="str"/>
      <x:c r="Z606" s="7" t="str"/>
      <x:c r="AA606" s="7" t="str"/>
      <x:c r="AB606" s="7" t="str"/>
      <x:c r="AC606" s="7" t="str"/>
      <x:c r="AD606" s="7" t="str">
        <x:v>No agency or insurer displayed: onboarding opportunity possible; existing business unknown</x:v>
      </x:c>
      <x:c r="AE606" s="7" t="str">
        <x:v>Nonresident or address state outside CA; confirm geographic recruiting scope | No public business phone: contact enrichment needed, not proof of poor recruiting fit</x:v>
      </x:c>
      <x:c r="AF606" s="16" t="str"/>
      <x:c r="AG606" s="17" t="str"/>
      <x:c r="AH606" s="7" t="str"/>
      <x:c r="AI606" s="7" t="str"/>
      <x:c r="AJ606" s="7" t="str"/>
      <x:c r="AK606" s="15" t="str"/>
      <x:c r="AL606" s="7" t="str"/>
      <x:c r="AM606" s="7" t="str">
        <x:v>AGUILAR  JORGE</x:v>
      </x:c>
      <x:c r="AN606" s="7" t="str">
        <x:v>https://cdicloud.insurance.ca.gov/cal/LicenseDetail?SearchType=IND&amp;SearchLicNbr=0I64224&amp;SearchIndvId=1627118</x:v>
      </x:c>
      <x:c r="AO606" s="7" t="str">
        <x:v>2026-10-08</x:v>
      </x:c>
      <x:c r="AP606" s="7" t="str">
        <x:v>075143caf72c8188191c334d8719f7d21fa9ce838301d48df0e6713fa6cd9505</x:v>
      </x:c>
      <x:c r="AQ606" s="7" t="str">
        <x:v>Personal Lines Broker-Agent / Inactive / 11/21/2013 / 11/30/2015 / 11/30/2015</x:v>
      </x:c>
      <x:c r="AR606" s="7" t="str">
        <x:v>Inactive</x:v>
      </x:c>
      <x:c r="AS606" s="7" t="str">
        <x:v>Current detail page</x:v>
      </x:c>
    </x:row>
    <x:row r="607" ht="52" customHeight="1">
      <x:c r="A607" s="7" t="str">
        <x:v>AGUILAR JORGE</x:v>
      </x:c>
      <x:c r="B607" s="14" t="str">
        <x:f>"0K52561"</x:f>
        <x:v>0K52561</x:v>
      </x:c>
      <x:c r="C607" s="7" t="str">
        <x:v>Omitted</x:v>
      </x:c>
      <x:c r="D607" s="7" t="str">
        <x:v>FAIL</x:v>
      </x:c>
      <x:c r="E607" s="13" t="str">
        <x:v>Pending</x:v>
      </x:c>
      <x:c r="F607" s="13" t="str"/>
      <x:c r="G607" s="13" t="str"/>
      <x:c r="H607" s="13" t="str"/>
      <x:c r="I607" s="7" t="str">
        <x:v>Was this person reviewed? If rejected, give the actual rule and evidence. If acceptable, correct the omission. Confirm the Life-qualification gate and any record change since selection.</x:v>
      </x:c>
      <x:c r="J607" s="7" t="str">
        <x:v>L1</x:v>
      </x:c>
      <x:c r="K607" s="7" t="str">
        <x:v>Verified qualifications do not include active general Life. Current target-pool mismatch; actual historical omission reason unknown.</x:v>
      </x:c>
      <x:c r="L607" s="7" t="str">
        <x:v>Not supplied; membership is known, motive is not</x:v>
      </x:c>
      <x:c r="M607" s="7" t="n">
        <x:v>7</x:v>
      </x:c>
      <x:c r="N607" s="7" t="str">
        <x:v>Outside current general-Life recruiting pool</x:v>
      </x:c>
      <x:c r="O607" s="7" t="str">
        <x:v>Not displayed</x:v>
      </x:c>
      <x:c r="P607" s="7" t="str"/>
      <x:c r="Q607" s="7" t="str"/>
      <x:c r="R607" s="7" t="str"/>
      <x:c r="S607" s="15" t="str"/>
      <x:c r="T607" s="7" t="str">
        <x:v>No public business phone in collected record</x:v>
      </x:c>
      <x:c r="U607" s="7" t="str"/>
      <x:c r="V607" s="7" t="str">
        <x:v>Resident</x:v>
      </x:c>
      <x:c r="W607" s="7" t="str">
        <x:v>CA</x:v>
      </x:c>
      <x:c r="X607" s="7" t="str"/>
      <x:c r="Y607" s="7" t="str"/>
      <x:c r="Z607" s="7" t="str"/>
      <x:c r="AA607" s="7" t="str"/>
      <x:c r="AB607" s="7" t="str"/>
      <x:c r="AC607" s="7" t="str"/>
      <x:c r="AD607" s="7" t="str">
        <x:v>No agency or insurer displayed: onboarding opportunity possible; existing business unknown</x:v>
      </x:c>
      <x:c r="AE607" s="7" t="str">
        <x:v>No public business phone: contact enrichment needed, not proof of poor recruiting fit</x:v>
      </x:c>
      <x:c r="AF607" s="16" t="str"/>
      <x:c r="AG607" s="17" t="str"/>
      <x:c r="AH607" s="7" t="str"/>
      <x:c r="AI607" s="7" t="str"/>
      <x:c r="AJ607" s="7" t="str"/>
      <x:c r="AK607" s="15" t="str"/>
      <x:c r="AL607" s="7" t="str"/>
      <x:c r="AM607" s="7" t="str">
        <x:v>AGUILAR  JORGE</x:v>
      </x:c>
      <x:c r="AN607" s="7" t="str">
        <x:v>https://cdicloud.insurance.ca.gov/cal/LicenseDetail?SearchType=IND&amp;SearchLicNbr=0K52561&amp;SearchIndvId=1781501</x:v>
      </x:c>
      <x:c r="AO607" s="7" t="str">
        <x:v>2026-10-08</x:v>
      </x:c>
      <x:c r="AP607" s="7" t="str">
        <x:v>067294d15183d0d23fa0c52239636b6c8f87d88e7fb6e10147cee389a3fe4a6e</x:v>
      </x:c>
      <x:c r="AQ607" s="7" t="str">
        <x:v>Life-Only / Inactive / 10/09/2015 / 10/31/2019 / 10/31/2019</x:v>
      </x:c>
      <x:c r="AR607" s="7" t="str">
        <x:v>Inactive</x:v>
      </x:c>
      <x:c r="AS607" s="7" t="str">
        <x:v>Current detail page</x:v>
      </x:c>
    </x:row>
    <x:row r="608" ht="52" customHeight="1">
      <x:c r="A608" s="7" t="str">
        <x:v>AGUILAR JORGE</x:v>
      </x:c>
      <x:c r="B608" s="14" t="str">
        <x:f>"4091408"</x:f>
        <x:v>4091408</x:v>
      </x:c>
      <x:c r="C608" s="7" t="str">
        <x:v>Omitted</x:v>
      </x:c>
      <x:c r="D608" s="7" t="str">
        <x:v>FAIL</x:v>
      </x:c>
      <x:c r="E608" s="13" t="str">
        <x:v>Pending</x:v>
      </x:c>
      <x:c r="F608" s="13" t="str"/>
      <x:c r="G608" s="13" t="str"/>
      <x:c r="H608" s="13" t="str"/>
      <x:c r="I608" s="7" t="str">
        <x:v>Was this person reviewed? If rejected, give the actual rule and evidence. If acceptable, correct the omission. Confirm the Life-qualification gate and any record change since selection.</x:v>
      </x:c>
      <x:c r="J608" s="7" t="str">
        <x:v>L1</x:v>
      </x:c>
      <x:c r="K608" s="7" t="str">
        <x:v>Verified qualifications do not include active general Life. Current target-pool mismatch; actual historical omission reason unknown.</x:v>
      </x:c>
      <x:c r="L608" s="7" t="str">
        <x:v>Not supplied; membership is known, motive is not</x:v>
      </x:c>
      <x:c r="M608" s="7" t="n">
        <x:v>7</x:v>
      </x:c>
      <x:c r="N608" s="7" t="str">
        <x:v>Outside current general-Life recruiting pool</x:v>
      </x:c>
      <x:c r="O608" s="7" t="str">
        <x:v>Inactive</x:v>
      </x:c>
      <x:c r="P608" s="7" t="str">
        <x:v>12/10/2020</x:v>
      </x:c>
      <x:c r="Q608" s="7" t="str">
        <x:v>12/31/2022</x:v>
      </x:c>
      <x:c r="R608" s="7" t="str"/>
      <x:c r="S608" s="15" t="str">
        <x:v>559-435-7500</x:v>
      </x:c>
      <x:c r="T608" s="7" t="str">
        <x:v>Current CDI</x:v>
      </x:c>
      <x:c r="U608" s="7" t="str">
        <x:v>7357 N MAPLE AVENUE FRESNO CA, 93720</x:v>
      </x:c>
      <x:c r="V608" s="7" t="str">
        <x:v>Resident</x:v>
      </x:c>
      <x:c r="W608" s="7" t="str">
        <x:v>CA</x:v>
      </x:c>
      <x:c r="X608" s="7" t="str"/>
      <x:c r="Y608" s="7" t="str"/>
      <x:c r="Z608" s="7" t="str"/>
      <x:c r="AA608" s="7" t="str"/>
      <x:c r="AB608" s="7" t="str"/>
      <x:c r="AC608" s="7" t="str"/>
      <x:c r="AD608" s="7" t="str">
        <x:v>No agency or insurer displayed: onboarding opportunity possible; existing business unknown</x:v>
      </x:c>
      <x:c r="AE608" s="7" t="str"/>
      <x:c r="AF608" s="16" t="str"/>
      <x:c r="AG608" s="17" t="str"/>
      <x:c r="AH608" s="7" t="str"/>
      <x:c r="AI608" s="7" t="str">
        <x:v>English</x:v>
      </x:c>
      <x:c r="AJ608" s="7" t="str"/>
      <x:c r="AK608" s="15" t="str"/>
      <x:c r="AL608" s="7" t="str"/>
      <x:c r="AM608" s="7" t="str">
        <x:v>AGUILAR  JORGE</x:v>
      </x:c>
      <x:c r="AN608" s="7" t="str">
        <x:v>https://cdicloud.insurance.ca.gov/cal/LicenseDetail?SearchType=IND&amp;SearchLicNbr=4091408&amp;SearchIndvId=4091408</x:v>
      </x:c>
      <x:c r="AO608" s="7" t="str">
        <x:v>2026-10-08</x:v>
      </x:c>
      <x:c r="AP608" s="7" t="str">
        <x:v>bf352a346d20b60a5eda0577cf5127796a5db9337b236f1d41698ff35bf858b6</x:v>
      </x:c>
      <x:c r="AQ608" s="7" t="str">
        <x:v>Accident &amp; Health or Sickness / Inactive / 12/10/2020 / 12/31/2022 / 12/31/2022
Casualty / Inactive / 12/10/2020 / 12/31/2022 / 12/31/2022
Life / Inactive / 12/10/2020 / 12/31/2022 / 12/31/2022
Property / Inactive / 12/10/2020 / 12/31/2022 / 12/31/2022</x:v>
      </x:c>
      <x:c r="AR608" s="7" t="str">
        <x:v>Inactive</x:v>
      </x:c>
      <x:c r="AS608" s="7" t="str">
        <x:v>Current detail page</x:v>
      </x:c>
    </x:row>
    <x:row r="609" ht="52" customHeight="1">
      <x:c r="A609" s="7" t="str">
        <x:v>AGUILAR JORGE ADRIAN</x:v>
      </x:c>
      <x:c r="B609" s="14" t="str">
        <x:f>"0E40065"</x:f>
        <x:v>0E40065</x:v>
      </x:c>
      <x:c r="C609" s="7" t="str">
        <x:v>Omitted</x:v>
      </x:c>
      <x:c r="D609" s="7" t="str">
        <x:v>FAIL</x:v>
      </x:c>
      <x:c r="E609" s="13" t="str">
        <x:v>Pending</x:v>
      </x:c>
      <x:c r="F609" s="13" t="str"/>
      <x:c r="G609" s="13" t="str"/>
      <x:c r="H609" s="13" t="str"/>
      <x:c r="I609" s="7" t="str">
        <x:v>Was this person reviewed? If rejected, give the actual rule and evidence. If acceptable, correct the omission. Confirm the Life-qualification gate and any record change since selection.</x:v>
      </x:c>
      <x:c r="J609" s="7" t="str">
        <x:v>L1</x:v>
      </x:c>
      <x:c r="K609" s="7" t="str">
        <x:v>Verified qualifications do not include active general Life. Current target-pool mismatch; actual historical omission reason unknown.</x:v>
      </x:c>
      <x:c r="L609" s="7" t="str">
        <x:v>Not supplied; membership is known, motive is not</x:v>
      </x:c>
      <x:c r="M609" s="7" t="n">
        <x:v>7</x:v>
      </x:c>
      <x:c r="N609" s="7" t="str">
        <x:v>Outside current general-Life recruiting pool</x:v>
      </x:c>
      <x:c r="O609" s="7" t="str">
        <x:v>Not displayed</x:v>
      </x:c>
      <x:c r="P609" s="7" t="str"/>
      <x:c r="Q609" s="7" t="str"/>
      <x:c r="R609" s="7" t="str"/>
      <x:c r="S609" s="15" t="str"/>
      <x:c r="T609" s="7" t="str">
        <x:v>No public business phone in collected record</x:v>
      </x:c>
      <x:c r="U609" s="7" t="str"/>
      <x:c r="V609" s="7" t="str">
        <x:v>Non-resident</x:v>
      </x:c>
      <x:c r="W609" s="7" t="str">
        <x:v>TX</x:v>
      </x:c>
      <x:c r="X609" s="7" t="str"/>
      <x:c r="Y609" s="7" t="str"/>
      <x:c r="Z609" s="7" t="str"/>
      <x:c r="AA609" s="7" t="str"/>
      <x:c r="AB609" s="7" t="str"/>
      <x:c r="AC609" s="7" t="str"/>
      <x:c r="AD609" s="7" t="str">
        <x:v>No agency or insurer displayed: onboarding opportunity possible; existing business unknown</x:v>
      </x:c>
      <x:c r="AE609" s="7" t="str">
        <x:v>Nonresident or address state outside CA; confirm geographic recruiting scope | No public business phone: contact enrichment needed, not proof of poor recruiting fit</x:v>
      </x:c>
      <x:c r="AF609" s="16" t="str"/>
      <x:c r="AG609" s="17" t="str"/>
      <x:c r="AH609" s="7" t="str"/>
      <x:c r="AI609" s="7" t="str"/>
      <x:c r="AJ609" s="7" t="str"/>
      <x:c r="AK609" s="15" t="str"/>
      <x:c r="AL609" s="7" t="str"/>
      <x:c r="AM609" s="7" t="str">
        <x:v>AGUILAR ADRIAN JORGE</x:v>
      </x:c>
      <x:c r="AN609" s="7" t="str">
        <x:v>https://cdicloud.insurance.ca.gov/cal/LicenseDetail?SearchType=IND&amp;SearchLicNbr=0E40065&amp;SearchIndvId=893693</x:v>
      </x:c>
      <x:c r="AO609" s="7" t="str">
        <x:v>2026-10-08</x:v>
      </x:c>
      <x:c r="AP609" s="7" t="str">
        <x:v>fbaff69e0cf618d2e1f3bc019381bc82c209640432555456f0a3f3dc8b997c99</x:v>
      </x:c>
      <x:c r="AQ609" s="7" t="str">
        <x:v>Casualty Broker-Agent / Inactive / 04/20/2004 / 02/10/2014 / 02/10/2014
Property Broker-Agent / Inactive / 04/20/2004 / 02/10/2014 / 02/10/2014</x:v>
      </x:c>
      <x:c r="AR609" s="7" t="str">
        <x:v>Inactive</x:v>
      </x:c>
      <x:c r="AS609" s="7" t="str">
        <x:v>Current detail page</x:v>
      </x:c>
    </x:row>
    <x:row r="610" ht="52" customHeight="1">
      <x:c r="A610" s="7" t="str">
        <x:v>AGUILAR JORGE ALBERTO</x:v>
      </x:c>
      <x:c r="B610" s="14" t="str">
        <x:f>"0717926"</x:f>
        <x:v>0717926</x:v>
      </x:c>
      <x:c r="C610" s="7" t="str">
        <x:v>Omitted</x:v>
      </x:c>
      <x:c r="D610" s="7" t="str">
        <x:v>FAIL</x:v>
      </x:c>
      <x:c r="E610" s="13" t="str">
        <x:v>Pending</x:v>
      </x:c>
      <x:c r="F610" s="13" t="str"/>
      <x:c r="G610" s="13" t="str"/>
      <x:c r="H610" s="13" t="str"/>
      <x:c r="I610" s="7" t="str">
        <x:v>Was this person reviewed? If rejected, give the actual rule and evidence. If acceptable, correct the omission. Confirm the Life-qualification gate and any record change since selection.</x:v>
      </x:c>
      <x:c r="J610" s="7" t="str">
        <x:v>L1</x:v>
      </x:c>
      <x:c r="K610" s="7" t="str">
        <x:v>Verified qualifications do not include active general Life. Current target-pool mismatch; actual historical omission reason unknown.</x:v>
      </x:c>
      <x:c r="L610" s="7" t="str">
        <x:v>Not supplied; membership is known, motive is not</x:v>
      </x:c>
      <x:c r="M610" s="7" t="n">
        <x:v>7</x:v>
      </x:c>
      <x:c r="N610" s="7" t="str">
        <x:v>Outside current general-Life recruiting pool</x:v>
      </x:c>
      <x:c r="O610" s="7" t="str">
        <x:v>Not displayed</x:v>
      </x:c>
      <x:c r="P610" s="7" t="str"/>
      <x:c r="Q610" s="7" t="str"/>
      <x:c r="R610" s="7" t="str"/>
      <x:c r="S610" s="15" t="str"/>
      <x:c r="T610" s="7" t="str">
        <x:v>No public business phone in collected record</x:v>
      </x:c>
      <x:c r="U610" s="7" t="str"/>
      <x:c r="V610" s="7" t="str">
        <x:v>Resident</x:v>
      </x:c>
      <x:c r="W610" s="7" t="str">
        <x:v>CA</x:v>
      </x:c>
      <x:c r="X610" s="7" t="str"/>
      <x:c r="Y610" s="7" t="str"/>
      <x:c r="Z610" s="7" t="str"/>
      <x:c r="AA610" s="7" t="str"/>
      <x:c r="AB610" s="7" t="str"/>
      <x:c r="AC610" s="7" t="str"/>
      <x:c r="AD610" s="7" t="str">
        <x:v>No agency or insurer displayed: onboarding opportunity possible; existing business unknown</x:v>
      </x:c>
      <x:c r="AE610" s="7" t="str">
        <x:v>No public business phone: contact enrichment needed, not proof of poor recruiting fit</x:v>
      </x:c>
      <x:c r="AF610" s="16" t="str"/>
      <x:c r="AG610" s="17" t="str"/>
      <x:c r="AH610" s="7" t="str"/>
      <x:c r="AI610" s="7" t="str"/>
      <x:c r="AJ610" s="7" t="str"/>
      <x:c r="AK610" s="15" t="str"/>
      <x:c r="AL610" s="7" t="str"/>
      <x:c r="AM610" s="7" t="str">
        <x:v>AGUILAR ALBERTO JORGE</x:v>
      </x:c>
      <x:c r="AN610" s="7" t="str">
        <x:v>https://cdicloud.insurance.ca.gov/cal/LicenseDetail?SearchType=IND&amp;SearchLicNbr=0717926&amp;SearchIndvId=422140</x:v>
      </x:c>
      <x:c r="AO610" s="7" t="str">
        <x:v>2026-10-08</x:v>
      </x:c>
      <x:c r="AP610" s="7" t="str">
        <x:v>f66211153185d16973a0a67306896f5d0dc843f61299f73a19abe088c7a1ce74</x:v>
      </x:c>
      <x:c r="AQ610" s="7" t="str">
        <x:v>Accident and Health / Inactive / 12/18/1986 / 12/31/1996 / 12/31/1996
Life-Only / Inactive / 12/18/1986 / 12/31/1996 / 12/31/1996</x:v>
      </x:c>
      <x:c r="AR610" s="7" t="str">
        <x:v>Inactive</x:v>
      </x:c>
      <x:c r="AS610" s="7" t="str">
        <x:v>Current detail page</x:v>
      </x:c>
    </x:row>
    <x:row r="611" ht="52" customHeight="1">
      <x:c r="A611" s="7" t="str">
        <x:v>AGUILAR JORGE ALBERTO</x:v>
      </x:c>
      <x:c r="B611" s="14" t="str">
        <x:f>"0G35806"</x:f>
        <x:v>0G35806</x:v>
      </x:c>
      <x:c r="C611" s="7" t="str">
        <x:v>Omitted</x:v>
      </x:c>
      <x:c r="D611" s="7" t="str">
        <x:v>FAIL</x:v>
      </x:c>
      <x:c r="E611" s="13" t="str">
        <x:v>Pending</x:v>
      </x:c>
      <x:c r="F611" s="13" t="str"/>
      <x:c r="G611" s="13" t="str"/>
      <x:c r="H611" s="13" t="str"/>
      <x:c r="I611" s="7" t="str">
        <x:v>Was this person reviewed? If rejected, give the actual rule and evidence. If acceptable, correct the omission. Confirm the Life-qualification gate and any record change since selection.</x:v>
      </x:c>
      <x:c r="J611" s="7" t="str">
        <x:v>L1</x:v>
      </x:c>
      <x:c r="K611" s="7" t="str">
        <x:v>Verified qualifications do not include active general Life. Current target-pool mismatch; actual historical omission reason unknown.</x:v>
      </x:c>
      <x:c r="L611" s="7" t="str">
        <x:v>Not supplied; membership is known, motive is not</x:v>
      </x:c>
      <x:c r="M611" s="7" t="n">
        <x:v>7</x:v>
      </x:c>
      <x:c r="N611" s="7" t="str">
        <x:v>Outside current general-Life recruiting pool</x:v>
      </x:c>
      <x:c r="O611" s="7" t="str">
        <x:v>Not displayed</x:v>
      </x:c>
      <x:c r="P611" s="7" t="str"/>
      <x:c r="Q611" s="7" t="str"/>
      <x:c r="R611" s="7" t="str"/>
      <x:c r="S611" s="15" t="str"/>
      <x:c r="T611" s="7" t="str">
        <x:v>No public business phone in collected record</x:v>
      </x:c>
      <x:c r="U611" s="7" t="str"/>
      <x:c r="V611" s="7" t="str">
        <x:v>Resident</x:v>
      </x:c>
      <x:c r="W611" s="7" t="str">
        <x:v>CA</x:v>
      </x:c>
      <x:c r="X611" s="7" t="str"/>
      <x:c r="Y611" s="7" t="str"/>
      <x:c r="Z611" s="7" t="str"/>
      <x:c r="AA611" s="7" t="str"/>
      <x:c r="AB611" s="7" t="str"/>
      <x:c r="AC611" s="7" t="str"/>
      <x:c r="AD611" s="7" t="str">
        <x:v>No agency or insurer displayed: onboarding opportunity possible; existing business unknown</x:v>
      </x:c>
      <x:c r="AE611" s="7" t="str">
        <x:v>No public business phone: contact enrichment needed, not proof of poor recruiting fit</x:v>
      </x:c>
      <x:c r="AF611" s="16" t="str"/>
      <x:c r="AG611" s="17" t="str"/>
      <x:c r="AH611" s="7" t="str"/>
      <x:c r="AI611" s="7" t="str"/>
      <x:c r="AJ611" s="7" t="str"/>
      <x:c r="AK611" s="15" t="str"/>
      <x:c r="AL611" s="7" t="str"/>
      <x:c r="AM611" s="7" t="str">
        <x:v>AGUILAR ALBERTO JORGE</x:v>
      </x:c>
      <x:c r="AN611" s="7" t="str">
        <x:v>https://cdicloud.insurance.ca.gov/cal/LicenseDetail?SearchType=IND&amp;SearchLicNbr=0G35806&amp;SearchIndvId=1196508</x:v>
      </x:c>
      <x:c r="AO611" s="7" t="str">
        <x:v>2026-10-08</x:v>
      </x:c>
      <x:c r="AP611" s="7" t="str">
        <x:v>082f2393743b324302e69082b785923d8a8271a059ffbb957c3e61be2f354d40</x:v>
      </x:c>
      <x:c r="AQ611" s="7" t="str">
        <x:v>Accident and Health / Inactive / 10/28/2008 / 10/31/2010 / 10/31/2010
Life-Only / Inactive / 10/28/2008 / 10/31/2010 / 10/31/2010</x:v>
      </x:c>
      <x:c r="AR611" s="7" t="str">
        <x:v>Inactive</x:v>
      </x:c>
      <x:c r="AS611" s="7" t="str">
        <x:v>Current detail page</x:v>
      </x:c>
    </x:row>
    <x:row r="612" ht="52" customHeight="1">
      <x:c r="A612" s="7" t="str">
        <x:v>AGUILAR JORGE ALBERTO</x:v>
      </x:c>
      <x:c r="B612" s="14" t="str">
        <x:f>"0G54538"</x:f>
        <x:v>0G54538</x:v>
      </x:c>
      <x:c r="C612" s="7" t="str">
        <x:v>Omitted</x:v>
      </x:c>
      <x:c r="D612" s="7" t="str">
        <x:v>FAIL</x:v>
      </x:c>
      <x:c r="E612" s="13" t="str">
        <x:v>Pending</x:v>
      </x:c>
      <x:c r="F612" s="13" t="str"/>
      <x:c r="G612" s="13" t="str"/>
      <x:c r="H612" s="13" t="str"/>
      <x:c r="I612" s="7" t="str">
        <x:v>Was this person reviewed? If rejected, give the actual rule and evidence. If acceptable, correct the omission. Confirm the Life-qualification gate and any record change since selection.</x:v>
      </x:c>
      <x:c r="J612" s="7" t="str">
        <x:v>L1</x:v>
      </x:c>
      <x:c r="K612" s="7" t="str">
        <x:v>Verified qualifications do not include active general Life. Current target-pool mismatch; actual historical omission reason unknown.</x:v>
      </x:c>
      <x:c r="L612" s="7" t="str">
        <x:v>Not supplied; membership is known, motive is not</x:v>
      </x:c>
      <x:c r="M612" s="7" t="n">
        <x:v>7</x:v>
      </x:c>
      <x:c r="N612" s="7" t="str">
        <x:v>Outside current general-Life recruiting pool</x:v>
      </x:c>
      <x:c r="O612" s="7" t="str">
        <x:v>Not displayed</x:v>
      </x:c>
      <x:c r="P612" s="7" t="str"/>
      <x:c r="Q612" s="7" t="str"/>
      <x:c r="R612" s="7" t="str"/>
      <x:c r="S612" s="15" t="str"/>
      <x:c r="T612" s="7" t="str">
        <x:v>No public business phone in collected record</x:v>
      </x:c>
      <x:c r="U612" s="7" t="str"/>
      <x:c r="V612" s="7" t="str">
        <x:v>Resident</x:v>
      </x:c>
      <x:c r="W612" s="7" t="str">
        <x:v>CA</x:v>
      </x:c>
      <x:c r="X612" s="7" t="str"/>
      <x:c r="Y612" s="7" t="str"/>
      <x:c r="Z612" s="7" t="str"/>
      <x:c r="AA612" s="7" t="str"/>
      <x:c r="AB612" s="7" t="str"/>
      <x:c r="AC612" s="7" t="str"/>
      <x:c r="AD612" s="7" t="str">
        <x:v>No agency or insurer displayed: onboarding opportunity possible; existing business unknown</x:v>
      </x:c>
      <x:c r="AE612" s="7" t="str">
        <x:v>No public business phone: contact enrichment needed, not proof of poor recruiting fit</x:v>
      </x:c>
      <x:c r="AF612" s="16" t="str"/>
      <x:c r="AG612" s="17" t="str"/>
      <x:c r="AH612" s="7" t="str"/>
      <x:c r="AI612" s="7" t="str"/>
      <x:c r="AJ612" s="7" t="str"/>
      <x:c r="AK612" s="15" t="str"/>
      <x:c r="AL612" s="7" t="str"/>
      <x:c r="AM612" s="7" t="str">
        <x:v>AGUILAR ALBERTO JORGE</x:v>
      </x:c>
      <x:c r="AN612" s="7" t="str">
        <x:v>https://cdicloud.insurance.ca.gov/cal/LicenseDetail?SearchType=IND&amp;SearchLicNbr=0G54538&amp;SearchIndvId=1244271</x:v>
      </x:c>
      <x:c r="AO612" s="7" t="str">
        <x:v>2026-10-08</x:v>
      </x:c>
      <x:c r="AP612" s="7" t="str">
        <x:v>5e151f7d35ab69a5fe5cc41a4dc56716980bef949d536db2a6cadb67cc21e88d</x:v>
      </x:c>
      <x:c r="AQ612" s="7" t="str">
        <x:v>Casualty Broker-Agent / Inactive / 04/03/2009 / 04/30/2011 / 04/30/2011
Property Broker-Agent / Inactive / 04/03/2009 / 04/30/2011 / 04/30/2011</x:v>
      </x:c>
      <x:c r="AR612" s="7" t="str">
        <x:v>Inactive</x:v>
      </x:c>
      <x:c r="AS612" s="7" t="str">
        <x:v>Current detail page</x:v>
      </x:c>
    </x:row>
    <x:row r="613" ht="52" customHeight="1">
      <x:c r="A613" s="7" t="str">
        <x:v>AGUILAR JORGE ALBERTO</x:v>
      </x:c>
      <x:c r="B613" s="14" t="str">
        <x:f>"0H54127"</x:f>
        <x:v>0H54127</x:v>
      </x:c>
      <x:c r="C613" s="7" t="str">
        <x:v>Omitted</x:v>
      </x:c>
      <x:c r="D613" s="7" t="str">
        <x:v>FAIL</x:v>
      </x:c>
      <x:c r="E613" s="13" t="str">
        <x:v>Pending</x:v>
      </x:c>
      <x:c r="F613" s="13" t="str"/>
      <x:c r="G613" s="13" t="str"/>
      <x:c r="H613" s="13" t="str"/>
      <x:c r="I613" s="7" t="str">
        <x:v>Was this person reviewed? If rejected, give the actual rule and evidence. If acceptable, correct the omission. Confirm the Life-qualification gate and any record change since selection.</x:v>
      </x:c>
      <x:c r="J613" s="7" t="str">
        <x:v>L1</x:v>
      </x:c>
      <x:c r="K613" s="7" t="str">
        <x:v>Verified qualifications do not include active general Life. Current target-pool mismatch; actual historical omission reason unknown.</x:v>
      </x:c>
      <x:c r="L613" s="7" t="str">
        <x:v>Not supplied; membership is known, motive is not</x:v>
      </x:c>
      <x:c r="M613" s="7" t="n">
        <x:v>7</x:v>
      </x:c>
      <x:c r="N613" s="7" t="str">
        <x:v>Outside current general-Life recruiting pool</x:v>
      </x:c>
      <x:c r="O613" s="7" t="str">
        <x:v>Not displayed</x:v>
      </x:c>
      <x:c r="P613" s="7" t="str"/>
      <x:c r="Q613" s="7" t="str"/>
      <x:c r="R613" s="7" t="str"/>
      <x:c r="S613" s="15" t="str"/>
      <x:c r="T613" s="7" t="str">
        <x:v>No public business phone in collected record</x:v>
      </x:c>
      <x:c r="U613" s="7" t="str"/>
      <x:c r="V613" s="7" t="str">
        <x:v>Resident</x:v>
      </x:c>
      <x:c r="W613" s="7" t="str">
        <x:v>CA</x:v>
      </x:c>
      <x:c r="X613" s="7" t="str"/>
      <x:c r="Y613" s="7" t="str"/>
      <x:c r="Z613" s="7" t="str"/>
      <x:c r="AA613" s="7" t="str"/>
      <x:c r="AB613" s="7" t="str"/>
      <x:c r="AC613" s="7" t="str"/>
      <x:c r="AD613" s="7" t="str">
        <x:v>No agency or insurer displayed: onboarding opportunity possible; existing business unknown</x:v>
      </x:c>
      <x:c r="AE613" s="7" t="str">
        <x:v>No public business phone: contact enrichment needed, not proof of poor recruiting fit</x:v>
      </x:c>
      <x:c r="AF613" s="16" t="str"/>
      <x:c r="AG613" s="17" t="str"/>
      <x:c r="AH613" s="7" t="str"/>
      <x:c r="AI613" s="7" t="str"/>
      <x:c r="AJ613" s="7" t="str"/>
      <x:c r="AK613" s="15" t="str"/>
      <x:c r="AL613" s="7" t="str"/>
      <x:c r="AM613" s="7" t="str">
        <x:v>AGUILAR ALBERTO JORGE</x:v>
      </x:c>
      <x:c r="AN613" s="7" t="str">
        <x:v>https://cdicloud.insurance.ca.gov/cal/LicenseDetail?SearchType=IND&amp;SearchLicNbr=0H54127&amp;SearchIndvId=1476019</x:v>
      </x:c>
      <x:c r="AO613" s="7" t="str">
        <x:v>2026-10-08</x:v>
      </x:c>
      <x:c r="AP613" s="7" t="str">
        <x:v>e927f914f2df56ebd114bbff076f458b0975c78faae777c2e89aaf193d67ad6e</x:v>
      </x:c>
      <x:c r="AQ613" s="7" t="str">
        <x:v>Casualty Broker-Agent / Inactive / 09/08/2011 / 09/30/2013 / 09/30/2013
Property Broker-Agent / Inactive / 09/08/2011 / 09/30/2013 / 09/30/2013</x:v>
      </x:c>
      <x:c r="AR613" s="7" t="str">
        <x:v>Inactive</x:v>
      </x:c>
      <x:c r="AS613" s="7" t="str">
        <x:v>Current detail page</x:v>
      </x:c>
    </x:row>
    <x:row r="614" ht="52" customHeight="1">
      <x:c r="A614" s="7" t="str">
        <x:v>AGUILAR JORGE ANTONIO</x:v>
      </x:c>
      <x:c r="B614" s="14" t="str">
        <x:f>"0G96194"</x:f>
        <x:v>0G96194</x:v>
      </x:c>
      <x:c r="C614" s="7" t="str">
        <x:v>Omitted</x:v>
      </x:c>
      <x:c r="D614" s="7" t="str">
        <x:v>FAIL</x:v>
      </x:c>
      <x:c r="E614" s="13" t="str">
        <x:v>Pending</x:v>
      </x:c>
      <x:c r="F614" s="13" t="str"/>
      <x:c r="G614" s="13" t="str"/>
      <x:c r="H614" s="13" t="str"/>
      <x:c r="I614" s="7" t="str">
        <x:v>Was this person reviewed? If rejected, give the actual rule and evidence. If acceptable, correct the omission. Confirm the Life-qualification gate and any record change since selection.</x:v>
      </x:c>
      <x:c r="J614" s="7" t="str">
        <x:v>L1</x:v>
      </x:c>
      <x:c r="K614" s="7" t="str">
        <x:v>Verified qualifications do not include active general Life. Current target-pool mismatch; actual historical omission reason unknown.</x:v>
      </x:c>
      <x:c r="L614" s="7" t="str">
        <x:v>Not supplied; membership is known, motive is not</x:v>
      </x:c>
      <x:c r="M614" s="7" t="n">
        <x:v>7</x:v>
      </x:c>
      <x:c r="N614" s="7" t="str">
        <x:v>Outside current general-Life recruiting pool</x:v>
      </x:c>
      <x:c r="O614" s="7" t="str">
        <x:v>Inactive</x:v>
      </x:c>
      <x:c r="P614" s="7" t="str">
        <x:v>04/22/2010</x:v>
      </x:c>
      <x:c r="Q614" s="7" t="str">
        <x:v>04/30/2022</x:v>
      </x:c>
      <x:c r="R614" s="7" t="str"/>
      <x:c r="S614" s="15" t="str">
        <x:v>949-660-8777 Ext. 124</x:v>
      </x:c>
      <x:c r="T614" s="7" t="str">
        <x:v>Current CDI</x:v>
      </x:c>
      <x:c r="U614" s="7" t="str">
        <x:v>5000 BIRCH ST SUITE 8000 NEWPORT BEACH CA, 92660</x:v>
      </x:c>
      <x:c r="V614" s="7" t="str">
        <x:v>Resident</x:v>
      </x:c>
      <x:c r="W614" s="7" t="str">
        <x:v>CA</x:v>
      </x:c>
      <x:c r="X614" s="7" t="str"/>
      <x:c r="Y614" s="7" t="str"/>
      <x:c r="Z614" s="7" t="str"/>
      <x:c r="AA614" s="7" t="str"/>
      <x:c r="AB614" s="7" t="str"/>
      <x:c r="AC614" s="7" t="str"/>
      <x:c r="AD614" s="7" t="str">
        <x:v>No agency or insurer displayed: onboarding opportunity possible; existing business unknown</x:v>
      </x:c>
      <x:c r="AE614" s="7" t="str"/>
      <x:c r="AF614" s="16" t="str"/>
      <x:c r="AG614" s="17" t="str"/>
      <x:c r="AH614" s="7" t="str"/>
      <x:c r="AI614" s="7" t="str">
        <x:v>English, Spanish, Spanish</x:v>
      </x:c>
      <x:c r="AJ614" s="7" t="str"/>
      <x:c r="AK614" s="15" t="str"/>
      <x:c r="AL614" s="7" t="str"/>
      <x:c r="AM614" s="7" t="str">
        <x:v>AGUILAR ANTONIO JORGE</x:v>
      </x:c>
      <x:c r="AN614" s="7" t="str">
        <x:v>https://cdicloud.insurance.ca.gov/cal/LicenseDetail?SearchType=IND&amp;SearchLicNbr=0G96194&amp;SearchIndvId=1329884</x:v>
      </x:c>
      <x:c r="AO614" s="7" t="str">
        <x:v>2026-10-08</x:v>
      </x:c>
      <x:c r="AP614" s="7" t="str">
        <x:v>48ffe8e460eced21c362adce796a6eeab88c010153c1b6aedf630407c205e9db</x:v>
      </x:c>
      <x:c r="AQ614" s="7" t="str">
        <x:v>Life / Inactive / 04/22/2010 / 04/30/2022 / 04/30/2022
Var Life and Var Annuity / Inactive / 04/22/2010 / 04/30/2022 / 04/30/2022</x:v>
      </x:c>
      <x:c r="AR614" s="7" t="str">
        <x:v>Inactive</x:v>
      </x:c>
      <x:c r="AS614" s="7" t="str">
        <x:v>Current detail page</x:v>
      </x:c>
    </x:row>
    <x:row r="615" ht="52" customHeight="1">
      <x:c r="A615" s="7" t="str">
        <x:v>AGUILAR JORGE CARLOS</x:v>
      </x:c>
      <x:c r="B615" s="14" t="str">
        <x:f>"0F41664"</x:f>
        <x:v>0F41664</x:v>
      </x:c>
      <x:c r="C615" s="7" t="str">
        <x:v>Omitted</x:v>
      </x:c>
      <x:c r="D615" s="7" t="str">
        <x:v>FAIL</x:v>
      </x:c>
      <x:c r="E615" s="13" t="str">
        <x:v>Pending</x:v>
      </x:c>
      <x:c r="F615" s="13" t="str"/>
      <x:c r="G615" s="13" t="str"/>
      <x:c r="H615" s="13" t="str"/>
      <x:c r="I615" s="7" t="str">
        <x:v>Was this person reviewed? If rejected, give the actual rule and evidence. If acceptable, correct the omission. Confirm the Life-qualification gate and any record change since selection.</x:v>
      </x:c>
      <x:c r="J615" s="7" t="str">
        <x:v>L1</x:v>
      </x:c>
      <x:c r="K615" s="7" t="str">
        <x:v>Verified qualifications do not include active general Life. Current target-pool mismatch; actual historical omission reason unknown.</x:v>
      </x:c>
      <x:c r="L615" s="7" t="str">
        <x:v>Not supplied; membership is known, motive is not</x:v>
      </x:c>
      <x:c r="M615" s="7" t="n">
        <x:v>7</x:v>
      </x:c>
      <x:c r="N615" s="7" t="str">
        <x:v>Outside current general-Life recruiting pool</x:v>
      </x:c>
      <x:c r="O615" s="7" t="str">
        <x:v>Not displayed</x:v>
      </x:c>
      <x:c r="P615" s="7" t="str"/>
      <x:c r="Q615" s="7" t="str"/>
      <x:c r="R615" s="7" t="str"/>
      <x:c r="S615" s="15" t="str"/>
      <x:c r="T615" s="7" t="str">
        <x:v>No public business phone in collected record</x:v>
      </x:c>
      <x:c r="U615" s="7" t="str"/>
      <x:c r="V615" s="7" t="str">
        <x:v>Resident</x:v>
      </x:c>
      <x:c r="W615" s="7" t="str">
        <x:v>CA</x:v>
      </x:c>
      <x:c r="X615" s="7" t="str"/>
      <x:c r="Y615" s="7" t="str"/>
      <x:c r="Z615" s="7" t="str"/>
      <x:c r="AA615" s="7" t="str"/>
      <x:c r="AB615" s="7" t="str"/>
      <x:c r="AC615" s="7" t="str"/>
      <x:c r="AD615" s="7" t="str">
        <x:v>No agency or insurer displayed: onboarding opportunity possible; existing business unknown</x:v>
      </x:c>
      <x:c r="AE615" s="7" t="str">
        <x:v>No public business phone: contact enrichment needed, not proof of poor recruiting fit</x:v>
      </x:c>
      <x:c r="AF615" s="16" t="str"/>
      <x:c r="AG615" s="17" t="str"/>
      <x:c r="AH615" s="7" t="str"/>
      <x:c r="AI615" s="7" t="str"/>
      <x:c r="AJ615" s="7" t="str"/>
      <x:c r="AK615" s="15" t="str"/>
      <x:c r="AL615" s="7" t="str"/>
      <x:c r="AM615" s="7" t="str">
        <x:v>AGUILAR CARLOS JORGE</x:v>
      </x:c>
      <x:c r="AN615" s="7" t="str">
        <x:v>https://cdicloud.insurance.ca.gov/cal/LicenseDetail?SearchType=IND&amp;SearchLicNbr=0F41664&amp;SearchIndvId=1052784</x:v>
      </x:c>
      <x:c r="AO615" s="7" t="str">
        <x:v>2026-10-08</x:v>
      </x:c>
      <x:c r="AP615" s="7" t="str">
        <x:v>380fdbb1929026905875cbe99870c43e0411698c06b0dcf4401dd9751590f87a</x:v>
      </x:c>
      <x:c r="AQ615" s="7" t="str">
        <x:v>Accident and Health / Inactive / 10/30/2006 / 10/31/2008 / 10/31/2008
Life-Only / Inactive / 10/30/2006 / 10/31/2008 / 10/31/2008</x:v>
      </x:c>
      <x:c r="AR615" s="7" t="str">
        <x:v>Inactive</x:v>
      </x:c>
      <x:c r="AS615" s="7" t="str">
        <x:v>Current detail page</x:v>
      </x:c>
    </x:row>
    <x:row r="616" ht="52" customHeight="1">
      <x:c r="A616" s="7" t="str">
        <x:v>AGUILAR JORGE ENRIQUE</x:v>
      </x:c>
      <x:c r="B616" s="14" t="str">
        <x:f>"0627838"</x:f>
        <x:v>0627838</x:v>
      </x:c>
      <x:c r="C616" s="7" t="str">
        <x:v>Omitted</x:v>
      </x:c>
      <x:c r="D616" s="7" t="str">
        <x:v>FAIL</x:v>
      </x:c>
      <x:c r="E616" s="13" t="str">
        <x:v>Pending</x:v>
      </x:c>
      <x:c r="F616" s="13" t="str"/>
      <x:c r="G616" s="13" t="str"/>
      <x:c r="H616" s="13" t="str"/>
      <x:c r="I616" s="7" t="str">
        <x:v>Was this person reviewed? If rejected, give the actual rule and evidence. If acceptable, correct the omission. Confirm the Life-qualification gate and any record change since selection.</x:v>
      </x:c>
      <x:c r="J616" s="7" t="str">
        <x:v>L1</x:v>
      </x:c>
      <x:c r="K616" s="7" t="str">
        <x:v>Verified qualifications do not include active general Life. Current target-pool mismatch; actual historical omission reason unknown.</x:v>
      </x:c>
      <x:c r="L616" s="7" t="str">
        <x:v>Not supplied; membership is known, motive is not</x:v>
      </x:c>
      <x:c r="M616" s="7" t="n">
        <x:v>7</x:v>
      </x:c>
      <x:c r="N616" s="7" t="str">
        <x:v>Outside current general-Life recruiting pool</x:v>
      </x:c>
      <x:c r="O616" s="7" t="str">
        <x:v>Not displayed</x:v>
      </x:c>
      <x:c r="P616" s="7" t="str"/>
      <x:c r="Q616" s="7" t="str"/>
      <x:c r="R616" s="7" t="str"/>
      <x:c r="S616" s="15" t="str"/>
      <x:c r="T616" s="7" t="str">
        <x:v>No public business phone in collected record</x:v>
      </x:c>
      <x:c r="U616" s="7" t="str"/>
      <x:c r="V616" s="7" t="str">
        <x:v>Resident</x:v>
      </x:c>
      <x:c r="W616" s="7" t="str">
        <x:v>CA</x:v>
      </x:c>
      <x:c r="X616" s="7" t="str"/>
      <x:c r="Y616" s="7" t="str"/>
      <x:c r="Z616" s="7" t="str">
        <x:v>ORDER ID: &lt;SF015332&gt; AP LICENSE AND LICENSING RIGHTS OF RESPONDENT ARE HEREBY REVOKED. / 01/02/2002
ORDER ID: &lt;SF015332&gt; AP LICENSES AND LICENSING RIGHTS OF RESPONDENT TO ACT AS LX AGENT IS HEREBY REVOKED. ISSUE IN LIEU THEREOF A RESTRICTED LICENSE. MONETARY PENALTY IN THE AMOUNT OF ONE THOUSAND (1,000) DOLLARS, RESTITUTION OF THIRTY-NINE THOUSAND EIGHT HUNDRED FIFTY (39,850.00) DOLLARS PLUS 8% ANNUAL INTEREST, AND REIMBURSENT OF FOUR THOUSAND (4,000) DOLLARS. / 12/14/1999</x:v>
      </x:c>
      <x:c r="AA616" s="7" t="str"/>
      <x:c r="AB616" s="7" t="str"/>
      <x:c r="AC616" s="7" t="str"/>
      <x:c r="AD616" s="7" t="str">
        <x:v>No agency or insurer displayed: onboarding opportunity possible; existing business unknown</x:v>
      </x:c>
      <x:c r="AE616" s="7" t="str">
        <x:v>Enforcement order requires direct review; latest displayed order is not a removal order | No public business phone: contact enrichment needed, not proof of poor recruiting fit</x:v>
      </x:c>
      <x:c r="AF616" s="16" t="str"/>
      <x:c r="AG616" s="17" t="str"/>
      <x:c r="AH616" s="7" t="str"/>
      <x:c r="AI616" s="7" t="str"/>
      <x:c r="AJ616" s="7" t="str"/>
      <x:c r="AK616" s="15" t="str"/>
      <x:c r="AL616" s="7" t="str"/>
      <x:c r="AM616" s="7" t="str">
        <x:v>AGUILAR ENRIQUE JORGE</x:v>
      </x:c>
      <x:c r="AN616" s="7" t="str">
        <x:v>https://cdicloud.insurance.ca.gov/cal/LicenseDetail?SearchType=IND&amp;SearchLicNbr=0627838&amp;SearchIndvId=395523</x:v>
      </x:c>
      <x:c r="AO616" s="7" t="str">
        <x:v>2026-10-08</x:v>
      </x:c>
      <x:c r="AP616" s="7" t="str">
        <x:v>5f59df08c81a512f71a482381e6ceedb91b1278d7f921a1c5f98d85345bfeafb</x:v>
      </x:c>
      <x:c r="AQ616" s="7" t="str">
        <x:v>Accident and Health / Inactive / 03/29/1989 / 01/02/2002 / 01/02/2002
Life-Only / Inactive / 03/29/1989 / 01/02/2002 / 01/02/2002</x:v>
      </x:c>
      <x:c r="AR616" s="7" t="str">
        <x:v>Inactive</x:v>
      </x:c>
      <x:c r="AS616" s="7" t="str">
        <x:v>Current detail page</x:v>
      </x:c>
    </x:row>
    <x:row r="617" ht="52" customHeight="1">
      <x:c r="A617" s="7" t="str">
        <x:v>AGUILAR JORGE JR</x:v>
      </x:c>
      <x:c r="B617" s="14" t="str">
        <x:f>"0G18621"</x:f>
        <x:v>0G18621</x:v>
      </x:c>
      <x:c r="C617" s="7" t="str">
        <x:v>Omitted</x:v>
      </x:c>
      <x:c r="D617" s="7" t="str">
        <x:v>FAIL</x:v>
      </x:c>
      <x:c r="E617" s="13" t="str">
        <x:v>Pending</x:v>
      </x:c>
      <x:c r="F617" s="13" t="str"/>
      <x:c r="G617" s="13" t="str"/>
      <x:c r="H617" s="13" t="str"/>
      <x:c r="I617" s="7" t="str">
        <x:v>Was this person reviewed? If rejected, give the actual rule and evidence. If acceptable, correct the omission. Confirm the Life-qualification gate and any record change since selection.</x:v>
      </x:c>
      <x:c r="J617" s="7" t="str">
        <x:v>L1</x:v>
      </x:c>
      <x:c r="K617" s="7" t="str">
        <x:v>Verified qualifications do not include active general Life. Current target-pool mismatch; actual historical omission reason unknown.</x:v>
      </x:c>
      <x:c r="L617" s="7" t="str">
        <x:v>Not supplied; membership is known, motive is not</x:v>
      </x:c>
      <x:c r="M617" s="7" t="n">
        <x:v>7</x:v>
      </x:c>
      <x:c r="N617" s="7" t="str">
        <x:v>Outside current general-Life recruiting pool</x:v>
      </x:c>
      <x:c r="O617" s="7" t="str">
        <x:v>Not displayed</x:v>
      </x:c>
      <x:c r="P617" s="7" t="str"/>
      <x:c r="Q617" s="7" t="str"/>
      <x:c r="R617" s="7" t="str">
        <x:v>Casualty; Property</x:v>
      </x:c>
      <x:c r="S617" s="15" t="str">
        <x:v>800-234-6787</x:v>
      </x:c>
      <x:c r="T617" s="7" t="str">
        <x:v>Current CDI</x:v>
      </x:c>
      <x:c r="U617" s="7" t="str">
        <x:v>5706 N 19TH PL PHOENIX AZ, 85016-2606</x:v>
      </x:c>
      <x:c r="V617" s="7" t="str">
        <x:v>Non-resident</x:v>
      </x:c>
      <x:c r="W617" s="7" t="str">
        <x:v>AZ</x:v>
      </x:c>
      <x:c r="X617" s="7" t="str">
        <x:v>HEFFERNAN INSURANCE BROKERS / Casualty / 05/30/2025
HEFFERNAN INSURANCE BROKERS / Property / 05/30/2025
HEFFERNAN INSURANCE BROKERS / Property / 05/30/2025
HEFFERNAN INSURANCE BROKERS / Casualty / 05/30/2025</x:v>
      </x:c>
      <x:c r="Y617" s="7" t="str">
        <x:v>AMERICAN GUARANTEE AND LIABILITY INSURANCE COMPANY / Casualty / 05/30/2025
AMERICAN GUARANTEE AND LIABILITY INSURANCE COMPANY / Property / 05/30/2025
AMERICAN ZURICH INSURANCE COMPANY / Casualty / 05/30/2025
AMERICAN ZURICH INSURANCE COMPANY / Property / 05/30/2025
PACIFIC COMPENSATION INSURANCE COMPANY / Casualty / 05/30/2025
PACIFIC COMPENSATION INSURANCE COMPANY / Property / 05/30/2025
ZURICH AMERICAN INSURANCE COMPANY / Casualty / 05/30/2025
ZURICH AMERICAN INSURANCE COMPANY / Property / 05/30/2025</x:v>
      </x:c>
      <x:c r="Z617" s="7" t="str"/>
      <x:c r="AA617" s="7" t="str"/>
      <x:c r="AB617" s="7" t="str"/>
      <x:c r="AC617" s="7" t="str"/>
      <x:c r="AD617" s="7" t="str"/>
      <x:c r="AE617" s="7" t="str">
        <x:v>P&amp;C/Personal Lines authority without displayed core Life appointments; mixed profile requires review | Toll-free business number: verify that it reaches the individual rather than a central office | Nonresident or address state outside CA; confirm geographic recruiting scope</x:v>
      </x:c>
      <x:c r="AF617" s="16" t="str"/>
      <x:c r="AG617" s="17" t="str"/>
      <x:c r="AH617" s="7" t="str"/>
      <x:c r="AI617" s="7" t="str">
        <x:v>English</x:v>
      </x:c>
      <x:c r="AJ617" s="7" t="str"/>
      <x:c r="AK617" s="15" t="str"/>
      <x:c r="AL617" s="7" t="str"/>
      <x:c r="AM617" s="7" t="str">
        <x:v>AGUILAR  JORGE</x:v>
      </x:c>
      <x:c r="AN617" s="7" t="str">
        <x:v>https://cdicloud.insurance.ca.gov/cal/LicenseDetail?SearchType=IND&amp;SearchLicNbr=0G18621&amp;SearchIndvId=1158668</x:v>
      </x:c>
      <x:c r="AO617" s="7" t="str">
        <x:v>2026-10-08</x:v>
      </x:c>
      <x:c r="AP617" s="7" t="str">
        <x:v>3a98557ba9c65a08573058148ef582bd88d584adb67db5054e36259e82e6f52f</x:v>
      </x:c>
      <x:c r="AQ617" s="7" t="str">
        <x:v>Casualty / Active / 06/20/2008 / 05/30/2025 / 05/31/2027
Property / Active / 06/20/2008 / 05/30/2025 / 05/31/2027</x:v>
      </x:c>
      <x:c r="AR617" s="7" t="str">
        <x:v>Active</x:v>
      </x:c>
      <x:c r="AS617" s="7" t="str">
        <x:v>Current detail page</x:v>
      </x:c>
    </x:row>
    <x:row r="618" ht="52" customHeight="1">
      <x:c r="A618" s="7" t="str">
        <x:v>AGUILAR JORGE LUIS</x:v>
      </x:c>
      <x:c r="B618" s="14" t="str">
        <x:f>"0F54347"</x:f>
        <x:v>0F54347</x:v>
      </x:c>
      <x:c r="C618" s="7" t="str">
        <x:v>Omitted</x:v>
      </x:c>
      <x:c r="D618" s="7" t="str">
        <x:v>FAIL</x:v>
      </x:c>
      <x:c r="E618" s="13" t="str">
        <x:v>Pending</x:v>
      </x:c>
      <x:c r="F618" s="13" t="str"/>
      <x:c r="G618" s="13" t="str"/>
      <x:c r="H618" s="13" t="str"/>
      <x:c r="I618" s="7" t="str">
        <x:v>Was this person reviewed? If rejected, give the actual rule and evidence. If acceptable, correct the omission. Confirm the Life-qualification gate and any record change since selection.</x:v>
      </x:c>
      <x:c r="J618" s="7" t="str">
        <x:v>L1</x:v>
      </x:c>
      <x:c r="K618" s="7" t="str">
        <x:v>Verified qualifications do not include active general Life. Current target-pool mismatch; actual historical omission reason unknown.</x:v>
      </x:c>
      <x:c r="L618" s="7" t="str">
        <x:v>Not supplied; membership is known, motive is not</x:v>
      </x:c>
      <x:c r="M618" s="7" t="n">
        <x:v>7</x:v>
      </x:c>
      <x:c r="N618" s="7" t="str">
        <x:v>Outside current general-Life recruiting pool</x:v>
      </x:c>
      <x:c r="O618" s="7" t="str">
        <x:v>Not displayed</x:v>
      </x:c>
      <x:c r="P618" s="7" t="str"/>
      <x:c r="Q618" s="7" t="str"/>
      <x:c r="R618" s="7" t="str"/>
      <x:c r="S618" s="15" t="str"/>
      <x:c r="T618" s="7" t="str">
        <x:v>No public business phone in collected record</x:v>
      </x:c>
      <x:c r="U618" s="7" t="str"/>
      <x:c r="V618" s="7" t="str">
        <x:v>Resident</x:v>
      </x:c>
      <x:c r="W618" s="7" t="str">
        <x:v>CA</x:v>
      </x:c>
      <x:c r="X618" s="7" t="str"/>
      <x:c r="Y618" s="7" t="str"/>
      <x:c r="Z618" s="7" t="str"/>
      <x:c r="AA618" s="7" t="str"/>
      <x:c r="AB618" s="7" t="str"/>
      <x:c r="AC618" s="7" t="str"/>
      <x:c r="AD618" s="7" t="str">
        <x:v>No agency or insurer displayed: onboarding opportunity possible; existing business unknown</x:v>
      </x:c>
      <x:c r="AE618" s="7" t="str">
        <x:v>No public business phone: contact enrichment needed, not proof of poor recruiting fit</x:v>
      </x:c>
      <x:c r="AF618" s="16" t="str"/>
      <x:c r="AG618" s="17" t="str"/>
      <x:c r="AH618" s="7" t="str"/>
      <x:c r="AI618" s="7" t="str"/>
      <x:c r="AJ618" s="7" t="str"/>
      <x:c r="AK618" s="15" t="str"/>
      <x:c r="AL618" s="7" t="str"/>
      <x:c r="AM618" s="7" t="str">
        <x:v>AGUILAR LUIS JORGE</x:v>
      </x:c>
      <x:c r="AN618" s="7" t="str">
        <x:v>https://cdicloud.insurance.ca.gov/cal/LicenseDetail?SearchType=IND&amp;SearchLicNbr=0F54347&amp;SearchIndvId=1072709</x:v>
      </x:c>
      <x:c r="AO618" s="7" t="str">
        <x:v>2026-10-08</x:v>
      </x:c>
      <x:c r="AP618" s="7" t="str">
        <x:v>47aeccf0a1a8aa42a7503ac9082764271f520b9e211c9a2ecca918419d5313a1</x:v>
      </x:c>
      <x:c r="AQ618" s="7" t="str">
        <x:v>Accident and Health / Inactive / 07/28/2008 / 03/31/2011 / 03/31/2011
Casualty Broker-Agent / Inactive / 03/14/2007 / 03/31/2013 / 03/31/2013
Life-Only / Inactive / 07/28/2008 / 03/31/2011 / 03/31/2011
Property Broker-Agent / Inactive / 03/14/2007 / 03/31/2013 / 03/31/2013</x:v>
      </x:c>
      <x:c r="AR618" s="7" t="str">
        <x:v>Inactive</x:v>
      </x:c>
      <x:c r="AS618" s="7" t="str">
        <x:v>Current detail page</x:v>
      </x:c>
    </x:row>
    <x:row r="619" ht="52" customHeight="1">
      <x:c r="A619" s="7" t="str">
        <x:v>AGUILAR JORGE NERY</x:v>
      </x:c>
      <x:c r="B619" s="14" t="str">
        <x:f>"4035041"</x:f>
        <x:v>4035041</x:v>
      </x:c>
      <x:c r="C619" s="7" t="str">
        <x:v>Omitted</x:v>
      </x:c>
      <x:c r="D619" s="7" t="str">
        <x:v>FAIL</x:v>
      </x:c>
      <x:c r="E619" s="13" t="str">
        <x:v>Pending</x:v>
      </x:c>
      <x:c r="F619" s="13" t="str"/>
      <x:c r="G619" s="13" t="str"/>
      <x:c r="H619" s="13" t="str"/>
      <x:c r="I619" s="7" t="str">
        <x:v>Was this person reviewed? If rejected, give the actual rule and evidence. If acceptable, correct the omission. Confirm the Life-qualification gate and any record change since selection.</x:v>
      </x:c>
      <x:c r="J619" s="7" t="str">
        <x:v>L1</x:v>
      </x:c>
      <x:c r="K619" s="7" t="str">
        <x:v>Verified qualifications do not include active general Life. Current target-pool mismatch; actual historical omission reason unknown.</x:v>
      </x:c>
      <x:c r="L619" s="7" t="str">
        <x:v>Not supplied; membership is known, motive is not</x:v>
      </x:c>
      <x:c r="M619" s="7" t="n">
        <x:v>7</x:v>
      </x:c>
      <x:c r="N619" s="7" t="str">
        <x:v>Outside current general-Life recruiting pool</x:v>
      </x:c>
      <x:c r="O619" s="7" t="str">
        <x:v>Inactive</x:v>
      </x:c>
      <x:c r="P619" s="7" t="str">
        <x:v>03/25/2020</x:v>
      </x:c>
      <x:c r="Q619" s="7" t="str">
        <x:v>03/31/2022</x:v>
      </x:c>
      <x:c r="R619" s="7" t="str"/>
      <x:c r="S619" s="15" t="str">
        <x:v>909-435-1535</x:v>
      </x:c>
      <x:c r="T619" s="7" t="str">
        <x:v>Current CDI</x:v>
      </x:c>
      <x:c r="U619" s="7" t="str">
        <x:v>3400 AVENUE OF THE ARTS G104 COSTA MESA CA, 92626</x:v>
      </x:c>
      <x:c r="V619" s="7" t="str">
        <x:v>Resident</x:v>
      </x:c>
      <x:c r="W619" s="7" t="str">
        <x:v>CA</x:v>
      </x:c>
      <x:c r="X619" s="7" t="str"/>
      <x:c r="Y619" s="7" t="str"/>
      <x:c r="Z619" s="7" t="str"/>
      <x:c r="AA619" s="7" t="str"/>
      <x:c r="AB619" s="7" t="str"/>
      <x:c r="AC619" s="7" t="str"/>
      <x:c r="AD619" s="7" t="str">
        <x:v>No agency or insurer displayed: onboarding opportunity possible; existing business unknown</x:v>
      </x:c>
      <x:c r="AE619" s="7" t="str"/>
      <x:c r="AF619" s="16" t="str"/>
      <x:c r="AG619" s="17" t="str"/>
      <x:c r="AH619" s="7" t="str"/>
      <x:c r="AI619" s="7" t="str">
        <x:v>English</x:v>
      </x:c>
      <x:c r="AJ619" s="7" t="str"/>
      <x:c r="AK619" s="15" t="str"/>
      <x:c r="AL619" s="7" t="str"/>
      <x:c r="AM619" s="7" t="str">
        <x:v>Aguilar N Jorge | AGUILAR NERY JORGE</x:v>
      </x:c>
      <x:c r="AN619" s="7" t="str">
        <x:v>https://cdicloud.insurance.ca.gov/cal/LicenseDetail?SearchType=IND&amp;SearchLicNbr=4035041&amp;SearchIndvId=4035041</x:v>
      </x:c>
      <x:c r="AO619" s="7" t="str">
        <x:v>2026-10-08</x:v>
      </x:c>
      <x:c r="AP619" s="7" t="str">
        <x:v>5949bfed2171b70dcf801384017ce80f4793b26b53fb0685ccb499bab48d4ef2</x:v>
      </x:c>
      <x:c r="AQ619" s="7" t="str">
        <x:v>Accident &amp; Health or Sickness / Inactive / 03/25/2020 / 03/31/2022 / 03/31/2022
Life / Inactive / 03/25/2020 / 03/31/2022 / 03/31/2022</x:v>
      </x:c>
      <x:c r="AR619" s="7" t="str">
        <x:v>Inactive</x:v>
      </x:c>
      <x:c r="AS619" s="7" t="str">
        <x:v>Current detail page</x:v>
      </x:c>
    </x:row>
    <x:row r="620" ht="52" customHeight="1">
      <x:c r="A620" s="7" t="str">
        <x:v>AGUILAR JOSE</x:v>
      </x:c>
      <x:c r="B620" s="14" t="str">
        <x:f>"0F81475"</x:f>
        <x:v>0F81475</x:v>
      </x:c>
      <x:c r="C620" s="7" t="str">
        <x:v>Omitted</x:v>
      </x:c>
      <x:c r="D620" s="7" t="str">
        <x:v>FAIL</x:v>
      </x:c>
      <x:c r="E620" s="13" t="str">
        <x:v>Pending</x:v>
      </x:c>
      <x:c r="F620" s="13" t="str"/>
      <x:c r="G620" s="13" t="str"/>
      <x:c r="H620" s="13" t="str"/>
      <x:c r="I620" s="7" t="str">
        <x:v>Was this person reviewed? If rejected, give the actual rule and evidence. If acceptable, correct the omission. Confirm the Life-qualification gate and any record change since selection.</x:v>
      </x:c>
      <x:c r="J620" s="7" t="str">
        <x:v>L1</x:v>
      </x:c>
      <x:c r="K620" s="7" t="str">
        <x:v>Verified qualifications do not include active general Life. Current target-pool mismatch; actual historical omission reason unknown.</x:v>
      </x:c>
      <x:c r="L620" s="7" t="str">
        <x:v>Not supplied; membership is known, motive is not</x:v>
      </x:c>
      <x:c r="M620" s="7" t="n">
        <x:v>7</x:v>
      </x:c>
      <x:c r="N620" s="7" t="str">
        <x:v>Outside current general-Life recruiting pool</x:v>
      </x:c>
      <x:c r="O620" s="7" t="str">
        <x:v>Not displayed</x:v>
      </x:c>
      <x:c r="P620" s="7" t="str"/>
      <x:c r="Q620" s="7" t="str"/>
      <x:c r="R620" s="7" t="str"/>
      <x:c r="S620" s="15" t="str"/>
      <x:c r="T620" s="7" t="str">
        <x:v>No public business phone in collected record</x:v>
      </x:c>
      <x:c r="U620" s="7" t="str"/>
      <x:c r="V620" s="7" t="str">
        <x:v>Resident</x:v>
      </x:c>
      <x:c r="W620" s="7" t="str">
        <x:v>CA</x:v>
      </x:c>
      <x:c r="X620" s="7" t="str"/>
      <x:c r="Y620" s="7" t="str"/>
      <x:c r="Z620" s="7" t="str"/>
      <x:c r="AA620" s="7" t="str"/>
      <x:c r="AB620" s="7" t="str"/>
      <x:c r="AC620" s="7" t="str"/>
      <x:c r="AD620" s="7" t="str">
        <x:v>No agency or insurer displayed: onboarding opportunity possible; existing business unknown</x:v>
      </x:c>
      <x:c r="AE620" s="7" t="str">
        <x:v>No public business phone: contact enrichment needed, not proof of poor recruiting fit</x:v>
      </x:c>
      <x:c r="AF620" s="16" t="str"/>
      <x:c r="AG620" s="17" t="str"/>
      <x:c r="AH620" s="7" t="str"/>
      <x:c r="AI620" s="7" t="str"/>
      <x:c r="AJ620" s="7" t="str"/>
      <x:c r="AK620" s="15" t="str"/>
      <x:c r="AL620" s="7" t="str"/>
      <x:c r="AM620" s="7" t="str">
        <x:v>AGUILAR  JOSE</x:v>
      </x:c>
      <x:c r="AN620" s="7" t="str">
        <x:v>https://cdicloud.insurance.ca.gov/cal/LicenseDetail?SearchType=IND&amp;SearchLicNbr=0F81475&amp;SearchIndvId=1106078</x:v>
      </x:c>
      <x:c r="AO620" s="7" t="str">
        <x:v>2026-10-08</x:v>
      </x:c>
      <x:c r="AP620" s="7" t="str">
        <x:v>b6dd61e6db89337b29dcd524a00c0e31a2e8b7520dc069f8fa53e4422d90036f</x:v>
      </x:c>
      <x:c r="AQ620" s="7" t="str">
        <x:v>Accident and Health / Inactive / 10/13/2007 / 10/31/2009 / 10/31/2009
Life-Only / Inactive / 10/13/2007 / 10/31/2009 / 10/31/2009</x:v>
      </x:c>
      <x:c r="AR620" s="7" t="str">
        <x:v>Inactive</x:v>
      </x:c>
      <x:c r="AS620" s="7" t="str">
        <x:v>Current detail page</x:v>
      </x:c>
    </x:row>
    <x:row r="621" ht="52" customHeight="1">
      <x:c r="A621" s="7" t="str">
        <x:v>AGUILAR JOSE</x:v>
      </x:c>
      <x:c r="B621" s="14" t="str">
        <x:f>"1911963"</x:f>
        <x:v>1911963</x:v>
      </x:c>
      <x:c r="C621" s="7" t="str">
        <x:v>Omitted</x:v>
      </x:c>
      <x:c r="D621" s="7" t="str">
        <x:v>FAIL</x:v>
      </x:c>
      <x:c r="E621" s="13" t="str">
        <x:v>Pending</x:v>
      </x:c>
      <x:c r="F621" s="13" t="str"/>
      <x:c r="G621" s="13" t="str"/>
      <x:c r="H621" s="13" t="str"/>
      <x:c r="I621" s="7" t="str">
        <x:v>Was this person reviewed? If rejected, give the actual rule and evidence. If acceptable, correct the omission. Confirm the Life-qualification gate and any record change since selection.</x:v>
      </x:c>
      <x:c r="J621" s="7" t="str">
        <x:v>L1</x:v>
      </x:c>
      <x:c r="K621" s="7" t="str">
        <x:v>Verified qualifications do not include active general Life. Current target-pool mismatch; actual historical omission reason unknown.</x:v>
      </x:c>
      <x:c r="L621" s="7" t="str">
        <x:v>Not supplied; membership is known, motive is not</x:v>
      </x:c>
      <x:c r="M621" s="7" t="n">
        <x:v>7</x:v>
      </x:c>
      <x:c r="N621" s="7" t="str">
        <x:v>Outside current general-Life recruiting pool</x:v>
      </x:c>
      <x:c r="O621" s="7" t="str">
        <x:v>Inactive</x:v>
      </x:c>
      <x:c r="P621" s="7" t="str">
        <x:v>10/31/2022</x:v>
      </x:c>
      <x:c r="Q621" s="7" t="str">
        <x:v>10/31/2024</x:v>
      </x:c>
      <x:c r="R621" s="7" t="str"/>
      <x:c r="S621" s="15" t="str"/>
      <x:c r="T621" s="7" t="str">
        <x:v>No public business phone in collected record</x:v>
      </x:c>
      <x:c r="U621" s="7" t="str">
        <x:v>18575 JAMBOREE RD STE 400 IRVINE CA, 92612</x:v>
      </x:c>
      <x:c r="V621" s="7" t="str">
        <x:v>Resident</x:v>
      </x:c>
      <x:c r="W621" s="7" t="str">
        <x:v>CA</x:v>
      </x:c>
      <x:c r="X621" s="7" t="str"/>
      <x:c r="Y621" s="7" t="str"/>
      <x:c r="Z621" s="7" t="str"/>
      <x:c r="AA621" s="7" t="str"/>
      <x:c r="AB621" s="7" t="str"/>
      <x:c r="AC621" s="7" t="str"/>
      <x:c r="AD621" s="7" t="str">
        <x:v>No agency or insurer displayed: onboarding opportunity possible; existing business unknown</x:v>
      </x:c>
      <x:c r="AE621" s="7" t="str">
        <x:v>No public business phone: contact enrichment needed, not proof of poor recruiting fit</x:v>
      </x:c>
      <x:c r="AF621" s="16" t="str"/>
      <x:c r="AG621" s="17" t="str"/>
      <x:c r="AH621" s="7" t="str"/>
      <x:c r="AI621" s="7" t="str"/>
      <x:c r="AJ621" s="7" t="str"/>
      <x:c r="AK621" s="15" t="str"/>
      <x:c r="AL621" s="7" t="str"/>
      <x:c r="AM621" s="7" t="str">
        <x:v>AGUILAR  JOSE</x:v>
      </x:c>
      <x:c r="AN621" s="7" t="str">
        <x:v>https://cdicloud.insurance.ca.gov/cal/LicenseDetail?SearchType=IND&amp;SearchLicNbr=1911963&amp;SearchIndvId=1911963</x:v>
      </x:c>
      <x:c r="AO621" s="7" t="str">
        <x:v>2026-10-08</x:v>
      </x:c>
      <x:c r="AP621" s="7" t="str">
        <x:v>7027a5625786a515d35ef1f3d06efff13fa89ce7ad12e25b4181a4155b1efd70</x:v>
      </x:c>
      <x:c r="AQ621" s="7" t="str">
        <x:v>Accident &amp; Health or Sickness / Inactive / 10/31/2022 / 10/31/2024 / 10/31/2024
Life / Inactive / 10/31/2022 / 10/31/2024 / 10/31/2024</x:v>
      </x:c>
      <x:c r="AR621" s="7" t="str">
        <x:v>Inactive</x:v>
      </x:c>
      <x:c r="AS621" s="7" t="str">
        <x:v>Current detail page</x:v>
      </x:c>
    </x:row>
    <x:row r="622" ht="52" customHeight="1">
      <x:c r="A622" s="7" t="str">
        <x:v>AGUILAR JOSE ALBERTO</x:v>
      </x:c>
      <x:c r="B622" s="14" t="str">
        <x:f>"0D50709"</x:f>
        <x:v>0D50709</x:v>
      </x:c>
      <x:c r="C622" s="7" t="str">
        <x:v>Omitted</x:v>
      </x:c>
      <x:c r="D622" s="7" t="str">
        <x:v>FAIL</x:v>
      </x:c>
      <x:c r="E622" s="13" t="str">
        <x:v>Pending</x:v>
      </x:c>
      <x:c r="F622" s="13" t="str"/>
      <x:c r="G622" s="13" t="str"/>
      <x:c r="H622" s="13" t="str"/>
      <x:c r="I622" s="7" t="str">
        <x:v>Was this person reviewed? If rejected, give the actual rule and evidence. If acceptable, correct the omission. Confirm the Life-qualification gate and any record change since selection.</x:v>
      </x:c>
      <x:c r="J622" s="7" t="str">
        <x:v>L1</x:v>
      </x:c>
      <x:c r="K622" s="7" t="str">
        <x:v>Verified qualifications do not include active general Life. Current target-pool mismatch; actual historical omission reason unknown.</x:v>
      </x:c>
      <x:c r="L622" s="7" t="str">
        <x:v>Not supplied; membership is known, motive is not</x:v>
      </x:c>
      <x:c r="M622" s="7" t="n">
        <x:v>7</x:v>
      </x:c>
      <x:c r="N622" s="7" t="str">
        <x:v>Outside current general-Life recruiting pool</x:v>
      </x:c>
      <x:c r="O622" s="7" t="str">
        <x:v>Not displayed</x:v>
      </x:c>
      <x:c r="P622" s="7" t="str"/>
      <x:c r="Q622" s="7" t="str"/>
      <x:c r="R622" s="7" t="str"/>
      <x:c r="S622" s="15" t="str"/>
      <x:c r="T622" s="7" t="str">
        <x:v>No public business phone in collected record</x:v>
      </x:c>
      <x:c r="U622" s="7" t="str"/>
      <x:c r="V622" s="7" t="str">
        <x:v>Non-resident</x:v>
      </x:c>
      <x:c r="W622" s="7" t="str">
        <x:v>TX</x:v>
      </x:c>
      <x:c r="X622" s="7" t="str"/>
      <x:c r="Y622" s="7" t="str"/>
      <x:c r="Z622" s="7" t="str"/>
      <x:c r="AA622" s="7" t="str"/>
      <x:c r="AB622" s="7" t="str"/>
      <x:c r="AC622" s="7" t="str"/>
      <x:c r="AD622" s="7" t="str">
        <x:v>No agency or insurer displayed: onboarding opportunity possible; existing business unknown</x:v>
      </x:c>
      <x:c r="AE622" s="7" t="str">
        <x:v>Nonresident or address state outside CA; confirm geographic recruiting scope | No public business phone: contact enrichment needed, not proof of poor recruiting fit</x:v>
      </x:c>
      <x:c r="AF622" s="16" t="str"/>
      <x:c r="AG622" s="17" t="str"/>
      <x:c r="AH622" s="7" t="str"/>
      <x:c r="AI622" s="7" t="str"/>
      <x:c r="AJ622" s="7" t="str"/>
      <x:c r="AK622" s="15" t="str"/>
      <x:c r="AL622" s="7" t="str"/>
      <x:c r="AM622" s="7" t="str">
        <x:v>AGUILAR ALBERTO JOSE</x:v>
      </x:c>
      <x:c r="AN622" s="7" t="str">
        <x:v>https://cdicloud.insurance.ca.gov/cal/LicenseDetail?SearchType=IND&amp;SearchLicNbr=0D50709&amp;SearchIndvId=606543</x:v>
      </x:c>
      <x:c r="AO622" s="7" t="str">
        <x:v>2026-10-08</x:v>
      </x:c>
      <x:c r="AP622" s="7" t="str">
        <x:v>5ac7a3600ea728a7fdc4a37cde225b0e8db8e6d4b8449e887b9c6e43110c935e</x:v>
      </x:c>
      <x:c r="AQ622" s="7" t="str">
        <x:v>Accident and Health / Inactive / 03/07/2006 / 07/17/2007 / 07/17/2007
Casualty Broker-Agent / Inactive / 12/03/2001 / 07/17/2007 / 07/17/2007
Life-Only / Inactive / 03/07/2006 / 07/17/2007 / 07/17/2007
Property Broker-Agent / Inactive / 12/03/2001 / 07/17/2007 / 07/17/2007</x:v>
      </x:c>
      <x:c r="AR622" s="7" t="str">
        <x:v>Inactive</x:v>
      </x:c>
      <x:c r="AS622" s="7" t="str">
        <x:v>Current detail page</x:v>
      </x:c>
    </x:row>
    <x:row r="623" ht="52" customHeight="1">
      <x:c r="A623" s="7" t="str">
        <x:v>AGUILAR JOSE ANGEL</x:v>
      </x:c>
      <x:c r="B623" s="14" t="str">
        <x:f>"0K25538"</x:f>
        <x:v>0K25538</x:v>
      </x:c>
      <x:c r="C623" s="7" t="str">
        <x:v>Omitted</x:v>
      </x:c>
      <x:c r="D623" s="7" t="str">
        <x:v>FAIL</x:v>
      </x:c>
      <x:c r="E623" s="13" t="str">
        <x:v>Pending</x:v>
      </x:c>
      <x:c r="F623" s="13" t="str"/>
      <x:c r="G623" s="13" t="str"/>
      <x:c r="H623" s="13" t="str"/>
      <x:c r="I623" s="7" t="str">
        <x:v>Was this person reviewed? If rejected, give the actual rule and evidence. If acceptable, correct the omission. Confirm the Life-qualification gate and any record change since selection.</x:v>
      </x:c>
      <x:c r="J623" s="7" t="str">
        <x:v>L1</x:v>
      </x:c>
      <x:c r="K623" s="7" t="str">
        <x:v>Verified qualifications do not include active general Life. Current target-pool mismatch; actual historical omission reason unknown.</x:v>
      </x:c>
      <x:c r="L623" s="7" t="str">
        <x:v>Not supplied; membership is known, motive is not</x:v>
      </x:c>
      <x:c r="M623" s="7" t="n">
        <x:v>7</x:v>
      </x:c>
      <x:c r="N623" s="7" t="str">
        <x:v>Outside current general-Life recruiting pool</x:v>
      </x:c>
      <x:c r="O623" s="7" t="str">
        <x:v>Not displayed</x:v>
      </x:c>
      <x:c r="P623" s="7" t="str"/>
      <x:c r="Q623" s="7" t="str"/>
      <x:c r="R623" s="7" t="str"/>
      <x:c r="S623" s="15" t="str"/>
      <x:c r="T623" s="7" t="str">
        <x:v>No public business phone in collected record</x:v>
      </x:c>
      <x:c r="U623" s="7" t="str"/>
      <x:c r="V623" s="7" t="str">
        <x:v>Resident</x:v>
      </x:c>
      <x:c r="W623" s="7" t="str">
        <x:v>CA</x:v>
      </x:c>
      <x:c r="X623" s="7" t="str"/>
      <x:c r="Y623" s="7" t="str"/>
      <x:c r="Z623" s="7" t="str"/>
      <x:c r="AA623" s="7" t="str"/>
      <x:c r="AB623" s="7" t="str"/>
      <x:c r="AC623" s="7" t="str"/>
      <x:c r="AD623" s="7" t="str">
        <x:v>No agency or insurer displayed: onboarding opportunity possible; existing business unknown</x:v>
      </x:c>
      <x:c r="AE623" s="7" t="str">
        <x:v>No public business phone: contact enrichment needed, not proof of poor recruiting fit</x:v>
      </x:c>
      <x:c r="AF623" s="16" t="str"/>
      <x:c r="AG623" s="17" t="str"/>
      <x:c r="AH623" s="7" t="str"/>
      <x:c r="AI623" s="7" t="str"/>
      <x:c r="AJ623" s="7" t="str"/>
      <x:c r="AK623" s="15" t="str"/>
      <x:c r="AL623" s="7" t="str"/>
      <x:c r="AM623" s="7" t="str">
        <x:v>AGUILAR ANGEL JOSE</x:v>
      </x:c>
      <x:c r="AN623" s="7" t="str">
        <x:v>https://cdicloud.insurance.ca.gov/cal/LicenseDetail?SearchType=IND&amp;SearchLicNbr=0K25538&amp;SearchIndvId=1754464</x:v>
      </x:c>
      <x:c r="AO623" s="7" t="str">
        <x:v>2026-10-08</x:v>
      </x:c>
      <x:c r="AP623" s="7" t="str">
        <x:v>97343ea57297fb6acbf59fe27f6e1f97d885666e1d5dd50ceabc9acff6d930e9</x:v>
      </x:c>
      <x:c r="AQ623" s="7" t="str">
        <x:v>Life-Only / Inactive / 05/19/2015 / 05/31/2017 / 05/31/2017</x:v>
      </x:c>
      <x:c r="AR623" s="7" t="str">
        <x:v>Inactive</x:v>
      </x:c>
      <x:c r="AS623" s="7" t="str">
        <x:v>Current detail page</x:v>
      </x:c>
    </x:row>
    <x:row r="624" ht="52" customHeight="1">
      <x:c r="A624" s="7" t="str">
        <x:v>AGUILAR JOSE ANTONIO</x:v>
      </x:c>
      <x:c r="B624" s="14" t="str">
        <x:f>"0A74020"</x:f>
        <x:v>0A74020</x:v>
      </x:c>
      <x:c r="C624" s="7" t="str">
        <x:v>Omitted</x:v>
      </x:c>
      <x:c r="D624" s="7" t="str">
        <x:v>FAIL</x:v>
      </x:c>
      <x:c r="E624" s="13" t="str">
        <x:v>Pending</x:v>
      </x:c>
      <x:c r="F624" s="13" t="str"/>
      <x:c r="G624" s="13" t="str"/>
      <x:c r="H624" s="13" t="str"/>
      <x:c r="I624" s="7" t="str">
        <x:v>Was this person reviewed? If rejected, give the actual rule and evidence. If acceptable, correct the omission. Confirm the Life-qualification gate and any record change since selection.</x:v>
      </x:c>
      <x:c r="J624" s="7" t="str">
        <x:v>L1</x:v>
      </x:c>
      <x:c r="K624" s="7" t="str">
        <x:v>Verified qualifications do not include active general Life. Current target-pool mismatch; actual historical omission reason unknown.</x:v>
      </x:c>
      <x:c r="L624" s="7" t="str">
        <x:v>Not supplied; membership is known, motive is not</x:v>
      </x:c>
      <x:c r="M624" s="7" t="n">
        <x:v>7</x:v>
      </x:c>
      <x:c r="N624" s="7" t="str">
        <x:v>Outside current general-Life recruiting pool</x:v>
      </x:c>
      <x:c r="O624" s="7" t="str">
        <x:v>Not displayed</x:v>
      </x:c>
      <x:c r="P624" s="7" t="str"/>
      <x:c r="Q624" s="7" t="str"/>
      <x:c r="R624" s="7" t="str"/>
      <x:c r="S624" s="15" t="str"/>
      <x:c r="T624" s="7" t="str">
        <x:v>No public business phone in collected record</x:v>
      </x:c>
      <x:c r="U624" s="7" t="str"/>
      <x:c r="V624" s="7" t="str">
        <x:v>Resident</x:v>
      </x:c>
      <x:c r="W624" s="7" t="str">
        <x:v>CA</x:v>
      </x:c>
      <x:c r="X624" s="7" t="str"/>
      <x:c r="Y624" s="7" t="str"/>
      <x:c r="Z624" s="7" t="str"/>
      <x:c r="AA624" s="7" t="str"/>
      <x:c r="AB624" s="7" t="str"/>
      <x:c r="AC624" s="7" t="str"/>
      <x:c r="AD624" s="7" t="str">
        <x:v>No agency or insurer displayed: onboarding opportunity possible; existing business unknown</x:v>
      </x:c>
      <x:c r="AE624" s="7" t="str">
        <x:v>No public business phone: contact enrichment needed, not proof of poor recruiting fit</x:v>
      </x:c>
      <x:c r="AF624" s="16" t="str"/>
      <x:c r="AG624" s="17" t="str"/>
      <x:c r="AH624" s="7" t="str"/>
      <x:c r="AI624" s="7" t="str"/>
      <x:c r="AJ624" s="7" t="str"/>
      <x:c r="AK624" s="15" t="str"/>
      <x:c r="AL624" s="7" t="str"/>
      <x:c r="AM624" s="7" t="str">
        <x:v>AGUILAR ANTONIO JOSE</x:v>
      </x:c>
      <x:c r="AN624" s="7" t="str">
        <x:v>https://cdicloud.insurance.ca.gov/cal/LicenseDetail?SearchType=IND&amp;SearchLicNbr=0A74020&amp;SearchIndvId=169396</x:v>
      </x:c>
      <x:c r="AO624" s="7" t="str">
        <x:v>2026-10-08</x:v>
      </x:c>
      <x:c r="AP624" s="7" t="str">
        <x:v>575a018b381b4f1ce0a60181d9568b0db925ad836bfbaa24a30d36818a303589</x:v>
      </x:c>
      <x:c r="AQ624" s="7" t="str">
        <x:v>Accident and Health / Inactive / 06/14/1990 / 04/30/2011 / 04/30/2011
Life-Only / Inactive / 06/14/1990 / 04/30/2011 / 04/30/2011</x:v>
      </x:c>
      <x:c r="AR624" s="7" t="str">
        <x:v>Inactive</x:v>
      </x:c>
      <x:c r="AS624" s="7" t="str">
        <x:v>Current detail page</x:v>
      </x:c>
    </x:row>
    <x:row r="625" ht="52" customHeight="1">
      <x:c r="A625" s="7" t="str">
        <x:v>AGUILAR JOSE ANTONIO</x:v>
      </x:c>
      <x:c r="B625" s="14" t="str">
        <x:f>"0B77045"</x:f>
        <x:v>0B77045</x:v>
      </x:c>
      <x:c r="C625" s="7" t="str">
        <x:v>Omitted</x:v>
      </x:c>
      <x:c r="D625" s="7" t="str">
        <x:v>FAIL</x:v>
      </x:c>
      <x:c r="E625" s="13" t="str">
        <x:v>Pending</x:v>
      </x:c>
      <x:c r="F625" s="13" t="str"/>
      <x:c r="G625" s="13" t="str"/>
      <x:c r="H625" s="13" t="str"/>
      <x:c r="I625" s="7" t="str">
        <x:v>Was this person reviewed? If rejected, give the actual rule and evidence. If acceptable, correct the omission. Confirm the Life-qualification gate and any record change since selection.</x:v>
      </x:c>
      <x:c r="J625" s="7" t="str">
        <x:v>L1</x:v>
      </x:c>
      <x:c r="K625" s="7" t="str">
        <x:v>Verified qualifications do not include active general Life. Current target-pool mismatch; actual historical omission reason unknown.</x:v>
      </x:c>
      <x:c r="L625" s="7" t="str">
        <x:v>Not supplied; membership is known, motive is not</x:v>
      </x:c>
      <x:c r="M625" s="7" t="n">
        <x:v>7</x:v>
      </x:c>
      <x:c r="N625" s="7" t="str">
        <x:v>Outside current general-Life recruiting pool</x:v>
      </x:c>
      <x:c r="O625" s="7" t="str">
        <x:v>Not displayed</x:v>
      </x:c>
      <x:c r="P625" s="7" t="str"/>
      <x:c r="Q625" s="7" t="str"/>
      <x:c r="R625" s="7" t="str"/>
      <x:c r="S625" s="15" t="str"/>
      <x:c r="T625" s="7" t="str">
        <x:v>No public business phone in collected record</x:v>
      </x:c>
      <x:c r="U625" s="7" t="str"/>
      <x:c r="V625" s="7" t="str">
        <x:v>Resident</x:v>
      </x:c>
      <x:c r="W625" s="7" t="str">
        <x:v>CA</x:v>
      </x:c>
      <x:c r="X625" s="7" t="str"/>
      <x:c r="Y625" s="7" t="str"/>
      <x:c r="Z625" s="7" t="str"/>
      <x:c r="AA625" s="7" t="str"/>
      <x:c r="AB625" s="7" t="str"/>
      <x:c r="AC625" s="7" t="str"/>
      <x:c r="AD625" s="7" t="str">
        <x:v>No agency or insurer displayed: onboarding opportunity possible; existing business unknown</x:v>
      </x:c>
      <x:c r="AE625" s="7" t="str">
        <x:v>No public business phone: contact enrichment needed, not proof of poor recruiting fit</x:v>
      </x:c>
      <x:c r="AF625" s="16" t="str"/>
      <x:c r="AG625" s="17" t="str"/>
      <x:c r="AH625" s="7" t="str"/>
      <x:c r="AI625" s="7" t="str"/>
      <x:c r="AJ625" s="7" t="str"/>
      <x:c r="AK625" s="15" t="str"/>
      <x:c r="AL625" s="7" t="str"/>
      <x:c r="AM625" s="7" t="str">
        <x:v>AGUILAR ANTONIO JOSE</x:v>
      </x:c>
      <x:c r="AN625" s="7" t="str">
        <x:v>https://cdicloud.insurance.ca.gov/cal/LicenseDetail?SearchType=IND&amp;SearchLicNbr=0B77045&amp;SearchIndvId=254943</x:v>
      </x:c>
      <x:c r="AO625" s="7" t="str">
        <x:v>2026-10-08</x:v>
      </x:c>
      <x:c r="AP625" s="7" t="str">
        <x:v>ef23d83826eb1147073cacdb9db8b45fa2ba7e5c3396e69c216166cf1acba5d3</x:v>
      </x:c>
      <x:c r="AQ625" s="7" t="str">
        <x:v>Accident and Health / Inactive / 03/28/1996 / 03/31/1998 / 03/31/1998
Life-Only / Inactive / 03/28/1996 / 01/31/2018 / 01/31/2018</x:v>
      </x:c>
      <x:c r="AR625" s="7" t="str">
        <x:v>Inactive</x:v>
      </x:c>
      <x:c r="AS625" s="7" t="str">
        <x:v>Current detail page</x:v>
      </x:c>
    </x:row>
    <x:row r="626" ht="52" customHeight="1">
      <x:c r="A626" s="7" t="str">
        <x:v>AGUILAR JOSE ANTONIO</x:v>
      </x:c>
      <x:c r="B626" s="14" t="str">
        <x:f>"0D50562"</x:f>
        <x:v>0D50562</x:v>
      </x:c>
      <x:c r="C626" s="7" t="str">
        <x:v>Omitted</x:v>
      </x:c>
      <x:c r="D626" s="7" t="str">
        <x:v>FAIL</x:v>
      </x:c>
      <x:c r="E626" s="13" t="str">
        <x:v>Pending</x:v>
      </x:c>
      <x:c r="F626" s="13" t="str"/>
      <x:c r="G626" s="13" t="str"/>
      <x:c r="H626" s="13" t="str"/>
      <x:c r="I626" s="7" t="str">
        <x:v>Was this person reviewed? If rejected, give the actual rule and evidence. If acceptable, correct the omission. Confirm the Life-qualification gate and any record change since selection.</x:v>
      </x:c>
      <x:c r="J626" s="7" t="str">
        <x:v>L1</x:v>
      </x:c>
      <x:c r="K626" s="7" t="str">
        <x:v>Verified qualifications do not include active general Life. Current target-pool mismatch; actual historical omission reason unknown.</x:v>
      </x:c>
      <x:c r="L626" s="7" t="str">
        <x:v>Not supplied; membership is known, motive is not</x:v>
      </x:c>
      <x:c r="M626" s="7" t="n">
        <x:v>7</x:v>
      </x:c>
      <x:c r="N626" s="7" t="str">
        <x:v>Outside current general-Life recruiting pool</x:v>
      </x:c>
      <x:c r="O626" s="7" t="str">
        <x:v>Not displayed</x:v>
      </x:c>
      <x:c r="P626" s="7" t="str"/>
      <x:c r="Q626" s="7" t="str"/>
      <x:c r="R626" s="7" t="str"/>
      <x:c r="S626" s="15" t="str"/>
      <x:c r="T626" s="7" t="str">
        <x:v>No public business phone in collected record</x:v>
      </x:c>
      <x:c r="U626" s="7" t="str"/>
      <x:c r="V626" s="7" t="str">
        <x:v>Resident</x:v>
      </x:c>
      <x:c r="W626" s="7" t="str">
        <x:v>CA</x:v>
      </x:c>
      <x:c r="X626" s="7" t="str"/>
      <x:c r="Y626" s="7" t="str"/>
      <x:c r="Z626" s="7" t="str"/>
      <x:c r="AA626" s="7" t="str"/>
      <x:c r="AB626" s="7" t="str"/>
      <x:c r="AC626" s="7" t="str"/>
      <x:c r="AD626" s="7" t="str">
        <x:v>No agency or insurer displayed: onboarding opportunity possible; existing business unknown</x:v>
      </x:c>
      <x:c r="AE626" s="7" t="str">
        <x:v>No public business phone: contact enrichment needed, not proof of poor recruiting fit</x:v>
      </x:c>
      <x:c r="AF626" s="16" t="str"/>
      <x:c r="AG626" s="17" t="str"/>
      <x:c r="AH626" s="7" t="str"/>
      <x:c r="AI626" s="7" t="str"/>
      <x:c r="AJ626" s="7" t="str"/>
      <x:c r="AK626" s="15" t="str"/>
      <x:c r="AL626" s="7" t="str"/>
      <x:c r="AM626" s="7" t="str">
        <x:v>AGUILAR  JOSE ANTONIO | AGUILAR  TONY</x:v>
      </x:c>
      <x:c r="AN626" s="7" t="str">
        <x:v>https://cdicloud.insurance.ca.gov/cal/LicenseDetail?SearchType=IND&amp;SearchLicNbr=0D50562&amp;SearchIndvId=607859</x:v>
      </x:c>
      <x:c r="AO626" s="7" t="str">
        <x:v>2026-10-08</x:v>
      </x:c>
      <x:c r="AP626" s="7" t="str">
        <x:v>f38925e25deac8113c0448737538efd318c0258990cb9173810a3747fb496fcf</x:v>
      </x:c>
      <x:c r="AQ626" s="7" t="str">
        <x:v>Accident and Health / Inactive / 12/05/2007 / 12/31/2009 / 12/31/2009
Casualty Broker-Agent / Inactive / 12/06/2001 / 12/31/2013 / 12/31/2013
Life-Only / Inactive / 12/05/2007 / 12/31/2009 / 12/31/2009
Property Broker-Agent / Inactive / 12/06/2001 / 12/31/2013 / 12/31/2013</x:v>
      </x:c>
      <x:c r="AR626" s="7" t="str">
        <x:v>Inactive</x:v>
      </x:c>
      <x:c r="AS626" s="7" t="str">
        <x:v>Current detail page</x:v>
      </x:c>
    </x:row>
    <x:row r="627" ht="52" customHeight="1">
      <x:c r="A627" s="7" t="str">
        <x:v>AGUILAR JOSE ANTONIO</x:v>
      </x:c>
      <x:c r="B627" s="14" t="str">
        <x:f>"4381430"</x:f>
        <x:v>4381430</x:v>
      </x:c>
      <x:c r="C627" s="7" t="str">
        <x:v>Omitted</x:v>
      </x:c>
      <x:c r="D627" s="7" t="str">
        <x:v>FAIL</x:v>
      </x:c>
      <x:c r="E627" s="13" t="str">
        <x:v>Pending</x:v>
      </x:c>
      <x:c r="F627" s="13" t="str"/>
      <x:c r="G627" s="13" t="str"/>
      <x:c r="H627" s="13" t="str"/>
      <x:c r="I627" s="7" t="str">
        <x:v>Was this person reviewed? If rejected, give the actual rule and evidence. If acceptable, correct the omission. Confirm the Life-qualification gate and any record change since selection.</x:v>
      </x:c>
      <x:c r="J627" s="7" t="str">
        <x:v>L1</x:v>
      </x:c>
      <x:c r="K627" s="7" t="str">
        <x:v>Verified qualifications do not include active general Life. Current target-pool mismatch; actual historical omission reason unknown.</x:v>
      </x:c>
      <x:c r="L627" s="7" t="str">
        <x:v>Not supplied; membership is known, motive is not</x:v>
      </x:c>
      <x:c r="M627" s="7" t="n">
        <x:v>7</x:v>
      </x:c>
      <x:c r="N627" s="7" t="str">
        <x:v>Outside current general-Life recruiting pool</x:v>
      </x:c>
      <x:c r="O627" s="7" t="str">
        <x:v>Inactive</x:v>
      </x:c>
      <x:c r="P627" s="7" t="str">
        <x:v>06/14/2024</x:v>
      </x:c>
      <x:c r="Q627" s="7" t="str">
        <x:v>06/30/2026</x:v>
      </x:c>
      <x:c r="R627" s="7" t="str"/>
      <x:c r="S627" s="15" t="str">
        <x:v>323-974-8838</x:v>
      </x:c>
      <x:c r="T627" s="7" t="str">
        <x:v>Current CDI</x:v>
      </x:c>
      <x:c r="U627" s="7" t="str">
        <x:v>2800 28TH STREET #327 SANTA MONICA CA, 90405</x:v>
      </x:c>
      <x:c r="V627" s="7" t="str">
        <x:v>Resident</x:v>
      </x:c>
      <x:c r="W627" s="7" t="str">
        <x:v>CA</x:v>
      </x:c>
      <x:c r="X627" s="7" t="str"/>
      <x:c r="Y627" s="7" t="str"/>
      <x:c r="Z627" s="7" t="str"/>
      <x:c r="AA627" s="7" t="str"/>
      <x:c r="AB627" s="7" t="str"/>
      <x:c r="AC627" s="7" t="str"/>
      <x:c r="AD627" s="7" t="str">
        <x:v>No agency or insurer displayed: onboarding opportunity possible; existing business unknown</x:v>
      </x:c>
      <x:c r="AE627" s="7" t="str"/>
      <x:c r="AF627" s="16" t="str"/>
      <x:c r="AG627" s="17" t="str"/>
      <x:c r="AH627" s="7" t="str"/>
      <x:c r="AI627" s="7" t="str">
        <x:v>English</x:v>
      </x:c>
      <x:c r="AJ627" s="7" t="str"/>
      <x:c r="AK627" s="15" t="str"/>
      <x:c r="AL627" s="7" t="str"/>
      <x:c r="AM627" s="7" t="str">
        <x:v>AGUILAR ANTONIO JOSE</x:v>
      </x:c>
      <x:c r="AN627" s="7" t="str">
        <x:v>https://cdicloud.insurance.ca.gov/cal/LicenseDetail?SearchType=IND&amp;SearchLicNbr=4381430&amp;SearchIndvId=4381430</x:v>
      </x:c>
      <x:c r="AO627" s="7" t="str">
        <x:v>2026-10-08</x:v>
      </x:c>
      <x:c r="AP627" s="7" t="str">
        <x:v>0cb13ebca82fc3984942f4e96c80efde52f7e4cbae80b445ca23f3fa88ec3308</x:v>
      </x:c>
      <x:c r="AQ627" s="7" t="str">
        <x:v>Accident &amp; Health or Sickness / Inactive / 06/14/2024 / 06/30/2026 / 06/30/2026
Life / Inactive / 06/14/2024 / 06/30/2026 / 06/30/2026</x:v>
      </x:c>
      <x:c r="AR627" s="7" t="str">
        <x:v>Inactive</x:v>
      </x:c>
      <x:c r="AS627" s="7" t="str">
        <x:v>Current detail page</x:v>
      </x:c>
    </x:row>
    <x:row r="628" ht="52" customHeight="1">
      <x:c r="A628" s="7" t="str">
        <x:v>AGUILAR JOSE ARMANDO</x:v>
      </x:c>
      <x:c r="B628" s="14" t="str">
        <x:f>"4396111"</x:f>
        <x:v>4396111</x:v>
      </x:c>
      <x:c r="C628" s="7" t="str">
        <x:v>Omitted</x:v>
      </x:c>
      <x:c r="D628" s="7" t="str">
        <x:v>FAIL</x:v>
      </x:c>
      <x:c r="E628" s="13" t="str">
        <x:v>Pending</x:v>
      </x:c>
      <x:c r="F628" s="13" t="str"/>
      <x:c r="G628" s="13" t="str"/>
      <x:c r="H628" s="13" t="str"/>
      <x:c r="I628" s="7" t="str">
        <x:v>Was this person reviewed? If rejected, give the actual rule and evidence. If acceptable, correct the omission. Confirm the Life-qualification gate and any record change since selection.</x:v>
      </x:c>
      <x:c r="J628" s="7" t="str">
        <x:v>L1</x:v>
      </x:c>
      <x:c r="K628" s="7" t="str">
        <x:v>Verified qualifications do not include active general Life. Current target-pool mismatch; actual historical omission reason unknown.</x:v>
      </x:c>
      <x:c r="L628" s="7" t="str">
        <x:v>Not supplied; membership is known, motive is not</x:v>
      </x:c>
      <x:c r="M628" s="7" t="n">
        <x:v>7</x:v>
      </x:c>
      <x:c r="N628" s="7" t="str">
        <x:v>Outside current general-Life recruiting pool</x:v>
      </x:c>
      <x:c r="O628" s="7" t="str">
        <x:v>Not displayed</x:v>
      </x:c>
      <x:c r="P628" s="7" t="str"/>
      <x:c r="Q628" s="7" t="str"/>
      <x:c r="R628" s="7" t="str"/>
      <x:c r="S628" s="15" t="str"/>
      <x:c r="T628" s="7" t="str">
        <x:v>No public business phone in collected record</x:v>
      </x:c>
      <x:c r="U628" s="7" t="str">
        <x:v>505 W AJO WAY TUCSON AZ, 85713-6045</x:v>
      </x:c>
      <x:c r="V628" s="7" t="str">
        <x:v>Non-resident</x:v>
      </x:c>
      <x:c r="W628" s="7" t="str">
        <x:v>AZ</x:v>
      </x:c>
      <x:c r="X628" s="7" t="str"/>
      <x:c r="Y628" s="7" t="str"/>
      <x:c r="Z628" s="7" t="str"/>
      <x:c r="AA628" s="7" t="str"/>
      <x:c r="AB628" s="7" t="str"/>
      <x:c r="AC628" s="7" t="str"/>
      <x:c r="AD628" s="7" t="str">
        <x:v>No agency or insurer displayed: onboarding opportunity possible; existing business unknown</x:v>
      </x:c>
      <x:c r="AE628" s="7" t="str">
        <x:v>Nonresident or address state outside CA; confirm geographic recruiting scope | No public business phone: contact enrichment needed, not proof of poor recruiting fit</x:v>
      </x:c>
      <x:c r="AF628" s="16" t="str"/>
      <x:c r="AG628" s="17" t="str"/>
      <x:c r="AH628" s="7" t="str"/>
      <x:c r="AI628" s="7" t="str"/>
      <x:c r="AJ628" s="7" t="str"/>
      <x:c r="AK628" s="15" t="str"/>
      <x:c r="AL628" s="7" t="str"/>
      <x:c r="AM628" s="7" t="str">
        <x:v>AGUILAR ARMANDO JOSE</x:v>
      </x:c>
      <x:c r="AN628" s="7" t="str">
        <x:v>https://cdicloud.insurance.ca.gov/cal/LicenseDetail?SearchType=IND&amp;SearchLicNbr=4396111&amp;SearchIndvId=4396111</x:v>
      </x:c>
      <x:c r="AO628" s="7" t="str">
        <x:v>2026-10-08</x:v>
      </x:c>
      <x:c r="AP628" s="7" t="str">
        <x:v>3e7450fa93f48ee8226111b7acb8f3741050013c812d67d46737fd38ebb0bf94</x:v>
      </x:c>
      <x:c r="AQ628" s="7" t="str">
        <x:v>Casualty / Inactive / 07/24/2024 / 07/31/2026 / 07/31/2026
Property / Inactive / 07/24/2024 / 07/31/2026 / 07/31/2026</x:v>
      </x:c>
      <x:c r="AR628" s="7" t="str">
        <x:v>Inactive</x:v>
      </x:c>
      <x:c r="AS628" s="7" t="str">
        <x:v>Current detail page</x:v>
      </x:c>
    </x:row>
    <x:row r="629" ht="52" customHeight="1">
      <x:c r="A629" s="7" t="str">
        <x:v>AGUILAR JOSE CRUZ</x:v>
      </x:c>
      <x:c r="B629" s="14" t="str">
        <x:f>"0B14106"</x:f>
        <x:v>0B14106</x:v>
      </x:c>
      <x:c r="C629" s="7" t="str">
        <x:v>Omitted</x:v>
      </x:c>
      <x:c r="D629" s="7" t="str">
        <x:v>FAIL</x:v>
      </x:c>
      <x:c r="E629" s="13" t="str">
        <x:v>Pending</x:v>
      </x:c>
      <x:c r="F629" s="13" t="str"/>
      <x:c r="G629" s="13" t="str"/>
      <x:c r="H629" s="13" t="str"/>
      <x:c r="I629" s="7" t="str">
        <x:v>Was this person reviewed? If rejected, give the actual rule and evidence. If acceptable, correct the omission. Confirm the Life-qualification gate and any record change since selection.</x:v>
      </x:c>
      <x:c r="J629" s="7" t="str">
        <x:v>L1</x:v>
      </x:c>
      <x:c r="K629" s="7" t="str">
        <x:v>Verified qualifications do not include active general Life. Current target-pool mismatch; actual historical omission reason unknown.</x:v>
      </x:c>
      <x:c r="L629" s="7" t="str">
        <x:v>Not supplied; membership is known, motive is not</x:v>
      </x:c>
      <x:c r="M629" s="7" t="n">
        <x:v>7</x:v>
      </x:c>
      <x:c r="N629" s="7" t="str">
        <x:v>Outside current general-Life recruiting pool</x:v>
      </x:c>
      <x:c r="O629" s="7" t="str">
        <x:v>Not displayed</x:v>
      </x:c>
      <x:c r="P629" s="7" t="str"/>
      <x:c r="Q629" s="7" t="str"/>
      <x:c r="R629" s="7" t="str"/>
      <x:c r="S629" s="15" t="str"/>
      <x:c r="T629" s="7" t="str">
        <x:v>No public business phone in collected record</x:v>
      </x:c>
      <x:c r="U629" s="7" t="str"/>
      <x:c r="V629" s="7" t="str">
        <x:v>Resident</x:v>
      </x:c>
      <x:c r="W629" s="7" t="str">
        <x:v>CA</x:v>
      </x:c>
      <x:c r="X629" s="7" t="str"/>
      <x:c r="Y629" s="7" t="str"/>
      <x:c r="Z629" s="7" t="str"/>
      <x:c r="AA629" s="7" t="str"/>
      <x:c r="AB629" s="7" t="str"/>
      <x:c r="AC629" s="7" t="str"/>
      <x:c r="AD629" s="7" t="str">
        <x:v>No agency or insurer displayed: onboarding opportunity possible; existing business unknown</x:v>
      </x:c>
      <x:c r="AE629" s="7" t="str">
        <x:v>No public business phone: contact enrichment needed, not proof of poor recruiting fit</x:v>
      </x:c>
      <x:c r="AF629" s="16" t="str"/>
      <x:c r="AG629" s="17" t="str"/>
      <x:c r="AH629" s="7" t="str"/>
      <x:c r="AI629" s="7" t="str"/>
      <x:c r="AJ629" s="7" t="str"/>
      <x:c r="AK629" s="15" t="str"/>
      <x:c r="AL629" s="7" t="str"/>
      <x:c r="AM629" s="7" t="str">
        <x:v>AGUILAR CRUZ JOSE</x:v>
      </x:c>
      <x:c r="AN629" s="7" t="str">
        <x:v>https://cdicloud.insurance.ca.gov/cal/LicenseDetail?SearchType=IND&amp;SearchLicNbr=0B14106&amp;SearchIndvId=195592</x:v>
      </x:c>
      <x:c r="AO629" s="7" t="str">
        <x:v>2026-10-08</x:v>
      </x:c>
      <x:c r="AP629" s="7" t="str">
        <x:v>9b967c470e2f84864181c2f73a0f83993e0e84c06cd4bd737a8ecbfe6c0afd11</x:v>
      </x:c>
      <x:c r="AQ629" s="7" t="str">
        <x:v>Accident and Health / Inactive / 03/25/1993 / 03/31/1995 / 03/31/1995
Life-Only / Inactive / 03/25/1993 / 03/31/1995 / 03/31/1995</x:v>
      </x:c>
      <x:c r="AR629" s="7" t="str">
        <x:v>Inactive</x:v>
      </x:c>
      <x:c r="AS629" s="7" t="str">
        <x:v>Current detail page</x:v>
      </x:c>
    </x:row>
    <x:row r="630" ht="52" customHeight="1">
      <x:c r="A630" s="7" t="str">
        <x:v>AGUILAR JOSE EDUARDO</x:v>
      </x:c>
      <x:c r="B630" s="14" t="str">
        <x:f>"0F41995"</x:f>
        <x:v>0F41995</x:v>
      </x:c>
      <x:c r="C630" s="7" t="str">
        <x:v>Omitted</x:v>
      </x:c>
      <x:c r="D630" s="7" t="str">
        <x:v>FAIL</x:v>
      </x:c>
      <x:c r="E630" s="13" t="str">
        <x:v>Pending</x:v>
      </x:c>
      <x:c r="F630" s="13" t="str"/>
      <x:c r="G630" s="13" t="str"/>
      <x:c r="H630" s="13" t="str"/>
      <x:c r="I630" s="7" t="str">
        <x:v>Was this person reviewed? If rejected, give the actual rule and evidence. If acceptable, correct the omission. Confirm the Life-qualification gate and any record change since selection.</x:v>
      </x:c>
      <x:c r="J630" s="7" t="str">
        <x:v>L1</x:v>
      </x:c>
      <x:c r="K630" s="7" t="str">
        <x:v>Verified qualifications do not include active general Life. Current target-pool mismatch; actual historical omission reason unknown.</x:v>
      </x:c>
      <x:c r="L630" s="7" t="str">
        <x:v>Not supplied; membership is known, motive is not</x:v>
      </x:c>
      <x:c r="M630" s="7" t="n">
        <x:v>7</x:v>
      </x:c>
      <x:c r="N630" s="7" t="str">
        <x:v>Outside current general-Life recruiting pool</x:v>
      </x:c>
      <x:c r="O630" s="7" t="str">
        <x:v>Not displayed</x:v>
      </x:c>
      <x:c r="P630" s="7" t="str"/>
      <x:c r="Q630" s="7" t="str"/>
      <x:c r="R630" s="7" t="str"/>
      <x:c r="S630" s="15" t="str"/>
      <x:c r="T630" s="7" t="str">
        <x:v>No public business phone in collected record</x:v>
      </x:c>
      <x:c r="U630" s="7" t="str"/>
      <x:c r="V630" s="7" t="str">
        <x:v>Resident</x:v>
      </x:c>
      <x:c r="W630" s="7" t="str">
        <x:v>CA</x:v>
      </x:c>
      <x:c r="X630" s="7" t="str"/>
      <x:c r="Y630" s="7" t="str"/>
      <x:c r="Z630" s="7" t="str"/>
      <x:c r="AA630" s="7" t="str"/>
      <x:c r="AB630" s="7" t="str"/>
      <x:c r="AC630" s="7" t="str"/>
      <x:c r="AD630" s="7" t="str">
        <x:v>No agency or insurer displayed: onboarding opportunity possible; existing business unknown</x:v>
      </x:c>
      <x:c r="AE630" s="7" t="str">
        <x:v>No public business phone: contact enrichment needed, not proof of poor recruiting fit</x:v>
      </x:c>
      <x:c r="AF630" s="16" t="str"/>
      <x:c r="AG630" s="17" t="str"/>
      <x:c r="AH630" s="7" t="str"/>
      <x:c r="AI630" s="7" t="str"/>
      <x:c r="AJ630" s="7" t="str"/>
      <x:c r="AK630" s="15" t="str"/>
      <x:c r="AL630" s="7" t="str"/>
      <x:c r="AM630" s="7" t="str">
        <x:v>AGUILAR EDUARDO JOSE</x:v>
      </x:c>
      <x:c r="AN630" s="7" t="str">
        <x:v>https://cdicloud.insurance.ca.gov/cal/LicenseDetail?SearchType=IND&amp;SearchLicNbr=0F41995&amp;SearchIndvId=1053972</x:v>
      </x:c>
      <x:c r="AO630" s="7" t="str">
        <x:v>2026-10-08</x:v>
      </x:c>
      <x:c r="AP630" s="7" t="str">
        <x:v>e2b1d24ca05aec1de84fc71581b7d593a3925c560986e6d9586eb0c633e3f90f</x:v>
      </x:c>
      <x:c r="AQ630" s="7" t="str">
        <x:v>Accident and Health / Inactive / 11/06/2006 / 11/30/2008 / 11/30/2008
Life-Only / Inactive / 11/06/2006 / 11/30/2008 / 11/30/2008</x:v>
      </x:c>
      <x:c r="AR630" s="7" t="str">
        <x:v>Inactive</x:v>
      </x:c>
      <x:c r="AS630" s="7" t="str">
        <x:v>Current detail page</x:v>
      </x:c>
    </x:row>
    <x:row r="631" ht="52" customHeight="1">
      <x:c r="A631" s="7" t="str">
        <x:v>AGUILAR JOSE EMILIANO</x:v>
      </x:c>
      <x:c r="B631" s="14" t="str">
        <x:f>"4306354"</x:f>
        <x:v>4306354</x:v>
      </x:c>
      <x:c r="C631" s="7" t="str">
        <x:v>Omitted</x:v>
      </x:c>
      <x:c r="D631" s="7" t="str">
        <x:v>FAIL</x:v>
      </x:c>
      <x:c r="E631" s="13" t="str">
        <x:v>Pending</x:v>
      </x:c>
      <x:c r="F631" s="13" t="str"/>
      <x:c r="G631" s="13" t="str"/>
      <x:c r="H631" s="13" t="str"/>
      <x:c r="I631" s="7" t="str">
        <x:v>Was this person reviewed? If rejected, give the actual rule and evidence. If acceptable, correct the omission. Confirm the Life-qualification gate and any record change since selection.</x:v>
      </x:c>
      <x:c r="J631" s="7" t="str">
        <x:v>L1</x:v>
      </x:c>
      <x:c r="K631" s="7" t="str">
        <x:v>Verified qualifications do not include active general Life. Current target-pool mismatch; actual historical omission reason unknown.</x:v>
      </x:c>
      <x:c r="L631" s="7" t="str">
        <x:v>Not supplied; membership is known, motive is not</x:v>
      </x:c>
      <x:c r="M631" s="7" t="n">
        <x:v>7</x:v>
      </x:c>
      <x:c r="N631" s="7" t="str">
        <x:v>Outside current general-Life recruiting pool</x:v>
      </x:c>
      <x:c r="O631" s="7" t="str">
        <x:v>Not displayed</x:v>
      </x:c>
      <x:c r="P631" s="7" t="str"/>
      <x:c r="Q631" s="7" t="str"/>
      <x:c r="R631" s="7" t="str"/>
      <x:c r="S631" s="15" t="str"/>
      <x:c r="T631" s="7" t="str">
        <x:v>No public business phone in collected record</x:v>
      </x:c>
      <x:c r="U631" s="7" t="str">
        <x:v>1418 S MOONEY BLVD VISALIA CA, 93277</x:v>
      </x:c>
      <x:c r="V631" s="7" t="str">
        <x:v>Resident</x:v>
      </x:c>
      <x:c r="W631" s="7" t="str">
        <x:v>CA</x:v>
      </x:c>
      <x:c r="X631" s="7" t="str"/>
      <x:c r="Y631" s="7" t="str"/>
      <x:c r="Z631" s="7" t="str"/>
      <x:c r="AA631" s="7" t="str"/>
      <x:c r="AB631" s="7" t="str"/>
      <x:c r="AC631" s="7" t="str"/>
      <x:c r="AD631" s="7" t="str">
        <x:v>No agency or insurer displayed: onboarding opportunity possible; existing business unknown</x:v>
      </x:c>
      <x:c r="AE631" s="7" t="str">
        <x:v>No public business phone: contact enrichment needed, not proof of poor recruiting fit</x:v>
      </x:c>
      <x:c r="AF631" s="16" t="str"/>
      <x:c r="AG631" s="17" t="str"/>
      <x:c r="AH631" s="7" t="str"/>
      <x:c r="AI631" s="7" t="str"/>
      <x:c r="AJ631" s="7" t="str"/>
      <x:c r="AK631" s="15" t="str"/>
      <x:c r="AL631" s="7" t="str"/>
      <x:c r="AM631" s="7" t="str">
        <x:v>AGUILAR EMILIANO JOSE</x:v>
      </x:c>
      <x:c r="AN631" s="7" t="str">
        <x:v>https://cdicloud.insurance.ca.gov/cal/LicenseDetail?SearchType=IND&amp;SearchLicNbr=4306354&amp;SearchIndvId=4306354</x:v>
      </x:c>
      <x:c r="AO631" s="7" t="str">
        <x:v>2026-10-08</x:v>
      </x:c>
      <x:c r="AP631" s="7" t="str">
        <x:v>dd7a8e9714f30531855218017b5a693028b93323e4fbfc2285781b9468ff2139</x:v>
      </x:c>
      <x:c r="AQ631" s="7" t="str">
        <x:v>Personal Lines / Inactive / 07/03/2023 / 07/31/2025 / 07/31/2025</x:v>
      </x:c>
      <x:c r="AR631" s="7" t="str">
        <x:v>Inactive</x:v>
      </x:c>
      <x:c r="AS631" s="7" t="str">
        <x:v>Current detail page</x:v>
      </x:c>
    </x:row>
    <x:row r="632" ht="52" customHeight="1">
      <x:c r="A632" s="7" t="str">
        <x:v>AGUILAR JOSE ERNESTO</x:v>
      </x:c>
      <x:c r="B632" s="14" t="str">
        <x:f>"0E20889"</x:f>
        <x:v>0E20889</x:v>
      </x:c>
      <x:c r="C632" s="7" t="str">
        <x:v>Omitted</x:v>
      </x:c>
      <x:c r="D632" s="7" t="str">
        <x:v>FAIL</x:v>
      </x:c>
      <x:c r="E632" s="13" t="str">
        <x:v>Pending</x:v>
      </x:c>
      <x:c r="F632" s="13" t="str"/>
      <x:c r="G632" s="13" t="str"/>
      <x:c r="H632" s="13" t="str"/>
      <x:c r="I632" s="7" t="str">
        <x:v>Was this person reviewed? If rejected, give the actual rule and evidence. If acceptable, correct the omission. Confirm the Life-qualification gate and any record change since selection.</x:v>
      </x:c>
      <x:c r="J632" s="7" t="str">
        <x:v>L1</x:v>
      </x:c>
      <x:c r="K632" s="7" t="str">
        <x:v>Verified qualifications do not include active general Life. Current target-pool mismatch; actual historical omission reason unknown.</x:v>
      </x:c>
      <x:c r="L632" s="7" t="str">
        <x:v>Not supplied; membership is known, motive is not</x:v>
      </x:c>
      <x:c r="M632" s="7" t="n">
        <x:v>7</x:v>
      </x:c>
      <x:c r="N632" s="7" t="str">
        <x:v>Outside current general-Life recruiting pool</x:v>
      </x:c>
      <x:c r="O632" s="7" t="str">
        <x:v>Not displayed</x:v>
      </x:c>
      <x:c r="P632" s="7" t="str"/>
      <x:c r="Q632" s="7" t="str"/>
      <x:c r="R632" s="7" t="str"/>
      <x:c r="S632" s="15" t="str"/>
      <x:c r="T632" s="7" t="str">
        <x:v>No public business phone in collected record</x:v>
      </x:c>
      <x:c r="U632" s="7" t="str"/>
      <x:c r="V632" s="7" t="str">
        <x:v>Resident</x:v>
      </x:c>
      <x:c r="W632" s="7" t="str">
        <x:v>CA</x:v>
      </x:c>
      <x:c r="X632" s="7" t="str"/>
      <x:c r="Y632" s="7" t="str"/>
      <x:c r="Z632" s="7" t="str"/>
      <x:c r="AA632" s="7" t="str"/>
      <x:c r="AB632" s="7" t="str"/>
      <x:c r="AC632" s="7" t="str"/>
      <x:c r="AD632" s="7" t="str">
        <x:v>No agency or insurer displayed: onboarding opportunity possible; existing business unknown</x:v>
      </x:c>
      <x:c r="AE632" s="7" t="str">
        <x:v>No public business phone: contact enrichment needed, not proof of poor recruiting fit</x:v>
      </x:c>
      <x:c r="AF632" s="16" t="str"/>
      <x:c r="AG632" s="17" t="str"/>
      <x:c r="AH632" s="7" t="str"/>
      <x:c r="AI632" s="7" t="str"/>
      <x:c r="AJ632" s="7" t="str"/>
      <x:c r="AK632" s="15" t="str"/>
      <x:c r="AL632" s="7" t="str"/>
      <x:c r="AM632" s="7" t="str">
        <x:v>AGUILAR ERNESTO JOSE</x:v>
      </x:c>
      <x:c r="AN632" s="7" t="str">
        <x:v>https://cdicloud.insurance.ca.gov/cal/LicenseDetail?SearchType=IND&amp;SearchLicNbr=0E20889&amp;SearchIndvId=869757</x:v>
      </x:c>
      <x:c r="AO632" s="7" t="str">
        <x:v>2026-10-08</x:v>
      </x:c>
      <x:c r="AP632" s="7" t="str">
        <x:v>f394735ef0a621aea0f86ee764582e57117d3bbabe95f31a90795c76c3bf0ef2</x:v>
      </x:c>
      <x:c r="AQ632" s="7" t="str">
        <x:v>Motor Club Agent / Inactive / 10/19/2004 / 11/30/2009 / 11/30/2009
Accident and Health / Voluntary Surrender / 11/04/2003 / 11/30/2005 / 11/30/2005
Life-Only / Voluntary Surrender / 11/04/2003 / 11/30/2005 / 11/30/2005</x:v>
      </x:c>
      <x:c r="AR632" s="7" t="str">
        <x:v>Inactive</x:v>
      </x:c>
      <x:c r="AS632" s="7" t="str">
        <x:v>Current detail page</x:v>
      </x:c>
    </x:row>
    <x:row r="633" ht="52" customHeight="1">
      <x:c r="A633" s="7" t="str">
        <x:v>AGUILAR JOSE JOSE AGUILAR</x:v>
      </x:c>
      <x:c r="B633" s="14" t="str">
        <x:f>"0M59409"</x:f>
        <x:v>0M59409</x:v>
      </x:c>
      <x:c r="C633" s="7" t="str">
        <x:v>Omitted</x:v>
      </x:c>
      <x:c r="D633" s="7" t="str">
        <x:v>FAIL</x:v>
      </x:c>
      <x:c r="E633" s="13" t="str">
        <x:v>Pending</x:v>
      </x:c>
      <x:c r="F633" s="13" t="str"/>
      <x:c r="G633" s="13" t="str"/>
      <x:c r="H633" s="13" t="str"/>
      <x:c r="I633" s="7" t="str">
        <x:v>Was this person reviewed? If rejected, give the actual rule and evidence. If acceptable, correct the omission. Confirm the Life-qualification gate and any record change since selection.</x:v>
      </x:c>
      <x:c r="J633" s="7" t="str">
        <x:v>L1</x:v>
      </x:c>
      <x:c r="K633" s="7" t="str">
        <x:v>Verified qualifications do not include active general Life. Current target-pool mismatch; actual historical omission reason unknown.</x:v>
      </x:c>
      <x:c r="L633" s="7" t="str">
        <x:v>Not supplied; membership is known, motive is not</x:v>
      </x:c>
      <x:c r="M633" s="7" t="n">
        <x:v>7</x:v>
      </x:c>
      <x:c r="N633" s="7" t="str">
        <x:v>Outside current general-Life recruiting pool</x:v>
      </x:c>
      <x:c r="O633" s="7" t="str">
        <x:v>Not displayed</x:v>
      </x:c>
      <x:c r="P633" s="7" t="str"/>
      <x:c r="Q633" s="7" t="str"/>
      <x:c r="R633" s="7" t="str"/>
      <x:c r="S633" s="15" t="str"/>
      <x:c r="T633" s="7" t="str">
        <x:v>No public business phone in collected record</x:v>
      </x:c>
      <x:c r="U633" s="7" t="str"/>
      <x:c r="V633" s="7" t="str">
        <x:v>Resident</x:v>
      </x:c>
      <x:c r="W633" s="7" t="str">
        <x:v>CA</x:v>
      </x:c>
      <x:c r="X633" s="7" t="str"/>
      <x:c r="Y633" s="7" t="str"/>
      <x:c r="Z633" s="7" t="str"/>
      <x:c r="AA633" s="7" t="str"/>
      <x:c r="AB633" s="7" t="str"/>
      <x:c r="AC633" s="7" t="str"/>
      <x:c r="AD633" s="7" t="str">
        <x:v>No agency or insurer displayed: onboarding opportunity possible; existing business unknown</x:v>
      </x:c>
      <x:c r="AE633" s="7" t="str">
        <x:v>No public business phone: contact enrichment needed, not proof of poor recruiting fit</x:v>
      </x:c>
      <x:c r="AF633" s="16" t="str"/>
      <x:c r="AG633" s="17" t="str"/>
      <x:c r="AH633" s="7" t="str"/>
      <x:c r="AI633" s="7" t="str"/>
      <x:c r="AJ633" s="7" t="str"/>
      <x:c r="AK633" s="15" t="str"/>
      <x:c r="AL633" s="7" t="str"/>
      <x:c r="AM633" s="7" t="str">
        <x:v>AGUILAR JOSE AGUILAR JOSE</x:v>
      </x:c>
      <x:c r="AN633" s="7" t="str">
        <x:v>https://cdicloud.insurance.ca.gov/cal/LicenseDetail?SearchType=IND&amp;SearchLicNbr=0M59409&amp;SearchIndvId=2053410</x:v>
      </x:c>
      <x:c r="AO633" s="7" t="str">
        <x:v>2026-10-08</x:v>
      </x:c>
      <x:c r="AP633" s="7" t="str">
        <x:v>57256913cb37038d18322059a8853ec4e519dc3888c15470ad4dbdd6bedcf55a</x:v>
      </x:c>
      <x:c r="AQ633" s="7" t="str">
        <x:v>Accident and Health / Inactive / 10/01/2018 / 10/31/2020 / 10/31/2020
Life-Only / Inactive / 10/01/2018 / 10/31/2020 / 10/31/2020</x:v>
      </x:c>
      <x:c r="AR633" s="7" t="str">
        <x:v>Inactive</x:v>
      </x:c>
      <x:c r="AS633" s="7" t="str">
        <x:v>Current detail page</x:v>
      </x:c>
    </x:row>
    <x:row r="634" ht="52" customHeight="1">
      <x:c r="A634" s="7" t="str">
        <x:v>AGUILAR JOSE LUIS</x:v>
      </x:c>
      <x:c r="B634" s="14" t="str">
        <x:f>"0H11843"</x:f>
        <x:v>0H11843</x:v>
      </x:c>
      <x:c r="C634" s="7" t="str">
        <x:v>Omitted</x:v>
      </x:c>
      <x:c r="D634" s="7" t="str">
        <x:v>FAIL</x:v>
      </x:c>
      <x:c r="E634" s="13" t="str">
        <x:v>Pending</x:v>
      </x:c>
      <x:c r="F634" s="13" t="str"/>
      <x:c r="G634" s="13" t="str"/>
      <x:c r="H634" s="13" t="str"/>
      <x:c r="I634" s="7" t="str">
        <x:v>Was this person reviewed? If rejected, give the actual rule and evidence. If acceptable, correct the omission. Confirm the Life-qualification gate and any record change since selection.</x:v>
      </x:c>
      <x:c r="J634" s="7" t="str">
        <x:v>L1</x:v>
      </x:c>
      <x:c r="K634" s="7" t="str">
        <x:v>Verified qualifications do not include active general Life. Current target-pool mismatch; actual historical omission reason unknown.</x:v>
      </x:c>
      <x:c r="L634" s="7" t="str">
        <x:v>Not supplied; membership is known, motive is not</x:v>
      </x:c>
      <x:c r="M634" s="7" t="n">
        <x:v>7</x:v>
      </x:c>
      <x:c r="N634" s="7" t="str">
        <x:v>Outside current general-Life recruiting pool</x:v>
      </x:c>
      <x:c r="O634" s="7" t="str">
        <x:v>Not displayed</x:v>
      </x:c>
      <x:c r="P634" s="7" t="str"/>
      <x:c r="Q634" s="7" t="str"/>
      <x:c r="R634" s="7" t="str"/>
      <x:c r="S634" s="15" t="str"/>
      <x:c r="T634" s="7" t="str">
        <x:v>No public business phone in collected record</x:v>
      </x:c>
      <x:c r="U634" s="7" t="str"/>
      <x:c r="V634" s="7" t="str">
        <x:v>Resident</x:v>
      </x:c>
      <x:c r="W634" s="7" t="str">
        <x:v>CA</x:v>
      </x:c>
      <x:c r="X634" s="7" t="str"/>
      <x:c r="Y634" s="7" t="str"/>
      <x:c r="Z634" s="7" t="str"/>
      <x:c r="AA634" s="7" t="str"/>
      <x:c r="AB634" s="7" t="str"/>
      <x:c r="AC634" s="7" t="str"/>
      <x:c r="AD634" s="7" t="str">
        <x:v>No agency or insurer displayed: onboarding opportunity possible; existing business unknown</x:v>
      </x:c>
      <x:c r="AE634" s="7" t="str">
        <x:v>No public business phone: contact enrichment needed, not proof of poor recruiting fit</x:v>
      </x:c>
      <x:c r="AF634" s="16" t="str"/>
      <x:c r="AG634" s="17" t="str"/>
      <x:c r="AH634" s="7" t="str"/>
      <x:c r="AI634" s="7" t="str"/>
      <x:c r="AJ634" s="7" t="str"/>
      <x:c r="AK634" s="15" t="str"/>
      <x:c r="AL634" s="7" t="str"/>
      <x:c r="AM634" s="7" t="str">
        <x:v>AGUILAR LUIS JOSE</x:v>
      </x:c>
      <x:c r="AN634" s="7" t="str">
        <x:v>https://cdicloud.insurance.ca.gov/cal/LicenseDetail?SearchType=IND&amp;SearchLicNbr=0H11843&amp;SearchIndvId=1348596</x:v>
      </x:c>
      <x:c r="AO634" s="7" t="str">
        <x:v>2026-10-08</x:v>
      </x:c>
      <x:c r="AP634" s="7" t="str">
        <x:v>86026944f8130d2a9ecb9c201382c8bb5dd9fc92275fc094d5e14aab1b15bd86</x:v>
      </x:c>
      <x:c r="AQ634" s="7" t="str">
        <x:v>Life-Only / Inactive / 08/18/2010 / 08/31/2012 / 08/31/2012</x:v>
      </x:c>
      <x:c r="AR634" s="7" t="str">
        <x:v>Inactive</x:v>
      </x:c>
      <x:c r="AS634" s="7" t="str">
        <x:v>Current detail page</x:v>
      </x:c>
    </x:row>
    <x:row r="635" ht="52" customHeight="1">
      <x:c r="A635" s="7" t="str">
        <x:v>AGUILAR JOSE MARTIN</x:v>
      </x:c>
      <x:c r="B635" s="14" t="str">
        <x:f>"0M76756"</x:f>
        <x:v>0M76756</x:v>
      </x:c>
      <x:c r="C635" s="7" t="str">
        <x:v>Omitted</x:v>
      </x:c>
      <x:c r="D635" s="7" t="str">
        <x:v>FAIL</x:v>
      </x:c>
      <x:c r="E635" s="13" t="str">
        <x:v>Pending</x:v>
      </x:c>
      <x:c r="F635" s="13" t="str"/>
      <x:c r="G635" s="13" t="str"/>
      <x:c r="H635" s="13" t="str"/>
      <x:c r="I635" s="7" t="str">
        <x:v>Was this person reviewed? If rejected, give the actual rule and evidence. If acceptable, correct the omission. Confirm the Life-qualification gate and any record change since selection.</x:v>
      </x:c>
      <x:c r="J635" s="7" t="str">
        <x:v>L1</x:v>
      </x:c>
      <x:c r="K635" s="7" t="str">
        <x:v>Verified qualifications do not include active general Life. Current target-pool mismatch; actual historical omission reason unknown.</x:v>
      </x:c>
      <x:c r="L635" s="7" t="str">
        <x:v>Not supplied; membership is known, motive is not</x:v>
      </x:c>
      <x:c r="M635" s="7" t="n">
        <x:v>7</x:v>
      </x:c>
      <x:c r="N635" s="7" t="str">
        <x:v>Outside current general-Life recruiting pool</x:v>
      </x:c>
      <x:c r="O635" s="7" t="str">
        <x:v>Not displayed</x:v>
      </x:c>
      <x:c r="P635" s="7" t="str"/>
      <x:c r="Q635" s="7" t="str"/>
      <x:c r="R635" s="7" t="str"/>
      <x:c r="S635" s="15" t="str"/>
      <x:c r="T635" s="7" t="str">
        <x:v>No public business phone in collected record</x:v>
      </x:c>
      <x:c r="U635" s="7" t="str"/>
      <x:c r="V635" s="7" t="str">
        <x:v>Resident</x:v>
      </x:c>
      <x:c r="W635" s="7" t="str">
        <x:v>CA</x:v>
      </x:c>
      <x:c r="X635" s="7" t="str"/>
      <x:c r="Y635" s="7" t="str"/>
      <x:c r="Z635" s="7" t="str"/>
      <x:c r="AA635" s="7" t="str"/>
      <x:c r="AB635" s="7" t="str"/>
      <x:c r="AC635" s="7" t="str"/>
      <x:c r="AD635" s="7" t="str">
        <x:v>No agency or insurer displayed: onboarding opportunity possible; existing business unknown</x:v>
      </x:c>
      <x:c r="AE635" s="7" t="str">
        <x:v>No public business phone: contact enrichment needed, not proof of poor recruiting fit</x:v>
      </x:c>
      <x:c r="AF635" s="16" t="str"/>
      <x:c r="AG635" s="17" t="str"/>
      <x:c r="AH635" s="7" t="str"/>
      <x:c r="AI635" s="7" t="str"/>
      <x:c r="AJ635" s="7" t="str"/>
      <x:c r="AK635" s="15" t="str"/>
      <x:c r="AL635" s="7" t="str"/>
      <x:c r="AM635" s="7" t="str">
        <x:v>AGUILAR M JOSE | AGUILAR MARTIN JOSE</x:v>
      </x:c>
      <x:c r="AN635" s="7" t="str">
        <x:v>https://cdicloud.insurance.ca.gov/cal/LicenseDetail?SearchType=IND&amp;SearchLicNbr=0M76756&amp;SearchIndvId=2077363</x:v>
      </x:c>
      <x:c r="AO635" s="7" t="str">
        <x:v>2026-10-08</x:v>
      </x:c>
      <x:c r="AP635" s="7" t="str">
        <x:v>038f669518cb4daec1ba0c429b7bc3414276b6fe2bf3af2aa27af8bc0d06c744</x:v>
      </x:c>
      <x:c r="AQ635" s="7" t="str">
        <x:v>Accident and Health / Inactive / 01/09/2019 / 01/31/2021 / 01/31/2021
Life-Only / Inactive / 01/09/2019 / 01/31/2021 / 01/31/2021</x:v>
      </x:c>
      <x:c r="AR635" s="7" t="str">
        <x:v>Inactive</x:v>
      </x:c>
      <x:c r="AS635" s="7" t="str">
        <x:v>Current detail page</x:v>
      </x:c>
    </x:row>
    <x:row r="636" ht="52" customHeight="1">
      <x:c r="A636" s="7" t="str">
        <x:v>AGUILAR JOSE SAMUEL</x:v>
      </x:c>
      <x:c r="B636" s="14" t="str">
        <x:f>"0K48531"</x:f>
        <x:v>0K48531</x:v>
      </x:c>
      <x:c r="C636" s="7" t="str">
        <x:v>Omitted</x:v>
      </x:c>
      <x:c r="D636" s="7" t="str">
        <x:v>FAIL</x:v>
      </x:c>
      <x:c r="E636" s="13" t="str">
        <x:v>Pending</x:v>
      </x:c>
      <x:c r="F636" s="13" t="str"/>
      <x:c r="G636" s="13" t="str"/>
      <x:c r="H636" s="13" t="str"/>
      <x:c r="I636" s="7" t="str">
        <x:v>Was this person reviewed? If rejected, give the actual rule and evidence. If acceptable, correct the omission. Confirm the Life-qualification gate and any record change since selection.</x:v>
      </x:c>
      <x:c r="J636" s="7" t="str">
        <x:v>L1</x:v>
      </x:c>
      <x:c r="K636" s="7" t="str">
        <x:v>Verified qualifications do not include active general Life. Current target-pool mismatch; actual historical omission reason unknown.</x:v>
      </x:c>
      <x:c r="L636" s="7" t="str">
        <x:v>Not supplied; membership is known, motive is not</x:v>
      </x:c>
      <x:c r="M636" s="7" t="n">
        <x:v>7</x:v>
      </x:c>
      <x:c r="N636" s="7" t="str">
        <x:v>Outside current general-Life recruiting pool</x:v>
      </x:c>
      <x:c r="O636" s="7" t="str">
        <x:v>Not displayed</x:v>
      </x:c>
      <x:c r="P636" s="7" t="str"/>
      <x:c r="Q636" s="7" t="str"/>
      <x:c r="R636" s="7" t="str"/>
      <x:c r="S636" s="15" t="str"/>
      <x:c r="T636" s="7" t="str">
        <x:v>No public business phone in collected record</x:v>
      </x:c>
      <x:c r="U636" s="7" t="str"/>
      <x:c r="V636" s="7" t="str">
        <x:v>Resident</x:v>
      </x:c>
      <x:c r="W636" s="7" t="str">
        <x:v>CA</x:v>
      </x:c>
      <x:c r="X636" s="7" t="str"/>
      <x:c r="Y636" s="7" t="str"/>
      <x:c r="Z636" s="7" t="str"/>
      <x:c r="AA636" s="7" t="str"/>
      <x:c r="AB636" s="7" t="str"/>
      <x:c r="AC636" s="7" t="str"/>
      <x:c r="AD636" s="7" t="str">
        <x:v>No agency or insurer displayed: onboarding opportunity possible; existing business unknown</x:v>
      </x:c>
      <x:c r="AE636" s="7" t="str">
        <x:v>No public business phone: contact enrichment needed, not proof of poor recruiting fit</x:v>
      </x:c>
      <x:c r="AF636" s="16" t="str"/>
      <x:c r="AG636" s="17" t="str"/>
      <x:c r="AH636" s="7" t="str"/>
      <x:c r="AI636" s="7" t="str"/>
      <x:c r="AJ636" s="7" t="str"/>
      <x:c r="AK636" s="15" t="str"/>
      <x:c r="AL636" s="7" t="str"/>
      <x:c r="AM636" s="7" t="str">
        <x:v>aguilar s jose | AGUILAR SAMUEL JOSE</x:v>
      </x:c>
      <x:c r="AN636" s="7" t="str">
        <x:v>https://cdicloud.insurance.ca.gov/cal/LicenseDetail?SearchType=IND&amp;SearchLicNbr=0K48531&amp;SearchIndvId=1788861</x:v>
      </x:c>
      <x:c r="AO636" s="7" t="str">
        <x:v>2026-10-08</x:v>
      </x:c>
      <x:c r="AP636" s="7" t="str">
        <x:v>196d35df14dd9d26456005e6fca11f0561686914fb9c2063ad1f9889f9be940f</x:v>
      </x:c>
      <x:c r="AQ636" s="7" t="str">
        <x:v>Life-Only / Inactive / 09/23/2015 / 09/30/2017 / 09/30/2017</x:v>
      </x:c>
      <x:c r="AR636" s="7" t="str">
        <x:v>Inactive</x:v>
      </x:c>
      <x:c r="AS636" s="7" t="str">
        <x:v>Current detail page</x:v>
      </x:c>
    </x:row>
    <x:row r="637" ht="52" customHeight="1">
      <x:c r="A637" s="7" t="str">
        <x:v>AGUILAR JOSEPH BEN</x:v>
      </x:c>
      <x:c r="B637" s="14" t="str">
        <x:f>"4322274"</x:f>
        <x:v>4322274</x:v>
      </x:c>
      <x:c r="C637" s="7" t="str">
        <x:v>Omitted</x:v>
      </x:c>
      <x:c r="D637" s="7" t="str">
        <x:v>FAIL</x:v>
      </x:c>
      <x:c r="E637" s="13" t="str">
        <x:v>Pending</x:v>
      </x:c>
      <x:c r="F637" s="13" t="str"/>
      <x:c r="G637" s="13" t="str"/>
      <x:c r="H637" s="13" t="str"/>
      <x:c r="I637" s="7" t="str">
        <x:v>Was this person reviewed? If rejected, give the actual rule and evidence. If acceptable, correct the omission. Confirm the Life-qualification gate and any record change since selection.</x:v>
      </x:c>
      <x:c r="J637" s="7" t="str">
        <x:v>L1</x:v>
      </x:c>
      <x:c r="K637" s="7" t="str">
        <x:v>Verified qualifications do not include active general Life. Current target-pool mismatch; actual historical omission reason unknown.</x:v>
      </x:c>
      <x:c r="L637" s="7" t="str">
        <x:v>Not supplied; membership is known, motive is not</x:v>
      </x:c>
      <x:c r="M637" s="7" t="n">
        <x:v>7</x:v>
      </x:c>
      <x:c r="N637" s="7" t="str">
        <x:v>Outside current general-Life recruiting pool</x:v>
      </x:c>
      <x:c r="O637" s="7" t="str">
        <x:v>Inactive</x:v>
      </x:c>
      <x:c r="P637" s="7" t="str">
        <x:v>10/06/2023</x:v>
      </x:c>
      <x:c r="Q637" s="7" t="str">
        <x:v>10/31/2025</x:v>
      </x:c>
      <x:c r="R637" s="7" t="str"/>
      <x:c r="S637" s="15" t="str"/>
      <x:c r="T637" s="7" t="str">
        <x:v>No public business phone in collected record</x:v>
      </x:c>
      <x:c r="U637" s="7" t="str">
        <x:v>14951 FOOTHILL BLVD APT 5206 FONTANA CA, 92335</x:v>
      </x:c>
      <x:c r="V637" s="7" t="str">
        <x:v>Resident</x:v>
      </x:c>
      <x:c r="W637" s="7" t="str">
        <x:v>CA</x:v>
      </x:c>
      <x:c r="X637" s="7" t="str"/>
      <x:c r="Y637" s="7" t="str"/>
      <x:c r="Z637" s="7" t="str"/>
      <x:c r="AA637" s="7" t="str"/>
      <x:c r="AB637" s="7" t="str"/>
      <x:c r="AC637" s="7" t="str"/>
      <x:c r="AD637" s="7" t="str">
        <x:v>No agency or insurer displayed: onboarding opportunity possible; existing business unknown</x:v>
      </x:c>
      <x:c r="AE637" s="7" t="str">
        <x:v>No public business phone: contact enrichment needed, not proof of poor recruiting fit</x:v>
      </x:c>
      <x:c r="AF637" s="16" t="str"/>
      <x:c r="AG637" s="17" t="str"/>
      <x:c r="AH637" s="7" t="str"/>
      <x:c r="AI637" s="7" t="str">
        <x:v>English</x:v>
      </x:c>
      <x:c r="AJ637" s="7" t="str"/>
      <x:c r="AK637" s="15" t="str"/>
      <x:c r="AL637" s="7" t="str"/>
      <x:c r="AM637" s="7" t="str">
        <x:v>AGUILAR BEN JOSEPH</x:v>
      </x:c>
      <x:c r="AN637" s="7" t="str">
        <x:v>https://cdicloud.insurance.ca.gov/cal/LicenseDetail?SearchType=IND&amp;SearchLicNbr=4322274&amp;SearchIndvId=4322274</x:v>
      </x:c>
      <x:c r="AO637" s="7" t="str">
        <x:v>2026-10-08</x:v>
      </x:c>
      <x:c r="AP637" s="7" t="str">
        <x:v>d0a0a1bad2c830c879929d06f25d4e52d79b2444d38cef302c07bae19db063d7</x:v>
      </x:c>
      <x:c r="AQ637" s="7" t="str">
        <x:v>Life / Inactive / 10/06/2023 / 10/31/2025 / 10/31/2025</x:v>
      </x:c>
      <x:c r="AR637" s="7" t="str">
        <x:v>Inactive</x:v>
      </x:c>
      <x:c r="AS637" s="7" t="str">
        <x:v>Current detail page</x:v>
      </x:c>
    </x:row>
    <x:row r="638" ht="52" customHeight="1">
      <x:c r="A638" s="7" t="str">
        <x:v>AGUILAR JOSEPH MICHAEL</x:v>
      </x:c>
      <x:c r="B638" s="14" t="str">
        <x:f>"0E41762"</x:f>
        <x:v>0E41762</x:v>
      </x:c>
      <x:c r="C638" s="7" t="str">
        <x:v>Omitted</x:v>
      </x:c>
      <x:c r="D638" s="7" t="str">
        <x:v>FAIL</x:v>
      </x:c>
      <x:c r="E638" s="13" t="str">
        <x:v>Pending</x:v>
      </x:c>
      <x:c r="F638" s="13" t="str"/>
      <x:c r="G638" s="13" t="str"/>
      <x:c r="H638" s="13" t="str"/>
      <x:c r="I638" s="7" t="str">
        <x:v>Was this person reviewed? If rejected, give the actual rule and evidence. If acceptable, correct the omission. Confirm the Life-qualification gate and any record change since selection.</x:v>
      </x:c>
      <x:c r="J638" s="7" t="str">
        <x:v>L1</x:v>
      </x:c>
      <x:c r="K638" s="7" t="str">
        <x:v>Verified qualifications do not include active general Life. Current target-pool mismatch; actual historical omission reason unknown.</x:v>
      </x:c>
      <x:c r="L638" s="7" t="str">
        <x:v>Not supplied; membership is known, motive is not</x:v>
      </x:c>
      <x:c r="M638" s="7" t="n">
        <x:v>7</x:v>
      </x:c>
      <x:c r="N638" s="7" t="str">
        <x:v>Outside current general-Life recruiting pool</x:v>
      </x:c>
      <x:c r="O638" s="7" t="str">
        <x:v>Not displayed</x:v>
      </x:c>
      <x:c r="P638" s="7" t="str"/>
      <x:c r="Q638" s="7" t="str"/>
      <x:c r="R638" s="7" t="str"/>
      <x:c r="S638" s="15" t="str"/>
      <x:c r="T638" s="7" t="str">
        <x:v>No public business phone in collected record</x:v>
      </x:c>
      <x:c r="U638" s="7" t="str"/>
      <x:c r="V638" s="7" t="str">
        <x:v>Resident</x:v>
      </x:c>
      <x:c r="W638" s="7" t="str">
        <x:v>CA</x:v>
      </x:c>
      <x:c r="X638" s="7" t="str"/>
      <x:c r="Y638" s="7" t="str"/>
      <x:c r="Z638" s="7" t="str"/>
      <x:c r="AA638" s="7" t="str"/>
      <x:c r="AB638" s="7" t="str"/>
      <x:c r="AC638" s="7" t="str"/>
      <x:c r="AD638" s="7" t="str">
        <x:v>No agency or insurer displayed: onboarding opportunity possible; existing business unknown</x:v>
      </x:c>
      <x:c r="AE638" s="7" t="str">
        <x:v>No public business phone: contact enrichment needed, not proof of poor recruiting fit</x:v>
      </x:c>
      <x:c r="AF638" s="16" t="str"/>
      <x:c r="AG638" s="17" t="str"/>
      <x:c r="AH638" s="7" t="str"/>
      <x:c r="AI638" s="7" t="str"/>
      <x:c r="AJ638" s="7" t="str"/>
      <x:c r="AK638" s="15" t="str"/>
      <x:c r="AL638" s="7" t="str"/>
      <x:c r="AM638" s="7" t="str">
        <x:v>AGUILAR MICHAEL JOSEPH</x:v>
      </x:c>
      <x:c r="AN638" s="7" t="str">
        <x:v>https://cdicloud.insurance.ca.gov/cal/LicenseDetail?SearchType=IND&amp;SearchLicNbr=0E41762&amp;SearchIndvId=896450</x:v>
      </x:c>
      <x:c r="AO638" s="7" t="str">
        <x:v>2026-10-08</x:v>
      </x:c>
      <x:c r="AP638" s="7" t="str">
        <x:v>ba401fd3326b2890df4320cc1aeaf122ddb45474c3683591cd54c9edd14a51ba</x:v>
      </x:c>
      <x:c r="AQ638" s="7" t="str">
        <x:v>Accident and Health / Inactive / 05/07/2004 / 05/31/2006 / 05/31/2006
Life-Only / Inactive / 05/07/2004 / 05/31/2006 / 05/31/2006</x:v>
      </x:c>
      <x:c r="AR638" s="7" t="str">
        <x:v>Inactive</x:v>
      </x:c>
      <x:c r="AS638" s="7" t="str">
        <x:v>Current detail page</x:v>
      </x:c>
    </x:row>
    <x:row r="639" ht="52" customHeight="1">
      <x:c r="A639" s="7" t="str">
        <x:v>AGUILAR JOSEPH RIKKARDO</x:v>
      </x:c>
      <x:c r="B639" s="14" t="str">
        <x:f>"0L03537"</x:f>
        <x:v>0L03537</x:v>
      </x:c>
      <x:c r="C639" s="7" t="str">
        <x:v>Omitted</x:v>
      </x:c>
      <x:c r="D639" s="7" t="str">
        <x:v>FAIL</x:v>
      </x:c>
      <x:c r="E639" s="13" t="str">
        <x:v>Pending</x:v>
      </x:c>
      <x:c r="F639" s="13" t="str"/>
      <x:c r="G639" s="13" t="str"/>
      <x:c r="H639" s="13" t="str"/>
      <x:c r="I639" s="7" t="str">
        <x:v>Was this person reviewed? If rejected, give the actual rule and evidence. If acceptable, correct the omission. Confirm the Life-qualification gate and any record change since selection.</x:v>
      </x:c>
      <x:c r="J639" s="7" t="str">
        <x:v>L1</x:v>
      </x:c>
      <x:c r="K639" s="7" t="str">
        <x:v>Verified qualifications do not include active general Life. Current target-pool mismatch; actual historical omission reason unknown.</x:v>
      </x:c>
      <x:c r="L639" s="7" t="str">
        <x:v>Not supplied; membership is known, motive is not</x:v>
      </x:c>
      <x:c r="M639" s="7" t="n">
        <x:v>7</x:v>
      </x:c>
      <x:c r="N639" s="7" t="str">
        <x:v>Outside current general-Life recruiting pool</x:v>
      </x:c>
      <x:c r="O639" s="7" t="str">
        <x:v>Not displayed</x:v>
      </x:c>
      <x:c r="P639" s="7" t="str"/>
      <x:c r="Q639" s="7" t="str"/>
      <x:c r="R639" s="7" t="str"/>
      <x:c r="S639" s="15" t="str"/>
      <x:c r="T639" s="7" t="str">
        <x:v>No public business phone in collected record</x:v>
      </x:c>
      <x:c r="U639" s="7" t="str"/>
      <x:c r="V639" s="7" t="str">
        <x:v>Resident</x:v>
      </x:c>
      <x:c r="W639" s="7" t="str">
        <x:v>CA</x:v>
      </x:c>
      <x:c r="X639" s="7" t="str"/>
      <x:c r="Y639" s="7" t="str"/>
      <x:c r="Z639" s="7" t="str"/>
      <x:c r="AA639" s="7" t="str"/>
      <x:c r="AB639" s="7" t="str"/>
      <x:c r="AC639" s="7" t="str"/>
      <x:c r="AD639" s="7" t="str">
        <x:v>No agency or insurer displayed: onboarding opportunity possible; existing business unknown</x:v>
      </x:c>
      <x:c r="AE639" s="7" t="str">
        <x:v>No public business phone: contact enrichment needed, not proof of poor recruiting fit</x:v>
      </x:c>
      <x:c r="AF639" s="16" t="str"/>
      <x:c r="AG639" s="17" t="str"/>
      <x:c r="AH639" s="7" t="str"/>
      <x:c r="AI639" s="7" t="str"/>
      <x:c r="AJ639" s="7" t="str"/>
      <x:c r="AK639" s="15" t="str"/>
      <x:c r="AL639" s="7" t="str"/>
      <x:c r="AM639" s="7" t="str">
        <x:v>Aguilar R Joseph | AGUILAR RIKKARDO JOSEPH</x:v>
      </x:c>
      <x:c r="AN639" s="7" t="str">
        <x:v>https://cdicloud.insurance.ca.gov/cal/LicenseDetail?SearchType=IND&amp;SearchLicNbr=0L03537&amp;SearchIndvId=1856220</x:v>
      </x:c>
      <x:c r="AO639" s="7" t="str">
        <x:v>2026-10-08</x:v>
      </x:c>
      <x:c r="AP639" s="7" t="str">
        <x:v>915f215c5bf1bd786d8d64ad89b53698b325cbbf5ab2c1acfa162f78ab3465c0</x:v>
      </x:c>
      <x:c r="AQ639" s="7" t="str">
        <x:v>Life-Only / Inactive / 08/03/2016 / 08/31/2020 / 08/31/2020</x:v>
      </x:c>
      <x:c r="AR639" s="7" t="str">
        <x:v>Inactive</x:v>
      </x:c>
      <x:c r="AS639" s="7" t="str">
        <x:v>Current detail page</x:v>
      </x:c>
    </x:row>
    <x:row r="640" ht="52" customHeight="1">
      <x:c r="A640" s="7" t="str">
        <x:v>AGUILAR JOSUE</x:v>
      </x:c>
      <x:c r="B640" s="14" t="str">
        <x:f>"4219352"</x:f>
        <x:v>4219352</x:v>
      </x:c>
      <x:c r="C640" s="7" t="str">
        <x:v>Omitted</x:v>
      </x:c>
      <x:c r="D640" s="7" t="str">
        <x:v>FAIL</x:v>
      </x:c>
      <x:c r="E640" s="13" t="str">
        <x:v>Pending</x:v>
      </x:c>
      <x:c r="F640" s="13" t="str"/>
      <x:c r="G640" s="13" t="str"/>
      <x:c r="H640" s="13" t="str"/>
      <x:c r="I640" s="7" t="str">
        <x:v>Was this person reviewed? If rejected, give the actual rule and evidence. If acceptable, correct the omission. Confirm the Life-qualification gate and any record change since selection.</x:v>
      </x:c>
      <x:c r="J640" s="7" t="str">
        <x:v>L1</x:v>
      </x:c>
      <x:c r="K640" s="7" t="str">
        <x:v>Verified qualifications do not include active general Life. Current target-pool mismatch; actual historical omission reason unknown.</x:v>
      </x:c>
      <x:c r="L640" s="7" t="str">
        <x:v>Not supplied; membership is known, motive is not</x:v>
      </x:c>
      <x:c r="M640" s="7" t="n">
        <x:v>7</x:v>
      </x:c>
      <x:c r="N640" s="7" t="str">
        <x:v>Outside current general-Life recruiting pool</x:v>
      </x:c>
      <x:c r="O640" s="7" t="str">
        <x:v>Not displayed</x:v>
      </x:c>
      <x:c r="P640" s="7" t="str"/>
      <x:c r="Q640" s="7" t="str"/>
      <x:c r="R640" s="7" t="str"/>
      <x:c r="S640" s="15" t="str">
        <x:v>408-739-6950</x:v>
      </x:c>
      <x:c r="T640" s="7" t="str">
        <x:v>Current CDI</x:v>
      </x:c>
      <x:c r="U640" s="7" t="str">
        <x:v>EDDY CHAN INSURANCE GROUP LLC 525 W REMINGTON DR STE 110 SUNNYVALE CA, 94087</x:v>
      </x:c>
      <x:c r="V640" s="7" t="str">
        <x:v>Resident</x:v>
      </x:c>
      <x:c r="W640" s="7" t="str">
        <x:v>CA</x:v>
      </x:c>
      <x:c r="X640" s="7" t="str"/>
      <x:c r="Y640" s="7" t="str"/>
      <x:c r="Z640" s="7" t="str"/>
      <x:c r="AA640" s="7" t="str"/>
      <x:c r="AB640" s="7" t="str"/>
      <x:c r="AC640" s="7" t="str"/>
      <x:c r="AD640" s="7" t="str">
        <x:v>No agency or insurer displayed: onboarding opportunity possible; existing business unknown</x:v>
      </x:c>
      <x:c r="AE640" s="7" t="str"/>
      <x:c r="AF640" s="16" t="str"/>
      <x:c r="AG640" s="17" t="str"/>
      <x:c r="AH640" s="7" t="str"/>
      <x:c r="AI640" s="7" t="str">
        <x:v>English</x:v>
      </x:c>
      <x:c r="AJ640" s="7" t="str"/>
      <x:c r="AK640" s="15" t="str"/>
      <x:c r="AL640" s="7" t="str"/>
      <x:c r="AM640" s="7" t="str">
        <x:v>AGUILAR  JOSUE</x:v>
      </x:c>
      <x:c r="AN640" s="7" t="str">
        <x:v>https://cdicloud.insurance.ca.gov/cal/LicenseDetail?SearchType=IND&amp;SearchLicNbr=4219352&amp;SearchIndvId=4219352</x:v>
      </x:c>
      <x:c r="AO640" s="7" t="str">
        <x:v>2026-10-08</x:v>
      </x:c>
      <x:c r="AP640" s="7" t="str">
        <x:v>e789ae40834341ee3ed7c6509a8d70e13bb09ad5c3268d8dfe17f1c5b7c41b47</x:v>
      </x:c>
      <x:c r="AQ640" s="7" t="str">
        <x:v>Personal Lines / Inactive / 06/28/2022 / 06/30/2026 / 06/30/2026</x:v>
      </x:c>
      <x:c r="AR640" s="7" t="str">
        <x:v>Inactive</x:v>
      </x:c>
      <x:c r="AS640" s="7" t="str">
        <x:v>Current detail page</x:v>
      </x:c>
    </x:row>
    <x:row r="641" ht="52" customHeight="1">
      <x:c r="A641" s="7" t="str">
        <x:v>AGUILAR JOVANNA</x:v>
      </x:c>
      <x:c r="B641" s="14" t="str">
        <x:f>"4578263"</x:f>
        <x:v>4578263</x:v>
      </x:c>
      <x:c r="C641" s="7" t="str">
        <x:v>Omitted</x:v>
      </x:c>
      <x:c r="D641" s="7" t="str">
        <x:v>FAIL</x:v>
      </x:c>
      <x:c r="E641" s="13" t="str">
        <x:v>Pending</x:v>
      </x:c>
      <x:c r="F641" s="13" t="str"/>
      <x:c r="G641" s="13" t="str"/>
      <x:c r="H641" s="13" t="str"/>
      <x:c r="I641" s="7" t="str">
        <x:v>Was this person reviewed? If rejected, give the actual rule and evidence. If acceptable, correct the omission. Confirm the Life-qualification gate and any record change since selection.</x:v>
      </x:c>
      <x:c r="J641" s="7" t="str">
        <x:v>L1</x:v>
      </x:c>
      <x:c r="K641" s="7" t="str">
        <x:v>Verified qualifications do not include active general Life. Current target-pool mismatch; actual historical omission reason unknown.</x:v>
      </x:c>
      <x:c r="L641" s="7" t="str">
        <x:v>Not supplied; membership is known, motive is not</x:v>
      </x:c>
      <x:c r="M641" s="7" t="n">
        <x:v>7</x:v>
      </x:c>
      <x:c r="N641" s="7" t="str">
        <x:v>Outside current general-Life recruiting pool</x:v>
      </x:c>
      <x:c r="O641" s="7" t="str">
        <x:v>Not displayed</x:v>
      </x:c>
      <x:c r="P641" s="7" t="str"/>
      <x:c r="Q641" s="7" t="str"/>
      <x:c r="R641" s="7" t="str">
        <x:v>Personal Lines</x:v>
      </x:c>
      <x:c r="S641" s="15" t="str"/>
      <x:c r="T641" s="7" t="str">
        <x:v>No public business phone in collected record</x:v>
      </x:c>
      <x:c r="U641" s="7" t="str">
        <x:v>9800 FREDERICKSBURG RD SAN ANTONIO TX, 78288</x:v>
      </x:c>
      <x:c r="V641" s="7" t="str">
        <x:v>Non-resident</x:v>
      </x:c>
      <x:c r="W641" s="7" t="str">
        <x:v>TX</x:v>
      </x:c>
      <x:c r="X641" s="7" t="str"/>
      <x:c r="Y641" s="7" t="str"/>
      <x:c r="Z641" s="7" t="str"/>
      <x:c r="AA641" s="7" t="str"/>
      <x:c r="AB641" s="7" t="str"/>
      <x:c r="AC641" s="7" t="str"/>
      <x:c r="AD641" s="7" t="str">
        <x:v>No agency or insurer displayed: onboarding opportunity possible; existing business unknown</x:v>
      </x:c>
      <x:c r="AE641"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641" s="16" t="str"/>
      <x:c r="AG641" s="17" t="str"/>
      <x:c r="AH641" s="7" t="str"/>
      <x:c r="AI641" s="7" t="str"/>
      <x:c r="AJ641" s="7" t="str"/>
      <x:c r="AK641" s="15" t="str"/>
      <x:c r="AL641" s="7" t="str"/>
      <x:c r="AM641" s="7" t="str">
        <x:v>Aguilar  Jovanna</x:v>
      </x:c>
      <x:c r="AN641" s="7" t="str">
        <x:v>https://cdicloud.insurance.ca.gov/cal/LicenseDetail?SearchType=IND&amp;SearchLicNbr=4578263&amp;SearchIndvId=4578263</x:v>
      </x:c>
      <x:c r="AO641" s="7" t="str">
        <x:v>2026-10-08</x:v>
      </x:c>
      <x:c r="AP641" s="7" t="str">
        <x:v>46fcaeedaa032d12b8a2656801596a80e6a66b43e2f22345c5594293785b2b13</x:v>
      </x:c>
      <x:c r="AQ641" s="7" t="str">
        <x:v>Personal Lines / Active / 09/02/2026 / 09/02/2026 / 09/30/2028</x:v>
      </x:c>
      <x:c r="AR641" s="7" t="str">
        <x:v>Active</x:v>
      </x:c>
      <x:c r="AS641" s="7" t="str">
        <x:v>Current detail page</x:v>
      </x:c>
    </x:row>
    <x:row r="642" ht="52" customHeight="1">
      <x:c r="A642" s="7" t="str">
        <x:v>AGUILAR JOVANNI</x:v>
      </x:c>
      <x:c r="B642" s="14" t="str">
        <x:f>"0F27980"</x:f>
        <x:v>0F27980</x:v>
      </x:c>
      <x:c r="C642" s="7" t="str">
        <x:v>Omitted</x:v>
      </x:c>
      <x:c r="D642" s="7" t="str">
        <x:v>FAIL</x:v>
      </x:c>
      <x:c r="E642" s="13" t="str">
        <x:v>Pending</x:v>
      </x:c>
      <x:c r="F642" s="13" t="str"/>
      <x:c r="G642" s="13" t="str"/>
      <x:c r="H642" s="13" t="str"/>
      <x:c r="I642" s="7" t="str">
        <x:v>Was this person reviewed? If rejected, give the actual rule and evidence. If acceptable, correct the omission. Confirm the Life-qualification gate and any record change since selection.</x:v>
      </x:c>
      <x:c r="J642" s="7" t="str">
        <x:v>L1</x:v>
      </x:c>
      <x:c r="K642" s="7" t="str">
        <x:v>Verified qualifications do not include active general Life. Current target-pool mismatch; actual historical omission reason unknown.</x:v>
      </x:c>
      <x:c r="L642" s="7" t="str">
        <x:v>Not supplied; membership is known, motive is not</x:v>
      </x:c>
      <x:c r="M642" s="7" t="n">
        <x:v>7</x:v>
      </x:c>
      <x:c r="N642" s="7" t="str">
        <x:v>Outside current general-Life recruiting pool</x:v>
      </x:c>
      <x:c r="O642" s="7" t="str">
        <x:v>Not displayed</x:v>
      </x:c>
      <x:c r="P642" s="7" t="str"/>
      <x:c r="Q642" s="7" t="str"/>
      <x:c r="R642" s="7" t="str"/>
      <x:c r="S642" s="15" t="str"/>
      <x:c r="T642" s="7" t="str">
        <x:v>No public business phone in collected record</x:v>
      </x:c>
      <x:c r="U642" s="7" t="str"/>
      <x:c r="V642" s="7" t="str">
        <x:v>Resident</x:v>
      </x:c>
      <x:c r="W642" s="7" t="str">
        <x:v>CA</x:v>
      </x:c>
      <x:c r="X642" s="7" t="str"/>
      <x:c r="Y642" s="7" t="str"/>
      <x:c r="Z642" s="7" t="str"/>
      <x:c r="AA642" s="7" t="str"/>
      <x:c r="AB642" s="7" t="str"/>
      <x:c r="AC642" s="7" t="str"/>
      <x:c r="AD642" s="7" t="str">
        <x:v>No agency or insurer displayed: onboarding opportunity possible; existing business unknown</x:v>
      </x:c>
      <x:c r="AE642" s="7" t="str">
        <x:v>No public business phone: contact enrichment needed, not proof of poor recruiting fit</x:v>
      </x:c>
      <x:c r="AF642" s="16" t="str"/>
      <x:c r="AG642" s="17" t="str"/>
      <x:c r="AH642" s="7" t="str"/>
      <x:c r="AI642" s="7" t="str">
        <x:v>English</x:v>
      </x:c>
      <x:c r="AJ642" s="7" t="str"/>
      <x:c r="AK642" s="15" t="str"/>
      <x:c r="AL642" s="7" t="str"/>
      <x:c r="AM642" s="7" t="str">
        <x:v>AGUILAR  JOVANNI</x:v>
      </x:c>
      <x:c r="AN642" s="7" t="str">
        <x:v>https://cdicloud.insurance.ca.gov/cal/LicenseDetail?SearchType=IND&amp;SearchLicNbr=0F27980&amp;SearchIndvId=1037524</x:v>
      </x:c>
      <x:c r="AO642" s="7" t="str">
        <x:v>2026-10-08</x:v>
      </x:c>
      <x:c r="AP642" s="7" t="str">
        <x:v>6e7043bcfda8e8fd655e77be938fc89096f9140e45d4fd9c0408199944217ef8</x:v>
      </x:c>
      <x:c r="AQ642" s="7" t="str">
        <x:v>Motor Club Agent / Inactive / 07/27/2006 / 07/31/2008 / 07/31/2008</x:v>
      </x:c>
      <x:c r="AR642" s="7" t="str">
        <x:v>Inactive</x:v>
      </x:c>
      <x:c r="AS642" s="7" t="str">
        <x:v>Current detail page</x:v>
      </x:c>
    </x:row>
    <x:row r="643" ht="52" customHeight="1">
      <x:c r="A643" s="7" t="str">
        <x:v>AGUILAR JOVANNI</x:v>
      </x:c>
      <x:c r="B643" s="14" t="str">
        <x:f>"E0F27980"</x:f>
        <x:v>E0F27980</x:v>
      </x:c>
      <x:c r="C643" s="7" t="str">
        <x:v>Omitted</x:v>
      </x:c>
      <x:c r="D643" s="7" t="str">
        <x:v>REVIEW</x:v>
      </x:c>
      <x:c r="E643" s="13" t="str">
        <x:v>Pending</x:v>
      </x:c>
      <x:c r="F643" s="13" t="str"/>
      <x:c r="G643" s="13" t="str"/>
      <x:c r="H643" s="13" t="str"/>
      <x:c r="I643" s="7" t="str">
        <x:v>Was this record reviewed? The detail page provides no qualifications. Verify the actual license type and Life authority before deciding; do not reject for missing data.</x:v>
      </x:c>
      <x:c r="J643" s="7" t="str">
        <x:v>L1</x:v>
      </x:c>
      <x:c r="K643" s="7" t="str">
        <x:v>Detail page displays no qualification information. Life authority cannot be verified; missing data is not a qualification failure. Historical omission reason unknown.</x:v>
      </x:c>
      <x:c r="L643" s="7" t="str">
        <x:v>Not supplied; membership is known, motive is not</x:v>
      </x:c>
      <x:c r="M643" s="7" t="n">
        <x:v>7</x:v>
      </x:c>
      <x:c r="N643" s="7" t="str">
        <x:v>Outside current general-Life recruiting pool</x:v>
      </x:c>
      <x:c r="O643" s="7" t="str">
        <x:v>Not displayed</x:v>
      </x:c>
      <x:c r="P643" s="7" t="str"/>
      <x:c r="Q643" s="7" t="str"/>
      <x:c r="R643" s="7" t="str"/>
      <x:c r="S643" s="15" t="str"/>
      <x:c r="T643" s="7" t="str">
        <x:v>No public business phone in collected record</x:v>
      </x:c>
      <x:c r="U643" s="7" t="str"/>
      <x:c r="V643" s="7" t="str">
        <x:v>Resident</x:v>
      </x:c>
      <x:c r="W643" s="7" t="str">
        <x:v>CA</x:v>
      </x:c>
      <x:c r="X643" s="7" t="str"/>
      <x:c r="Y643" s="7" t="str"/>
      <x:c r="Z643" s="7" t="str"/>
      <x:c r="AA643" s="7" t="str"/>
      <x:c r="AB643" s="7" t="str"/>
      <x:c r="AC643" s="7" t="str"/>
      <x:c r="AD643" s="7" t="str">
        <x:v>No agency or insurer displayed: onboarding opportunity possible; existing business unknown</x:v>
      </x:c>
      <x:c r="AE643" s="7" t="str">
        <x:v>No public business phone: contact enrichment needed, not proof of poor recruiting fit</x:v>
      </x:c>
      <x:c r="AF643" s="16" t="str"/>
      <x:c r="AG643" s="17" t="str"/>
      <x:c r="AH643" s="7" t="str"/>
      <x:c r="AI643" s="7" t="str">
        <x:v>English</x:v>
      </x:c>
      <x:c r="AJ643" s="7" t="str"/>
      <x:c r="AK643" s="15" t="str"/>
      <x:c r="AL643" s="7" t="str"/>
      <x:c r="AM643" s="7" t="str">
        <x:v>AGUILAR  JOVANNI</x:v>
      </x:c>
      <x:c r="AN643" s="7" t="str">
        <x:v>https://cdicloud.insurance.ca.gov/cal/LicenseDetail?SearchType=IND&amp;SearchLicNbr=E0F27980&amp;SearchIndvId=1037524</x:v>
      </x:c>
      <x:c r="AO643" s="7" t="str">
        <x:v>2026-10-08</x:v>
      </x:c>
      <x:c r="AP643" s="7" t="str">
        <x:v>95dc355023d0c32322564922f4d55e1d5ff2aa3b8b04d3c31b16b7ea7b887272</x:v>
      </x:c>
      <x:c r="AQ643" s="7" t="str"/>
      <x:c r="AR643" s="7" t="str">
        <x:v>Active</x:v>
      </x:c>
      <x:c r="AS643" s="7" t="str">
        <x:v>Current detail page</x:v>
      </x:c>
    </x:row>
    <x:row r="644" ht="52" customHeight="1">
      <x:c r="A644" s="7" t="str">
        <x:v>AGUILAR JUAN</x:v>
      </x:c>
      <x:c r="B644" s="14" t="str">
        <x:f>"4338978"</x:f>
        <x:v>4338978</x:v>
      </x:c>
      <x:c r="C644" s="7" t="str">
        <x:v>Omitted</x:v>
      </x:c>
      <x:c r="D644" s="7" t="str">
        <x:v>FAIL</x:v>
      </x:c>
      <x:c r="E644" s="13" t="str">
        <x:v>Pending</x:v>
      </x:c>
      <x:c r="F644" s="13" t="str"/>
      <x:c r="G644" s="13" t="str"/>
      <x:c r="H644" s="13" t="str"/>
      <x:c r="I644" s="7" t="str">
        <x:v>Was this person reviewed? If rejected, give the actual rule and evidence. If acceptable, correct the omission. Confirm the Life-qualification gate and any record change since selection.</x:v>
      </x:c>
      <x:c r="J644" s="7" t="str">
        <x:v>L1</x:v>
      </x:c>
      <x:c r="K644" s="7" t="str">
        <x:v>Verified qualifications do not include active general Life. Current target-pool mismatch; actual historical omission reason unknown.</x:v>
      </x:c>
      <x:c r="L644" s="7" t="str">
        <x:v>Not supplied; membership is known, motive is not</x:v>
      </x:c>
      <x:c r="M644" s="7" t="n">
        <x:v>7</x:v>
      </x:c>
      <x:c r="N644" s="7" t="str">
        <x:v>Outside current general-Life recruiting pool</x:v>
      </x:c>
      <x:c r="O644" s="7" t="str">
        <x:v>Not displayed</x:v>
      </x:c>
      <x:c r="P644" s="7" t="str"/>
      <x:c r="Q644" s="7" t="str"/>
      <x:c r="R644" s="7" t="str"/>
      <x:c r="S644" s="15" t="str"/>
      <x:c r="T644" s="7" t="str">
        <x:v>No public business phone in collected record</x:v>
      </x:c>
      <x:c r="U644" s="7" t="str">
        <x:v>3647 W FLORIDA AVE HEMET CA, 92545</x:v>
      </x:c>
      <x:c r="V644" s="7" t="str">
        <x:v>Resident</x:v>
      </x:c>
      <x:c r="W644" s="7" t="str">
        <x:v>CA</x:v>
      </x:c>
      <x:c r="X644" s="7" t="str"/>
      <x:c r="Y644" s="7" t="str"/>
      <x:c r="Z644" s="7" t="str"/>
      <x:c r="AA644" s="7" t="str"/>
      <x:c r="AB644" s="7" t="str"/>
      <x:c r="AC644" s="7" t="str"/>
      <x:c r="AD644" s="7" t="str">
        <x:v>No agency or insurer displayed: onboarding opportunity possible; existing business unknown</x:v>
      </x:c>
      <x:c r="AE644" s="7" t="str">
        <x:v>No public business phone: contact enrichment needed, not proof of poor recruiting fit</x:v>
      </x:c>
      <x:c r="AF644" s="16" t="str"/>
      <x:c r="AG644" s="17" t="str"/>
      <x:c r="AH644" s="7" t="str"/>
      <x:c r="AI644" s="7" t="str"/>
      <x:c r="AJ644" s="7" t="str"/>
      <x:c r="AK644" s="15" t="str"/>
      <x:c r="AL644" s="7" t="str"/>
      <x:c r="AM644" s="7" t="str">
        <x:v>AGUILAR  JUAN</x:v>
      </x:c>
      <x:c r="AN644" s="7" t="str">
        <x:v>https://cdicloud.insurance.ca.gov/cal/LicenseDetail?SearchType=IND&amp;SearchLicNbr=4338978&amp;SearchIndvId=4338978</x:v>
      </x:c>
      <x:c r="AO644" s="7" t="str">
        <x:v>2026-10-08</x:v>
      </x:c>
      <x:c r="AP644" s="7" t="str">
        <x:v>5c93c9c71d120de50a8cfb0640cd3a91bde2a5086e4ce45f94d564675fac2b73</x:v>
      </x:c>
      <x:c r="AQ644" s="7" t="str">
        <x:v>Motor Club Agent / Inactive / 11/06/2023 / 05/19/2024 / 05/19/2024</x:v>
      </x:c>
      <x:c r="AR644" s="7" t="str">
        <x:v>Inactive</x:v>
      </x:c>
      <x:c r="AS644" s="7" t="str">
        <x:v>Current detail page</x:v>
      </x:c>
    </x:row>
    <x:row r="645" ht="52" customHeight="1">
      <x:c r="A645" s="7" t="str">
        <x:v>AGUILAR JUAN A</x:v>
      </x:c>
      <x:c r="B645" s="14" t="str">
        <x:f>"0H90552"</x:f>
        <x:v>0H90552</x:v>
      </x:c>
      <x:c r="C645" s="7" t="str">
        <x:v>Omitted</x:v>
      </x:c>
      <x:c r="D645" s="7" t="str">
        <x:v>FAIL</x:v>
      </x:c>
      <x:c r="E645" s="13" t="str">
        <x:v>Pending</x:v>
      </x:c>
      <x:c r="F645" s="13" t="str"/>
      <x:c r="G645" s="13" t="str"/>
      <x:c r="H645" s="13" t="str"/>
      <x:c r="I645" s="7" t="str">
        <x:v>Was this person reviewed? If rejected, give the actual rule and evidence. If acceptable, correct the omission. Confirm the Life-qualification gate and any record change since selection.</x:v>
      </x:c>
      <x:c r="J645" s="7" t="str">
        <x:v>L1</x:v>
      </x:c>
      <x:c r="K645" s="7" t="str">
        <x:v>Verified qualifications do not include active general Life. Current target-pool mismatch; actual historical omission reason unknown.</x:v>
      </x:c>
      <x:c r="L645" s="7" t="str">
        <x:v>Not supplied; membership is known, motive is not</x:v>
      </x:c>
      <x:c r="M645" s="7" t="n">
        <x:v>7</x:v>
      </x:c>
      <x:c r="N645" s="7" t="str">
        <x:v>Outside current general-Life recruiting pool</x:v>
      </x:c>
      <x:c r="O645" s="7" t="str">
        <x:v>Not displayed</x:v>
      </x:c>
      <x:c r="P645" s="7" t="str"/>
      <x:c r="Q645" s="7" t="str"/>
      <x:c r="R645" s="7" t="str"/>
      <x:c r="S645" s="15" t="str"/>
      <x:c r="T645" s="7" t="str">
        <x:v>No public business phone in collected record</x:v>
      </x:c>
      <x:c r="U645" s="7" t="str"/>
      <x:c r="V645" s="7" t="str">
        <x:v>Non-resident</x:v>
      </x:c>
      <x:c r="W645" s="7" t="str">
        <x:v>TX</x:v>
      </x:c>
      <x:c r="X645" s="7" t="str"/>
      <x:c r="Y645" s="7" t="str"/>
      <x:c r="Z645" s="7" t="str"/>
      <x:c r="AA645" s="7" t="str"/>
      <x:c r="AB645" s="7" t="str"/>
      <x:c r="AC645" s="7" t="str"/>
      <x:c r="AD645" s="7" t="str">
        <x:v>No agency or insurer displayed: onboarding opportunity possible; existing business unknown</x:v>
      </x:c>
      <x:c r="AE645" s="7" t="str">
        <x:v>Nonresident or address state outside CA; confirm geographic recruiting scope | No public business phone: contact enrichment needed, not proof of poor recruiting fit</x:v>
      </x:c>
      <x:c r="AF645" s="16" t="str"/>
      <x:c r="AG645" s="17" t="str"/>
      <x:c r="AH645" s="7" t="str"/>
      <x:c r="AI645" s="7" t="str"/>
      <x:c r="AJ645" s="7" t="str"/>
      <x:c r="AK645" s="15" t="str"/>
      <x:c r="AL645" s="7" t="str"/>
      <x:c r="AM645" s="7" t="str">
        <x:v>AGUILAR A JUAN</x:v>
      </x:c>
      <x:c r="AN645" s="7" t="str">
        <x:v>https://cdicloud.insurance.ca.gov/cal/LicenseDetail?SearchType=IND&amp;SearchLicNbr=0H90552&amp;SearchIndvId=1517134</x:v>
      </x:c>
      <x:c r="AO645" s="7" t="str">
        <x:v>2026-10-08</x:v>
      </x:c>
      <x:c r="AP645" s="7" t="str">
        <x:v>01dc4304efb3a5a57c06ca6c9b088b17c76bb6f9b005dbb4c3ed3513179cfbc6</x:v>
      </x:c>
      <x:c r="AQ645" s="7" t="str">
        <x:v>Casualty Broker-Agent / Inactive / 06/19/2012 / 05/31/2017 / 05/31/2017
Property Broker-Agent / Inactive / 06/19/2012 / 05/31/2017 / 05/31/2017</x:v>
      </x:c>
      <x:c r="AR645" s="7" t="str">
        <x:v>Inactive</x:v>
      </x:c>
      <x:c r="AS645" s="7" t="str">
        <x:v>Current detail page</x:v>
      </x:c>
    </x:row>
    <x:row r="646" ht="52" customHeight="1">
      <x:c r="A646" s="7" t="str">
        <x:v>AGUILAR JUAN ALFREDO</x:v>
      </x:c>
      <x:c r="B646" s="14" t="str">
        <x:f>"0E93930"</x:f>
        <x:v>0E93930</x:v>
      </x:c>
      <x:c r="C646" s="7" t="str">
        <x:v>Omitted</x:v>
      </x:c>
      <x:c r="D646" s="7" t="str">
        <x:v>FAIL</x:v>
      </x:c>
      <x:c r="E646" s="13" t="str">
        <x:v>Pending</x:v>
      </x:c>
      <x:c r="F646" s="13" t="str"/>
      <x:c r="G646" s="13" t="str"/>
      <x:c r="H646" s="13" t="str"/>
      <x:c r="I646" s="7" t="str">
        <x:v>Was this person reviewed? If rejected, give the actual rule and evidence. If acceptable, correct the omission. Confirm the Life-qualification gate and any record change since selection.</x:v>
      </x:c>
      <x:c r="J646" s="7" t="str">
        <x:v>L1</x:v>
      </x:c>
      <x:c r="K646" s="7" t="str">
        <x:v>Verified qualifications do not include active general Life. Current target-pool mismatch; actual historical omission reason unknown.</x:v>
      </x:c>
      <x:c r="L646" s="7" t="str">
        <x:v>Not supplied; membership is known, motive is not</x:v>
      </x:c>
      <x:c r="M646" s="7" t="n">
        <x:v>7</x:v>
      </x:c>
      <x:c r="N646" s="7" t="str">
        <x:v>Outside current general-Life recruiting pool</x:v>
      </x:c>
      <x:c r="O646" s="7" t="str">
        <x:v>Not displayed</x:v>
      </x:c>
      <x:c r="P646" s="7" t="str"/>
      <x:c r="Q646" s="7" t="str"/>
      <x:c r="R646" s="7" t="str"/>
      <x:c r="S646" s="15" t="str"/>
      <x:c r="T646" s="7" t="str">
        <x:v>No public business phone in collected record</x:v>
      </x:c>
      <x:c r="U646" s="7" t="str"/>
      <x:c r="V646" s="7" t="str">
        <x:v>Resident</x:v>
      </x:c>
      <x:c r="W646" s="7" t="str">
        <x:v>CA</x:v>
      </x:c>
      <x:c r="X646" s="7" t="str"/>
      <x:c r="Y646" s="7" t="str"/>
      <x:c r="Z646" s="7" t="str"/>
      <x:c r="AA646" s="7" t="str"/>
      <x:c r="AB646" s="7" t="str"/>
      <x:c r="AC646" s="7" t="str"/>
      <x:c r="AD646" s="7" t="str">
        <x:v>No agency or insurer displayed: onboarding opportunity possible; existing business unknown</x:v>
      </x:c>
      <x:c r="AE646" s="7" t="str">
        <x:v>No public business phone: contact enrichment needed, not proof of poor recruiting fit</x:v>
      </x:c>
      <x:c r="AF646" s="16" t="str"/>
      <x:c r="AG646" s="17" t="str"/>
      <x:c r="AH646" s="7" t="str"/>
      <x:c r="AI646" s="7" t="str"/>
      <x:c r="AJ646" s="7" t="str"/>
      <x:c r="AK646" s="15" t="str"/>
      <x:c r="AL646" s="7" t="str"/>
      <x:c r="AM646" s="7" t="str">
        <x:v>AGUILAR ALFREDO JUAN</x:v>
      </x:c>
      <x:c r="AN646" s="7" t="str">
        <x:v>https://cdicloud.insurance.ca.gov/cal/LicenseDetail?SearchType=IND&amp;SearchLicNbr=0E93930&amp;SearchIndvId=972295</x:v>
      </x:c>
      <x:c r="AO646" s="7" t="str">
        <x:v>2026-10-08</x:v>
      </x:c>
      <x:c r="AP646" s="7" t="str">
        <x:v>23d7c953e4d7a6be86e07e3035b4acae9e10f3f7343e364917f207c3a867ec36</x:v>
      </x:c>
      <x:c r="AQ646" s="7" t="str">
        <x:v>Accident and Health / Inactive / 09/30/2005 / 09/30/2017 / 09/30/2017
Life-Only / Inactive / 09/30/2005 / 09/30/2017 / 09/30/2017
Variable Contracts / Inactive / 11/17/2009 / 09/30/2017 / 09/30/2017</x:v>
      </x:c>
      <x:c r="AR646" s="7" t="str">
        <x:v>Inactive</x:v>
      </x:c>
      <x:c r="AS646" s="7" t="str">
        <x:v>Current detail page</x:v>
      </x:c>
    </x:row>
    <x:row r="647" ht="52" customHeight="1">
      <x:c r="A647" s="7" t="str">
        <x:v>AGUILAR JUAN CARLOS</x:v>
      </x:c>
      <x:c r="B647" s="14" t="str">
        <x:f>"0F90770"</x:f>
        <x:v>0F90770</x:v>
      </x:c>
      <x:c r="C647" s="7" t="str">
        <x:v>Omitted</x:v>
      </x:c>
      <x:c r="D647" s="7" t="str">
        <x:v>FAIL</x:v>
      </x:c>
      <x:c r="E647" s="13" t="str">
        <x:v>Pending</x:v>
      </x:c>
      <x:c r="F647" s="13" t="str"/>
      <x:c r="G647" s="13" t="str"/>
      <x:c r="H647" s="13" t="str"/>
      <x:c r="I647" s="7" t="str">
        <x:v>Was this person reviewed? If rejected, give the actual rule and evidence. If acceptable, correct the omission. Confirm the Life-qualification gate and any record change since selection.</x:v>
      </x:c>
      <x:c r="J647" s="7" t="str">
        <x:v>L1</x:v>
      </x:c>
      <x:c r="K647" s="7" t="str">
        <x:v>Verified qualifications do not include active general Life. Current target-pool mismatch; actual historical omission reason unknown.</x:v>
      </x:c>
      <x:c r="L647" s="7" t="str">
        <x:v>Not supplied; membership is known, motive is not</x:v>
      </x:c>
      <x:c r="M647" s="7" t="n">
        <x:v>7</x:v>
      </x:c>
      <x:c r="N647" s="7" t="str">
        <x:v>Outside current general-Life recruiting pool</x:v>
      </x:c>
      <x:c r="O647" s="7" t="str">
        <x:v>Not displayed</x:v>
      </x:c>
      <x:c r="P647" s="7" t="str"/>
      <x:c r="Q647" s="7" t="str"/>
      <x:c r="R647" s="7" t="str"/>
      <x:c r="S647" s="15" t="str"/>
      <x:c r="T647" s="7" t="str">
        <x:v>No public business phone in collected record</x:v>
      </x:c>
      <x:c r="U647" s="7" t="str"/>
      <x:c r="V647" s="7" t="str">
        <x:v>Resident</x:v>
      </x:c>
      <x:c r="W647" s="7" t="str">
        <x:v>CA</x:v>
      </x:c>
      <x:c r="X647" s="7" t="str"/>
      <x:c r="Y647" s="7" t="str"/>
      <x:c r="Z647" s="7" t="str"/>
      <x:c r="AA647" s="7" t="str"/>
      <x:c r="AB647" s="7" t="str"/>
      <x:c r="AC647" s="7" t="str"/>
      <x:c r="AD647" s="7" t="str">
        <x:v>No agency or insurer displayed: onboarding opportunity possible; existing business unknown</x:v>
      </x:c>
      <x:c r="AE647" s="7" t="str">
        <x:v>No public business phone: contact enrichment needed, not proof of poor recruiting fit</x:v>
      </x:c>
      <x:c r="AF647" s="16" t="str"/>
      <x:c r="AG647" s="17" t="str"/>
      <x:c r="AH647" s="7" t="str"/>
      <x:c r="AI647" s="7" t="str"/>
      <x:c r="AJ647" s="7" t="str"/>
      <x:c r="AK647" s="15" t="str"/>
      <x:c r="AL647" s="7" t="str"/>
      <x:c r="AM647" s="7" t="str">
        <x:v>AGUILAR CARLOS JUAN</x:v>
      </x:c>
      <x:c r="AN647" s="7" t="str">
        <x:v>https://cdicloud.insurance.ca.gov/cal/LicenseDetail?SearchType=IND&amp;SearchLicNbr=0F90770&amp;SearchIndvId=1115753</x:v>
      </x:c>
      <x:c r="AO647" s="7" t="str">
        <x:v>2026-10-08</x:v>
      </x:c>
      <x:c r="AP647" s="7" t="str">
        <x:v>7adebb229d444f405d95d9ca8b1910f5b1fcc1f60da5bb1017e8464fcfe442ac</x:v>
      </x:c>
      <x:c r="AQ647" s="7" t="str">
        <x:v>Accident and Health / Inactive / 12/15/2007 / 12/31/2009 / 12/31/2009
Life-Only / Inactive / 12/15/2007 / 12/31/2009 / 12/31/2009</x:v>
      </x:c>
      <x:c r="AR647" s="7" t="str">
        <x:v>Inactive</x:v>
      </x:c>
      <x:c r="AS647" s="7" t="str">
        <x:v>Current detail page</x:v>
      </x:c>
    </x:row>
    <x:row r="648" ht="52" customHeight="1">
      <x:c r="A648" s="7" t="str">
        <x:v>AGUILAR JUAN EDUARDO</x:v>
      </x:c>
      <x:c r="B648" s="14" t="str">
        <x:f>"4034889"</x:f>
        <x:v>4034889</x:v>
      </x:c>
      <x:c r="C648" s="7" t="str">
        <x:v>Omitted</x:v>
      </x:c>
      <x:c r="D648" s="7" t="str">
        <x:v>FAIL</x:v>
      </x:c>
      <x:c r="E648" s="13" t="str">
        <x:v>Pending</x:v>
      </x:c>
      <x:c r="F648" s="13" t="str"/>
      <x:c r="G648" s="13" t="str"/>
      <x:c r="H648" s="13" t="str"/>
      <x:c r="I648" s="7" t="str">
        <x:v>Was this person reviewed? If rejected, give the actual rule and evidence. If acceptable, correct the omission. Confirm the Life-qualification gate and any record change since selection.</x:v>
      </x:c>
      <x:c r="J648" s="7" t="str">
        <x:v>L1</x:v>
      </x:c>
      <x:c r="K648" s="7" t="str">
        <x:v>Verified qualifications do not include active general Life. Current target-pool mismatch; actual historical omission reason unknown.</x:v>
      </x:c>
      <x:c r="L648" s="7" t="str">
        <x:v>Not supplied; membership is known, motive is not</x:v>
      </x:c>
      <x:c r="M648" s="7" t="n">
        <x:v>7</x:v>
      </x:c>
      <x:c r="N648" s="7" t="str">
        <x:v>Outside current general-Life recruiting pool</x:v>
      </x:c>
      <x:c r="O648" s="7" t="str">
        <x:v>Inactive</x:v>
      </x:c>
      <x:c r="P648" s="7" t="str">
        <x:v>03/11/2020</x:v>
      </x:c>
      <x:c r="Q648" s="7" t="str">
        <x:v>03/31/2022</x:v>
      </x:c>
      <x:c r="R648" s="7" t="str"/>
      <x:c r="S648" s="15" t="str">
        <x:v>626-692-6133</x:v>
      </x:c>
      <x:c r="T648" s="7" t="str">
        <x:v>Current CDI</x:v>
      </x:c>
      <x:c r="U648" s="7" t="str">
        <x:v>1050 ARROYO ST SAN FERNANDO CA, 91340</x:v>
      </x:c>
      <x:c r="V648" s="7" t="str">
        <x:v>Resident</x:v>
      </x:c>
      <x:c r="W648" s="7" t="str">
        <x:v>CA</x:v>
      </x:c>
      <x:c r="X648" s="7" t="str"/>
      <x:c r="Y648" s="7" t="str"/>
      <x:c r="Z648" s="7" t="str"/>
      <x:c r="AA648" s="7" t="str"/>
      <x:c r="AB648" s="7" t="str"/>
      <x:c r="AC648" s="7" t="str"/>
      <x:c r="AD648" s="7" t="str">
        <x:v>No agency or insurer displayed: onboarding opportunity possible; existing business unknown</x:v>
      </x:c>
      <x:c r="AE648" s="7" t="str"/>
      <x:c r="AF648" s="16" t="str"/>
      <x:c r="AG648" s="17" t="str"/>
      <x:c r="AH648" s="7" t="str"/>
      <x:c r="AI648" s="7" t="str">
        <x:v>English</x:v>
      </x:c>
      <x:c r="AJ648" s="7" t="str"/>
      <x:c r="AK648" s="15" t="str"/>
      <x:c r="AL648" s="7" t="str"/>
      <x:c r="AM648" s="7" t="str">
        <x:v>Aguilar E Juan | AGUILAR EDUARDO JUAN</x:v>
      </x:c>
      <x:c r="AN648" s="7" t="str">
        <x:v>https://cdicloud.insurance.ca.gov/cal/LicenseDetail?SearchType=IND&amp;SearchLicNbr=4034889&amp;SearchIndvId=4034889</x:v>
      </x:c>
      <x:c r="AO648" s="7" t="str">
        <x:v>2026-10-08</x:v>
      </x:c>
      <x:c r="AP648" s="7" t="str">
        <x:v>bdf084947d32e612e1382192fa351f1b56f65571ddf76f8b9ac41691b43e80b4</x:v>
      </x:c>
      <x:c r="AQ648" s="7" t="str">
        <x:v>Life / Inactive / 03/11/2020 / 03/31/2022 / 03/31/2022</x:v>
      </x:c>
      <x:c r="AR648" s="7" t="str">
        <x:v>Inactive</x:v>
      </x:c>
      <x:c r="AS648" s="7" t="str">
        <x:v>Current detail page</x:v>
      </x:c>
    </x:row>
    <x:row r="649" ht="52" customHeight="1">
      <x:c r="A649" s="7" t="str">
        <x:v>AGUILAR JUAN JR</x:v>
      </x:c>
      <x:c r="B649" s="14" t="str">
        <x:f>"4173557"</x:f>
        <x:v>4173557</x:v>
      </x:c>
      <x:c r="C649" s="7" t="str">
        <x:v>Omitted</x:v>
      </x:c>
      <x:c r="D649" s="7" t="str">
        <x:v>FAIL</x:v>
      </x:c>
      <x:c r="E649" s="13" t="str">
        <x:v>Pending</x:v>
      </x:c>
      <x:c r="F649" s="13" t="str"/>
      <x:c r="G649" s="13" t="str"/>
      <x:c r="H649" s="13" t="str"/>
      <x:c r="I649" s="7" t="str">
        <x:v>Was this person reviewed? If rejected, give the actual rule and evidence. If acceptable, correct the omission. Confirm the Life-qualification gate and any record change since selection.</x:v>
      </x:c>
      <x:c r="J649" s="7" t="str">
        <x:v>L1</x:v>
      </x:c>
      <x:c r="K649" s="7" t="str">
        <x:v>Verified qualifications do not include active general Life. Current target-pool mismatch; actual historical omission reason unknown.</x:v>
      </x:c>
      <x:c r="L649" s="7" t="str">
        <x:v>Not supplied; membership is known, motive is not</x:v>
      </x:c>
      <x:c r="M649" s="7" t="n">
        <x:v>7</x:v>
      </x:c>
      <x:c r="N649" s="7" t="str">
        <x:v>Outside current general-Life recruiting pool</x:v>
      </x:c>
      <x:c r="O649" s="7" t="str">
        <x:v>Not displayed</x:v>
      </x:c>
      <x:c r="P649" s="7" t="str"/>
      <x:c r="Q649" s="7" t="str"/>
      <x:c r="R649" s="7" t="str">
        <x:v>Accident &amp; Health or Sickness</x:v>
      </x:c>
      <x:c r="S649" s="15" t="str"/>
      <x:c r="T649" s="7" t="str">
        <x:v>No public business phone in collected record</x:v>
      </x:c>
      <x:c r="U649" s="7" t="str">
        <x:v>10235 MEADOW CROSSING DR TAMPA FL, 33647-3230</x:v>
      </x:c>
      <x:c r="V649" s="7" t="str">
        <x:v>Non-resident</x:v>
      </x:c>
      <x:c r="W649" s="7" t="str">
        <x:v>FL</x:v>
      </x:c>
      <x:c r="X649" s="7" t="str"/>
      <x:c r="Y649" s="7" t="str"/>
      <x:c r="Z649" s="7" t="str"/>
      <x:c r="AA649" s="7" t="str"/>
      <x:c r="AB649" s="7" t="str"/>
      <x:c r="AC649" s="7" t="str"/>
      <x:c r="AD649" s="7" t="str">
        <x:v>No agency or insurer displayed: onboarding opportunity possible; existing business unknown | Active A&amp;H supports optional cross-selling; not necessary for target products</x:v>
      </x:c>
      <x:c r="AE649" s="7" t="str">
        <x:v>Nonresident or address state outside CA; confirm geographic recruiting scope | No public business phone: contact enrichment needed, not proof of poor recruiting fit</x:v>
      </x:c>
      <x:c r="AF649" s="16" t="str"/>
      <x:c r="AG649" s="17" t="str"/>
      <x:c r="AH649" s="7" t="str"/>
      <x:c r="AI649" s="7" t="str"/>
      <x:c r="AJ649" s="7" t="str"/>
      <x:c r="AK649" s="15" t="str"/>
      <x:c r="AL649" s="7" t="str"/>
      <x:c r="AM649" s="7" t="str">
        <x:v>Aguilar  Juan</x:v>
      </x:c>
      <x:c r="AN649" s="7" t="str">
        <x:v>https://cdicloud.insurance.ca.gov/cal/LicenseDetail?SearchType=IND&amp;SearchLicNbr=4173557&amp;SearchIndvId=4173557</x:v>
      </x:c>
      <x:c r="AO649" s="7" t="str">
        <x:v>2026-10-08</x:v>
      </x:c>
      <x:c r="AP649" s="7" t="str">
        <x:v>8aa3c040fd3d2ef7716fb819af04fb1fead6138f5afe6408a1985425757483b8</x:v>
      </x:c>
      <x:c r="AQ649" s="7" t="str">
        <x:v>Accident &amp; Health or Sickness / Active / 11/08/2021 / 11/08/2021 / 11/30/2027</x:v>
      </x:c>
      <x:c r="AR649" s="7" t="str">
        <x:v>Active</x:v>
      </x:c>
      <x:c r="AS649" s="7" t="str">
        <x:v>Current detail page</x:v>
      </x:c>
    </x:row>
    <x:row r="650" ht="52" customHeight="1">
      <x:c r="A650" s="7" t="str">
        <x:v>AGUILAR JUAN M</x:v>
      </x:c>
      <x:c r="B650" s="14" t="str">
        <x:f>"4319723"</x:f>
        <x:v>4319723</x:v>
      </x:c>
      <x:c r="C650" s="7" t="str">
        <x:v>Omitted</x:v>
      </x:c>
      <x:c r="D650" s="7" t="str">
        <x:v>FAIL</x:v>
      </x:c>
      <x:c r="E650" s="13" t="str">
        <x:v>Pending</x:v>
      </x:c>
      <x:c r="F650" s="13" t="str"/>
      <x:c r="G650" s="13" t="str"/>
      <x:c r="H650" s="13" t="str"/>
      <x:c r="I650" s="7" t="str">
        <x:v>Was this person reviewed? If rejected, give the actual rule and evidence. If acceptable, correct the omission. Confirm the Life-qualification gate and any record change since selection.</x:v>
      </x:c>
      <x:c r="J650" s="7" t="str">
        <x:v>L1</x:v>
      </x:c>
      <x:c r="K650" s="7" t="str">
        <x:v>Verified qualifications do not include active general Life. Current target-pool mismatch; actual historical omission reason unknown.</x:v>
      </x:c>
      <x:c r="L650" s="7" t="str">
        <x:v>Not supplied; membership is known, motive is not</x:v>
      </x:c>
      <x:c r="M650" s="7" t="n">
        <x:v>7</x:v>
      </x:c>
      <x:c r="N650" s="7" t="str">
        <x:v>Outside current general-Life recruiting pool</x:v>
      </x:c>
      <x:c r="O650" s="7" t="str">
        <x:v>Not displayed</x:v>
      </x:c>
      <x:c r="P650" s="7" t="str"/>
      <x:c r="Q650" s="7" t="str"/>
      <x:c r="R650" s="7" t="str">
        <x:v>Casualty; Property</x:v>
      </x:c>
      <x:c r="S650" s="15" t="str"/>
      <x:c r="T650" s="7" t="str">
        <x:v>No public business phone in collected record</x:v>
      </x:c>
      <x:c r="U650" s="7" t="str">
        <x:v>200 E RANDOLPH ST FL 9 CHICAGO IL, 60601-6420</x:v>
      </x:c>
      <x:c r="V650" s="7" t="str">
        <x:v>Non-resident</x:v>
      </x:c>
      <x:c r="W650" s="7" t="str">
        <x:v>IL</x:v>
      </x:c>
      <x:c r="X650" s="7" t="str">
        <x:v>AON RISK SERVICES CENTRAL, INC. / Casualty / 09/18/2023
AON RISK SERVICES CENTRAL, INC. / Property / 09/18/2023</x:v>
      </x:c>
      <x:c r="Y650" s="7" t="str"/>
      <x:c r="Z650" s="7" t="str"/>
      <x:c r="AA650" s="7" t="str"/>
      <x:c r="AB650" s="7" t="str"/>
      <x:c r="AC650" s="7" t="str"/>
      <x:c r="AD650" s="7" t="str"/>
      <x:c r="AE650"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650" s="16" t="str"/>
      <x:c r="AG650" s="17" t="str"/>
      <x:c r="AH650" s="7" t="str"/>
      <x:c r="AI650" s="7" t="str"/>
      <x:c r="AJ650" s="7" t="str"/>
      <x:c r="AK650" s="15" t="str"/>
      <x:c r="AL650" s="7" t="str"/>
      <x:c r="AM650" s="7" t="str">
        <x:v>AGUILAR M JUAN</x:v>
      </x:c>
      <x:c r="AN650" s="7" t="str">
        <x:v>https://cdicloud.insurance.ca.gov/cal/LicenseDetail?SearchType=IND&amp;SearchLicNbr=4319723&amp;SearchIndvId=4319723</x:v>
      </x:c>
      <x:c r="AO650" s="7" t="str">
        <x:v>2026-10-08</x:v>
      </x:c>
      <x:c r="AP650" s="7" t="str">
        <x:v>3e1d365ae3bda24961ebd445b1d31fea9a6841a202201851d7f9fcbaa8fa8197</x:v>
      </x:c>
      <x:c r="AQ650" s="7" t="str">
        <x:v>Casualty / Active / 09/14/2023 / 09/14/2023 / 09/30/2027
Property / Active / 09/14/2023 / 09/14/2023 / 09/30/2027</x:v>
      </x:c>
      <x:c r="AR650" s="7" t="str">
        <x:v>Active</x:v>
      </x:c>
      <x:c r="AS650" s="7" t="str">
        <x:v>Current detail page</x:v>
      </x:c>
    </x:row>
    <x:row r="651" ht="52" customHeight="1">
      <x:c r="A651" s="7" t="str">
        <x:v>AGUILAR JUAN MANUEL</x:v>
      </x:c>
      <x:c r="B651" s="14" t="str">
        <x:f>"0F79599"</x:f>
        <x:v>0F79599</x:v>
      </x:c>
      <x:c r="C651" s="7" t="str">
        <x:v>Omitted</x:v>
      </x:c>
      <x:c r="D651" s="7" t="str">
        <x:v>FAIL</x:v>
      </x:c>
      <x:c r="E651" s="13" t="str">
        <x:v>Pending</x:v>
      </x:c>
      <x:c r="F651" s="13" t="str"/>
      <x:c r="G651" s="13" t="str"/>
      <x:c r="H651" s="13" t="str"/>
      <x:c r="I651" s="7" t="str">
        <x:v>Was this person reviewed? If rejected, give the actual rule and evidence. If acceptable, correct the omission. Confirm the Life-qualification gate and any record change since selection.</x:v>
      </x:c>
      <x:c r="J651" s="7" t="str">
        <x:v>L1</x:v>
      </x:c>
      <x:c r="K651" s="7" t="str">
        <x:v>Verified qualifications do not include active general Life. Current target-pool mismatch; actual historical omission reason unknown.</x:v>
      </x:c>
      <x:c r="L651" s="7" t="str">
        <x:v>Not supplied; membership is known, motive is not</x:v>
      </x:c>
      <x:c r="M651" s="7" t="n">
        <x:v>7</x:v>
      </x:c>
      <x:c r="N651" s="7" t="str">
        <x:v>Outside current general-Life recruiting pool</x:v>
      </x:c>
      <x:c r="O651" s="7" t="str">
        <x:v>Not displayed</x:v>
      </x:c>
      <x:c r="P651" s="7" t="str"/>
      <x:c r="Q651" s="7" t="str"/>
      <x:c r="R651" s="7" t="str"/>
      <x:c r="S651" s="15" t="str"/>
      <x:c r="T651" s="7" t="str">
        <x:v>No public business phone in collected record</x:v>
      </x:c>
      <x:c r="U651" s="7" t="str"/>
      <x:c r="V651" s="7" t="str">
        <x:v>Resident</x:v>
      </x:c>
      <x:c r="W651" s="7" t="str">
        <x:v>CA</x:v>
      </x:c>
      <x:c r="X651" s="7" t="str"/>
      <x:c r="Y651" s="7" t="str"/>
      <x:c r="Z651" s="7" t="str"/>
      <x:c r="AA651" s="7" t="str"/>
      <x:c r="AB651" s="7" t="str"/>
      <x:c r="AC651" s="7" t="str"/>
      <x:c r="AD651" s="7" t="str">
        <x:v>No agency or insurer displayed: onboarding opportunity possible; existing business unknown</x:v>
      </x:c>
      <x:c r="AE651" s="7" t="str">
        <x:v>No public business phone: contact enrichment needed, not proof of poor recruiting fit</x:v>
      </x:c>
      <x:c r="AF651" s="16" t="str"/>
      <x:c r="AG651" s="17" t="str"/>
      <x:c r="AH651" s="7" t="str"/>
      <x:c r="AI651" s="7" t="str"/>
      <x:c r="AJ651" s="7" t="str"/>
      <x:c r="AK651" s="15" t="str"/>
      <x:c r="AL651" s="7" t="str"/>
      <x:c r="AM651" s="7" t="str">
        <x:v>AGUILAR MANUEL JUAN</x:v>
      </x:c>
      <x:c r="AN651" s="7" t="str">
        <x:v>https://cdicloud.insurance.ca.gov/cal/LicenseDetail?SearchType=IND&amp;SearchLicNbr=0F79599&amp;SearchIndvId=1099524</x:v>
      </x:c>
      <x:c r="AO651" s="7" t="str">
        <x:v>2026-10-08</x:v>
      </x:c>
      <x:c r="AP651" s="7" t="str">
        <x:v>19fed7ffe69e3366057fd77a7f7d3bf6fa904f73124a95ec0b841d0d686d37d3</x:v>
      </x:c>
      <x:c r="AQ651" s="7" t="str">
        <x:v>Accident and Health / Inactive / 08/31/2007 / 08/31/2011 / 08/31/2011
Life-Only / Inactive / 08/31/2007 / 08/31/2011 / 08/31/2011</x:v>
      </x:c>
      <x:c r="AR651" s="7" t="str">
        <x:v>Inactive</x:v>
      </x:c>
      <x:c r="AS651" s="7" t="str">
        <x:v>Current detail page</x:v>
      </x:c>
    </x:row>
    <x:row r="652" ht="52" customHeight="1">
      <x:c r="A652" s="7" t="str">
        <x:v>AGUILAR JUAN PABLO</x:v>
      </x:c>
      <x:c r="B652" s="14" t="str">
        <x:f>"0B76664"</x:f>
        <x:v>0B76664</x:v>
      </x:c>
      <x:c r="C652" s="7" t="str">
        <x:v>Omitted</x:v>
      </x:c>
      <x:c r="D652" s="7" t="str">
        <x:v>FAIL</x:v>
      </x:c>
      <x:c r="E652" s="13" t="str">
        <x:v>Pending</x:v>
      </x:c>
      <x:c r="F652" s="13" t="str"/>
      <x:c r="G652" s="13" t="str"/>
      <x:c r="H652" s="13" t="str"/>
      <x:c r="I652" s="7" t="str">
        <x:v>Was this person reviewed? If rejected, give the actual rule and evidence. If acceptable, correct the omission. Confirm the Life-qualification gate and any record change since selection.</x:v>
      </x:c>
      <x:c r="J652" s="7" t="str">
        <x:v>L1</x:v>
      </x:c>
      <x:c r="K652" s="7" t="str">
        <x:v>Verified qualifications do not include active general Life. Current target-pool mismatch; actual historical omission reason unknown.</x:v>
      </x:c>
      <x:c r="L652" s="7" t="str">
        <x:v>Not supplied; membership is known, motive is not</x:v>
      </x:c>
      <x:c r="M652" s="7" t="n">
        <x:v>7</x:v>
      </x:c>
      <x:c r="N652" s="7" t="str">
        <x:v>Outside current general-Life recruiting pool</x:v>
      </x:c>
      <x:c r="O652" s="7" t="str">
        <x:v>Not displayed</x:v>
      </x:c>
      <x:c r="P652" s="7" t="str"/>
      <x:c r="Q652" s="7" t="str"/>
      <x:c r="R652" s="7" t="str"/>
      <x:c r="S652" s="15" t="str"/>
      <x:c r="T652" s="7" t="str">
        <x:v>No public business phone in collected record</x:v>
      </x:c>
      <x:c r="U652" s="7" t="str"/>
      <x:c r="V652" s="7" t="str">
        <x:v>Resident</x:v>
      </x:c>
      <x:c r="W652" s="7" t="str">
        <x:v>CA</x:v>
      </x:c>
      <x:c r="X652" s="7" t="str"/>
      <x:c r="Y652" s="7" t="str"/>
      <x:c r="Z652" s="7" t="str"/>
      <x:c r="AA652" s="7" t="str"/>
      <x:c r="AB652" s="7" t="str"/>
      <x:c r="AC652" s="7" t="str"/>
      <x:c r="AD652" s="7" t="str">
        <x:v>No agency or insurer displayed: onboarding opportunity possible; existing business unknown</x:v>
      </x:c>
      <x:c r="AE652" s="7" t="str">
        <x:v>No public business phone: contact enrichment needed, not proof of poor recruiting fit</x:v>
      </x:c>
      <x:c r="AF652" s="16" t="str"/>
      <x:c r="AG652" s="17" t="str"/>
      <x:c r="AH652" s="7" t="str"/>
      <x:c r="AI652" s="7" t="str"/>
      <x:c r="AJ652" s="7" t="str"/>
      <x:c r="AK652" s="15" t="str"/>
      <x:c r="AL652" s="7" t="str"/>
      <x:c r="AM652" s="7" t="str">
        <x:v>AGUILAR PABLO JUAN</x:v>
      </x:c>
      <x:c r="AN652" s="7" t="str">
        <x:v>https://cdicloud.insurance.ca.gov/cal/LicenseDetail?SearchType=IND&amp;SearchLicNbr=0B76664&amp;SearchIndvId=254562</x:v>
      </x:c>
      <x:c r="AO652" s="7" t="str">
        <x:v>2026-10-08</x:v>
      </x:c>
      <x:c r="AP652" s="7" t="str">
        <x:v>9e02b43bf94c60ea225a565ed5cad3732a359f24d622953f8dc49521167e34c6</x:v>
      </x:c>
      <x:c r="AQ652" s="7" t="str">
        <x:v>Accident and Health / Inactive / 03/28/1996 / 03/31/1998 / 03/31/1998
Life-Only / Inactive / 03/28/1996 / 03/31/1998 / 03/31/1998</x:v>
      </x:c>
      <x:c r="AR652" s="7" t="str">
        <x:v>Inactive</x:v>
      </x:c>
      <x:c r="AS652" s="7" t="str">
        <x:v>Current detail page</x:v>
      </x:c>
    </x:row>
    <x:row r="653" ht="52" customHeight="1">
      <x:c r="A653" s="7" t="str">
        <x:v>AGUILAR JUAN RAMON</x:v>
      </x:c>
      <x:c r="B653" s="14" t="str">
        <x:f>"0C21058"</x:f>
        <x:v>0C21058</x:v>
      </x:c>
      <x:c r="C653" s="7" t="str">
        <x:v>Omitted</x:v>
      </x:c>
      <x:c r="D653" s="7" t="str">
        <x:v>FAIL</x:v>
      </x:c>
      <x:c r="E653" s="13" t="str">
        <x:v>Pending</x:v>
      </x:c>
      <x:c r="F653" s="13" t="str"/>
      <x:c r="G653" s="13" t="str"/>
      <x:c r="H653" s="13" t="str"/>
      <x:c r="I653" s="7" t="str">
        <x:v>Was this person reviewed? If rejected, give the actual rule and evidence. If acceptable, correct the omission. Confirm the Life-qualification gate and any record change since selection.</x:v>
      </x:c>
      <x:c r="J653" s="7" t="str">
        <x:v>L1</x:v>
      </x:c>
      <x:c r="K653" s="7" t="str">
        <x:v>Verified qualifications do not include active general Life. Current target-pool mismatch; actual historical omission reason unknown.</x:v>
      </x:c>
      <x:c r="L653" s="7" t="str">
        <x:v>Not supplied; membership is known, motive is not</x:v>
      </x:c>
      <x:c r="M653" s="7" t="n">
        <x:v>7</x:v>
      </x:c>
      <x:c r="N653" s="7" t="str">
        <x:v>Outside current general-Life recruiting pool</x:v>
      </x:c>
      <x:c r="O653" s="7" t="str">
        <x:v>Not displayed</x:v>
      </x:c>
      <x:c r="P653" s="7" t="str"/>
      <x:c r="Q653" s="7" t="str"/>
      <x:c r="R653" s="7" t="str"/>
      <x:c r="S653" s="15" t="str"/>
      <x:c r="T653" s="7" t="str">
        <x:v>No public business phone in collected record</x:v>
      </x:c>
      <x:c r="U653" s="7" t="str"/>
      <x:c r="V653" s="7" t="str">
        <x:v>Resident</x:v>
      </x:c>
      <x:c r="W653" s="7" t="str">
        <x:v>CA</x:v>
      </x:c>
      <x:c r="X653" s="7" t="str"/>
      <x:c r="Y653" s="7" t="str"/>
      <x:c r="Z653" s="7" t="str"/>
      <x:c r="AA653" s="7" t="str"/>
      <x:c r="AB653" s="7" t="str"/>
      <x:c r="AC653" s="7" t="str"/>
      <x:c r="AD653" s="7" t="str">
        <x:v>No agency or insurer displayed: onboarding opportunity possible; existing business unknown</x:v>
      </x:c>
      <x:c r="AE653" s="7" t="str">
        <x:v>No public business phone: contact enrichment needed, not proof of poor recruiting fit</x:v>
      </x:c>
      <x:c r="AF653" s="16" t="str"/>
      <x:c r="AG653" s="17" t="str"/>
      <x:c r="AH653" s="7" t="str"/>
      <x:c r="AI653" s="7" t="str"/>
      <x:c r="AJ653" s="7" t="str"/>
      <x:c r="AK653" s="15" t="str"/>
      <x:c r="AL653" s="7" t="str"/>
      <x:c r="AM653" s="7" t="str">
        <x:v>AGUILAR RAMON JUAN</x:v>
      </x:c>
      <x:c r="AN653" s="7" t="str">
        <x:v>https://cdicloud.insurance.ca.gov/cal/LicenseDetail?SearchType=IND&amp;SearchLicNbr=0C21058&amp;SearchIndvId=296659</x:v>
      </x:c>
      <x:c r="AO653" s="7" t="str">
        <x:v>2026-10-08</x:v>
      </x:c>
      <x:c r="AP653" s="7" t="str">
        <x:v>e980a4ac2f37ba14a517ddd9c5973084d6a7530b52bbc4446ffa4257482cfb65</x:v>
      </x:c>
      <x:c r="AQ653" s="7" t="str">
        <x:v>Accident and Health / Inactive / 12/16/1997 / 12/31/2003 / 12/31/2003
Casualty Broker-Agent / Inactive / 07/03/1998 / 12/31/2003 / 12/31/2003
Life-Only / Inactive / 12/16/1997 / 12/31/2003 / 12/31/2003
Property Broker-Agent / Inactive / 07/03/1998 / 12/31/2003 / 12/31/2003
Variable Contracts / Inactive / 12/22/1999 / 12/31/2003 / 12/31/2003</x:v>
      </x:c>
      <x:c r="AR653" s="7" t="str">
        <x:v>Inactive</x:v>
      </x:c>
      <x:c r="AS653" s="7" t="str">
        <x:v>Current detail page</x:v>
      </x:c>
    </x:row>
    <x:row r="654" ht="52" customHeight="1">
      <x:c r="A654" s="7" t="str">
        <x:v>AGUILAR JUAN RAMON</x:v>
      </x:c>
      <x:c r="B654" s="14" t="str">
        <x:f>"0I72113"</x:f>
        <x:v>0I72113</x:v>
      </x:c>
      <x:c r="C654" s="7" t="str">
        <x:v>Omitted</x:v>
      </x:c>
      <x:c r="D654" s="7" t="str">
        <x:v>FAIL</x:v>
      </x:c>
      <x:c r="E654" s="13" t="str">
        <x:v>Pending</x:v>
      </x:c>
      <x:c r="F654" s="13" t="str"/>
      <x:c r="G654" s="13" t="str"/>
      <x:c r="H654" s="13" t="str"/>
      <x:c r="I654" s="7" t="str">
        <x:v>Was this person reviewed? If rejected, give the actual rule and evidence. If acceptable, correct the omission. Confirm the Life-qualification gate and any record change since selection.</x:v>
      </x:c>
      <x:c r="J654" s="7" t="str">
        <x:v>L1</x:v>
      </x:c>
      <x:c r="K654" s="7" t="str">
        <x:v>Verified qualifications do not include active general Life. Current target-pool mismatch; actual historical omission reason unknown.</x:v>
      </x:c>
      <x:c r="L654" s="7" t="str">
        <x:v>Not supplied; membership is known, motive is not</x:v>
      </x:c>
      <x:c r="M654" s="7" t="n">
        <x:v>7</x:v>
      </x:c>
      <x:c r="N654" s="7" t="str">
        <x:v>Outside current general-Life recruiting pool</x:v>
      </x:c>
      <x:c r="O654" s="7" t="str">
        <x:v>Not displayed</x:v>
      </x:c>
      <x:c r="P654" s="7" t="str"/>
      <x:c r="Q654" s="7" t="str"/>
      <x:c r="R654" s="7" t="str"/>
      <x:c r="S654" s="15" t="str"/>
      <x:c r="T654" s="7" t="str">
        <x:v>No public business phone in collected record</x:v>
      </x:c>
      <x:c r="U654" s="7" t="str"/>
      <x:c r="V654" s="7" t="str">
        <x:v>Resident</x:v>
      </x:c>
      <x:c r="W654" s="7" t="str">
        <x:v>CA</x:v>
      </x:c>
      <x:c r="X654" s="7" t="str"/>
      <x:c r="Y654" s="7" t="str"/>
      <x:c r="Z654" s="7" t="str">
        <x:v>ORDER ID: &lt;LBB007495&gt; AP APPLICATION FOR LICENSE TO ACT AS AN INSURANCE PRODUCER IS HEREBY DENIED; ISSUE IN LIEU THEREOF A RESTRICTED LICENSE. / 01/15/2014</x:v>
      </x:c>
      <x:c r="AA654" s="7" t="str"/>
      <x:c r="AB654" s="7" t="str"/>
      <x:c r="AC654" s="7" t="str"/>
      <x:c r="AD654" s="7" t="str">
        <x:v>No agency or insurer displayed: onboarding opportunity possible; existing business unknown</x:v>
      </x:c>
      <x:c r="AE654" s="7" t="str">
        <x:v>Enforcement order requires direct review; latest displayed order is not a removal order | No public business phone: contact enrichment needed, not proof of poor recruiting fit</x:v>
      </x:c>
      <x:c r="AF654" s="16" t="str"/>
      <x:c r="AG654" s="17" t="str"/>
      <x:c r="AH654" s="7" t="str"/>
      <x:c r="AI654" s="7" t="str"/>
      <x:c r="AJ654" s="7" t="str"/>
      <x:c r="AK654" s="15" t="str"/>
      <x:c r="AL654" s="7" t="str"/>
      <x:c r="AM654" s="7" t="str">
        <x:v>AGUILAR RAMON JUAN</x:v>
      </x:c>
      <x:c r="AN654" s="7" t="str">
        <x:v>https://cdicloud.insurance.ca.gov/cal/LicenseDetail?SearchType=IND&amp;SearchLicNbr=0I72113&amp;SearchIndvId=1543469</x:v>
      </x:c>
      <x:c r="AO654" s="7" t="str">
        <x:v>2026-10-08</x:v>
      </x:c>
      <x:c r="AP654" s="7" t="str">
        <x:v>4378f7f5c0c855fcbb297114fb8a870986c4b6906738d9248728ac5f53f81b12</x:v>
      </x:c>
      <x:c r="AQ654" s="7" t="str">
        <x:v>Life-Only / Inactive / 01/15/2014 / 01/31/2016 / 01/31/2016</x:v>
      </x:c>
      <x:c r="AR654" s="7" t="str">
        <x:v>Inactive</x:v>
      </x:c>
      <x:c r="AS654" s="7" t="str">
        <x:v>Current detail page</x:v>
      </x:c>
    </x:row>
    <x:row r="655" ht="52" customHeight="1">
      <x:c r="A655" s="7" t="str">
        <x:v>AGUILAR JUAN ROGELIO</x:v>
      </x:c>
      <x:c r="B655" s="14" t="str">
        <x:f>"0H96283"</x:f>
        <x:v>0H96283</x:v>
      </x:c>
      <x:c r="C655" s="7" t="str">
        <x:v>Omitted</x:v>
      </x:c>
      <x:c r="D655" s="7" t="str">
        <x:v>FAIL</x:v>
      </x:c>
      <x:c r="E655" s="13" t="str">
        <x:v>Pending</x:v>
      </x:c>
      <x:c r="F655" s="13" t="str"/>
      <x:c r="G655" s="13" t="str"/>
      <x:c r="H655" s="13" t="str"/>
      <x:c r="I655" s="7" t="str">
        <x:v>Was this person reviewed? If rejected, give the actual rule and evidence. If acceptable, correct the omission. Confirm the Life-qualification gate and any record change since selection.</x:v>
      </x:c>
      <x:c r="J655" s="7" t="str">
        <x:v>L1</x:v>
      </x:c>
      <x:c r="K655" s="7" t="str">
        <x:v>Verified qualifications do not include active general Life. Current target-pool mismatch; actual historical omission reason unknown.</x:v>
      </x:c>
      <x:c r="L655" s="7" t="str">
        <x:v>Not supplied; membership is known, motive is not</x:v>
      </x:c>
      <x:c r="M655" s="7" t="n">
        <x:v>7</x:v>
      </x:c>
      <x:c r="N655" s="7" t="str">
        <x:v>Outside current general-Life recruiting pool</x:v>
      </x:c>
      <x:c r="O655" s="7" t="str">
        <x:v>Not displayed</x:v>
      </x:c>
      <x:c r="P655" s="7" t="str"/>
      <x:c r="Q655" s="7" t="str"/>
      <x:c r="R655" s="7" t="str"/>
      <x:c r="S655" s="15" t="str"/>
      <x:c r="T655" s="7" t="str">
        <x:v>No public business phone in collected record</x:v>
      </x:c>
      <x:c r="U655" s="7" t="str"/>
      <x:c r="V655" s="7" t="str">
        <x:v>Non-resident</x:v>
      </x:c>
      <x:c r="W655" s="7" t="str">
        <x:v>TX</x:v>
      </x:c>
      <x:c r="X655" s="7" t="str"/>
      <x:c r="Y655" s="7" t="str"/>
      <x:c r="Z655" s="7" t="str"/>
      <x:c r="AA655" s="7" t="str"/>
      <x:c r="AB655" s="7" t="str"/>
      <x:c r="AC655" s="7" t="str"/>
      <x:c r="AD655" s="7" t="str">
        <x:v>No agency or insurer displayed: onboarding opportunity possible; existing business unknown</x:v>
      </x:c>
      <x:c r="AE655" s="7" t="str">
        <x:v>Nonresident or address state outside CA; confirm geographic recruiting scope | No public business phone: contact enrichment needed, not proof of poor recruiting fit</x:v>
      </x:c>
      <x:c r="AF655" s="16" t="str"/>
      <x:c r="AG655" s="17" t="str"/>
      <x:c r="AH655" s="7" t="str"/>
      <x:c r="AI655" s="7" t="str"/>
      <x:c r="AJ655" s="7" t="str"/>
      <x:c r="AK655" s="15" t="str"/>
      <x:c r="AL655" s="7" t="str"/>
      <x:c r="AM655" s="7" t="str">
        <x:v>AGUILAR ROGELIO JUAN</x:v>
      </x:c>
      <x:c r="AN655" s="7" t="str">
        <x:v>https://cdicloud.insurance.ca.gov/cal/LicenseDetail?SearchType=IND&amp;SearchLicNbr=0H96283&amp;SearchIndvId=1521984</x:v>
      </x:c>
      <x:c r="AO655" s="7" t="str">
        <x:v>2026-10-08</x:v>
      </x:c>
      <x:c r="AP655" s="7" t="str">
        <x:v>3dd8ebc530fd59870921896fa3a648722c8cb0cdbaccfc594e9b9ee32224370f</x:v>
      </x:c>
      <x:c r="AQ655" s="7" t="str">
        <x:v>Personal Lines Broker-Agent / Inactive / 07/20/2012 / 07/31/2016 / 07/31/2016</x:v>
      </x:c>
      <x:c r="AR655" s="7" t="str">
        <x:v>Inactive</x:v>
      </x:c>
      <x:c r="AS655" s="7" t="str">
        <x:v>Current detail page</x:v>
      </x:c>
    </x:row>
    <x:row r="656" ht="52" customHeight="1">
      <x:c r="A656" s="7" t="str">
        <x:v>AGUILAR JUAN VICTOR</x:v>
      </x:c>
      <x:c r="B656" s="14" t="str">
        <x:f>"4000786"</x:f>
        <x:v>4000786</x:v>
      </x:c>
      <x:c r="C656" s="7" t="str">
        <x:v>Omitted</x:v>
      </x:c>
      <x:c r="D656" s="7" t="str">
        <x:v>FAIL</x:v>
      </x:c>
      <x:c r="E656" s="13" t="str">
        <x:v>Pending</x:v>
      </x:c>
      <x:c r="F656" s="13" t="str"/>
      <x:c r="G656" s="13" t="str"/>
      <x:c r="H656" s="13" t="str"/>
      <x:c r="I656" s="7" t="str">
        <x:v>Was this person reviewed? If rejected, give the actual rule and evidence. If acceptable, correct the omission. Confirm the Life-qualification gate and any record change since selection.</x:v>
      </x:c>
      <x:c r="J656" s="7" t="str">
        <x:v>L1</x:v>
      </x:c>
      <x:c r="K656" s="7" t="str">
        <x:v>Verified qualifications do not include active general Life. Current target-pool mismatch; actual historical omission reason unknown.</x:v>
      </x:c>
      <x:c r="L656" s="7" t="str">
        <x:v>Not supplied; membership is known, motive is not</x:v>
      </x:c>
      <x:c r="M656" s="7" t="n">
        <x:v>7</x:v>
      </x:c>
      <x:c r="N656" s="7" t="str">
        <x:v>Outside current general-Life recruiting pool</x:v>
      </x:c>
      <x:c r="O656" s="7" t="str">
        <x:v>Inactive</x:v>
      </x:c>
      <x:c r="P656" s="7" t="str">
        <x:v>09/19/2019</x:v>
      </x:c>
      <x:c r="Q656" s="7" t="str">
        <x:v>09/30/2023</x:v>
      </x:c>
      <x:c r="R656" s="7" t="str"/>
      <x:c r="S656" s="15" t="str"/>
      <x:c r="T656" s="7" t="str">
        <x:v>No public business phone in collected record</x:v>
      </x:c>
      <x:c r="U656" s="7" t="str">
        <x:v>1855 CHICAGO AVE RIVERSIDE CA, 92507</x:v>
      </x:c>
      <x:c r="V656" s="7" t="str">
        <x:v>Resident</x:v>
      </x:c>
      <x:c r="W656" s="7" t="str">
        <x:v>CA</x:v>
      </x:c>
      <x:c r="X656" s="7" t="str"/>
      <x:c r="Y656" s="7" t="str"/>
      <x:c r="Z656" s="7" t="str"/>
      <x:c r="AA656" s="7" t="str"/>
      <x:c r="AB656" s="7" t="str"/>
      <x:c r="AC656" s="7" t="str"/>
      <x:c r="AD656" s="7" t="str">
        <x:v>No agency or insurer displayed: onboarding opportunity possible; existing business unknown</x:v>
      </x:c>
      <x:c r="AE656" s="7" t="str">
        <x:v>No public business phone: contact enrichment needed, not proof of poor recruiting fit</x:v>
      </x:c>
      <x:c r="AF656" s="16" t="str"/>
      <x:c r="AG656" s="17" t="str"/>
      <x:c r="AH656" s="7" t="str"/>
      <x:c r="AI656" s="7" t="str"/>
      <x:c r="AJ656" s="7" t="str"/>
      <x:c r="AK656" s="15" t="str"/>
      <x:c r="AL656" s="7" t="str"/>
      <x:c r="AM656" s="7" t="str">
        <x:v>Aguilar V Juan | AGUILAR VICTOR JUAN</x:v>
      </x:c>
      <x:c r="AN656" s="7" t="str">
        <x:v>https://cdicloud.insurance.ca.gov/cal/LicenseDetail?SearchType=IND&amp;SearchLicNbr=4000786&amp;SearchIndvId=4000786</x:v>
      </x:c>
      <x:c r="AO656" s="7" t="str">
        <x:v>2026-10-08</x:v>
      </x:c>
      <x:c r="AP656" s="7" t="str">
        <x:v>1f1acef8afd6321d740c03dd87030d9115f42505047de77321bf3ca4d80bbef5</x:v>
      </x:c>
      <x:c r="AQ656" s="7" t="str">
        <x:v>Life / Inactive / 09/19/2019 / 09/30/2023 / 09/30/2023</x:v>
      </x:c>
      <x:c r="AR656" s="7" t="str">
        <x:v>Inactive</x:v>
      </x:c>
      <x:c r="AS656" s="7" t="str">
        <x:v>Current detail page</x:v>
      </x:c>
    </x:row>
    <x:row r="657" ht="52" customHeight="1">
      <x:c r="A657" s="7" t="str">
        <x:v>AGUILAR JUDITH CARLOTA</x:v>
      </x:c>
      <x:c r="B657" s="14" t="str">
        <x:f>"0F94055"</x:f>
        <x:v>0F94055</x:v>
      </x:c>
      <x:c r="C657" s="7" t="str">
        <x:v>Omitted</x:v>
      </x:c>
      <x:c r="D657" s="7" t="str">
        <x:v>FAIL</x:v>
      </x:c>
      <x:c r="E657" s="13" t="str">
        <x:v>Pending</x:v>
      </x:c>
      <x:c r="F657" s="13" t="str"/>
      <x:c r="G657" s="13" t="str"/>
      <x:c r="H657" s="13" t="str"/>
      <x:c r="I657" s="7" t="str">
        <x:v>Was this person reviewed? If rejected, give the actual rule and evidence. If acceptable, correct the omission. Confirm the Life-qualification gate and any record change since selection.</x:v>
      </x:c>
      <x:c r="J657" s="7" t="str">
        <x:v>L1</x:v>
      </x:c>
      <x:c r="K657" s="7" t="str">
        <x:v>Verified qualifications do not include active general Life. Current target-pool mismatch; actual historical omission reason unknown.</x:v>
      </x:c>
      <x:c r="L657" s="7" t="str">
        <x:v>Not supplied; membership is known, motive is not</x:v>
      </x:c>
      <x:c r="M657" s="7" t="n">
        <x:v>7</x:v>
      </x:c>
      <x:c r="N657" s="7" t="str">
        <x:v>Outside current general-Life recruiting pool</x:v>
      </x:c>
      <x:c r="O657" s="7" t="str">
        <x:v>Not displayed</x:v>
      </x:c>
      <x:c r="P657" s="7" t="str"/>
      <x:c r="Q657" s="7" t="str"/>
      <x:c r="R657" s="7" t="str">
        <x:v>Casualty; Property</x:v>
      </x:c>
      <x:c r="S657" s="15" t="str"/>
      <x:c r="T657" s="7" t="str">
        <x:v>No public business phone in collected record</x:v>
      </x:c>
      <x:c r="U657" s="7" t="str">
        <x:v>14630 VALLEY BLVD SUITE H LA PUENTE CA, 91744</x:v>
      </x:c>
      <x:c r="V657" s="7" t="str">
        <x:v>Resident</x:v>
      </x:c>
      <x:c r="W657" s="7" t="str">
        <x:v>CA</x:v>
      </x:c>
      <x:c r="X657" s="7" t="str"/>
      <x:c r="Y657" s="7" t="str">
        <x:v>FOREMOST INSURANCE COMPANY GRAND RAPIDS, MICHIGAN / Casualty / 06/07/2021
FOREMOST INSURANCE COMPANY GRAND RAPIDS, MICHIGAN / Property / 06/07/2021
INTEGON NATIONAL INSURANCE COMPANY / Casualty / 03/12/2025
INTEGON NATIONAL INSURANCE COMPANY / Property / 03/12/2025
INTEGON PREFERRED INSURANCE COMPANY / Casualty / 03/12/2025
INTEGON PREFERRED INSURANCE COMPANY / Property / 03/12/2025
NATIONAL GENERAL ASSURANCE COMPANY / Casualty / 03/12/2025
NATIONAL GENERAL ASSURANCE COMPANY / Property / 03/12/2025
ROOT INSURANCE COMPANY / Casualty / 07/01/2026
ROOT INSURANCE COMPANY / Property / 07/01/2026</x:v>
      </x:c>
      <x:c r="Z657" s="7" t="str"/>
      <x:c r="AA657" s="7" t="str"/>
      <x:c r="AB657" s="7" t="str"/>
      <x:c r="AC657" s="7" t="str"/>
      <x:c r="AD657" s="7" t="str"/>
      <x:c r="AE657" s="7" t="str">
        <x:v>P&amp;C/Personal Lines authority without displayed core Life appointments; mixed profile requires review | No public business phone: contact enrichment needed, not proof of poor recruiting fit</x:v>
      </x:c>
      <x:c r="AF657" s="16" t="str"/>
      <x:c r="AG657" s="17" t="str"/>
      <x:c r="AH657" s="7" t="str"/>
      <x:c r="AI657" s="7" t="str">
        <x:v>English</x:v>
      </x:c>
      <x:c r="AJ657" s="7" t="str"/>
      <x:c r="AK657" s="15" t="str"/>
      <x:c r="AL657" s="7" t="str"/>
      <x:c r="AM657" s="7" t="str">
        <x:v>AGUILAR CARLOTA JUDITH</x:v>
      </x:c>
      <x:c r="AN657" s="7" t="str">
        <x:v>https://cdicloud.insurance.ca.gov/cal/LicenseDetail?SearchType=IND&amp;SearchLicNbr=0F94055&amp;SearchIndvId=1119152</x:v>
      </x:c>
      <x:c r="AO657" s="7" t="str">
        <x:v>2026-10-08</x:v>
      </x:c>
      <x:c r="AP657" s="7" t="str">
        <x:v>ab538173bbdeee1b13cfd5b525168060c825edf22c289dc41e4a8041e7fe91cd</x:v>
      </x:c>
      <x:c r="AQ657" s="7" t="str">
        <x:v>Casualty / Active / 05/05/2010 / 06/08/2020 / 05/31/2028
Property / Active / 05/05/2010 / 06/08/2020 / 05/31/2028</x:v>
      </x:c>
      <x:c r="AR657" s="7" t="str">
        <x:v>Active</x:v>
      </x:c>
      <x:c r="AS657" s="7" t="str">
        <x:v>Current detail page</x:v>
      </x:c>
    </x:row>
    <x:row r="658" ht="52" customHeight="1">
      <x:c r="A658" s="7" t="str">
        <x:v>AGUILAR JUDITH JUANA</x:v>
      </x:c>
      <x:c r="B658" s="14" t="str">
        <x:f>"0F07752"</x:f>
        <x:v>0F07752</x:v>
      </x:c>
      <x:c r="C658" s="7" t="str">
        <x:v>Omitted</x:v>
      </x:c>
      <x:c r="D658" s="7" t="str">
        <x:v>FAIL</x:v>
      </x:c>
      <x:c r="E658" s="13" t="str">
        <x:v>Pending</x:v>
      </x:c>
      <x:c r="F658" s="13" t="str"/>
      <x:c r="G658" s="13" t="str"/>
      <x:c r="H658" s="13" t="str"/>
      <x:c r="I658" s="7" t="str">
        <x:v>Was this person reviewed? If rejected, give the actual rule and evidence. If acceptable, correct the omission. Confirm the Life-qualification gate and any record change since selection.</x:v>
      </x:c>
      <x:c r="J658" s="7" t="str">
        <x:v>L1</x:v>
      </x:c>
      <x:c r="K658" s="7" t="str">
        <x:v>Verified qualifications do not include active general Life. Current target-pool mismatch; actual historical omission reason unknown.</x:v>
      </x:c>
      <x:c r="L658" s="7" t="str">
        <x:v>Not supplied; membership is known, motive is not</x:v>
      </x:c>
      <x:c r="M658" s="7" t="n">
        <x:v>7</x:v>
      </x:c>
      <x:c r="N658" s="7" t="str">
        <x:v>Outside current general-Life recruiting pool</x:v>
      </x:c>
      <x:c r="O658" s="7" t="str">
        <x:v>Not displayed</x:v>
      </x:c>
      <x:c r="P658" s="7" t="str"/>
      <x:c r="Q658" s="7" t="str"/>
      <x:c r="R658" s="7" t="str"/>
      <x:c r="S658" s="15" t="str"/>
      <x:c r="T658" s="7" t="str">
        <x:v>No public business phone in collected record</x:v>
      </x:c>
      <x:c r="U658" s="7" t="str"/>
      <x:c r="V658" s="7" t="str">
        <x:v>Resident</x:v>
      </x:c>
      <x:c r="W658" s="7" t="str">
        <x:v>CA</x:v>
      </x:c>
      <x:c r="X658" s="7" t="str"/>
      <x:c r="Y658" s="7" t="str"/>
      <x:c r="Z658" s="7" t="str"/>
      <x:c r="AA658" s="7" t="str"/>
      <x:c r="AB658" s="7" t="str"/>
      <x:c r="AC658" s="7" t="str"/>
      <x:c r="AD658" s="7" t="str">
        <x:v>No agency or insurer displayed: onboarding opportunity possible; existing business unknown</x:v>
      </x:c>
      <x:c r="AE658" s="7" t="str">
        <x:v>No public business phone: contact enrichment needed, not proof of poor recruiting fit</x:v>
      </x:c>
      <x:c r="AF658" s="16" t="str"/>
      <x:c r="AG658" s="17" t="str"/>
      <x:c r="AH658" s="7" t="str"/>
      <x:c r="AI658" s="7" t="str"/>
      <x:c r="AJ658" s="7" t="str"/>
      <x:c r="AK658" s="15" t="str"/>
      <x:c r="AL658" s="7" t="str"/>
      <x:c r="AM658" s="7" t="str">
        <x:v>AGUILAR JUANA JUDITH</x:v>
      </x:c>
      <x:c r="AN658" s="7" t="str">
        <x:v>https://cdicloud.insurance.ca.gov/cal/LicenseDetail?SearchType=IND&amp;SearchLicNbr=0F07752&amp;SearchIndvId=993097</x:v>
      </x:c>
      <x:c r="AO658" s="7" t="str">
        <x:v>2026-10-08</x:v>
      </x:c>
      <x:c r="AP658" s="7" t="str">
        <x:v>8632da3219cf7d58c895b8f6169641dae7aa1ce3412baf2a39853f637b287d9b</x:v>
      </x:c>
      <x:c r="AQ658" s="7" t="str">
        <x:v>Accident and Health / Inactive / 02/09/2006 / 02/28/2010 / 02/28/2010
Life-Only / Inactive / 02/09/2006 / 02/28/2010 / 02/28/2010</x:v>
      </x:c>
      <x:c r="AR658" s="7" t="str">
        <x:v>Inactive</x:v>
      </x:c>
      <x:c r="AS658" s="7" t="str">
        <x:v>Current detail page</x:v>
      </x:c>
    </x:row>
    <x:row r="659" ht="52" customHeight="1">
      <x:c r="A659" s="7" t="str">
        <x:v>AGUILAR JUDYANN DIAZ</x:v>
      </x:c>
      <x:c r="B659" s="14" t="str">
        <x:f>"0E47974"</x:f>
        <x:v>0E47974</x:v>
      </x:c>
      <x:c r="C659" s="7" t="str">
        <x:v>Omitted</x:v>
      </x:c>
      <x:c r="D659" s="7" t="str">
        <x:v>FAIL</x:v>
      </x:c>
      <x:c r="E659" s="13" t="str">
        <x:v>Pending</x:v>
      </x:c>
      <x:c r="F659" s="13" t="str"/>
      <x:c r="G659" s="13" t="str"/>
      <x:c r="H659" s="13" t="str"/>
      <x:c r="I659" s="7" t="str">
        <x:v>Was this person reviewed? If rejected, give the actual rule and evidence. If acceptable, correct the omission. Confirm the Life-qualification gate and any record change since selection.</x:v>
      </x:c>
      <x:c r="J659" s="7" t="str">
        <x:v>L1</x:v>
      </x:c>
      <x:c r="K659" s="7" t="str">
        <x:v>Verified qualifications do not include active general Life. Current target-pool mismatch; actual historical omission reason unknown.</x:v>
      </x:c>
      <x:c r="L659" s="7" t="str">
        <x:v>Not supplied; membership is known, motive is not</x:v>
      </x:c>
      <x:c r="M659" s="7" t="n">
        <x:v>7</x:v>
      </x:c>
      <x:c r="N659" s="7" t="str">
        <x:v>Outside current general-Life recruiting pool</x:v>
      </x:c>
      <x:c r="O659" s="7" t="str">
        <x:v>Not displayed</x:v>
      </x:c>
      <x:c r="P659" s="7" t="str"/>
      <x:c r="Q659" s="7" t="str"/>
      <x:c r="R659" s="7" t="str"/>
      <x:c r="S659" s="15" t="str"/>
      <x:c r="T659" s="7" t="str">
        <x:v>No public business phone in collected record</x:v>
      </x:c>
      <x:c r="U659" s="7" t="str"/>
      <x:c r="V659" s="7" t="str">
        <x:v>Resident</x:v>
      </x:c>
      <x:c r="W659" s="7" t="str">
        <x:v>CA</x:v>
      </x:c>
      <x:c r="X659" s="7" t="str"/>
      <x:c r="Y659" s="7" t="str"/>
      <x:c r="Z659" s="7" t="str"/>
      <x:c r="AA659" s="7" t="str"/>
      <x:c r="AB659" s="7" t="str"/>
      <x:c r="AC659" s="7" t="str"/>
      <x:c r="AD659" s="7" t="str">
        <x:v>No agency or insurer displayed: onboarding opportunity possible; existing business unknown</x:v>
      </x:c>
      <x:c r="AE659" s="7" t="str">
        <x:v>No public business phone: contact enrichment needed, not proof of poor recruiting fit</x:v>
      </x:c>
      <x:c r="AF659" s="16" t="str"/>
      <x:c r="AG659" s="17" t="str"/>
      <x:c r="AH659" s="7" t="str"/>
      <x:c r="AI659" s="7" t="str"/>
      <x:c r="AJ659" s="7" t="str"/>
      <x:c r="AK659" s="15" t="str"/>
      <x:c r="AL659" s="7" t="str"/>
      <x:c r="AM659" s="7" t="str">
        <x:v>AGUILAR DIAZ JUDYANN</x:v>
      </x:c>
      <x:c r="AN659" s="7" t="str">
        <x:v>https://cdicloud.insurance.ca.gov/cal/LicenseDetail?SearchType=IND&amp;SearchLicNbr=0E47974&amp;SearchIndvId=904313</x:v>
      </x:c>
      <x:c r="AO659" s="7" t="str">
        <x:v>2026-10-08</x:v>
      </x:c>
      <x:c r="AP659" s="7" t="str">
        <x:v>514b542d1090e5ea261abd09efde6598d869d03d8b0c61f139837e4eca23eb4a</x:v>
      </x:c>
      <x:c r="AQ659" s="7" t="str">
        <x:v>Accident and Health / Inactive / 06/30/2004 / 06/30/2006 / 06/30/2006
Life-Only / Inactive / 06/30/2004 / 06/30/2006 / 06/30/2006</x:v>
      </x:c>
      <x:c r="AR659" s="7" t="str">
        <x:v>Inactive</x:v>
      </x:c>
      <x:c r="AS659" s="7" t="str">
        <x:v>Current detail page</x:v>
      </x:c>
    </x:row>
    <x:row r="660" ht="52" customHeight="1">
      <x:c r="A660" s="7" t="str">
        <x:v>AGUILAR JULIA</x:v>
      </x:c>
      <x:c r="B660" s="14" t="str">
        <x:f>"0G15819"</x:f>
        <x:v>0G15819</x:v>
      </x:c>
      <x:c r="C660" s="7" t="str">
        <x:v>Omitted</x:v>
      </x:c>
      <x:c r="D660" s="7" t="str">
        <x:v>FAIL</x:v>
      </x:c>
      <x:c r="E660" s="13" t="str">
        <x:v>Pending</x:v>
      </x:c>
      <x:c r="F660" s="13" t="str"/>
      <x:c r="G660" s="13" t="str"/>
      <x:c r="H660" s="13" t="str"/>
      <x:c r="I660" s="7" t="str">
        <x:v>Was this person reviewed? If rejected, give the actual rule and evidence. If acceptable, correct the omission. Confirm the Life-qualification gate and any record change since selection.</x:v>
      </x:c>
      <x:c r="J660" s="7" t="str">
        <x:v>L1</x:v>
      </x:c>
      <x:c r="K660" s="7" t="str">
        <x:v>Verified qualifications do not include active general Life. Current target-pool mismatch; actual historical omission reason unknown.</x:v>
      </x:c>
      <x:c r="L660" s="7" t="str">
        <x:v>Not supplied; membership is known, motive is not</x:v>
      </x:c>
      <x:c r="M660" s="7" t="n">
        <x:v>7</x:v>
      </x:c>
      <x:c r="N660" s="7" t="str">
        <x:v>Outside current general-Life recruiting pool</x:v>
      </x:c>
      <x:c r="O660" s="7" t="str">
        <x:v>Not displayed</x:v>
      </x:c>
      <x:c r="P660" s="7" t="str"/>
      <x:c r="Q660" s="7" t="str"/>
      <x:c r="R660" s="7" t="str"/>
      <x:c r="S660" s="15" t="str"/>
      <x:c r="T660" s="7" t="str">
        <x:v>No public business phone in collected record</x:v>
      </x:c>
      <x:c r="U660" s="7" t="str"/>
      <x:c r="V660" s="7" t="str">
        <x:v>Resident</x:v>
      </x:c>
      <x:c r="W660" s="7" t="str">
        <x:v>CA</x:v>
      </x:c>
      <x:c r="X660" s="7" t="str"/>
      <x:c r="Y660" s="7" t="str"/>
      <x:c r="Z660" s="7" t="str"/>
      <x:c r="AA660" s="7" t="str"/>
      <x:c r="AB660" s="7" t="str"/>
      <x:c r="AC660" s="7" t="str"/>
      <x:c r="AD660" s="7" t="str">
        <x:v>No agency or insurer displayed: onboarding opportunity possible; existing business unknown</x:v>
      </x:c>
      <x:c r="AE660" s="7" t="str">
        <x:v>No public business phone: contact enrichment needed, not proof of poor recruiting fit</x:v>
      </x:c>
      <x:c r="AF660" s="16" t="str"/>
      <x:c r="AG660" s="17" t="str"/>
      <x:c r="AH660" s="7" t="str"/>
      <x:c r="AI660" s="7" t="str"/>
      <x:c r="AJ660" s="7" t="str"/>
      <x:c r="AK660" s="15" t="str"/>
      <x:c r="AL660" s="7" t="str"/>
      <x:c r="AM660" s="7" t="str">
        <x:v>AGUILAR  JULIA</x:v>
      </x:c>
      <x:c r="AN660" s="7" t="str">
        <x:v>https://cdicloud.insurance.ca.gov/cal/LicenseDetail?SearchType=IND&amp;SearchLicNbr=0G15819&amp;SearchIndvId=1153891</x:v>
      </x:c>
      <x:c r="AO660" s="7" t="str">
        <x:v>2026-10-08</x:v>
      </x:c>
      <x:c r="AP660" s="7" t="str">
        <x:v>0a876e45c6fd097c2964d4a24ecc8d160475f3a4fa58b9bf57867a5fbaa5c2b6</x:v>
      </x:c>
      <x:c r="AQ660" s="7" t="str">
        <x:v>Life-Only / Inactive / 06/07/2008 / 06/30/2010 / 06/30/2010</x:v>
      </x:c>
      <x:c r="AR660" s="7" t="str">
        <x:v>Inactive</x:v>
      </x:c>
      <x:c r="AS660" s="7" t="str">
        <x:v>Current detail page</x:v>
      </x:c>
    </x:row>
    <x:row r="661" ht="52" customHeight="1">
      <x:c r="A661" s="7" t="str">
        <x:v>AGUILAR JULIA VALENTINE</x:v>
      </x:c>
      <x:c r="B661" s="14" t="str">
        <x:f>"4365945"</x:f>
        <x:v>4365945</x:v>
      </x:c>
      <x:c r="C661" s="7" t="str">
        <x:v>Omitted</x:v>
      </x:c>
      <x:c r="D661" s="7" t="str">
        <x:v>FAIL</x:v>
      </x:c>
      <x:c r="E661" s="13" t="str">
        <x:v>Pending</x:v>
      </x:c>
      <x:c r="F661" s="13" t="str"/>
      <x:c r="G661" s="13" t="str"/>
      <x:c r="H661" s="13" t="str"/>
      <x:c r="I661" s="7" t="str">
        <x:v>Was this person reviewed? If rejected, give the actual rule and evidence. If acceptable, correct the omission. Confirm the Life-qualification gate and any record change since selection.</x:v>
      </x:c>
      <x:c r="J661" s="7" t="str">
        <x:v>L1</x:v>
      </x:c>
      <x:c r="K661" s="7" t="str">
        <x:v>Verified qualifications do not include active general Life. Current target-pool mismatch; actual historical omission reason unknown.</x:v>
      </x:c>
      <x:c r="L661" s="7" t="str">
        <x:v>Not supplied; membership is known, motive is not</x:v>
      </x:c>
      <x:c r="M661" s="7" t="n">
        <x:v>7</x:v>
      </x:c>
      <x:c r="N661" s="7" t="str">
        <x:v>Outside current general-Life recruiting pool</x:v>
      </x:c>
      <x:c r="O661" s="7" t="str">
        <x:v>Inactive</x:v>
      </x:c>
      <x:c r="P661" s="7" t="str">
        <x:v>03/19/2024</x:v>
      </x:c>
      <x:c r="Q661" s="7" t="str">
        <x:v>03/31/2026</x:v>
      </x:c>
      <x:c r="R661" s="7" t="str"/>
      <x:c r="S661" s="15" t="str">
        <x:v>909-815-5900</x:v>
      </x:c>
      <x:c r="T661" s="7" t="str">
        <x:v>Current CDI</x:v>
      </x:c>
      <x:c r="U661" s="7" t="str">
        <x:v>8651 CALLE QUEBRADA RANCHO CUCAMONGA CA, 91730</x:v>
      </x:c>
      <x:c r="V661" s="7" t="str">
        <x:v>Resident</x:v>
      </x:c>
      <x:c r="W661" s="7" t="str">
        <x:v>CA</x:v>
      </x:c>
      <x:c r="X661" s="7" t="str"/>
      <x:c r="Y661" s="7" t="str"/>
      <x:c r="Z661" s="7" t="str"/>
      <x:c r="AA661" s="7" t="str"/>
      <x:c r="AB661" s="7" t="str"/>
      <x:c r="AC661" s="7" t="str"/>
      <x:c r="AD661" s="7" t="str">
        <x:v>No agency or insurer displayed: onboarding opportunity possible; existing business unknown</x:v>
      </x:c>
      <x:c r="AE661" s="7" t="str"/>
      <x:c r="AF661" s="16" t="str"/>
      <x:c r="AG661" s="17" t="str"/>
      <x:c r="AH661" s="7" t="str"/>
      <x:c r="AI661" s="7" t="str">
        <x:v>English</x:v>
      </x:c>
      <x:c r="AJ661" s="7" t="str"/>
      <x:c r="AK661" s="15" t="str"/>
      <x:c r="AL661" s="7" t="str"/>
      <x:c r="AM661" s="7" t="str">
        <x:v>AGUILAR VALENTINE JULIA</x:v>
      </x:c>
      <x:c r="AN661" s="7" t="str">
        <x:v>https://cdicloud.insurance.ca.gov/cal/LicenseDetail?SearchType=IND&amp;SearchLicNbr=4365945&amp;SearchIndvId=4365945</x:v>
      </x:c>
      <x:c r="AO661" s="7" t="str">
        <x:v>2026-10-08</x:v>
      </x:c>
      <x:c r="AP661" s="7" t="str">
        <x:v>e063469cc74ab3bb1e5aa00dbd52e00766f4812b693254e56c44b0728f0e27da</x:v>
      </x:c>
      <x:c r="AQ661" s="7" t="str">
        <x:v>Life / Inactive / 03/19/2024 / 03/31/2026 / 03/31/2026</x:v>
      </x:c>
      <x:c r="AR661" s="7" t="str">
        <x:v>Inactive</x:v>
      </x:c>
      <x:c r="AS661" s="7" t="str">
        <x:v>Current detail page</x:v>
      </x:c>
    </x:row>
    <x:row r="662" ht="52" customHeight="1">
      <x:c r="A662" s="7" t="str">
        <x:v>AGUILAR JULIAN</x:v>
      </x:c>
      <x:c r="B662" s="14" t="str">
        <x:f>"4443584"</x:f>
        <x:v>4443584</x:v>
      </x:c>
      <x:c r="C662" s="7" t="str">
        <x:v>Omitted</x:v>
      </x:c>
      <x:c r="D662" s="7" t="str">
        <x:v>FAIL</x:v>
      </x:c>
      <x:c r="E662" s="13" t="str">
        <x:v>Pending</x:v>
      </x:c>
      <x:c r="F662" s="13" t="str"/>
      <x:c r="G662" s="13" t="str"/>
      <x:c r="H662" s="13" t="str"/>
      <x:c r="I662" s="7" t="str">
        <x:v>Was this person reviewed? If rejected, give the actual rule and evidence. If acceptable, correct the omission. Confirm the Life-qualification gate and any record change since selection.</x:v>
      </x:c>
      <x:c r="J662" s="7" t="str">
        <x:v>L1</x:v>
      </x:c>
      <x:c r="K662" s="7" t="str">
        <x:v>Verified qualifications do not include active general Life. Current target-pool mismatch; actual historical omission reason unknown.</x:v>
      </x:c>
      <x:c r="L662" s="7" t="str">
        <x:v>Not supplied; membership is known, motive is not</x:v>
      </x:c>
      <x:c r="M662" s="7" t="n">
        <x:v>7</x:v>
      </x:c>
      <x:c r="N662" s="7" t="str">
        <x:v>Outside current general-Life recruiting pool</x:v>
      </x:c>
      <x:c r="O662" s="7" t="str">
        <x:v>Not displayed</x:v>
      </x:c>
      <x:c r="P662" s="7" t="str"/>
      <x:c r="Q662" s="7" t="str"/>
      <x:c r="R662" s="7" t="str">
        <x:v>Personal Lines</x:v>
      </x:c>
      <x:c r="S662" s="15" t="str"/>
      <x:c r="T662" s="7" t="str">
        <x:v>No public business phone in collected record</x:v>
      </x:c>
      <x:c r="U662" s="7" t="str">
        <x:v>GEICO LICENSING 2 HUNTINGTON QUADRANGLE MELVILLE NY, 11747</x:v>
      </x:c>
      <x:c r="V662" s="7" t="str">
        <x:v>Non-resident</x:v>
      </x:c>
      <x:c r="W662" s="7" t="str">
        <x:v>NY</x:v>
      </x:c>
      <x:c r="X662" s="7" t="str"/>
      <x:c r="Y662" s="7" t="str"/>
      <x:c r="Z662" s="7" t="str"/>
      <x:c r="AA662" s="7" t="str"/>
      <x:c r="AB662" s="7" t="str"/>
      <x:c r="AC662" s="7" t="str"/>
      <x:c r="AD662" s="7" t="str">
        <x:v>No agency or insurer displayed: onboarding opportunity possible; existing business unknown</x:v>
      </x:c>
      <x:c r="AE662"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662" s="16" t="str"/>
      <x:c r="AG662" s="17" t="str"/>
      <x:c r="AH662" s="7" t="str"/>
      <x:c r="AI662" s="7" t="str"/>
      <x:c r="AJ662" s="7" t="str"/>
      <x:c r="AK662" s="15" t="str"/>
      <x:c r="AL662" s="7" t="str"/>
      <x:c r="AM662" s="7" t="str">
        <x:v>AGUILAR  JULIAN</x:v>
      </x:c>
      <x:c r="AN662" s="7" t="str">
        <x:v>https://cdicloud.insurance.ca.gov/cal/LicenseDetail?SearchType=IND&amp;SearchLicNbr=4443584&amp;SearchIndvId=4443584</x:v>
      </x:c>
      <x:c r="AO662" s="7" t="str">
        <x:v>2026-10-08</x:v>
      </x:c>
      <x:c r="AP662" s="7" t="str">
        <x:v>342133ff3b42d7c8ac415dfb9975415299c7e542d7d886e947e06dd55e545a95</x:v>
      </x:c>
      <x:c r="AQ662" s="7" t="str">
        <x:v>Personal Lines / Active / 05/01/2025 / 05/01/2025 / 05/31/2027</x:v>
      </x:c>
      <x:c r="AR662" s="7" t="str">
        <x:v>Active</x:v>
      </x:c>
      <x:c r="AS662" s="7" t="str">
        <x:v>Current detail page</x:v>
      </x:c>
    </x:row>
    <x:row r="663" ht="52" customHeight="1">
      <x:c r="A663" s="7" t="str">
        <x:v>AGUILAR JULIAN JR</x:v>
      </x:c>
      <x:c r="B663" s="14" t="str">
        <x:f>"4341550"</x:f>
        <x:v>4341550</x:v>
      </x:c>
      <x:c r="C663" s="7" t="str">
        <x:v>Omitted</x:v>
      </x:c>
      <x:c r="D663" s="7" t="str">
        <x:v>FAIL</x:v>
      </x:c>
      <x:c r="E663" s="13" t="str">
        <x:v>Pending</x:v>
      </x:c>
      <x:c r="F663" s="13" t="str"/>
      <x:c r="G663" s="13" t="str"/>
      <x:c r="H663" s="13" t="str"/>
      <x:c r="I663" s="7" t="str">
        <x:v>Was this person reviewed? If rejected, give the actual rule and evidence. If acceptable, correct the omission. Confirm the Life-qualification gate and any record change since selection.</x:v>
      </x:c>
      <x:c r="J663" s="7" t="str">
        <x:v>L1</x:v>
      </x:c>
      <x:c r="K663" s="7" t="str">
        <x:v>Verified qualifications do not include active general Life. Current target-pool mismatch; actual historical omission reason unknown.</x:v>
      </x:c>
      <x:c r="L663" s="7" t="str">
        <x:v>Not supplied; membership is known, motive is not</x:v>
      </x:c>
      <x:c r="M663" s="7" t="n">
        <x:v>7</x:v>
      </x:c>
      <x:c r="N663" s="7" t="str">
        <x:v>Outside current general-Life recruiting pool</x:v>
      </x:c>
      <x:c r="O663" s="7" t="str">
        <x:v>Inactive</x:v>
      </x:c>
      <x:c r="P663" s="7" t="str">
        <x:v>12/11/2023</x:v>
      </x:c>
      <x:c r="Q663" s="7" t="str">
        <x:v>12/31/2025</x:v>
      </x:c>
      <x:c r="R663" s="7" t="str"/>
      <x:c r="S663" s="15" t="str">
        <x:v>510-925-8211</x:v>
      </x:c>
      <x:c r="T663" s="7" t="str">
        <x:v>Current CDI</x:v>
      </x:c>
      <x:c r="U663" s="7" t="str">
        <x:v>21060 ROYAL AVE HAYWARD CA, 94541-4753</x:v>
      </x:c>
      <x:c r="V663" s="7" t="str">
        <x:v>Resident</x:v>
      </x:c>
      <x:c r="W663" s="7" t="str">
        <x:v>CA</x:v>
      </x:c>
      <x:c r="X663" s="7" t="str"/>
      <x:c r="Y663" s="7" t="str"/>
      <x:c r="Z663" s="7" t="str"/>
      <x:c r="AA663" s="7" t="str"/>
      <x:c r="AB663" s="7" t="str"/>
      <x:c r="AC663" s="7" t="str"/>
      <x:c r="AD663" s="7" t="str">
        <x:v>No agency or insurer displayed: onboarding opportunity possible; existing business unknown</x:v>
      </x:c>
      <x:c r="AE663" s="7" t="str"/>
      <x:c r="AF663" s="16" t="str"/>
      <x:c r="AG663" s="17" t="str"/>
      <x:c r="AH663" s="7" t="str"/>
      <x:c r="AI663" s="7" t="str">
        <x:v>English</x:v>
      </x:c>
      <x:c r="AJ663" s="7" t="str"/>
      <x:c r="AK663" s="15" t="str"/>
      <x:c r="AL663" s="7" t="str"/>
      <x:c r="AM663" s="7" t="str">
        <x:v>AGUILAR  JULIAN</x:v>
      </x:c>
      <x:c r="AN663" s="7" t="str">
        <x:v>https://cdicloud.insurance.ca.gov/cal/LicenseDetail?SearchType=IND&amp;SearchLicNbr=4341550&amp;SearchIndvId=4341550</x:v>
      </x:c>
      <x:c r="AO663" s="7" t="str">
        <x:v>2026-10-08</x:v>
      </x:c>
      <x:c r="AP663" s="7" t="str">
        <x:v>3ead61f6d62e81faaba82ad695e6ff1c9ec482fc6bafd2c892051247d8852ba4</x:v>
      </x:c>
      <x:c r="AQ663" s="7" t="str">
        <x:v>Accident &amp; Health or Sickness / Inactive / 12/11/2023 / 12/31/2025 / 12/31/2025
Casualty / Inactive / 04/05/2024 / 12/31/2025 / 12/31/2025
Life / Inactive / 12/11/2023 / 12/31/2025 / 12/31/2025
Property / Inactive / 04/05/2024 / 12/31/2025 / 12/31/2025</x:v>
      </x:c>
      <x:c r="AR663" s="7" t="str">
        <x:v>Inactive</x:v>
      </x:c>
      <x:c r="AS663" s="7" t="str">
        <x:v>Current detail page</x:v>
      </x:c>
    </x:row>
    <x:row r="664" ht="52" customHeight="1">
      <x:c r="A664" s="7" t="str">
        <x:v>AGUILAR JULIETA</x:v>
      </x:c>
      <x:c r="B664" s="14" t="str">
        <x:f>"0F92665"</x:f>
        <x:v>0F92665</x:v>
      </x:c>
      <x:c r="C664" s="7" t="str">
        <x:v>Omitted</x:v>
      </x:c>
      <x:c r="D664" s="7" t="str">
        <x:v>FAIL</x:v>
      </x:c>
      <x:c r="E664" s="13" t="str">
        <x:v>Pending</x:v>
      </x:c>
      <x:c r="F664" s="13" t="str"/>
      <x:c r="G664" s="13" t="str"/>
      <x:c r="H664" s="13" t="str"/>
      <x:c r="I664" s="7" t="str">
        <x:v>Was this person reviewed? If rejected, give the actual rule and evidence. If acceptable, correct the omission. Confirm the Life-qualification gate and any record change since selection.</x:v>
      </x:c>
      <x:c r="J664" s="7" t="str">
        <x:v>L1</x:v>
      </x:c>
      <x:c r="K664" s="7" t="str">
        <x:v>Verified qualifications do not include active general Life. Current target-pool mismatch; actual historical omission reason unknown.</x:v>
      </x:c>
      <x:c r="L664" s="7" t="str">
        <x:v>Not supplied; membership is known, motive is not</x:v>
      </x:c>
      <x:c r="M664" s="7" t="n">
        <x:v>7</x:v>
      </x:c>
      <x:c r="N664" s="7" t="str">
        <x:v>Outside current general-Life recruiting pool</x:v>
      </x:c>
      <x:c r="O664" s="7" t="str">
        <x:v>Not displayed</x:v>
      </x:c>
      <x:c r="P664" s="7" t="str"/>
      <x:c r="Q664" s="7" t="str"/>
      <x:c r="R664" s="7" t="str"/>
      <x:c r="S664" s="15" t="str"/>
      <x:c r="T664" s="7" t="str">
        <x:v>No public business phone in collected record</x:v>
      </x:c>
      <x:c r="U664" s="7" t="str"/>
      <x:c r="V664" s="7" t="str">
        <x:v>Resident</x:v>
      </x:c>
      <x:c r="W664" s="7" t="str">
        <x:v>CA</x:v>
      </x:c>
      <x:c r="X664" s="7" t="str"/>
      <x:c r="Y664" s="7" t="str"/>
      <x:c r="Z664" s="7" t="str"/>
      <x:c r="AA664" s="7" t="str"/>
      <x:c r="AB664" s="7" t="str"/>
      <x:c r="AC664" s="7" t="str"/>
      <x:c r="AD664" s="7" t="str">
        <x:v>No agency or insurer displayed: onboarding opportunity possible; existing business unknown</x:v>
      </x:c>
      <x:c r="AE664" s="7" t="str">
        <x:v>No public business phone: contact enrichment needed, not proof of poor recruiting fit</x:v>
      </x:c>
      <x:c r="AF664" s="16" t="str"/>
      <x:c r="AG664" s="17" t="str"/>
      <x:c r="AH664" s="7" t="str"/>
      <x:c r="AI664" s="7" t="str"/>
      <x:c r="AJ664" s="7" t="str"/>
      <x:c r="AK664" s="15" t="str"/>
      <x:c r="AL664" s="7" t="str"/>
      <x:c r="AM664" s="7" t="str">
        <x:v>AGUILAR  JULIETA</x:v>
      </x:c>
      <x:c r="AN664" s="7" t="str">
        <x:v>https://cdicloud.insurance.ca.gov/cal/LicenseDetail?SearchType=IND&amp;SearchLicNbr=0F92665&amp;SearchIndvId=1115283</x:v>
      </x:c>
      <x:c r="AO664" s="7" t="str">
        <x:v>2026-10-08</x:v>
      </x:c>
      <x:c r="AP664" s="7" t="str">
        <x:v>fd2c2dc452620c6fc607ef686b6df151addefde01ee22dfce6a874e21e1a436b</x:v>
      </x:c>
      <x:c r="AQ664" s="7" t="str">
        <x:v>Accident and Health / Inactive / 12/13/2007 / 12/31/2009 / 12/31/2009
Life-Only / Inactive / 12/13/2007 / 12/31/2009 / 12/31/2009</x:v>
      </x:c>
      <x:c r="AR664" s="7" t="str">
        <x:v>Inactive</x:v>
      </x:c>
      <x:c r="AS664" s="7" t="str">
        <x:v>Current detail page</x:v>
      </x:c>
    </x:row>
    <x:row r="665" ht="52" customHeight="1">
      <x:c r="A665" s="7" t="str">
        <x:v>AGUILAR JULIETA LIZETTE</x:v>
      </x:c>
      <x:c r="B665" s="14" t="str">
        <x:f>"4461448"</x:f>
        <x:v>4461448</x:v>
      </x:c>
      <x:c r="C665" s="7" t="str">
        <x:v>Omitted</x:v>
      </x:c>
      <x:c r="D665" s="7" t="str">
        <x:v>FAIL</x:v>
      </x:c>
      <x:c r="E665" s="13" t="str">
        <x:v>Pending</x:v>
      </x:c>
      <x:c r="F665" s="13" t="str"/>
      <x:c r="G665" s="13" t="str"/>
      <x:c r="H665" s="13" t="str"/>
      <x:c r="I665" s="7" t="str">
        <x:v>Was this person reviewed? If rejected, give the actual rule and evidence. If acceptable, correct the omission. Confirm the Life-qualification gate and any record change since selection.</x:v>
      </x:c>
      <x:c r="J665" s="7" t="str">
        <x:v>L1</x:v>
      </x:c>
      <x:c r="K665" s="7" t="str">
        <x:v>Verified qualifications do not include active general Life. Current target-pool mismatch; actual historical omission reason unknown.</x:v>
      </x:c>
      <x:c r="L665" s="7" t="str">
        <x:v>Not supplied; membership is known, motive is not</x:v>
      </x:c>
      <x:c r="M665" s="7" t="n">
        <x:v>7</x:v>
      </x:c>
      <x:c r="N665" s="7" t="str">
        <x:v>Outside current general-Life recruiting pool</x:v>
      </x:c>
      <x:c r="O665" s="7" t="str">
        <x:v>Not displayed</x:v>
      </x:c>
      <x:c r="P665" s="7" t="str"/>
      <x:c r="Q665" s="7" t="str"/>
      <x:c r="R665" s="7" t="str">
        <x:v>Casualty; Property</x:v>
      </x:c>
      <x:c r="S665" s="15" t="str"/>
      <x:c r="T665" s="7" t="str">
        <x:v>No public business phone in collected record</x:v>
      </x:c>
      <x:c r="U665" s="7" t="str">
        <x:v>4040 W RAY RD STE 2 CHANDLER AZ, 85226-7255</x:v>
      </x:c>
      <x:c r="V665" s="7" t="str">
        <x:v>Non-resident</x:v>
      </x:c>
      <x:c r="W665" s="7" t="str">
        <x:v>AZ</x:v>
      </x:c>
      <x:c r="X665" s="7" t="str"/>
      <x:c r="Y665" s="7" t="str"/>
      <x:c r="Z665" s="7" t="str"/>
      <x:c r="AA665" s="7" t="str"/>
      <x:c r="AB665" s="7" t="str"/>
      <x:c r="AC665" s="7" t="str"/>
      <x:c r="AD665" s="7" t="str">
        <x:v>No agency or insurer displayed: onboarding opportunity possible; existing business unknown</x:v>
      </x:c>
      <x:c r="AE665"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665" s="16" t="str"/>
      <x:c r="AG665" s="17" t="str"/>
      <x:c r="AH665" s="7" t="str"/>
      <x:c r="AI665" s="7" t="str"/>
      <x:c r="AJ665" s="7" t="str"/>
      <x:c r="AK665" s="15" t="str"/>
      <x:c r="AL665" s="7" t="str"/>
      <x:c r="AM665" s="7" t="str">
        <x:v>AGUILAR LIZETTE JULIETA</x:v>
      </x:c>
      <x:c r="AN665" s="7" t="str">
        <x:v>https://cdicloud.insurance.ca.gov/cal/LicenseDetail?SearchType=IND&amp;SearchLicNbr=4461448&amp;SearchIndvId=4461448</x:v>
      </x:c>
      <x:c r="AO665" s="7" t="str">
        <x:v>2026-10-08</x:v>
      </x:c>
      <x:c r="AP665" s="7" t="str">
        <x:v>a1288ccb9c0e55fd9e0fc3261b9ed108349e8726238ff70f8d4812668ee7c279</x:v>
      </x:c>
      <x:c r="AQ665" s="7" t="str">
        <x:v>Casualty / Active / 05/05/2025 / 05/05/2025 / 05/31/2027
Property / Active / 05/05/2025 / 05/05/2025 / 05/31/2027</x:v>
      </x:c>
      <x:c r="AR665" s="7" t="str">
        <x:v>Active</x:v>
      </x:c>
      <x:c r="AS665" s="7" t="str">
        <x:v>Current detail page</x:v>
      </x:c>
    </x:row>
    <x:row r="666" ht="52" customHeight="1">
      <x:c r="A666" s="7" t="str">
        <x:v>AGUILAR JULIO CAESAR</x:v>
      </x:c>
      <x:c r="B666" s="14" t="str">
        <x:f>"0H19470"</x:f>
        <x:v>0H19470</x:v>
      </x:c>
      <x:c r="C666" s="7" t="str">
        <x:v>Omitted</x:v>
      </x:c>
      <x:c r="D666" s="7" t="str">
        <x:v>FAIL</x:v>
      </x:c>
      <x:c r="E666" s="13" t="str">
        <x:v>Pending</x:v>
      </x:c>
      <x:c r="F666" s="13" t="str"/>
      <x:c r="G666" s="13" t="str"/>
      <x:c r="H666" s="13" t="str"/>
      <x:c r="I666" s="7" t="str">
        <x:v>Was this person reviewed? If rejected, give the actual rule and evidence. If acceptable, correct the omission. Confirm the Life-qualification gate and any record change since selection.</x:v>
      </x:c>
      <x:c r="J666" s="7" t="str">
        <x:v>L1</x:v>
      </x:c>
      <x:c r="K666" s="7" t="str">
        <x:v>Verified qualifications do not include active general Life. Current target-pool mismatch; actual historical omission reason unknown.</x:v>
      </x:c>
      <x:c r="L666" s="7" t="str">
        <x:v>Not supplied; membership is known, motive is not</x:v>
      </x:c>
      <x:c r="M666" s="7" t="n">
        <x:v>7</x:v>
      </x:c>
      <x:c r="N666" s="7" t="str">
        <x:v>Outside current general-Life recruiting pool</x:v>
      </x:c>
      <x:c r="O666" s="7" t="str">
        <x:v>Not displayed</x:v>
      </x:c>
      <x:c r="P666" s="7" t="str"/>
      <x:c r="Q666" s="7" t="str"/>
      <x:c r="R666" s="7" t="str"/>
      <x:c r="S666" s="15" t="str"/>
      <x:c r="T666" s="7" t="str">
        <x:v>No public business phone in collected record</x:v>
      </x:c>
      <x:c r="U666" s="7" t="str"/>
      <x:c r="V666" s="7" t="str">
        <x:v>Resident</x:v>
      </x:c>
      <x:c r="W666" s="7" t="str">
        <x:v>CA</x:v>
      </x:c>
      <x:c r="X666" s="7" t="str"/>
      <x:c r="Y666" s="7" t="str"/>
      <x:c r="Z666" s="7" t="str"/>
      <x:c r="AA666" s="7" t="str"/>
      <x:c r="AB666" s="7" t="str"/>
      <x:c r="AC666" s="7" t="str"/>
      <x:c r="AD666" s="7" t="str">
        <x:v>No agency or insurer displayed: onboarding opportunity possible; existing business unknown</x:v>
      </x:c>
      <x:c r="AE666" s="7" t="str">
        <x:v>No public business phone: contact enrichment needed, not proof of poor recruiting fit</x:v>
      </x:c>
      <x:c r="AF666" s="16" t="str"/>
      <x:c r="AG666" s="17" t="str"/>
      <x:c r="AH666" s="7" t="str"/>
      <x:c r="AI666" s="7" t="str"/>
      <x:c r="AJ666" s="7" t="str"/>
      <x:c r="AK666" s="15" t="str"/>
      <x:c r="AL666" s="7" t="str"/>
      <x:c r="AM666" s="7" t="str">
        <x:v>AGUILAR CAESAR JULIO</x:v>
      </x:c>
      <x:c r="AN666" s="7" t="str">
        <x:v>https://cdicloud.insurance.ca.gov/cal/LicenseDetail?SearchType=IND&amp;SearchLicNbr=0H19470&amp;SearchIndvId=1358629</x:v>
      </x:c>
      <x:c r="AO666" s="7" t="str">
        <x:v>2026-10-08</x:v>
      </x:c>
      <x:c r="AP666" s="7" t="str">
        <x:v>c67c4868ce81e3cf270a8aa56a99afc0b3fcfa4e387b92b55c4ccd27ef662cf8</x:v>
      </x:c>
      <x:c r="AQ666" s="7" t="str">
        <x:v>Accident and Health / Inactive / 10/18/2010 / 10/31/2014 / 10/31/2014
Life-Only / Inactive / 10/18/2010 / 10/31/2014 / 10/31/2014</x:v>
      </x:c>
      <x:c r="AR666" s="7" t="str">
        <x:v>Inactive</x:v>
      </x:c>
      <x:c r="AS666" s="7" t="str">
        <x:v>Current detail page</x:v>
      </x:c>
    </x:row>
    <x:row r="667" ht="52" customHeight="1">
      <x:c r="A667" s="7" t="str">
        <x:v>AGUILAR JULIO CESAR</x:v>
      </x:c>
      <x:c r="B667" s="14" t="str">
        <x:f>"0I54691"</x:f>
        <x:v>0I54691</x:v>
      </x:c>
      <x:c r="C667" s="7" t="str">
        <x:v>Omitted</x:v>
      </x:c>
      <x:c r="D667" s="7" t="str">
        <x:v>FAIL</x:v>
      </x:c>
      <x:c r="E667" s="13" t="str">
        <x:v>Pending</x:v>
      </x:c>
      <x:c r="F667" s="13" t="str"/>
      <x:c r="G667" s="13" t="str"/>
      <x:c r="H667" s="13" t="str"/>
      <x:c r="I667" s="7" t="str">
        <x:v>Was this person reviewed? If rejected, give the actual rule and evidence. If acceptable, correct the omission. Confirm the Life-qualification gate and any record change since selection.</x:v>
      </x:c>
      <x:c r="J667" s="7" t="str">
        <x:v>L1</x:v>
      </x:c>
      <x:c r="K667" s="7" t="str">
        <x:v>Verified qualifications do not include active general Life. Current target-pool mismatch; actual historical omission reason unknown.</x:v>
      </x:c>
      <x:c r="L667" s="7" t="str">
        <x:v>Not supplied; membership is known, motive is not</x:v>
      </x:c>
      <x:c r="M667" s="7" t="n">
        <x:v>7</x:v>
      </x:c>
      <x:c r="N667" s="7" t="str">
        <x:v>Outside current general-Life recruiting pool</x:v>
      </x:c>
      <x:c r="O667" s="7" t="str">
        <x:v>Not displayed</x:v>
      </x:c>
      <x:c r="P667" s="7" t="str"/>
      <x:c r="Q667" s="7" t="str"/>
      <x:c r="R667" s="7" t="str"/>
      <x:c r="S667" s="15" t="str"/>
      <x:c r="T667" s="7" t="str">
        <x:v>No public business phone in collected record</x:v>
      </x:c>
      <x:c r="U667" s="7" t="str"/>
      <x:c r="V667" s="7" t="str">
        <x:v>Resident</x:v>
      </x:c>
      <x:c r="W667" s="7" t="str">
        <x:v>CA</x:v>
      </x:c>
      <x:c r="X667" s="7" t="str"/>
      <x:c r="Y667" s="7" t="str"/>
      <x:c r="Z667" s="7" t="str"/>
      <x:c r="AA667" s="7" t="str"/>
      <x:c r="AB667" s="7" t="str"/>
      <x:c r="AC667" s="7" t="str"/>
      <x:c r="AD667" s="7" t="str">
        <x:v>No agency or insurer displayed: onboarding opportunity possible; existing business unknown</x:v>
      </x:c>
      <x:c r="AE667" s="7" t="str">
        <x:v>No public business phone: contact enrichment needed, not proof of poor recruiting fit</x:v>
      </x:c>
      <x:c r="AF667" s="16" t="str"/>
      <x:c r="AG667" s="17" t="str"/>
      <x:c r="AH667" s="7" t="str"/>
      <x:c r="AI667" s="7" t="str"/>
      <x:c r="AJ667" s="7" t="str"/>
      <x:c r="AK667" s="15" t="str"/>
      <x:c r="AL667" s="7" t="str"/>
      <x:c r="AM667" s="7" t="str">
        <x:v>AGUILAR CESAR JULIO</x:v>
      </x:c>
      <x:c r="AN667" s="7" t="str">
        <x:v>https://cdicloud.insurance.ca.gov/cal/LicenseDetail?SearchType=IND&amp;SearchLicNbr=0I54691&amp;SearchIndvId=1598677</x:v>
      </x:c>
      <x:c r="AO667" s="7" t="str">
        <x:v>2026-10-08</x:v>
      </x:c>
      <x:c r="AP667" s="7" t="str">
        <x:v>9fb824d056357117b4aeab5deeadb7a2a373b50cce512a175267797b9c41404e</x:v>
      </x:c>
      <x:c r="AQ667" s="7" t="str">
        <x:v>Life-Only / Inactive / 09/26/2013 / 09/30/2017 / 09/30/2017</x:v>
      </x:c>
      <x:c r="AR667" s="7" t="str">
        <x:v>Inactive</x:v>
      </x:c>
      <x:c r="AS667" s="7" t="str">
        <x:v>Current detail page</x:v>
      </x:c>
    </x:row>
    <x:row r="668" ht="52" customHeight="1">
      <x:c r="A668" s="7" t="str">
        <x:v>AGUILAR JULIO CESAR</x:v>
      </x:c>
      <x:c r="B668" s="14" t="str">
        <x:f>"0L77170"</x:f>
        <x:v>0L77170</x:v>
      </x:c>
      <x:c r="C668" s="7" t="str">
        <x:v>Omitted</x:v>
      </x:c>
      <x:c r="D668" s="7" t="str">
        <x:v>FAIL</x:v>
      </x:c>
      <x:c r="E668" s="13" t="str">
        <x:v>Pending</x:v>
      </x:c>
      <x:c r="F668" s="13" t="str"/>
      <x:c r="G668" s="13" t="str"/>
      <x:c r="H668" s="13" t="str"/>
      <x:c r="I668" s="7" t="str">
        <x:v>Was this person reviewed? If rejected, give the actual rule and evidence. If acceptable, correct the omission. Confirm the Life-qualification gate and any record change since selection.</x:v>
      </x:c>
      <x:c r="J668" s="7" t="str">
        <x:v>L1</x:v>
      </x:c>
      <x:c r="K668" s="7" t="str">
        <x:v>Verified qualifications do not include active general Life. Current target-pool mismatch; actual historical omission reason unknown.</x:v>
      </x:c>
      <x:c r="L668" s="7" t="str">
        <x:v>Not supplied; membership is known, motive is not</x:v>
      </x:c>
      <x:c r="M668" s="7" t="n">
        <x:v>7</x:v>
      </x:c>
      <x:c r="N668" s="7" t="str">
        <x:v>Outside current general-Life recruiting pool</x:v>
      </x:c>
      <x:c r="O668" s="7" t="str">
        <x:v>Not displayed</x:v>
      </x:c>
      <x:c r="P668" s="7" t="str"/>
      <x:c r="Q668" s="7" t="str"/>
      <x:c r="R668" s="7" t="str"/>
      <x:c r="S668" s="15" t="str"/>
      <x:c r="T668" s="7" t="str">
        <x:v>No public business phone in collected record</x:v>
      </x:c>
      <x:c r="U668" s="7" t="str"/>
      <x:c r="V668" s="7" t="str">
        <x:v>Resident</x:v>
      </x:c>
      <x:c r="W668" s="7" t="str">
        <x:v>CA</x:v>
      </x:c>
      <x:c r="X668" s="7" t="str"/>
      <x:c r="Y668" s="7" t="str"/>
      <x:c r="Z668" s="7" t="str"/>
      <x:c r="AA668" s="7" t="str"/>
      <x:c r="AB668" s="7" t="str"/>
      <x:c r="AC668" s="7" t="str"/>
      <x:c r="AD668" s="7" t="str">
        <x:v>No agency or insurer displayed: onboarding opportunity possible; existing business unknown</x:v>
      </x:c>
      <x:c r="AE668" s="7" t="str">
        <x:v>No public business phone: contact enrichment needed, not proof of poor recruiting fit</x:v>
      </x:c>
      <x:c r="AF668" s="16" t="str"/>
      <x:c r="AG668" s="17" t="str"/>
      <x:c r="AH668" s="7" t="str"/>
      <x:c r="AI668" s="7" t="str"/>
      <x:c r="AJ668" s="7" t="str"/>
      <x:c r="AK668" s="15" t="str"/>
      <x:c r="AL668" s="7" t="str"/>
      <x:c r="AM668" s="7" t="str">
        <x:v>Aguilar C Julio | AGUILAR CESAR JULIO</x:v>
      </x:c>
      <x:c r="AN668" s="7" t="str">
        <x:v>https://cdicloud.insurance.ca.gov/cal/LicenseDetail?SearchType=IND&amp;SearchLicNbr=0L77170&amp;SearchIndvId=1942104</x:v>
      </x:c>
      <x:c r="AO668" s="7" t="str">
        <x:v>2026-10-08</x:v>
      </x:c>
      <x:c r="AP668" s="7" t="str">
        <x:v>8f0da94cdeefe69ad0111dd6a9bf6b2dbb7bb8aa21fbb9366e4d9e56f59f0a01</x:v>
      </x:c>
      <x:c r="AQ668" s="7" t="str">
        <x:v>Life-Only / Inactive / 05/30/2017 / 05/31/2019 / 05/31/2019</x:v>
      </x:c>
      <x:c r="AR668" s="7" t="str">
        <x:v>Inactive</x:v>
      </x:c>
      <x:c r="AS668" s="7" t="str">
        <x:v>Current detail page</x:v>
      </x:c>
    </x:row>
    <x:row r="669" ht="52" customHeight="1">
      <x:c r="A669" s="7" t="str">
        <x:v>AGUILAR JULIO CESAR</x:v>
      </x:c>
      <x:c r="B669" s="14" t="str">
        <x:f>"0M50712"</x:f>
        <x:v>0M50712</x:v>
      </x:c>
      <x:c r="C669" s="7" t="str">
        <x:v>Omitted</x:v>
      </x:c>
      <x:c r="D669" s="7" t="str">
        <x:v>FAIL</x:v>
      </x:c>
      <x:c r="E669" s="13" t="str">
        <x:v>Pending</x:v>
      </x:c>
      <x:c r="F669" s="13" t="str"/>
      <x:c r="G669" s="13" t="str"/>
      <x:c r="H669" s="13" t="str"/>
      <x:c r="I669" s="7" t="str">
        <x:v>Was this person reviewed? If rejected, give the actual rule and evidence. If acceptable, correct the omission. Confirm the Life-qualification gate and any record change since selection.</x:v>
      </x:c>
      <x:c r="J669" s="7" t="str">
        <x:v>L1</x:v>
      </x:c>
      <x:c r="K669" s="7" t="str">
        <x:v>Verified qualifications do not include active general Life. Current target-pool mismatch; actual historical omission reason unknown.</x:v>
      </x:c>
      <x:c r="L669" s="7" t="str">
        <x:v>Not supplied; membership is known, motive is not</x:v>
      </x:c>
      <x:c r="M669" s="7" t="n">
        <x:v>7</x:v>
      </x:c>
      <x:c r="N669" s="7" t="str">
        <x:v>Outside current general-Life recruiting pool</x:v>
      </x:c>
      <x:c r="O669" s="7" t="str">
        <x:v>Not displayed</x:v>
      </x:c>
      <x:c r="P669" s="7" t="str"/>
      <x:c r="Q669" s="7" t="str"/>
      <x:c r="R669" s="7" t="str"/>
      <x:c r="S669" s="15" t="str"/>
      <x:c r="T669" s="7" t="str">
        <x:v>No public business phone in collected record</x:v>
      </x:c>
      <x:c r="U669" s="7" t="str"/>
      <x:c r="V669" s="7" t="str">
        <x:v>Resident</x:v>
      </x:c>
      <x:c r="W669" s="7" t="str">
        <x:v>CA</x:v>
      </x:c>
      <x:c r="X669" s="7" t="str"/>
      <x:c r="Y669" s="7" t="str"/>
      <x:c r="Z669" s="7" t="str"/>
      <x:c r="AA669" s="7" t="str"/>
      <x:c r="AB669" s="7" t="str"/>
      <x:c r="AC669" s="7" t="str"/>
      <x:c r="AD669" s="7" t="str">
        <x:v>No agency or insurer displayed: onboarding opportunity possible; existing business unknown</x:v>
      </x:c>
      <x:c r="AE669" s="7" t="str">
        <x:v>No public business phone: contact enrichment needed, not proof of poor recruiting fit</x:v>
      </x:c>
      <x:c r="AF669" s="16" t="str"/>
      <x:c r="AG669" s="17" t="str"/>
      <x:c r="AH669" s="7" t="str"/>
      <x:c r="AI669" s="7" t="str"/>
      <x:c r="AJ669" s="7" t="str"/>
      <x:c r="AK669" s="15" t="str"/>
      <x:c r="AL669" s="7" t="str"/>
      <x:c r="AM669" s="7" t="str">
        <x:v>Aguilar C Julio | AGUILAR CESAR JULIO</x:v>
      </x:c>
      <x:c r="AN669" s="7" t="str">
        <x:v>https://cdicloud.insurance.ca.gov/cal/LicenseDetail?SearchType=IND&amp;SearchLicNbr=0M50712&amp;SearchIndvId=1954385</x:v>
      </x:c>
      <x:c r="AO669" s="7" t="str">
        <x:v>2026-10-08</x:v>
      </x:c>
      <x:c r="AP669" s="7" t="str">
        <x:v>bd548fa57dcad44eee02a43f4199d927a5dd635c13c66a901decba793f65b7d2</x:v>
      </x:c>
      <x:c r="AQ669" s="7" t="str">
        <x:v>Life-Only / Inactive / 08/15/2018 / 08/31/2020 / 08/31/2020</x:v>
      </x:c>
      <x:c r="AR669" s="7" t="str">
        <x:v>Inactive</x:v>
      </x:c>
      <x:c r="AS669" s="7" t="str">
        <x:v>Current detail page</x:v>
      </x:c>
    </x:row>
    <x:row r="670" ht="52" customHeight="1">
      <x:c r="A670" s="7" t="str">
        <x:v>AGUILAR JUSTIN M</x:v>
      </x:c>
      <x:c r="B670" s="14" t="str">
        <x:f>"0K94228"</x:f>
        <x:v>0K94228</x:v>
      </x:c>
      <x:c r="C670" s="7" t="str">
        <x:v>Omitted</x:v>
      </x:c>
      <x:c r="D670" s="7" t="str">
        <x:v>FAIL</x:v>
      </x:c>
      <x:c r="E670" s="13" t="str">
        <x:v>Pending</x:v>
      </x:c>
      <x:c r="F670" s="13" t="str"/>
      <x:c r="G670" s="13" t="str"/>
      <x:c r="H670" s="13" t="str"/>
      <x:c r="I670" s="7" t="str">
        <x:v>Was this person reviewed? If rejected, give the actual rule and evidence. If acceptable, correct the omission. Confirm the Life-qualification gate and any record change since selection.</x:v>
      </x:c>
      <x:c r="J670" s="7" t="str">
        <x:v>L1</x:v>
      </x:c>
      <x:c r="K670" s="7" t="str">
        <x:v>Verified qualifications do not include active general Life. Current target-pool mismatch; actual historical omission reason unknown.</x:v>
      </x:c>
      <x:c r="L670" s="7" t="str">
        <x:v>Not supplied; membership is known, motive is not</x:v>
      </x:c>
      <x:c r="M670" s="7" t="n">
        <x:v>7</x:v>
      </x:c>
      <x:c r="N670" s="7" t="str">
        <x:v>Outside current general-Life recruiting pool</x:v>
      </x:c>
      <x:c r="O670" s="7" t="str">
        <x:v>Not displayed</x:v>
      </x:c>
      <x:c r="P670" s="7" t="str"/>
      <x:c r="Q670" s="7" t="str"/>
      <x:c r="R670" s="7" t="str"/>
      <x:c r="S670" s="15" t="str"/>
      <x:c r="T670" s="7" t="str">
        <x:v>No public business phone in collected record</x:v>
      </x:c>
      <x:c r="U670" s="7" t="str"/>
      <x:c r="V670" s="7" t="str">
        <x:v>Non-resident</x:v>
      </x:c>
      <x:c r="W670" s="7" t="str">
        <x:v>TX</x:v>
      </x:c>
      <x:c r="X670" s="7" t="str"/>
      <x:c r="Y670" s="7" t="str"/>
      <x:c r="Z670" s="7" t="str"/>
      <x:c r="AA670" s="7" t="str"/>
      <x:c r="AB670" s="7" t="str"/>
      <x:c r="AC670" s="7" t="str"/>
      <x:c r="AD670" s="7" t="str">
        <x:v>No agency or insurer displayed: onboarding opportunity possible; existing business unknown</x:v>
      </x:c>
      <x:c r="AE670" s="7" t="str">
        <x:v>Nonresident or address state outside CA; confirm geographic recruiting scope | No public business phone: contact enrichment needed, not proof of poor recruiting fit</x:v>
      </x:c>
      <x:c r="AF670" s="16" t="str"/>
      <x:c r="AG670" s="17" t="str"/>
      <x:c r="AH670" s="7" t="str"/>
      <x:c r="AI670" s="7" t="str"/>
      <x:c r="AJ670" s="7" t="str"/>
      <x:c r="AK670" s="15" t="str"/>
      <x:c r="AL670" s="7" t="str"/>
      <x:c r="AM670" s="7" t="str">
        <x:v>AGUILAR M JUSTIN</x:v>
      </x:c>
      <x:c r="AN670" s="7" t="str">
        <x:v>https://cdicloud.insurance.ca.gov/cal/LicenseDetail?SearchType=IND&amp;SearchLicNbr=0K94228&amp;SearchIndvId=1842705</x:v>
      </x:c>
      <x:c r="AO670" s="7" t="str">
        <x:v>2026-10-08</x:v>
      </x:c>
      <x:c r="AP670" s="7" t="str">
        <x:v>5d50b274a2e293d23ffaa09726ff195685fdc81165951ed0a87ce2abf692c2da</x:v>
      </x:c>
      <x:c r="AQ670" s="7" t="str">
        <x:v>Casualty Broker-Agent / Inactive / 06/13/2016 / 06/30/2018 / 06/30/2018
Property Broker-Agent / Inactive / 06/13/2016 / 06/30/2018 / 06/30/2018</x:v>
      </x:c>
      <x:c r="AR670" s="7" t="str">
        <x:v>Inactive</x:v>
      </x:c>
      <x:c r="AS670" s="7" t="str">
        <x:v>Current detail page</x:v>
      </x:c>
    </x:row>
    <x:row r="671" ht="52" customHeight="1">
      <x:c r="A671" s="7" t="str">
        <x:v>AGUILAR KAREN LYNN</x:v>
      </x:c>
      <x:c r="B671" s="14" t="str">
        <x:f>"0B68111"</x:f>
        <x:v>0B68111</x:v>
      </x:c>
      <x:c r="C671" s="7" t="str">
        <x:v>Omitted</x:v>
      </x:c>
      <x:c r="D671" s="7" t="str">
        <x:v>FAIL</x:v>
      </x:c>
      <x:c r="E671" s="13" t="str">
        <x:v>Pending</x:v>
      </x:c>
      <x:c r="F671" s="13" t="str"/>
      <x:c r="G671" s="13" t="str"/>
      <x:c r="H671" s="13" t="str"/>
      <x:c r="I671" s="7" t="str">
        <x:v>Was this person reviewed? If rejected, give the actual rule and evidence. If acceptable, correct the omission. Confirm the Life-qualification gate and any record change since selection.</x:v>
      </x:c>
      <x:c r="J671" s="7" t="str">
        <x:v>L1</x:v>
      </x:c>
      <x:c r="K671" s="7" t="str">
        <x:v>Verified qualifications do not include active general Life. Current target-pool mismatch; actual historical omission reason unknown.</x:v>
      </x:c>
      <x:c r="L671" s="7" t="str">
        <x:v>Not supplied; membership is known, motive is not</x:v>
      </x:c>
      <x:c r="M671" s="7" t="n">
        <x:v>7</x:v>
      </x:c>
      <x:c r="N671" s="7" t="str">
        <x:v>Outside current general-Life recruiting pool</x:v>
      </x:c>
      <x:c r="O671" s="7" t="str">
        <x:v>Not displayed</x:v>
      </x:c>
      <x:c r="P671" s="7" t="str"/>
      <x:c r="Q671" s="7" t="str"/>
      <x:c r="R671" s="7" t="str"/>
      <x:c r="S671" s="15" t="str"/>
      <x:c r="T671" s="7" t="str">
        <x:v>No public business phone in collected record</x:v>
      </x:c>
      <x:c r="U671" s="7" t="str"/>
      <x:c r="V671" s="7" t="str">
        <x:v>Resident</x:v>
      </x:c>
      <x:c r="W671" s="7" t="str">
        <x:v>CA</x:v>
      </x:c>
      <x:c r="X671" s="7" t="str"/>
      <x:c r="Y671" s="7" t="str"/>
      <x:c r="Z671" s="7" t="str"/>
      <x:c r="AA671" s="7" t="str"/>
      <x:c r="AB671" s="7" t="str"/>
      <x:c r="AC671" s="7" t="str"/>
      <x:c r="AD671" s="7" t="str">
        <x:v>No agency or insurer displayed: onboarding opportunity possible; existing business unknown</x:v>
      </x:c>
      <x:c r="AE671" s="7" t="str">
        <x:v>No public business phone: contact enrichment needed, not proof of poor recruiting fit</x:v>
      </x:c>
      <x:c r="AF671" s="16" t="str"/>
      <x:c r="AG671" s="17" t="str"/>
      <x:c r="AH671" s="7" t="str"/>
      <x:c r="AI671" s="7" t="str"/>
      <x:c r="AJ671" s="7" t="str"/>
      <x:c r="AK671" s="15" t="str"/>
      <x:c r="AL671" s="7" t="str"/>
      <x:c r="AM671" s="7" t="str">
        <x:v>AGUILAR LYNN KAREN</x:v>
      </x:c>
      <x:c r="AN671" s="7" t="str">
        <x:v>https://cdicloud.insurance.ca.gov/cal/LicenseDetail?SearchType=IND&amp;SearchLicNbr=0B68111&amp;SearchIndvId=246468</x:v>
      </x:c>
      <x:c r="AO671" s="7" t="str">
        <x:v>2026-10-08</x:v>
      </x:c>
      <x:c r="AP671" s="7" t="str">
        <x:v>2bbf20600367955cdf4703c8ac7c8c99f6e6c3a9dee7675b9047857107c7d46f</x:v>
      </x:c>
      <x:c r="AQ671" s="7" t="str">
        <x:v>Accident and Health / Inactive / 10/31/1995 / 10/31/1997 / 10/31/1997
Life-Only / Inactive / 10/31/1995 / 10/31/1997 / 10/31/1997</x:v>
      </x:c>
      <x:c r="AR671" s="7" t="str">
        <x:v>Inactive</x:v>
      </x:c>
      <x:c r="AS671" s="7" t="str">
        <x:v>Current detail page</x:v>
      </x:c>
    </x:row>
    <x:row r="672" ht="52" customHeight="1">
      <x:c r="A672" s="7" t="str">
        <x:v>AGUILAR KAREN MICHELLE</x:v>
      </x:c>
      <x:c r="B672" s="14" t="str">
        <x:f>"4181816"</x:f>
        <x:v>4181816</x:v>
      </x:c>
      <x:c r="C672" s="7" t="str">
        <x:v>Omitted</x:v>
      </x:c>
      <x:c r="D672" s="7" t="str">
        <x:v>FAIL</x:v>
      </x:c>
      <x:c r="E672" s="13" t="str">
        <x:v>Pending</x:v>
      </x:c>
      <x:c r="F672" s="13" t="str"/>
      <x:c r="G672" s="13" t="str"/>
      <x:c r="H672" s="13" t="str"/>
      <x:c r="I672" s="7" t="str">
        <x:v>Was this person reviewed? If rejected, give the actual rule and evidence. If acceptable, correct the omission. Confirm the Life-qualification gate and any record change since selection.</x:v>
      </x:c>
      <x:c r="J672" s="7" t="str">
        <x:v>L1</x:v>
      </x:c>
      <x:c r="K672" s="7" t="str">
        <x:v>Verified qualifications do not include active general Life. Current target-pool mismatch; actual historical omission reason unknown.</x:v>
      </x:c>
      <x:c r="L672" s="7" t="str">
        <x:v>Not supplied; membership is known, motive is not</x:v>
      </x:c>
      <x:c r="M672" s="7" t="n">
        <x:v>7</x:v>
      </x:c>
      <x:c r="N672" s="7" t="str">
        <x:v>Outside current general-Life recruiting pool</x:v>
      </x:c>
      <x:c r="O672" s="7" t="str">
        <x:v>Not displayed</x:v>
      </x:c>
      <x:c r="P672" s="7" t="str"/>
      <x:c r="Q672" s="7" t="str"/>
      <x:c r="R672" s="7" t="str"/>
      <x:c r="S672" s="15" t="str">
        <x:v>626-578-1535</x:v>
      </x:c>
      <x:c r="T672" s="7" t="str">
        <x:v>Current CDI</x:v>
      </x:c>
      <x:c r="U672" s="7" t="str">
        <x:v>1272 E COLORADO BOULEVARD PASADENA CA, 91106</x:v>
      </x:c>
      <x:c r="V672" s="7" t="str">
        <x:v>Resident</x:v>
      </x:c>
      <x:c r="W672" s="7" t="str">
        <x:v>CA</x:v>
      </x:c>
      <x:c r="X672" s="7" t="str"/>
      <x:c r="Y672" s="7" t="str"/>
      <x:c r="Z672" s="7" t="str"/>
      <x:c r="AA672" s="7" t="str"/>
      <x:c r="AB672" s="7" t="str"/>
      <x:c r="AC672" s="7" t="str"/>
      <x:c r="AD672" s="7" t="str">
        <x:v>No agency or insurer displayed: onboarding opportunity possible; existing business unknown</x:v>
      </x:c>
      <x:c r="AE672" s="7" t="str"/>
      <x:c r="AF672" s="16" t="str"/>
      <x:c r="AG672" s="17" t="str"/>
      <x:c r="AH672" s="7" t="str"/>
      <x:c r="AI672" s="7" t="str">
        <x:v>English</x:v>
      </x:c>
      <x:c r="AJ672" s="7" t="str"/>
      <x:c r="AK672" s="15" t="str"/>
      <x:c r="AL672" s="7" t="str"/>
      <x:c r="AM672" s="7" t="str">
        <x:v>AGUILAR MICHELLE KAREN</x:v>
      </x:c>
      <x:c r="AN672" s="7" t="str">
        <x:v>https://cdicloud.insurance.ca.gov/cal/LicenseDetail?SearchType=IND&amp;SearchLicNbr=4181816&amp;SearchIndvId=4181816</x:v>
      </x:c>
      <x:c r="AO672" s="7" t="str">
        <x:v>2026-10-08</x:v>
      </x:c>
      <x:c r="AP672" s="7" t="str">
        <x:v>1508580dcd7f82d39c243094192e29afa654f986251afe4e202bbf3618b60805</x:v>
      </x:c>
      <x:c r="AQ672" s="7" t="str">
        <x:v>Motor Club Agent / Inactive / 12/17/2021 / 12/31/2025 / 12/31/2025</x:v>
      </x:c>
      <x:c r="AR672" s="7" t="str">
        <x:v>Inactive</x:v>
      </x:c>
      <x:c r="AS672" s="7" t="str">
        <x:v>Current detail page</x:v>
      </x:c>
    </x:row>
    <x:row r="673" ht="52" customHeight="1">
      <x:c r="A673" s="7" t="str">
        <x:v>AGUILAR KAREN SUE</x:v>
      </x:c>
      <x:c r="B673" s="14" t="str">
        <x:f>"0D54047"</x:f>
        <x:v>0D54047</x:v>
      </x:c>
      <x:c r="C673" s="7" t="str">
        <x:v>Omitted</x:v>
      </x:c>
      <x:c r="D673" s="7" t="str">
        <x:v>FAIL</x:v>
      </x:c>
      <x:c r="E673" s="13" t="str">
        <x:v>Pending</x:v>
      </x:c>
      <x:c r="F673" s="13" t="str"/>
      <x:c r="G673" s="13" t="str"/>
      <x:c r="H673" s="13" t="str"/>
      <x:c r="I673" s="7" t="str">
        <x:v>Was this person reviewed? If rejected, give the actual rule and evidence. If acceptable, correct the omission. Confirm the Life-qualification gate and any record change since selection.</x:v>
      </x:c>
      <x:c r="J673" s="7" t="str">
        <x:v>L1</x:v>
      </x:c>
      <x:c r="K673" s="7" t="str">
        <x:v>Verified qualifications do not include active general Life. Current target-pool mismatch; actual historical omission reason unknown.</x:v>
      </x:c>
      <x:c r="L673" s="7" t="str">
        <x:v>Not supplied; membership is known, motive is not</x:v>
      </x:c>
      <x:c r="M673" s="7" t="n">
        <x:v>7</x:v>
      </x:c>
      <x:c r="N673" s="7" t="str">
        <x:v>Outside current general-Life recruiting pool</x:v>
      </x:c>
      <x:c r="O673" s="7" t="str">
        <x:v>Not displayed</x:v>
      </x:c>
      <x:c r="P673" s="7" t="str"/>
      <x:c r="Q673" s="7" t="str"/>
      <x:c r="R673" s="7" t="str"/>
      <x:c r="S673" s="15" t="str"/>
      <x:c r="T673" s="7" t="str">
        <x:v>No public business phone in collected record</x:v>
      </x:c>
      <x:c r="U673" s="7" t="str"/>
      <x:c r="V673" s="7" t="str">
        <x:v>Non-resident</x:v>
      </x:c>
      <x:c r="W673" s="7" t="str">
        <x:v>TX</x:v>
      </x:c>
      <x:c r="X673" s="7" t="str"/>
      <x:c r="Y673" s="7" t="str"/>
      <x:c r="Z673" s="7" t="str"/>
      <x:c r="AA673" s="7" t="str"/>
      <x:c r="AB673" s="7" t="str"/>
      <x:c r="AC673" s="7" t="str"/>
      <x:c r="AD673" s="7" t="str">
        <x:v>No agency or insurer displayed: onboarding opportunity possible; existing business unknown</x:v>
      </x:c>
      <x:c r="AE673" s="7" t="str">
        <x:v>Nonresident or address state outside CA; confirm geographic recruiting scope | No public business phone: contact enrichment needed, not proof of poor recruiting fit</x:v>
      </x:c>
      <x:c r="AF673" s="16" t="str"/>
      <x:c r="AG673" s="17" t="str"/>
      <x:c r="AH673" s="7" t="str"/>
      <x:c r="AI673" s="7" t="str"/>
      <x:c r="AJ673" s="7" t="str"/>
      <x:c r="AK673" s="15" t="str"/>
      <x:c r="AL673" s="7" t="str"/>
      <x:c r="AM673" s="7" t="str">
        <x:v>AGUILAR SUE KAREN</x:v>
      </x:c>
      <x:c r="AN673" s="7" t="str">
        <x:v>https://cdicloud.insurance.ca.gov/cal/LicenseDetail?SearchType=IND&amp;SearchLicNbr=0D54047&amp;SearchIndvId=620024</x:v>
      </x:c>
      <x:c r="AO673" s="7" t="str">
        <x:v>2026-10-08</x:v>
      </x:c>
      <x:c r="AP673" s="7" t="str">
        <x:v>5c45c68cf661b08dd9e83d97773a6b19b80cc156399d41ea8d4a30be45e2a8be</x:v>
      </x:c>
      <x:c r="AQ673" s="7" t="str">
        <x:v>Casualty Broker-Agent / Inactive / 01/10/2002 / 04/07/2020 / 04/07/2020
Property Broker-Agent / Inactive / 01/10/2002 / 04/07/2020 / 04/07/2020</x:v>
      </x:c>
      <x:c r="AR673" s="7" t="str">
        <x:v>Inactive</x:v>
      </x:c>
      <x:c r="AS673" s="7" t="str">
        <x:v>Current detail page</x:v>
      </x:c>
    </x:row>
    <x:row r="674" ht="52" customHeight="1">
      <x:c r="A674" s="7" t="str">
        <x:v>AGUILAR KAREN SUE II</x:v>
      </x:c>
      <x:c r="B674" s="14" t="str">
        <x:f>"0E21226"</x:f>
        <x:v>0E21226</x:v>
      </x:c>
      <x:c r="C674" s="7" t="str">
        <x:v>Omitted</x:v>
      </x:c>
      <x:c r="D674" s="7" t="str">
        <x:v>FAIL</x:v>
      </x:c>
      <x:c r="E674" s="13" t="str">
        <x:v>Pending</x:v>
      </x:c>
      <x:c r="F674" s="13" t="str"/>
      <x:c r="G674" s="13" t="str"/>
      <x:c r="H674" s="13" t="str"/>
      <x:c r="I674" s="7" t="str">
        <x:v>Was this person reviewed? If rejected, give the actual rule and evidence. If acceptable, correct the omission. Confirm the Life-qualification gate and any record change since selection.</x:v>
      </x:c>
      <x:c r="J674" s="7" t="str">
        <x:v>L1</x:v>
      </x:c>
      <x:c r="K674" s="7" t="str">
        <x:v>Verified qualifications do not include active general Life. Current target-pool mismatch; actual historical omission reason unknown.</x:v>
      </x:c>
      <x:c r="L674" s="7" t="str">
        <x:v>Not supplied; membership is known, motive is not</x:v>
      </x:c>
      <x:c r="M674" s="7" t="n">
        <x:v>7</x:v>
      </x:c>
      <x:c r="N674" s="7" t="str">
        <x:v>Outside current general-Life recruiting pool</x:v>
      </x:c>
      <x:c r="O674" s="7" t="str">
        <x:v>Not displayed</x:v>
      </x:c>
      <x:c r="P674" s="7" t="str"/>
      <x:c r="Q674" s="7" t="str"/>
      <x:c r="R674" s="7" t="str"/>
      <x:c r="S674" s="15" t="str"/>
      <x:c r="T674" s="7" t="str">
        <x:v>No public business phone in collected record</x:v>
      </x:c>
      <x:c r="U674" s="7" t="str"/>
      <x:c r="V674" s="7" t="str">
        <x:v>Non-resident</x:v>
      </x:c>
      <x:c r="W674" s="7" t="str">
        <x:v>FL</x:v>
      </x:c>
      <x:c r="X674" s="7" t="str"/>
      <x:c r="Y674" s="7" t="str"/>
      <x:c r="Z674" s="7" t="str"/>
      <x:c r="AA674" s="7" t="str"/>
      <x:c r="AB674" s="7" t="str"/>
      <x:c r="AC674" s="7" t="str"/>
      <x:c r="AD674" s="7" t="str">
        <x:v>No agency or insurer displayed: onboarding opportunity possible; existing business unknown</x:v>
      </x:c>
      <x:c r="AE674" s="7" t="str">
        <x:v>Nonresident or address state outside CA; confirm geographic recruiting scope | No public business phone: contact enrichment needed, not proof of poor recruiting fit</x:v>
      </x:c>
      <x:c r="AF674" s="16" t="str"/>
      <x:c r="AG674" s="17" t="str"/>
      <x:c r="AH674" s="7" t="str"/>
      <x:c r="AI674" s="7" t="str"/>
      <x:c r="AJ674" s="7" t="str"/>
      <x:c r="AK674" s="15" t="str"/>
      <x:c r="AL674" s="7" t="str"/>
      <x:c r="AM674" s="7" t="str">
        <x:v>AGUILAR SUE KAREN</x:v>
      </x:c>
      <x:c r="AN674" s="7" t="str">
        <x:v>https://cdicloud.insurance.ca.gov/cal/LicenseDetail?SearchType=IND&amp;SearchLicNbr=0E21226&amp;SearchIndvId=868895</x:v>
      </x:c>
      <x:c r="AO674" s="7" t="str">
        <x:v>2026-10-08</x:v>
      </x:c>
      <x:c r="AP674" s="7" t="str">
        <x:v>3ce800f4ab6591981d372c6a974f25acf0376b8cd4700d6b1ee2d981f4316692</x:v>
      </x:c>
      <x:c r="AQ674" s="7" t="str">
        <x:v>Casualty Broker-Agent / Inactive / 10/30/2003 / 07/27/2006 / 07/27/2006
Property Broker-Agent / Inactive / 10/30/2003 / 07/27/2006 / 07/27/2006</x:v>
      </x:c>
      <x:c r="AR674" s="7" t="str">
        <x:v>Inactive</x:v>
      </x:c>
      <x:c r="AS674" s="7" t="str">
        <x:v>Current detail page</x:v>
      </x:c>
    </x:row>
    <x:row r="675" ht="52" customHeight="1">
      <x:c r="A675" s="7" t="str">
        <x:v>AGUILAR KARINA</x:v>
      </x:c>
      <x:c r="B675" s="14" t="str">
        <x:f>"0A33924"</x:f>
        <x:v>0A33924</x:v>
      </x:c>
      <x:c r="C675" s="7" t="str">
        <x:v>Omitted</x:v>
      </x:c>
      <x:c r="D675" s="7" t="str">
        <x:v>FAIL</x:v>
      </x:c>
      <x:c r="E675" s="13" t="str">
        <x:v>Pending</x:v>
      </x:c>
      <x:c r="F675" s="13" t="str"/>
      <x:c r="G675" s="13" t="str"/>
      <x:c r="H675" s="13" t="str"/>
      <x:c r="I675" s="7" t="str">
        <x:v>Was this person reviewed? If rejected, give the actual rule and evidence. If acceptable, correct the omission. Confirm the Life-qualification gate and any record change since selection.</x:v>
      </x:c>
      <x:c r="J675" s="7" t="str">
        <x:v>L1</x:v>
      </x:c>
      <x:c r="K675" s="7" t="str">
        <x:v>Verified qualifications do not include active general Life. Current target-pool mismatch; actual historical omission reason unknown.</x:v>
      </x:c>
      <x:c r="L675" s="7" t="str">
        <x:v>Not supplied; membership is known, motive is not</x:v>
      </x:c>
      <x:c r="M675" s="7" t="n">
        <x:v>7</x:v>
      </x:c>
      <x:c r="N675" s="7" t="str">
        <x:v>Outside current general-Life recruiting pool</x:v>
      </x:c>
      <x:c r="O675" s="7" t="str">
        <x:v>Not displayed</x:v>
      </x:c>
      <x:c r="P675" s="7" t="str"/>
      <x:c r="Q675" s="7" t="str"/>
      <x:c r="R675" s="7" t="str"/>
      <x:c r="S675" s="15" t="str"/>
      <x:c r="T675" s="7" t="str">
        <x:v>No public business phone in collected record</x:v>
      </x:c>
      <x:c r="U675" s="7" t="str"/>
      <x:c r="V675" s="7" t="str">
        <x:v>Resident</x:v>
      </x:c>
      <x:c r="W675" s="7" t="str">
        <x:v>CA</x:v>
      </x:c>
      <x:c r="X675" s="7" t="str"/>
      <x:c r="Y675" s="7" t="str"/>
      <x:c r="Z675" s="7" t="str"/>
      <x:c r="AA675" s="7" t="str"/>
      <x:c r="AB675" s="7" t="str"/>
      <x:c r="AC675" s="7" t="str"/>
      <x:c r="AD675" s="7" t="str">
        <x:v>No agency or insurer displayed: onboarding opportunity possible; existing business unknown</x:v>
      </x:c>
      <x:c r="AE675" s="7" t="str">
        <x:v>No public business phone: contact enrichment needed, not proof of poor recruiting fit</x:v>
      </x:c>
      <x:c r="AF675" s="16" t="str"/>
      <x:c r="AG675" s="17" t="str"/>
      <x:c r="AH675" s="7" t="str"/>
      <x:c r="AI675" s="7" t="str"/>
      <x:c r="AJ675" s="7" t="str"/>
      <x:c r="AK675" s="15" t="str"/>
      <x:c r="AL675" s="7" t="str"/>
      <x:c r="AM675" s="7" t="str">
        <x:v>AGUILAR  KARINA</x:v>
      </x:c>
      <x:c r="AN675" s="7" t="str">
        <x:v>https://cdicloud.insurance.ca.gov/cal/LicenseDetail?SearchType=IND&amp;SearchLicNbr=0A33924&amp;SearchIndvId=155722</x:v>
      </x:c>
      <x:c r="AO675" s="7" t="str">
        <x:v>2026-10-08</x:v>
      </x:c>
      <x:c r="AP675" s="7" t="str">
        <x:v>9a724025d383823049d41282a1bdf6770bf9e67cc90edd5b30da563064d4bf97</x:v>
      </x:c>
      <x:c r="AQ675" s="7" t="str">
        <x:v>Accident and Health / Inactive / 01/04/1991 / 07/31/2005 / 07/31/2005
Casualty Broker-Agent / Inactive / 07/22/1998 / 07/31/2005 / 07/31/2005
Life-Only / Inactive / 01/04/1991 / 07/31/2005 / 07/31/2005
Property Broker-Agent / Inactive / 07/22/1998 / 07/31/2005 / 07/31/2005</x:v>
      </x:c>
      <x:c r="AR675" s="7" t="str">
        <x:v>Inactive</x:v>
      </x:c>
      <x:c r="AS675" s="7" t="str">
        <x:v>Current detail page</x:v>
      </x:c>
    </x:row>
    <x:row r="676" ht="52" customHeight="1">
      <x:c r="A676" s="7" t="str">
        <x:v>AGUILAR KARINA ISABEL</x:v>
      </x:c>
      <x:c r="B676" s="14" t="str">
        <x:f>"0M75613"</x:f>
        <x:v>0M75613</x:v>
      </x:c>
      <x:c r="C676" s="7" t="str">
        <x:v>Omitted</x:v>
      </x:c>
      <x:c r="D676" s="7" t="str">
        <x:v>FAIL</x:v>
      </x:c>
      <x:c r="E676" s="13" t="str">
        <x:v>Pending</x:v>
      </x:c>
      <x:c r="F676" s="13" t="str"/>
      <x:c r="G676" s="13" t="str"/>
      <x:c r="H676" s="13" t="str"/>
      <x:c r="I676" s="7" t="str">
        <x:v>Was this person reviewed? If rejected, give the actual rule and evidence. If acceptable, correct the omission. Confirm the Life-qualification gate and any record change since selection.</x:v>
      </x:c>
      <x:c r="J676" s="7" t="str">
        <x:v>L1</x:v>
      </x:c>
      <x:c r="K676" s="7" t="str">
        <x:v>Verified qualifications do not include active general Life. Current target-pool mismatch; actual historical omission reason unknown.</x:v>
      </x:c>
      <x:c r="L676" s="7" t="str">
        <x:v>Not supplied; membership is known, motive is not</x:v>
      </x:c>
      <x:c r="M676" s="7" t="n">
        <x:v>7</x:v>
      </x:c>
      <x:c r="N676" s="7" t="str">
        <x:v>Outside current general-Life recruiting pool</x:v>
      </x:c>
      <x:c r="O676" s="7" t="str">
        <x:v>Not displayed</x:v>
      </x:c>
      <x:c r="P676" s="7" t="str"/>
      <x:c r="Q676" s="7" t="str"/>
      <x:c r="R676" s="7" t="str"/>
      <x:c r="S676" s="15" t="str"/>
      <x:c r="T676" s="7" t="str">
        <x:v>No public business phone in collected record</x:v>
      </x:c>
      <x:c r="U676" s="7" t="str"/>
      <x:c r="V676" s="7" t="str">
        <x:v>Resident</x:v>
      </x:c>
      <x:c r="W676" s="7" t="str">
        <x:v>CA</x:v>
      </x:c>
      <x:c r="X676" s="7" t="str"/>
      <x:c r="Y676" s="7" t="str"/>
      <x:c r="Z676" s="7" t="str"/>
      <x:c r="AA676" s="7" t="str"/>
      <x:c r="AB676" s="7" t="str"/>
      <x:c r="AC676" s="7" t="str"/>
      <x:c r="AD676" s="7" t="str">
        <x:v>No agency or insurer displayed: onboarding opportunity possible; existing business unknown</x:v>
      </x:c>
      <x:c r="AE676" s="7" t="str">
        <x:v>No public business phone: contact enrichment needed, not proof of poor recruiting fit</x:v>
      </x:c>
      <x:c r="AF676" s="16" t="str"/>
      <x:c r="AG676" s="17" t="str"/>
      <x:c r="AH676" s="7" t="str"/>
      <x:c r="AI676" s="7" t="str"/>
      <x:c r="AJ676" s="7" t="str"/>
      <x:c r="AK676" s="15" t="str"/>
      <x:c r="AL676" s="7" t="str"/>
      <x:c r="AM676" s="7" t="str">
        <x:v>Aguilar I Karina | AGUILAR ISABEL KARINA</x:v>
      </x:c>
      <x:c r="AN676" s="7" t="str">
        <x:v>https://cdicloud.insurance.ca.gov/cal/LicenseDetail?SearchType=IND&amp;SearchLicNbr=0M75613&amp;SearchIndvId=2075570</x:v>
      </x:c>
      <x:c r="AO676" s="7" t="str">
        <x:v>2026-10-08</x:v>
      </x:c>
      <x:c r="AP676" s="7" t="str">
        <x:v>67e8326a09a8d12210814fc513c965ebe9dcd211bed813c25020caf46e160af0</x:v>
      </x:c>
      <x:c r="AQ676" s="7" t="str">
        <x:v>Life-Only / Inactive / 12/31/2018 / 12/31/2020 / 12/31/2020</x:v>
      </x:c>
      <x:c r="AR676" s="7" t="str">
        <x:v>Inactive</x:v>
      </x:c>
      <x:c r="AS676" s="7" t="str">
        <x:v>Current detail page</x:v>
      </x:c>
    </x:row>
    <x:row r="677" ht="52" customHeight="1">
      <x:c r="A677" s="7" t="str">
        <x:v>AGUILAR KARINA MICHELLE</x:v>
      </x:c>
      <x:c r="B677" s="14" t="str">
        <x:f>"0K06569"</x:f>
        <x:v>0K06569</x:v>
      </x:c>
      <x:c r="C677" s="7" t="str">
        <x:v>Omitted</x:v>
      </x:c>
      <x:c r="D677" s="7" t="str">
        <x:v>FAIL</x:v>
      </x:c>
      <x:c r="E677" s="13" t="str">
        <x:v>Pending</x:v>
      </x:c>
      <x:c r="F677" s="13" t="str"/>
      <x:c r="G677" s="13" t="str"/>
      <x:c r="H677" s="13" t="str"/>
      <x:c r="I677" s="7" t="str">
        <x:v>Was this person reviewed? If rejected, give the actual rule and evidence. If acceptable, correct the omission. Confirm the Life-qualification gate and any record change since selection.</x:v>
      </x:c>
      <x:c r="J677" s="7" t="str">
        <x:v>L1</x:v>
      </x:c>
      <x:c r="K677" s="7" t="str">
        <x:v>Verified qualifications do not include active general Life. Current target-pool mismatch; actual historical omission reason unknown.</x:v>
      </x:c>
      <x:c r="L677" s="7" t="str">
        <x:v>Not supplied; membership is known, motive is not</x:v>
      </x:c>
      <x:c r="M677" s="7" t="n">
        <x:v>7</x:v>
      </x:c>
      <x:c r="N677" s="7" t="str">
        <x:v>Outside current general-Life recruiting pool</x:v>
      </x:c>
      <x:c r="O677" s="7" t="str">
        <x:v>Not displayed</x:v>
      </x:c>
      <x:c r="P677" s="7" t="str"/>
      <x:c r="Q677" s="7" t="str"/>
      <x:c r="R677" s="7" t="str"/>
      <x:c r="S677" s="15" t="str">
        <x:v>562-665-4824</x:v>
      </x:c>
      <x:c r="T677" s="7" t="str">
        <x:v>Current CDI</x:v>
      </x:c>
      <x:c r="U677" s="7" t="str">
        <x:v>3333 FAIRVIEW ST COSTA MESA CA, 92626</x:v>
      </x:c>
      <x:c r="V677" s="7" t="str">
        <x:v>Resident</x:v>
      </x:c>
      <x:c r="W677" s="7" t="str">
        <x:v>CA</x:v>
      </x:c>
      <x:c r="X677" s="7" t="str"/>
      <x:c r="Y677" s="7" t="str"/>
      <x:c r="Z677" s="7" t="str"/>
      <x:c r="AA677" s="7" t="str"/>
      <x:c r="AB677" s="7" t="str"/>
      <x:c r="AC677" s="7" t="str"/>
      <x:c r="AD677" s="7" t="str">
        <x:v>No agency or insurer displayed: onboarding opportunity possible; existing business unknown</x:v>
      </x:c>
      <x:c r="AE677" s="7" t="str"/>
      <x:c r="AF677" s="16" t="str"/>
      <x:c r="AG677" s="17" t="str"/>
      <x:c r="AH677" s="7" t="str"/>
      <x:c r="AI677" s="7" t="str">
        <x:v>English</x:v>
      </x:c>
      <x:c r="AJ677" s="7" t="str"/>
      <x:c r="AK677" s="15" t="str"/>
      <x:c r="AL677" s="7" t="str"/>
      <x:c r="AM677" s="7" t="str">
        <x:v>AGUILAR MICHELLE KARINA</x:v>
      </x:c>
      <x:c r="AN677" s="7" t="str">
        <x:v>https://cdicloud.insurance.ca.gov/cal/LicenseDetail?SearchType=IND&amp;SearchLicNbr=0K06569&amp;SearchIndvId=1734940</x:v>
      </x:c>
      <x:c r="AO677" s="7" t="str">
        <x:v>2026-10-08</x:v>
      </x:c>
      <x:c r="AP677" s="7" t="str">
        <x:v>2d9b693e958dba6f3e153ab570aff891a54401f46410df8eab9d7744f0592d4b</x:v>
      </x:c>
      <x:c r="AQ677" s="7" t="str">
        <x:v>Personal Lines / Inactive / 06/20/2018 / 06/30/2026 / 06/30/2026</x:v>
      </x:c>
      <x:c r="AR677" s="7" t="str">
        <x:v>Inactive</x:v>
      </x:c>
      <x:c r="AS677" s="7" t="str">
        <x:v>Current detail page</x:v>
      </x:c>
    </x:row>
    <x:row r="678" ht="52" customHeight="1">
      <x:c r="A678" s="7" t="str">
        <x:v>AGUILAR KARINA PATRICIA</x:v>
      </x:c>
      <x:c r="B678" s="14" t="str">
        <x:f>"0L90498"</x:f>
        <x:v>0L90498</x:v>
      </x:c>
      <x:c r="C678" s="7" t="str">
        <x:v>Omitted</x:v>
      </x:c>
      <x:c r="D678" s="7" t="str">
        <x:v>FAIL</x:v>
      </x:c>
      <x:c r="E678" s="13" t="str">
        <x:v>Pending</x:v>
      </x:c>
      <x:c r="F678" s="13" t="str"/>
      <x:c r="G678" s="13" t="str"/>
      <x:c r="H678" s="13" t="str"/>
      <x:c r="I678" s="7" t="str">
        <x:v>Was this person reviewed? If rejected, give the actual rule and evidence. If acceptable, correct the omission. Confirm the Life-qualification gate and any record change since selection.</x:v>
      </x:c>
      <x:c r="J678" s="7" t="str">
        <x:v>L1</x:v>
      </x:c>
      <x:c r="K678" s="7" t="str">
        <x:v>Verified qualifications do not include active general Life. Current target-pool mismatch; actual historical omission reason unknown.</x:v>
      </x:c>
      <x:c r="L678" s="7" t="str">
        <x:v>Not supplied; membership is known, motive is not</x:v>
      </x:c>
      <x:c r="M678" s="7" t="n">
        <x:v>7</x:v>
      </x:c>
      <x:c r="N678" s="7" t="str">
        <x:v>Outside current general-Life recruiting pool</x:v>
      </x:c>
      <x:c r="O678" s="7" t="str">
        <x:v>Not displayed</x:v>
      </x:c>
      <x:c r="P678" s="7" t="str"/>
      <x:c r="Q678" s="7" t="str"/>
      <x:c r="R678" s="7" t="str"/>
      <x:c r="S678" s="15" t="str"/>
      <x:c r="T678" s="7" t="str">
        <x:v>No public business phone in collected record</x:v>
      </x:c>
      <x:c r="U678" s="7" t="str"/>
      <x:c r="V678" s="7" t="str">
        <x:v>Resident</x:v>
      </x:c>
      <x:c r="W678" s="7" t="str">
        <x:v>CA</x:v>
      </x:c>
      <x:c r="X678" s="7" t="str"/>
      <x:c r="Y678" s="7" t="str"/>
      <x:c r="Z678" s="7" t="str"/>
      <x:c r="AA678" s="7" t="str"/>
      <x:c r="AB678" s="7" t="str"/>
      <x:c r="AC678" s="7" t="str"/>
      <x:c r="AD678" s="7" t="str">
        <x:v>No agency or insurer displayed: onboarding opportunity possible; existing business unknown</x:v>
      </x:c>
      <x:c r="AE678" s="7" t="str">
        <x:v>No public business phone: contact enrichment needed, not proof of poor recruiting fit</x:v>
      </x:c>
      <x:c r="AF678" s="16" t="str"/>
      <x:c r="AG678" s="17" t="str"/>
      <x:c r="AH678" s="7" t="str"/>
      <x:c r="AI678" s="7" t="str"/>
      <x:c r="AJ678" s="7" t="str"/>
      <x:c r="AK678" s="15" t="str"/>
      <x:c r="AL678" s="7" t="str"/>
      <x:c r="AM678" s="7" t="str">
        <x:v>AGUILAR PATRICIA KARINA</x:v>
      </x:c>
      <x:c r="AN678" s="7" t="str">
        <x:v>https://cdicloud.insurance.ca.gov/cal/LicenseDetail?SearchType=IND&amp;SearchLicNbr=0L90498&amp;SearchIndvId=1963915</x:v>
      </x:c>
      <x:c r="AO678" s="7" t="str">
        <x:v>2026-10-08</x:v>
      </x:c>
      <x:c r="AP678" s="7" t="str">
        <x:v>0840f277384fec03958e71f8989097ef3989b23c9e35321c54d0d1fd3d4e5954</x:v>
      </x:c>
      <x:c r="AQ678" s="7" t="str">
        <x:v>Motor Club Agent / Inactive / 08/25/2017 / 08/31/2019 / 08/31/2019</x:v>
      </x:c>
      <x:c r="AR678" s="7" t="str">
        <x:v>Inactive</x:v>
      </x:c>
      <x:c r="AS678" s="7" t="str">
        <x:v>Current detail page</x:v>
      </x:c>
    </x:row>
    <x:row r="679" ht="52" customHeight="1">
      <x:c r="A679" s="7" t="str">
        <x:v>AGUILAR KARLA</x:v>
      </x:c>
      <x:c r="B679" s="14" t="str">
        <x:f>"0K29917"</x:f>
        <x:v>0K29917</x:v>
      </x:c>
      <x:c r="C679" s="7" t="str">
        <x:v>Omitted</x:v>
      </x:c>
      <x:c r="D679" s="7" t="str">
        <x:v>FAIL</x:v>
      </x:c>
      <x:c r="E679" s="13" t="str">
        <x:v>Pending</x:v>
      </x:c>
      <x:c r="F679" s="13" t="str"/>
      <x:c r="G679" s="13" t="str"/>
      <x:c r="H679" s="13" t="str"/>
      <x:c r="I679" s="7" t="str">
        <x:v>Was this person reviewed? If rejected, give the actual rule and evidence. If acceptable, correct the omission. Confirm the Life-qualification gate and any record change since selection.</x:v>
      </x:c>
      <x:c r="J679" s="7" t="str">
        <x:v>L1</x:v>
      </x:c>
      <x:c r="K679" s="7" t="str">
        <x:v>Verified qualifications do not include active general Life. Current target-pool mismatch; actual historical omission reason unknown.</x:v>
      </x:c>
      <x:c r="L679" s="7" t="str">
        <x:v>Not supplied; membership is known, motive is not</x:v>
      </x:c>
      <x:c r="M679" s="7" t="n">
        <x:v>7</x:v>
      </x:c>
      <x:c r="N679" s="7" t="str">
        <x:v>Outside current general-Life recruiting pool</x:v>
      </x:c>
      <x:c r="O679" s="7" t="str">
        <x:v>Not displayed</x:v>
      </x:c>
      <x:c r="P679" s="7" t="str"/>
      <x:c r="Q679" s="7" t="str"/>
      <x:c r="R679" s="7" t="str"/>
      <x:c r="S679" s="15" t="str"/>
      <x:c r="T679" s="7" t="str">
        <x:v>No public business phone in collected record</x:v>
      </x:c>
      <x:c r="U679" s="7" t="str"/>
      <x:c r="V679" s="7" t="str">
        <x:v>Resident</x:v>
      </x:c>
      <x:c r="W679" s="7" t="str">
        <x:v>CA</x:v>
      </x:c>
      <x:c r="X679" s="7" t="str"/>
      <x:c r="Y679" s="7" t="str"/>
      <x:c r="Z679" s="7" t="str"/>
      <x:c r="AA679" s="7" t="str"/>
      <x:c r="AB679" s="7" t="str"/>
      <x:c r="AC679" s="7" t="str"/>
      <x:c r="AD679" s="7" t="str">
        <x:v>No agency or insurer displayed: onboarding opportunity possible; existing business unknown</x:v>
      </x:c>
      <x:c r="AE679" s="7" t="str">
        <x:v>No public business phone: contact enrichment needed, not proof of poor recruiting fit</x:v>
      </x:c>
      <x:c r="AF679" s="16" t="str"/>
      <x:c r="AG679" s="17" t="str"/>
      <x:c r="AH679" s="7" t="str"/>
      <x:c r="AI679" s="7" t="str"/>
      <x:c r="AJ679" s="7" t="str"/>
      <x:c r="AK679" s="15" t="str"/>
      <x:c r="AL679" s="7" t="str"/>
      <x:c r="AM679" s="7" t="str">
        <x:v>AGUILAR  KARLA</x:v>
      </x:c>
      <x:c r="AN679" s="7" t="str">
        <x:v>https://cdicloud.insurance.ca.gov/cal/LicenseDetail?SearchType=IND&amp;SearchLicNbr=0K29917&amp;SearchIndvId=1762802</x:v>
      </x:c>
      <x:c r="AO679" s="7" t="str">
        <x:v>2026-10-08</x:v>
      </x:c>
      <x:c r="AP679" s="7" t="str">
        <x:v>9531cc8f23f34ceb1b25940d07cc984b5b250db45240e915f9b8a78daf078b67</x:v>
      </x:c>
      <x:c r="AQ679" s="7" t="str">
        <x:v>Life-Only / Inactive / 06/11/2015 / 06/30/2019 / 06/30/2019</x:v>
      </x:c>
      <x:c r="AR679" s="7" t="str">
        <x:v>Inactive</x:v>
      </x:c>
      <x:c r="AS679" s="7" t="str">
        <x:v>Current detail page</x:v>
      </x:c>
    </x:row>
    <x:row r="680" ht="52" customHeight="1">
      <x:c r="A680" s="7" t="str">
        <x:v>AGUILAR KARLA</x:v>
      </x:c>
      <x:c r="B680" s="14" t="str">
        <x:f>"0K79959"</x:f>
        <x:v>0K79959</x:v>
      </x:c>
      <x:c r="C680" s="7" t="str">
        <x:v>Omitted</x:v>
      </x:c>
      <x:c r="D680" s="7" t="str">
        <x:v>FAIL</x:v>
      </x:c>
      <x:c r="E680" s="13" t="str">
        <x:v>Pending</x:v>
      </x:c>
      <x:c r="F680" s="13" t="str"/>
      <x:c r="G680" s="13" t="str"/>
      <x:c r="H680" s="13" t="str"/>
      <x:c r="I680" s="7" t="str">
        <x:v>Was this person reviewed? If rejected, give the actual rule and evidence. If acceptable, correct the omission. Confirm the Life-qualification gate and any record change since selection.</x:v>
      </x:c>
      <x:c r="J680" s="7" t="str">
        <x:v>L1</x:v>
      </x:c>
      <x:c r="K680" s="7" t="str">
        <x:v>Verified qualifications do not include active general Life. Current target-pool mismatch; actual historical omission reason unknown.</x:v>
      </x:c>
      <x:c r="L680" s="7" t="str">
        <x:v>Not supplied; membership is known, motive is not</x:v>
      </x:c>
      <x:c r="M680" s="7" t="n">
        <x:v>7</x:v>
      </x:c>
      <x:c r="N680" s="7" t="str">
        <x:v>Outside current general-Life recruiting pool</x:v>
      </x:c>
      <x:c r="O680" s="7" t="str">
        <x:v>Not displayed</x:v>
      </x:c>
      <x:c r="P680" s="7" t="str"/>
      <x:c r="Q680" s="7" t="str"/>
      <x:c r="R680" s="7" t="str"/>
      <x:c r="S680" s="15" t="str"/>
      <x:c r="T680" s="7" t="str">
        <x:v>No public business phone in collected record</x:v>
      </x:c>
      <x:c r="U680" s="7" t="str"/>
      <x:c r="V680" s="7" t="str">
        <x:v>Resident</x:v>
      </x:c>
      <x:c r="W680" s="7" t="str">
        <x:v>CA</x:v>
      </x:c>
      <x:c r="X680" s="7" t="str"/>
      <x:c r="Y680" s="7" t="str"/>
      <x:c r="Z680" s="7" t="str"/>
      <x:c r="AA680" s="7" t="str"/>
      <x:c r="AB680" s="7" t="str"/>
      <x:c r="AC680" s="7" t="str"/>
      <x:c r="AD680" s="7" t="str">
        <x:v>No agency or insurer displayed: onboarding opportunity possible; existing business unknown</x:v>
      </x:c>
      <x:c r="AE680" s="7" t="str">
        <x:v>No public business phone: contact enrichment needed, not proof of poor recruiting fit</x:v>
      </x:c>
      <x:c r="AF680" s="16" t="str"/>
      <x:c r="AG680" s="17" t="str"/>
      <x:c r="AH680" s="7" t="str"/>
      <x:c r="AI680" s="7" t="str"/>
      <x:c r="AJ680" s="7" t="str"/>
      <x:c r="AK680" s="15" t="str"/>
      <x:c r="AL680" s="7" t="str"/>
      <x:c r="AM680" s="7" t="str">
        <x:v>AGUILAR  KARLA</x:v>
      </x:c>
      <x:c r="AN680" s="7" t="str">
        <x:v>https://cdicloud.insurance.ca.gov/cal/LicenseDetail?SearchType=IND&amp;SearchLicNbr=0K79959&amp;SearchIndvId=1826437</x:v>
      </x:c>
      <x:c r="AO680" s="7" t="str">
        <x:v>2026-10-08</x:v>
      </x:c>
      <x:c r="AP680" s="7" t="str">
        <x:v>ab83080761e3c9b8144dac2f9ecde7a09c35d69976f287750dff06e9ea152e83</x:v>
      </x:c>
      <x:c r="AQ680" s="7" t="str">
        <x:v>Personal Lines Broker-Agent / Inactive / 03/17/2016 / 03/31/2018 / 03/31/2018</x:v>
      </x:c>
      <x:c r="AR680" s="7" t="str">
        <x:v>Inactive</x:v>
      </x:c>
      <x:c r="AS680" s="7" t="str">
        <x:v>Current detail page</x:v>
      </x:c>
    </x:row>
    <x:row r="681" ht="52" customHeight="1">
      <x:c r="A681" s="7" t="str">
        <x:v>AGUILAR KARLA LISSETHE</x:v>
      </x:c>
      <x:c r="B681" s="14" t="str">
        <x:f>"0G53357"</x:f>
        <x:v>0G53357</x:v>
      </x:c>
      <x:c r="C681" s="7" t="str">
        <x:v>Omitted</x:v>
      </x:c>
      <x:c r="D681" s="7" t="str">
        <x:v>FAIL</x:v>
      </x:c>
      <x:c r="E681" s="13" t="str">
        <x:v>Pending</x:v>
      </x:c>
      <x:c r="F681" s="13" t="str"/>
      <x:c r="G681" s="13" t="str"/>
      <x:c r="H681" s="13" t="str"/>
      <x:c r="I681" s="7" t="str">
        <x:v>Was this person reviewed? If rejected, give the actual rule and evidence. If acceptable, correct the omission. Confirm the Life-qualification gate and any record change since selection.</x:v>
      </x:c>
      <x:c r="J681" s="7" t="str">
        <x:v>L1</x:v>
      </x:c>
      <x:c r="K681" s="7" t="str">
        <x:v>Verified qualifications do not include active general Life. Current target-pool mismatch; actual historical omission reason unknown.</x:v>
      </x:c>
      <x:c r="L681" s="7" t="str">
        <x:v>Not supplied; membership is known, motive is not</x:v>
      </x:c>
      <x:c r="M681" s="7" t="n">
        <x:v>7</x:v>
      </x:c>
      <x:c r="N681" s="7" t="str">
        <x:v>Outside current general-Life recruiting pool</x:v>
      </x:c>
      <x:c r="O681" s="7" t="str">
        <x:v>Not displayed</x:v>
      </x:c>
      <x:c r="P681" s="7" t="str"/>
      <x:c r="Q681" s="7" t="str"/>
      <x:c r="R681" s="7" t="str"/>
      <x:c r="S681" s="15" t="str"/>
      <x:c r="T681" s="7" t="str">
        <x:v>No public business phone in collected record</x:v>
      </x:c>
      <x:c r="U681" s="7" t="str"/>
      <x:c r="V681" s="7" t="str">
        <x:v>Resident</x:v>
      </x:c>
      <x:c r="W681" s="7" t="str">
        <x:v>CA</x:v>
      </x:c>
      <x:c r="X681" s="7" t="str"/>
      <x:c r="Y681" s="7" t="str"/>
      <x:c r="Z681" s="7" t="str"/>
      <x:c r="AA681" s="7" t="str"/>
      <x:c r="AB681" s="7" t="str"/>
      <x:c r="AC681" s="7" t="str"/>
      <x:c r="AD681" s="7" t="str">
        <x:v>No agency or insurer displayed: onboarding opportunity possible; existing business unknown</x:v>
      </x:c>
      <x:c r="AE681" s="7" t="str">
        <x:v>No public business phone: contact enrichment needed, not proof of poor recruiting fit</x:v>
      </x:c>
      <x:c r="AF681" s="16" t="str"/>
      <x:c r="AG681" s="17" t="str"/>
      <x:c r="AH681" s="7" t="str"/>
      <x:c r="AI681" s="7" t="str"/>
      <x:c r="AJ681" s="7" t="str"/>
      <x:c r="AK681" s="15" t="str"/>
      <x:c r="AL681" s="7" t="str"/>
      <x:c r="AM681" s="7" t="str">
        <x:v>AGUILAR LISSETHE KARLA</x:v>
      </x:c>
      <x:c r="AN681" s="7" t="str">
        <x:v>https://cdicloud.insurance.ca.gov/cal/LicenseDetail?SearchType=IND&amp;SearchLicNbr=0G53357&amp;SearchIndvId=1241177</x:v>
      </x:c>
      <x:c r="AO681" s="7" t="str">
        <x:v>2026-10-08</x:v>
      </x:c>
      <x:c r="AP681" s="7" t="str">
        <x:v>b365b626ba66769acb6744fa6c5aeacc3a76f505ee4f9ddc094da7eab1a68262</x:v>
      </x:c>
      <x:c r="AQ681" s="7" t="str">
        <x:v>Casualty Broker-Agent / Inactive / 03/12/2009 / 03/31/2017 / 03/31/2017
Property Broker-Agent / Inactive / 03/12/2009 / 03/31/2017 / 03/31/2017</x:v>
      </x:c>
      <x:c r="AR681" s="7" t="str">
        <x:v>Inactive</x:v>
      </x:c>
      <x:c r="AS681" s="7" t="str">
        <x:v>Current detail page</x:v>
      </x:c>
    </x:row>
    <x:row r="682" ht="52" customHeight="1">
      <x:c r="A682" s="7" t="str">
        <x:v>AGUILAR KARLA P</x:v>
      </x:c>
      <x:c r="B682" s="14" t="str">
        <x:f>"0M64865"</x:f>
        <x:v>0M64865</x:v>
      </x:c>
      <x:c r="C682" s="7" t="str">
        <x:v>Omitted</x:v>
      </x:c>
      <x:c r="D682" s="7" t="str">
        <x:v>FAIL</x:v>
      </x:c>
      <x:c r="E682" s="13" t="str">
        <x:v>Pending</x:v>
      </x:c>
      <x:c r="F682" s="13" t="str"/>
      <x:c r="G682" s="13" t="str"/>
      <x:c r="H682" s="13" t="str"/>
      <x:c r="I682" s="7" t="str">
        <x:v>Was this person reviewed? If rejected, give the actual rule and evidence. If acceptable, correct the omission. Confirm the Life-qualification gate and any record change since selection.</x:v>
      </x:c>
      <x:c r="J682" s="7" t="str">
        <x:v>L1</x:v>
      </x:c>
      <x:c r="K682" s="7" t="str">
        <x:v>Verified qualifications do not include active general Life. Current target-pool mismatch; actual historical omission reason unknown.</x:v>
      </x:c>
      <x:c r="L682" s="7" t="str">
        <x:v>Not supplied; membership is known, motive is not</x:v>
      </x:c>
      <x:c r="M682" s="7" t="n">
        <x:v>7</x:v>
      </x:c>
      <x:c r="N682" s="7" t="str">
        <x:v>Outside current general-Life recruiting pool</x:v>
      </x:c>
      <x:c r="O682" s="7" t="str">
        <x:v>Inactive</x:v>
      </x:c>
      <x:c r="P682" s="7" t="str">
        <x:v>10/26/2018</x:v>
      </x:c>
      <x:c r="Q682" s="7" t="str">
        <x:v>10/31/2024</x:v>
      </x:c>
      <x:c r="R682" s="7" t="str"/>
      <x:c r="S682" s="15" t="str">
        <x:v>661-451-8679</x:v>
      </x:c>
      <x:c r="T682" s="7" t="str">
        <x:v>Current CDI</x:v>
      </x:c>
      <x:c r="U682" s="7" t="str">
        <x:v>1830 F ST BAKERSFIELD CA, 93301</x:v>
      </x:c>
      <x:c r="V682" s="7" t="str">
        <x:v>Resident</x:v>
      </x:c>
      <x:c r="W682" s="7" t="str">
        <x:v>CA</x:v>
      </x:c>
      <x:c r="X682" s="7" t="str"/>
      <x:c r="Y682" s="7" t="str"/>
      <x:c r="Z682" s="7" t="str"/>
      <x:c r="AA682" s="7" t="str"/>
      <x:c r="AB682" s="7" t="str"/>
      <x:c r="AC682" s="7" t="str"/>
      <x:c r="AD682" s="7" t="str">
        <x:v>No agency or insurer displayed: onboarding opportunity possible; existing business unknown</x:v>
      </x:c>
      <x:c r="AE682" s="7" t="str"/>
      <x:c r="AF682" s="16" t="str"/>
      <x:c r="AG682" s="17" t="str"/>
      <x:c r="AH682" s="7" t="str"/>
      <x:c r="AI682" s="7" t="str">
        <x:v>English</x:v>
      </x:c>
      <x:c r="AJ682" s="7" t="str"/>
      <x:c r="AK682" s="15" t="str"/>
      <x:c r="AL682" s="7" t="str"/>
      <x:c r="AM682" s="7" t="str">
        <x:v>AGUILAR P KARLA</x:v>
      </x:c>
      <x:c r="AN682" s="7" t="str">
        <x:v>https://cdicloud.insurance.ca.gov/cal/LicenseDetail?SearchType=IND&amp;SearchLicNbr=0M64865&amp;SearchIndvId=2030488</x:v>
      </x:c>
      <x:c r="AO682" s="7" t="str">
        <x:v>2026-10-08</x:v>
      </x:c>
      <x:c r="AP682" s="7" t="str">
        <x:v>ff90b431efc33c28afce1fd017d57c55ab59ad494d246ad5f85c9a064e94f08e</x:v>
      </x:c>
      <x:c r="AQ682" s="7" t="str">
        <x:v>Life / Inactive / 10/26/2018 / 10/31/2024 / 10/31/2024</x:v>
      </x:c>
      <x:c r="AR682" s="7" t="str">
        <x:v>Inactive</x:v>
      </x:c>
      <x:c r="AS682" s="7" t="str">
        <x:v>Current detail page</x:v>
      </x:c>
    </x:row>
    <x:row r="683" ht="52" customHeight="1">
      <x:c r="A683" s="7" t="str">
        <x:v>AGUILAR KARLENE</x:v>
      </x:c>
      <x:c r="B683" s="14" t="str">
        <x:f>"4302052"</x:f>
        <x:v>4302052</x:v>
      </x:c>
      <x:c r="C683" s="7" t="str">
        <x:v>Omitted</x:v>
      </x:c>
      <x:c r="D683" s="7" t="str">
        <x:v>FAIL</x:v>
      </x:c>
      <x:c r="E683" s="13" t="str">
        <x:v>Pending</x:v>
      </x:c>
      <x:c r="F683" s="13" t="str"/>
      <x:c r="G683" s="13" t="str"/>
      <x:c r="H683" s="13" t="str"/>
      <x:c r="I683" s="7" t="str">
        <x:v>Was this person reviewed? If rejected, give the actual rule and evidence. If acceptable, correct the omission. Confirm the Life-qualification gate and any record change since selection.</x:v>
      </x:c>
      <x:c r="J683" s="7" t="str">
        <x:v>L1</x:v>
      </x:c>
      <x:c r="K683" s="7" t="str">
        <x:v>Verified qualifications do not include active general Life. Current target-pool mismatch; actual historical omission reason unknown.</x:v>
      </x:c>
      <x:c r="L683" s="7" t="str">
        <x:v>Not supplied; membership is known, motive is not</x:v>
      </x:c>
      <x:c r="M683" s="7" t="n">
        <x:v>7</x:v>
      </x:c>
      <x:c r="N683" s="7" t="str">
        <x:v>Outside current general-Life recruiting pool</x:v>
      </x:c>
      <x:c r="O683" s="7" t="str">
        <x:v>Inactive</x:v>
      </x:c>
      <x:c r="P683" s="7" t="str">
        <x:v>06/21/2023</x:v>
      </x:c>
      <x:c r="Q683" s="7" t="str">
        <x:v>06/30/2025</x:v>
      </x:c>
      <x:c r="R683" s="7" t="str"/>
      <x:c r="S683" s="15" t="str"/>
      <x:c r="T683" s="7" t="str">
        <x:v>No public business phone in collected record</x:v>
      </x:c>
      <x:c r="U683" s="7" t="str">
        <x:v>7220 TRADE ST. STE. 254 SAN DIEGO CA, 92121</x:v>
      </x:c>
      <x:c r="V683" s="7" t="str">
        <x:v>Resident</x:v>
      </x:c>
      <x:c r="W683" s="7" t="str">
        <x:v>CA</x:v>
      </x:c>
      <x:c r="X683" s="7" t="str"/>
      <x:c r="Y683" s="7" t="str"/>
      <x:c r="Z683" s="7" t="str"/>
      <x:c r="AA683" s="7" t="str"/>
      <x:c r="AB683" s="7" t="str"/>
      <x:c r="AC683" s="7" t="str"/>
      <x:c r="AD683" s="7" t="str">
        <x:v>No agency or insurer displayed: onboarding opportunity possible; existing business unknown</x:v>
      </x:c>
      <x:c r="AE683" s="7" t="str">
        <x:v>No public business phone: contact enrichment needed, not proof of poor recruiting fit</x:v>
      </x:c>
      <x:c r="AF683" s="16" t="str"/>
      <x:c r="AG683" s="17" t="str"/>
      <x:c r="AH683" s="7" t="str"/>
      <x:c r="AI683" s="7" t="str"/>
      <x:c r="AJ683" s="7" t="str"/>
      <x:c r="AK683" s="15" t="str"/>
      <x:c r="AL683" s="7" t="str"/>
      <x:c r="AM683" s="7" t="str">
        <x:v>AGUILAR  KARLENE</x:v>
      </x:c>
      <x:c r="AN683" s="7" t="str">
        <x:v>https://cdicloud.insurance.ca.gov/cal/LicenseDetail?SearchType=IND&amp;SearchLicNbr=4302052&amp;SearchIndvId=4302052</x:v>
      </x:c>
      <x:c r="AO683" s="7" t="str">
        <x:v>2026-10-08</x:v>
      </x:c>
      <x:c r="AP683" s="7" t="str">
        <x:v>634195ec5a2ab56de146c12307e53c4cc3ff38d051e005689b4813aad60dd72b</x:v>
      </x:c>
      <x:c r="AQ683" s="7" t="str">
        <x:v>Life / Inactive / 06/21/2023 / 06/30/2025 / 06/30/2025</x:v>
      </x:c>
      <x:c r="AR683" s="7" t="str">
        <x:v>Inactive</x:v>
      </x:c>
      <x:c r="AS683" s="7" t="str">
        <x:v>Current detail page</x:v>
      </x:c>
    </x:row>
    <x:row r="684" ht="52" customHeight="1">
      <x:c r="A684" s="7" t="str">
        <x:v>AGUILAR KAROL</x:v>
      </x:c>
      <x:c r="B684" s="14" t="str">
        <x:f>"4499510"</x:f>
        <x:v>4499510</x:v>
      </x:c>
      <x:c r="C684" s="7" t="str">
        <x:v>Omitted</x:v>
      </x:c>
      <x:c r="D684" s="7" t="str">
        <x:v>FAIL</x:v>
      </x:c>
      <x:c r="E684" s="13" t="str">
        <x:v>Pending</x:v>
      </x:c>
      <x:c r="F684" s="13" t="str"/>
      <x:c r="G684" s="13" t="str"/>
      <x:c r="H684" s="13" t="str"/>
      <x:c r="I684" s="7" t="str">
        <x:v>Was this person reviewed? If rejected, give the actual rule and evidence. If acceptable, correct the omission. Confirm the Life-qualification gate and any record change since selection.</x:v>
      </x:c>
      <x:c r="J684" s="7" t="str">
        <x:v>L1</x:v>
      </x:c>
      <x:c r="K684" s="7" t="str">
        <x:v>Verified qualifications do not include active general Life. Current target-pool mismatch; actual historical omission reason unknown.</x:v>
      </x:c>
      <x:c r="L684" s="7" t="str">
        <x:v>Not supplied; membership is known, motive is not</x:v>
      </x:c>
      <x:c r="M684" s="7" t="n">
        <x:v>7</x:v>
      </x:c>
      <x:c r="N684" s="7" t="str">
        <x:v>Outside current general-Life recruiting pool</x:v>
      </x:c>
      <x:c r="O684" s="7" t="str">
        <x:v>Not displayed</x:v>
      </x:c>
      <x:c r="P684" s="7" t="str"/>
      <x:c r="Q684" s="7" t="str"/>
      <x:c r="R684" s="7" t="str">
        <x:v>Personal Lines</x:v>
      </x:c>
      <x:c r="S684" s="15" t="str"/>
      <x:c r="T684" s="7" t="str">
        <x:v>No public business phone in collected record</x:v>
      </x:c>
      <x:c r="U684" s="7" t="str">
        <x:v>3901 MONICA DR WESLACO TX, 78599</x:v>
      </x:c>
      <x:c r="V684" s="7" t="str">
        <x:v>Non-resident</x:v>
      </x:c>
      <x:c r="W684" s="7" t="str">
        <x:v>TX</x:v>
      </x:c>
      <x:c r="X684" s="7" t="str">
        <x:v>PROGRESSIVE ADVANTAGE AGENCY INC / Personal Lines / 10/13/2025</x:v>
      </x:c>
      <x:c r="Y684" s="7" t="str"/>
      <x:c r="Z684" s="7" t="str"/>
      <x:c r="AA684" s="7" t="str"/>
      <x:c r="AB684" s="7" t="str"/>
      <x:c r="AC684" s="7" t="str"/>
      <x:c r="AD684" s="7" t="str"/>
      <x:c r="AE684"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684" s="16" t="str"/>
      <x:c r="AG684" s="17" t="str"/>
      <x:c r="AH684" s="7" t="str"/>
      <x:c r="AI684" s="7" t="str"/>
      <x:c r="AJ684" s="7" t="str"/>
      <x:c r="AK684" s="15" t="str"/>
      <x:c r="AL684" s="7" t="str"/>
      <x:c r="AM684" s="7" t="str">
        <x:v>AGUILAR  KAROL</x:v>
      </x:c>
      <x:c r="AN684" s="7" t="str">
        <x:v>https://cdicloud.insurance.ca.gov/cal/LicenseDetail?SearchType=IND&amp;SearchLicNbr=4499510&amp;SearchIndvId=4499510</x:v>
      </x:c>
      <x:c r="AO684" s="7" t="str">
        <x:v>2026-10-08</x:v>
      </x:c>
      <x:c r="AP684" s="7" t="str">
        <x:v>3cdd140b6d7d3b38a333bf9ce4004ee76cf6c5df12b609bf02a3e1a2e2dfa4f2</x:v>
      </x:c>
      <x:c r="AQ684" s="7" t="str">
        <x:v>Personal Lines / Active / 10/07/2025 / 10/07/2025 / 10/31/2027</x:v>
      </x:c>
      <x:c r="AR684" s="7" t="str">
        <x:v>Active</x:v>
      </x:c>
      <x:c r="AS684" s="7" t="str">
        <x:v>Current detail page</x:v>
      </x:c>
    </x:row>
    <x:row r="685" ht="52" customHeight="1">
      <x:c r="A685" s="7" t="str">
        <x:v>AGUILAR KASANDRA JOVANA</x:v>
      </x:c>
      <x:c r="B685" s="14" t="str">
        <x:f>"4354137"</x:f>
        <x:v>4354137</x:v>
      </x:c>
      <x:c r="C685" s="7" t="str">
        <x:v>Omitted</x:v>
      </x:c>
      <x:c r="D685" s="7" t="str">
        <x:v>FAIL</x:v>
      </x:c>
      <x:c r="E685" s="13" t="str">
        <x:v>Pending</x:v>
      </x:c>
      <x:c r="F685" s="13" t="str"/>
      <x:c r="G685" s="13" t="str"/>
      <x:c r="H685" s="13" t="str"/>
      <x:c r="I685" s="7" t="str">
        <x:v>Was this person reviewed? If rejected, give the actual rule and evidence. If acceptable, correct the omission. Confirm the Life-qualification gate and any record change since selection.</x:v>
      </x:c>
      <x:c r="J685" s="7" t="str">
        <x:v>L1</x:v>
      </x:c>
      <x:c r="K685" s="7" t="str">
        <x:v>Verified qualifications do not include active general Life. Current target-pool mismatch; actual historical omission reason unknown.</x:v>
      </x:c>
      <x:c r="L685" s="7" t="str">
        <x:v>Not supplied; membership is known, motive is not</x:v>
      </x:c>
      <x:c r="M685" s="7" t="n">
        <x:v>7</x:v>
      </x:c>
      <x:c r="N685" s="7" t="str">
        <x:v>Outside current general-Life recruiting pool</x:v>
      </x:c>
      <x:c r="O685" s="7" t="str">
        <x:v>Inactive</x:v>
      </x:c>
      <x:c r="P685" s="7" t="str">
        <x:v>02/02/2024</x:v>
      </x:c>
      <x:c r="Q685" s="7" t="str">
        <x:v>02/28/2026</x:v>
      </x:c>
      <x:c r="R685" s="7" t="str"/>
      <x:c r="S685" s="15" t="str">
        <x:v>858-737-4143</x:v>
      </x:c>
      <x:c r="T685" s="7" t="str">
        <x:v>Current CDI</x:v>
      </x:c>
      <x:c r="U685" s="7" t="str">
        <x:v>3954 MURPHY CANYON RD D205 SAN DIEGO CA, 92123</x:v>
      </x:c>
      <x:c r="V685" s="7" t="str">
        <x:v>Resident</x:v>
      </x:c>
      <x:c r="W685" s="7" t="str">
        <x:v>CA</x:v>
      </x:c>
      <x:c r="X685" s="7" t="str"/>
      <x:c r="Y685" s="7" t="str"/>
      <x:c r="Z685" s="7" t="str"/>
      <x:c r="AA685" s="7" t="str"/>
      <x:c r="AB685" s="7" t="str"/>
      <x:c r="AC685" s="7" t="str"/>
      <x:c r="AD685" s="7" t="str">
        <x:v>No agency or insurer displayed: onboarding opportunity possible; existing business unknown</x:v>
      </x:c>
      <x:c r="AE685" s="7" t="str"/>
      <x:c r="AF685" s="16" t="str"/>
      <x:c r="AG685" s="17" t="str"/>
      <x:c r="AH685" s="7" t="str"/>
      <x:c r="AI685" s="7" t="str">
        <x:v>English</x:v>
      </x:c>
      <x:c r="AJ685" s="7" t="str"/>
      <x:c r="AK685" s="15" t="str"/>
      <x:c r="AL685" s="7" t="str"/>
      <x:c r="AM685" s="7" t="str">
        <x:v>AGUILAR JOVANA KASANDRA</x:v>
      </x:c>
      <x:c r="AN685" s="7" t="str">
        <x:v>https://cdicloud.insurance.ca.gov/cal/LicenseDetail?SearchType=IND&amp;SearchLicNbr=4354137&amp;SearchIndvId=4354137</x:v>
      </x:c>
      <x:c r="AO685" s="7" t="str">
        <x:v>2026-10-08</x:v>
      </x:c>
      <x:c r="AP685" s="7" t="str">
        <x:v>ae298bb7ccefa9fbbd11e70b9b72167b64d966d652b3920842438bc41ab440ac</x:v>
      </x:c>
      <x:c r="AQ685" s="7" t="str">
        <x:v>Life / Inactive / 02/02/2024 / 02/28/2026 / 02/28/2026</x:v>
      </x:c>
      <x:c r="AR685" s="7" t="str">
        <x:v>Inactive</x:v>
      </x:c>
      <x:c r="AS685" s="7" t="str">
        <x:v>Current detail page</x:v>
      </x:c>
    </x:row>
    <x:row r="686" ht="52" customHeight="1">
      <x:c r="A686" s="7" t="str">
        <x:v>AGUILAR KASSANDRA</x:v>
      </x:c>
      <x:c r="B686" s="14" t="str">
        <x:f>"4320018"</x:f>
        <x:v>4320018</x:v>
      </x:c>
      <x:c r="C686" s="7" t="str">
        <x:v>Omitted</x:v>
      </x:c>
      <x:c r="D686" s="7" t="str">
        <x:v>FAIL</x:v>
      </x:c>
      <x:c r="E686" s="13" t="str">
        <x:v>Pending</x:v>
      </x:c>
      <x:c r="F686" s="13" t="str"/>
      <x:c r="G686" s="13" t="str"/>
      <x:c r="H686" s="13" t="str"/>
      <x:c r="I686" s="7" t="str">
        <x:v>Was this person reviewed? If rejected, give the actual rule and evidence. If acceptable, correct the omission. Confirm the Life-qualification gate and any record change since selection.</x:v>
      </x:c>
      <x:c r="J686" s="7" t="str">
        <x:v>L1</x:v>
      </x:c>
      <x:c r="K686" s="7" t="str">
        <x:v>Verified qualifications do not include active general Life. Current target-pool mismatch; actual historical omission reason unknown.</x:v>
      </x:c>
      <x:c r="L686" s="7" t="str">
        <x:v>Not supplied; membership is known, motive is not</x:v>
      </x:c>
      <x:c r="M686" s="7" t="n">
        <x:v>7</x:v>
      </x:c>
      <x:c r="N686" s="7" t="str">
        <x:v>Outside current general-Life recruiting pool</x:v>
      </x:c>
      <x:c r="O686" s="7" t="str">
        <x:v>Not displayed</x:v>
      </x:c>
      <x:c r="P686" s="7" t="str"/>
      <x:c r="Q686" s="7" t="str"/>
      <x:c r="R686" s="7" t="str">
        <x:v>Personal Lines</x:v>
      </x:c>
      <x:c r="S686" s="15" t="str"/>
      <x:c r="T686" s="7" t="str">
        <x:v>No public business phone in collected record</x:v>
      </x:c>
      <x:c r="U686" s="7" t="str">
        <x:v>22062 CRAGON RD HARLINGEN TX, 78552</x:v>
      </x:c>
      <x:c r="V686" s="7" t="str">
        <x:v>Non-resident</x:v>
      </x:c>
      <x:c r="W686" s="7" t="str">
        <x:v>TX</x:v>
      </x:c>
      <x:c r="X686" s="7" t="str"/>
      <x:c r="Y686" s="7" t="str"/>
      <x:c r="Z686" s="7" t="str"/>
      <x:c r="AA686" s="7" t="str"/>
      <x:c r="AB686" s="7" t="str"/>
      <x:c r="AC686" s="7" t="str"/>
      <x:c r="AD686" s="7" t="str">
        <x:v>No agency or insurer displayed: onboarding opportunity possible; existing business unknown</x:v>
      </x:c>
      <x:c r="AE686"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686" s="16" t="str"/>
      <x:c r="AG686" s="17" t="str"/>
      <x:c r="AH686" s="7" t="str"/>
      <x:c r="AI686" s="7" t="str"/>
      <x:c r="AJ686" s="7" t="str"/>
      <x:c r="AK686" s="15" t="str"/>
      <x:c r="AL686" s="7" t="str"/>
      <x:c r="AM686" s="7" t="str">
        <x:v>AGUILAR  KASSANDRA</x:v>
      </x:c>
      <x:c r="AN686" s="7" t="str">
        <x:v>https://cdicloud.insurance.ca.gov/cal/LicenseDetail?SearchType=IND&amp;SearchLicNbr=4320018&amp;SearchIndvId=4320018</x:v>
      </x:c>
      <x:c r="AO686" s="7" t="str">
        <x:v>2026-10-08</x:v>
      </x:c>
      <x:c r="AP686" s="7" t="str">
        <x:v>fd4aee4536ca06e455d49d468ebe1a57914287acfc9edb6bec8f20d2771c00e1</x:v>
      </x:c>
      <x:c r="AQ686" s="7" t="str">
        <x:v>Personal Lines / Active / 08/24/2023 / 08/24/2023 / 08/31/2027</x:v>
      </x:c>
      <x:c r="AR686" s="7" t="str">
        <x:v>Active</x:v>
      </x:c>
      <x:c r="AS686" s="7" t="str">
        <x:v>Current detail page</x:v>
      </x:c>
    </x:row>
    <x:row r="687" ht="52" customHeight="1">
      <x:c r="A687" s="7" t="str">
        <x:v>AGUILAR KATHERINE AQUINO</x:v>
      </x:c>
      <x:c r="B687" s="14" t="str">
        <x:f>"0M13104"</x:f>
        <x:v>0M13104</x:v>
      </x:c>
      <x:c r="C687" s="7" t="str">
        <x:v>Omitted</x:v>
      </x:c>
      <x:c r="D687" s="7" t="str">
        <x:v>FAIL</x:v>
      </x:c>
      <x:c r="E687" s="13" t="str">
        <x:v>Pending</x:v>
      </x:c>
      <x:c r="F687" s="13" t="str"/>
      <x:c r="G687" s="13" t="str"/>
      <x:c r="H687" s="13" t="str"/>
      <x:c r="I687" s="7" t="str">
        <x:v>Was this person reviewed? If rejected, give the actual rule and evidence. If acceptable, correct the omission. Confirm the Life-qualification gate and any record change since selection.</x:v>
      </x:c>
      <x:c r="J687" s="7" t="str">
        <x:v>L1</x:v>
      </x:c>
      <x:c r="K687" s="7" t="str">
        <x:v>Verified qualifications do not include active general Life. Current target-pool mismatch; actual historical omission reason unknown.</x:v>
      </x:c>
      <x:c r="L687" s="7" t="str">
        <x:v>Not supplied; membership is known, motive is not</x:v>
      </x:c>
      <x:c r="M687" s="7" t="n">
        <x:v>7</x:v>
      </x:c>
      <x:c r="N687" s="7" t="str">
        <x:v>Outside current general-Life recruiting pool</x:v>
      </x:c>
      <x:c r="O687" s="7" t="str">
        <x:v>Not displayed</x:v>
      </x:c>
      <x:c r="P687" s="7" t="str"/>
      <x:c r="Q687" s="7" t="str"/>
      <x:c r="R687" s="7" t="str"/>
      <x:c r="S687" s="15" t="str"/>
      <x:c r="T687" s="7" t="str">
        <x:v>No public business phone in collected record</x:v>
      </x:c>
      <x:c r="U687" s="7" t="str"/>
      <x:c r="V687" s="7" t="str">
        <x:v>Resident</x:v>
      </x:c>
      <x:c r="W687" s="7" t="str">
        <x:v>CA</x:v>
      </x:c>
      <x:c r="X687" s="7" t="str"/>
      <x:c r="Y687" s="7" t="str"/>
      <x:c r="Z687" s="7" t="str"/>
      <x:c r="AA687" s="7" t="str"/>
      <x:c r="AB687" s="7" t="str"/>
      <x:c r="AC687" s="7" t="str"/>
      <x:c r="AD687" s="7" t="str">
        <x:v>No agency or insurer displayed: onboarding opportunity possible; existing business unknown</x:v>
      </x:c>
      <x:c r="AE687" s="7" t="str">
        <x:v>No public business phone: contact enrichment needed, not proof of poor recruiting fit</x:v>
      </x:c>
      <x:c r="AF687" s="16" t="str"/>
      <x:c r="AG687" s="17" t="str"/>
      <x:c r="AH687" s="7" t="str"/>
      <x:c r="AI687" s="7" t="str"/>
      <x:c r="AJ687" s="7" t="str"/>
      <x:c r="AK687" s="15" t="str"/>
      <x:c r="AL687" s="7" t="str"/>
      <x:c r="AM687" s="7" t="str">
        <x:v>Aguilar A Katherine | AGUILAR AQUINO KATHERINE</x:v>
      </x:c>
      <x:c r="AN687" s="7" t="str">
        <x:v>https://cdicloud.insurance.ca.gov/cal/LicenseDetail?SearchType=IND&amp;SearchLicNbr=0M13104&amp;SearchIndvId=1988772</x:v>
      </x:c>
      <x:c r="AO687" s="7" t="str">
        <x:v>2026-10-08</x:v>
      </x:c>
      <x:c r="AP687" s="7" t="str">
        <x:v>cfe4587d324aab71d52fec4625e33eeaad58da7b8ff959cbd67349debb69857a</x:v>
      </x:c>
      <x:c r="AQ687" s="7" t="str">
        <x:v>Life-Only / Inactive / 12/27/2017 / 12/31/2019 / 12/31/2019</x:v>
      </x:c>
      <x:c r="AR687" s="7" t="str">
        <x:v>Inactive</x:v>
      </x:c>
      <x:c r="AS687" s="7" t="str">
        <x:v>Current detail page</x:v>
      </x:c>
    </x:row>
    <x:row r="688" ht="52" customHeight="1">
      <x:c r="A688" s="7" t="str">
        <x:v>AGUILAR KATHERINE LEIGH</x:v>
      </x:c>
      <x:c r="B688" s="14" t="str">
        <x:f>"1844024"</x:f>
        <x:v>1844024</x:v>
      </x:c>
      <x:c r="C688" s="7" t="str">
        <x:v>Omitted</x:v>
      </x:c>
      <x:c r="D688" s="7" t="str">
        <x:v>FAIL</x:v>
      </x:c>
      <x:c r="E688" s="13" t="str">
        <x:v>Pending</x:v>
      </x:c>
      <x:c r="F688" s="13" t="str"/>
      <x:c r="G688" s="13" t="str"/>
      <x:c r="H688" s="13" t="str"/>
      <x:c r="I688" s="7" t="str">
        <x:v>Was this person reviewed? If rejected, give the actual rule and evidence. If acceptable, correct the omission. Confirm the Life-qualification gate and any record change since selection.</x:v>
      </x:c>
      <x:c r="J688" s="7" t="str">
        <x:v>L1</x:v>
      </x:c>
      <x:c r="K688" s="7" t="str">
        <x:v>Verified qualifications do not include active general Life. Current target-pool mismatch; actual historical omission reason unknown.</x:v>
      </x:c>
      <x:c r="L688" s="7" t="str">
        <x:v>Not supplied; membership is known, motive is not</x:v>
      </x:c>
      <x:c r="M688" s="7" t="n">
        <x:v>7</x:v>
      </x:c>
      <x:c r="N688" s="7" t="str">
        <x:v>Outside current general-Life recruiting pool</x:v>
      </x:c>
      <x:c r="O688" s="7" t="str">
        <x:v>Not displayed</x:v>
      </x:c>
      <x:c r="P688" s="7" t="str"/>
      <x:c r="Q688" s="7" t="str"/>
      <x:c r="R688" s="7" t="str"/>
      <x:c r="S688" s="15" t="str"/>
      <x:c r="T688" s="7" t="str">
        <x:v>No public business phone in collected record</x:v>
      </x:c>
      <x:c r="U688" s="7" t="str"/>
      <x:c r="V688" s="7" t="str">
        <x:v>Resident</x:v>
      </x:c>
      <x:c r="W688" s="7" t="str">
        <x:v>CA</x:v>
      </x:c>
      <x:c r="X688" s="7" t="str"/>
      <x:c r="Y688" s="7" t="str"/>
      <x:c r="Z688" s="7" t="str"/>
      <x:c r="AA688" s="7" t="str"/>
      <x:c r="AB688" s="7" t="str"/>
      <x:c r="AC688" s="7" t="str">
        <x:v>EMPLOYER - FRANK REPETTI BA# 1706919, EFF. 11-28-2006</x:v>
      </x:c>
      <x:c r="AD688" s="7" t="str">
        <x:v>No agency or insurer displayed: onboarding opportunity possible; existing business unknown</x:v>
      </x:c>
      <x:c r="AE688" s="7" t="str">
        <x:v>No public business phone: contact enrichment needed, not proof of poor recruiting fit</x:v>
      </x:c>
      <x:c r="AF688" s="16" t="str"/>
      <x:c r="AG688" s="17" t="str"/>
      <x:c r="AH688" s="7" t="str"/>
      <x:c r="AI688" s="7" t="str"/>
      <x:c r="AJ688" s="7" t="str"/>
      <x:c r="AK688" s="15" t="str"/>
      <x:c r="AL688" s="7" t="str"/>
      <x:c r="AM688" s="7" t="str">
        <x:v>AGUILAR LEIGH KATHERINE</x:v>
      </x:c>
      <x:c r="AN688" s="7" t="str">
        <x:v>https://cdicloud.insurance.ca.gov/cal/LicenseDetail?SearchType=IND&amp;SearchLicNbr=1844024&amp;SearchIndvId=1058207</x:v>
      </x:c>
      <x:c r="AO688" s="7" t="str">
        <x:v>2026-10-08</x:v>
      </x:c>
      <x:c r="AP688" s="7" t="str">
        <x:v>00fa6f393752e43a0c2bbdbed184ee949b67f3707c7e48223a5e291cd70c6f8b</x:v>
      </x:c>
      <x:c r="AQ688" s="7" t="str">
        <x:v>Bail Agent / Inactive / 12/04/2006 / 06/30/2011 / 06/30/2011</x:v>
      </x:c>
      <x:c r="AR688" s="7" t="str">
        <x:v>Inactive</x:v>
      </x:c>
      <x:c r="AS688" s="7" t="str">
        <x:v>Current detail page</x:v>
      </x:c>
    </x:row>
    <x:row r="689" ht="52" customHeight="1">
      <x:c r="A689" s="7" t="str">
        <x:v>AGUILAR KATHLEEN</x:v>
      </x:c>
      <x:c r="B689" s="14" t="str">
        <x:f>"0I70504"</x:f>
        <x:v>0I70504</x:v>
      </x:c>
      <x:c r="C689" s="7" t="str">
        <x:v>Omitted</x:v>
      </x:c>
      <x:c r="D689" s="7" t="str">
        <x:v>FAIL</x:v>
      </x:c>
      <x:c r="E689" s="13" t="str">
        <x:v>Pending</x:v>
      </x:c>
      <x:c r="F689" s="13" t="str"/>
      <x:c r="G689" s="13" t="str"/>
      <x:c r="H689" s="13" t="str"/>
      <x:c r="I689" s="7" t="str">
        <x:v>Was this person reviewed? If rejected, give the actual rule and evidence. If acceptable, correct the omission. Confirm the Life-qualification gate and any record change since selection.</x:v>
      </x:c>
      <x:c r="J689" s="7" t="str">
        <x:v>L1</x:v>
      </x:c>
      <x:c r="K689" s="7" t="str">
        <x:v>Verified qualifications do not include active general Life. Current target-pool mismatch; actual historical omission reason unknown.</x:v>
      </x:c>
      <x:c r="L689" s="7" t="str">
        <x:v>Not supplied; membership is known, motive is not</x:v>
      </x:c>
      <x:c r="M689" s="7" t="n">
        <x:v>7</x:v>
      </x:c>
      <x:c r="N689" s="7" t="str">
        <x:v>Outside current general-Life recruiting pool</x:v>
      </x:c>
      <x:c r="O689" s="7" t="str">
        <x:v>Not displayed</x:v>
      </x:c>
      <x:c r="P689" s="7" t="str"/>
      <x:c r="Q689" s="7" t="str"/>
      <x:c r="R689" s="7" t="str"/>
      <x:c r="S689" s="15" t="str"/>
      <x:c r="T689" s="7" t="str">
        <x:v>No public business phone in collected record</x:v>
      </x:c>
      <x:c r="U689" s="7" t="str"/>
      <x:c r="V689" s="7" t="str">
        <x:v>Resident</x:v>
      </x:c>
      <x:c r="W689" s="7" t="str">
        <x:v>CA</x:v>
      </x:c>
      <x:c r="X689" s="7" t="str"/>
      <x:c r="Y689" s="7" t="str"/>
      <x:c r="Z689" s="7" t="str"/>
      <x:c r="AA689" s="7" t="str"/>
      <x:c r="AB689" s="7" t="str"/>
      <x:c r="AC689" s="7" t="str"/>
      <x:c r="AD689" s="7" t="str">
        <x:v>No agency or insurer displayed: onboarding opportunity possible; existing business unknown</x:v>
      </x:c>
      <x:c r="AE689" s="7" t="str">
        <x:v>No public business phone: contact enrichment needed, not proof of poor recruiting fit</x:v>
      </x:c>
      <x:c r="AF689" s="16" t="str"/>
      <x:c r="AG689" s="17" t="str"/>
      <x:c r="AH689" s="7" t="str"/>
      <x:c r="AI689" s="7" t="str"/>
      <x:c r="AJ689" s="7" t="str"/>
      <x:c r="AK689" s="15" t="str"/>
      <x:c r="AL689" s="7" t="str"/>
      <x:c r="AM689" s="7" t="str">
        <x:v>AGUILAR  KATHLEEN</x:v>
      </x:c>
      <x:c r="AN689" s="7" t="str">
        <x:v>https://cdicloud.insurance.ca.gov/cal/LicenseDetail?SearchType=IND&amp;SearchLicNbr=0I70504&amp;SearchIndvId=1645098</x:v>
      </x:c>
      <x:c r="AO689" s="7" t="str">
        <x:v>2026-10-08</x:v>
      </x:c>
      <x:c r="AP689" s="7" t="str">
        <x:v>bce5e545347a1d3281b6c03ec3eb86ca1233c3e7a367981781ae456d26eb1618</x:v>
      </x:c>
      <x:c r="AQ689" s="7" t="str">
        <x:v>Casualty Broker-Agent / Inactive / 01/21/2014 / 01/31/2020 / 01/31/2020
Property Broker-Agent / Inactive / 01/21/2014 / 01/31/2020 / 01/31/2020</x:v>
      </x:c>
      <x:c r="AR689" s="7" t="str">
        <x:v>Inactive</x:v>
      </x:c>
      <x:c r="AS689" s="7" t="str">
        <x:v>Current detail page</x:v>
      </x:c>
    </x:row>
    <x:row r="690" ht="52" customHeight="1">
      <x:c r="A690" s="7" t="str">
        <x:v>AGUILAR KELLY MONICA</x:v>
      </x:c>
      <x:c r="B690" s="14" t="str">
        <x:f>"0M24469"</x:f>
        <x:v>0M24469</x:v>
      </x:c>
      <x:c r="C690" s="7" t="str">
        <x:v>Omitted</x:v>
      </x:c>
      <x:c r="D690" s="7" t="str">
        <x:v>FAIL</x:v>
      </x:c>
      <x:c r="E690" s="13" t="str">
        <x:v>Pending</x:v>
      </x:c>
      <x:c r="F690" s="13" t="str"/>
      <x:c r="G690" s="13" t="str"/>
      <x:c r="H690" s="13" t="str"/>
      <x:c r="I690" s="7" t="str">
        <x:v>Was this person reviewed? If rejected, give the actual rule and evidence. If acceptable, correct the omission. Confirm the Life-qualification gate and any record change since selection.</x:v>
      </x:c>
      <x:c r="J690" s="7" t="str">
        <x:v>L1</x:v>
      </x:c>
      <x:c r="K690" s="7" t="str">
        <x:v>Verified qualifications do not include active general Life. Current target-pool mismatch; actual historical omission reason unknown.</x:v>
      </x:c>
      <x:c r="L690" s="7" t="str">
        <x:v>Not supplied; membership is known, motive is not</x:v>
      </x:c>
      <x:c r="M690" s="7" t="n">
        <x:v>7</x:v>
      </x:c>
      <x:c r="N690" s="7" t="str">
        <x:v>Outside current general-Life recruiting pool</x:v>
      </x:c>
      <x:c r="O690" s="7" t="str">
        <x:v>Inactive</x:v>
      </x:c>
      <x:c r="P690" s="7" t="str">
        <x:v>03/14/2018</x:v>
      </x:c>
      <x:c r="Q690" s="7" t="str">
        <x:v>03/31/2026</x:v>
      </x:c>
      <x:c r="R690" s="7" t="str"/>
      <x:c r="S690" s="15" t="str">
        <x:v>408-216-0181</x:v>
      </x:c>
      <x:c r="T690" s="7" t="str">
        <x:v>Current CDI</x:v>
      </x:c>
      <x:c r="U690" s="7" t="str">
        <x:v>5687 SILVER CREEK VALLEY ROAD SUITE 65 SAN JOSE CA, 95138</x:v>
      </x:c>
      <x:c r="V690" s="7" t="str">
        <x:v>Resident</x:v>
      </x:c>
      <x:c r="W690" s="7" t="str">
        <x:v>CA</x:v>
      </x:c>
      <x:c r="X690" s="7" t="str"/>
      <x:c r="Y690" s="7" t="str"/>
      <x:c r="Z690" s="7" t="str"/>
      <x:c r="AA690" s="7" t="str"/>
      <x:c r="AB690" s="7" t="str"/>
      <x:c r="AC690" s="7" t="str"/>
      <x:c r="AD690" s="7" t="str">
        <x:v>No agency or insurer displayed: onboarding opportunity possible; existing business unknown</x:v>
      </x:c>
      <x:c r="AE690" s="7" t="str"/>
      <x:c r="AF690" s="16" t="str"/>
      <x:c r="AG690" s="17" t="str"/>
      <x:c r="AH690" s="7" t="str"/>
      <x:c r="AI690" s="7" t="str">
        <x:v>English</x:v>
      </x:c>
      <x:c r="AJ690" s="7" t="str"/>
      <x:c r="AK690" s="15" t="str"/>
      <x:c r="AL690" s="7" t="str"/>
      <x:c r="AM690" s="7" t="str">
        <x:v>Aguilar M Kelly | AGUILAR MONICA KELLY</x:v>
      </x:c>
      <x:c r="AN690" s="7" t="str">
        <x:v>https://cdicloud.insurance.ca.gov/cal/LicenseDetail?SearchType=IND&amp;SearchLicNbr=0M24469&amp;SearchIndvId=1999913</x:v>
      </x:c>
      <x:c r="AO690" s="7" t="str">
        <x:v>2026-10-08</x:v>
      </x:c>
      <x:c r="AP690" s="7" t="str">
        <x:v>9f9e53757e13184dd3ea8a37ce987c67ec8082a6791cfd8fadaf17dfb1808a74</x:v>
      </x:c>
      <x:c r="AQ690" s="7" t="str">
        <x:v>Accident &amp; Health or Sickness / Inactive / 03/14/2018 / 03/31/2026 / 03/31/2026
Life / Inactive / 03/14/2018 / 03/31/2026 / 03/31/2026</x:v>
      </x:c>
      <x:c r="AR690" s="7" t="str">
        <x:v>Inactive</x:v>
      </x:c>
      <x:c r="AS690" s="7" t="str">
        <x:v>Current detail page</x:v>
      </x:c>
    </x:row>
    <x:row r="691" ht="52" customHeight="1">
      <x:c r="A691" s="7" t="str">
        <x:v>AGUILAR KENDOR AGUSTIN</x:v>
      </x:c>
      <x:c r="B691" s="14" t="str">
        <x:f>"0H27457"</x:f>
        <x:v>0H27457</x:v>
      </x:c>
      <x:c r="C691" s="7" t="str">
        <x:v>Omitted</x:v>
      </x:c>
      <x:c r="D691" s="7" t="str">
        <x:v>FAIL</x:v>
      </x:c>
      <x:c r="E691" s="13" t="str">
        <x:v>Pending</x:v>
      </x:c>
      <x:c r="F691" s="13" t="str"/>
      <x:c r="G691" s="13" t="str"/>
      <x:c r="H691" s="13" t="str"/>
      <x:c r="I691" s="7" t="str">
        <x:v>Was this person reviewed? If rejected, give the actual rule and evidence. If acceptable, correct the omission. Confirm the Life-qualification gate and any record change since selection.</x:v>
      </x:c>
      <x:c r="J691" s="7" t="str">
        <x:v>L1</x:v>
      </x:c>
      <x:c r="K691" s="7" t="str">
        <x:v>Verified qualifications do not include active general Life. Current target-pool mismatch; actual historical omission reason unknown.</x:v>
      </x:c>
      <x:c r="L691" s="7" t="str">
        <x:v>Not supplied; membership is known, motive is not</x:v>
      </x:c>
      <x:c r="M691" s="7" t="n">
        <x:v>7</x:v>
      </x:c>
      <x:c r="N691" s="7" t="str">
        <x:v>Outside current general-Life recruiting pool</x:v>
      </x:c>
      <x:c r="O691" s="7" t="str">
        <x:v>Not displayed</x:v>
      </x:c>
      <x:c r="P691" s="7" t="str"/>
      <x:c r="Q691" s="7" t="str"/>
      <x:c r="R691" s="7" t="str"/>
      <x:c r="S691" s="15" t="str"/>
      <x:c r="T691" s="7" t="str">
        <x:v>No public business phone in collected record</x:v>
      </x:c>
      <x:c r="U691" s="7" t="str"/>
      <x:c r="V691" s="7" t="str">
        <x:v>Resident</x:v>
      </x:c>
      <x:c r="W691" s="7" t="str">
        <x:v>CA</x:v>
      </x:c>
      <x:c r="X691" s="7" t="str"/>
      <x:c r="Y691" s="7" t="str"/>
      <x:c r="Z691" s="7" t="str"/>
      <x:c r="AA691" s="7" t="str"/>
      <x:c r="AB691" s="7" t="str"/>
      <x:c r="AC691" s="7" t="str"/>
      <x:c r="AD691" s="7" t="str">
        <x:v>No agency or insurer displayed: onboarding opportunity possible; existing business unknown</x:v>
      </x:c>
      <x:c r="AE691" s="7" t="str">
        <x:v>No public business phone: contact enrichment needed, not proof of poor recruiting fit</x:v>
      </x:c>
      <x:c r="AF691" s="16" t="str"/>
      <x:c r="AG691" s="17" t="str"/>
      <x:c r="AH691" s="7" t="str"/>
      <x:c r="AI691" s="7" t="str"/>
      <x:c r="AJ691" s="7" t="str"/>
      <x:c r="AK691" s="15" t="str"/>
      <x:c r="AL691" s="7" t="str"/>
      <x:c r="AM691" s="7" t="str">
        <x:v>AGUILAR AGUSTIN KENDOR</x:v>
      </x:c>
      <x:c r="AN691" s="7" t="str">
        <x:v>https://cdicloud.insurance.ca.gov/cal/LicenseDetail?SearchType=IND&amp;SearchLicNbr=0H27457&amp;SearchIndvId=1368630</x:v>
      </x:c>
      <x:c r="AO691" s="7" t="str">
        <x:v>2026-10-08</x:v>
      </x:c>
      <x:c r="AP691" s="7" t="str">
        <x:v>48b3315f40250da754dcce6c5d6ad3d3ae496ef946177db58807f115ea3d86b2</x:v>
      </x:c>
      <x:c r="AQ691" s="7" t="str">
        <x:v>Life-Only / Inactive / 12/16/2010 / 12/31/2012 / 12/31/2012</x:v>
      </x:c>
      <x:c r="AR691" s="7" t="str">
        <x:v>Inactive</x:v>
      </x:c>
      <x:c r="AS691" s="7" t="str">
        <x:v>Current detail page</x:v>
      </x:c>
    </x:row>
    <x:row r="692" ht="52" customHeight="1">
      <x:c r="A692" s="7" t="str">
        <x:v>AGUILAR KEVEN L</x:v>
      </x:c>
      <x:c r="B692" s="14" t="str">
        <x:f>"4399879"</x:f>
        <x:v>4399879</x:v>
      </x:c>
      <x:c r="C692" s="7" t="str">
        <x:v>Omitted</x:v>
      </x:c>
      <x:c r="D692" s="7" t="str">
        <x:v>FAIL</x:v>
      </x:c>
      <x:c r="E692" s="13" t="str">
        <x:v>Pending</x:v>
      </x:c>
      <x:c r="F692" s="13" t="str"/>
      <x:c r="G692" s="13" t="str"/>
      <x:c r="H692" s="13" t="str"/>
      <x:c r="I692" s="7" t="str">
        <x:v>Was this person reviewed? If rejected, give the actual rule and evidence. If acceptable, correct the omission. Confirm the Life-qualification gate and any record change since selection.</x:v>
      </x:c>
      <x:c r="J692" s="7" t="str">
        <x:v>L1</x:v>
      </x:c>
      <x:c r="K692" s="7" t="str">
        <x:v>Verified qualifications do not include active general Life. Current target-pool mismatch; actual historical omission reason unknown.</x:v>
      </x:c>
      <x:c r="L692" s="7" t="str">
        <x:v>Not supplied; membership is known, motive is not</x:v>
      </x:c>
      <x:c r="M692" s="7" t="n">
        <x:v>7</x:v>
      </x:c>
      <x:c r="N692" s="7" t="str">
        <x:v>Outside current general-Life recruiting pool</x:v>
      </x:c>
      <x:c r="O692" s="7" t="str"/>
      <x:c r="P692" s="7" t="str">
        <x:v>08/06/2024</x:v>
      </x:c>
      <x:c r="Q692" s="7" t="str">
        <x:v>08/31/2026</x:v>
      </x:c>
      <x:c r="R692" s="7" t="str"/>
      <x:c r="S692" s="15" t="str"/>
      <x:c r="T692" s="7" t="str">
        <x:v>No public business phone in collected record</x:v>
      </x:c>
      <x:c r="U692" s="7" t="str"/>
      <x:c r="V692" s="7" t="str">
        <x:v>Non-resident</x:v>
      </x:c>
      <x:c r="W692" s="7" t="str">
        <x:v>NM</x:v>
      </x:c>
      <x:c r="X692" s="7" t="str"/>
      <x:c r="Y692" s="7" t="str"/>
      <x:c r="Z692" s="7" t="str"/>
      <x:c r="AA692" s="7" t="str"/>
      <x:c r="AB692" s="7" t="str"/>
      <x:c r="AC692" s="7" t="str"/>
      <x:c r="AD692" s="7" t="str">
        <x:v>No agency or insurer displayed: onboarding opportunity possible; existing business unknown</x:v>
      </x:c>
      <x:c r="AE692" s="7" t="str">
        <x:v>Nonresident or address state outside CA; confirm geographic recruiting scope | No public business phone: contact enrichment needed, not proof of poor recruiting fit</x:v>
      </x:c>
      <x:c r="AF692" s="16" t="str"/>
      <x:c r="AG692" s="17" t="str"/>
      <x:c r="AH692" s="7" t="str"/>
      <x:c r="AI692" s="7" t="str"/>
      <x:c r="AJ692" s="7" t="str"/>
      <x:c r="AK692" s="15" t="str"/>
      <x:c r="AL692" s="7" t="str"/>
      <x:c r="AM692" s="7" t="str">
        <x:v>AGUILAR L KEVEN</x:v>
      </x:c>
      <x:c r="AN692" s="7" t="str">
        <x:v>https://cdicloud.insurance.ca.gov/cal/LicenseDetail?SearchType=IND&amp;SearchLicNbr=4399879&amp;SearchIndvId=4399879</x:v>
      </x:c>
      <x:c r="AO692" s="7" t="str">
        <x:v>2026-10-08</x:v>
      </x:c>
      <x:c r="AP692" s="7" t="str">
        <x:v>746438e9e5c00b4415341bd3b3db5b1c016ff9e5882a1741ccd4c62ce3da8fbc</x:v>
      </x:c>
      <x:c r="AQ692" s="7" t="str">
        <x:v>Accident &amp; Health or Sickness /  / 08/06/2024 / 08/31/2026 / 08/31/2026
Life /  / 08/06/2024 / 08/31/2026 / 08/31/2026</x:v>
      </x:c>
      <x:c r="AR692" s="7" t="str"/>
      <x:c r="AS692" s="7" t="str">
        <x:v>Current detail page</x:v>
      </x:c>
    </x:row>
    <x:row r="693" ht="52" customHeight="1">
      <x:c r="A693" s="7" t="str">
        <x:v>AGUILAR KEVIN GABRIEL</x:v>
      </x:c>
      <x:c r="B693" s="14" t="str">
        <x:f>"0I08006"</x:f>
        <x:v>0I08006</x:v>
      </x:c>
      <x:c r="C693" s="7" t="str">
        <x:v>Omitted</x:v>
      </x:c>
      <x:c r="D693" s="7" t="str">
        <x:v>FAIL</x:v>
      </x:c>
      <x:c r="E693" s="13" t="str">
        <x:v>Pending</x:v>
      </x:c>
      <x:c r="F693" s="13" t="str"/>
      <x:c r="G693" s="13" t="str"/>
      <x:c r="H693" s="13" t="str"/>
      <x:c r="I693" s="7" t="str">
        <x:v>Was this person reviewed? If rejected, give the actual rule and evidence. If acceptable, correct the omission. Confirm the Life-qualification gate and any record change since selection.</x:v>
      </x:c>
      <x:c r="J693" s="7" t="str">
        <x:v>L1</x:v>
      </x:c>
      <x:c r="K693" s="7" t="str">
        <x:v>Verified qualifications do not include active general Life. Current target-pool mismatch; actual historical omission reason unknown.</x:v>
      </x:c>
      <x:c r="L693" s="7" t="str">
        <x:v>Not supplied; membership is known, motive is not</x:v>
      </x:c>
      <x:c r="M693" s="7" t="n">
        <x:v>7</x:v>
      </x:c>
      <x:c r="N693" s="7" t="str">
        <x:v>Outside current general-Life recruiting pool</x:v>
      </x:c>
      <x:c r="O693" s="7" t="str">
        <x:v>Not displayed</x:v>
      </x:c>
      <x:c r="P693" s="7" t="str"/>
      <x:c r="Q693" s="7" t="str"/>
      <x:c r="R693" s="7" t="str"/>
      <x:c r="S693" s="15" t="str"/>
      <x:c r="T693" s="7" t="str">
        <x:v>No public business phone in collected record</x:v>
      </x:c>
      <x:c r="U693" s="7" t="str"/>
      <x:c r="V693" s="7" t="str">
        <x:v>Resident</x:v>
      </x:c>
      <x:c r="W693" s="7" t="str">
        <x:v>CA</x:v>
      </x:c>
      <x:c r="X693" s="7" t="str"/>
      <x:c r="Y693" s="7" t="str"/>
      <x:c r="Z693" s="7" t="str"/>
      <x:c r="AA693" s="7" t="str"/>
      <x:c r="AB693" s="7" t="str"/>
      <x:c r="AC693" s="7" t="str"/>
      <x:c r="AD693" s="7" t="str">
        <x:v>No agency or insurer displayed: onboarding opportunity possible; existing business unknown</x:v>
      </x:c>
      <x:c r="AE693" s="7" t="str">
        <x:v>No public business phone: contact enrichment needed, not proof of poor recruiting fit</x:v>
      </x:c>
      <x:c r="AF693" s="16" t="str"/>
      <x:c r="AG693" s="17" t="str"/>
      <x:c r="AH693" s="7" t="str"/>
      <x:c r="AI693" s="7" t="str"/>
      <x:c r="AJ693" s="7" t="str"/>
      <x:c r="AK693" s="15" t="str"/>
      <x:c r="AL693" s="7" t="str"/>
      <x:c r="AM693" s="7" t="str">
        <x:v>AGUILAR GABRIEL KEVIN</x:v>
      </x:c>
      <x:c r="AN693" s="7" t="str">
        <x:v>https://cdicloud.insurance.ca.gov/cal/LicenseDetail?SearchType=IND&amp;SearchLicNbr=0I08006&amp;SearchIndvId=1535025</x:v>
      </x:c>
      <x:c r="AO693" s="7" t="str">
        <x:v>2026-10-08</x:v>
      </x:c>
      <x:c r="AP693" s="7" t="str">
        <x:v>1d994bb94e2fefc55033002cbe9772943ab2127bb7bf7aa03cb5eaab7bd88758</x:v>
      </x:c>
      <x:c r="AQ693" s="7" t="str">
        <x:v>Accident and Health / Inactive / 10/17/2012 / 10/31/2014 / 10/31/2014
Life-Only / Inactive / 10/17/2012 / 10/31/2014 / 10/31/2014</x:v>
      </x:c>
      <x:c r="AR693" s="7" t="str">
        <x:v>Inactive</x:v>
      </x:c>
      <x:c r="AS693" s="7" t="str">
        <x:v>Current detail page</x:v>
      </x:c>
    </x:row>
    <x:row r="694" ht="52" customHeight="1">
      <x:c r="A694" s="7" t="str">
        <x:v>AGUILAR KEVIN STUART</x:v>
      </x:c>
      <x:c r="B694" s="14" t="str">
        <x:f>"2M40603"</x:f>
        <x:v>2M40603</x:v>
      </x:c>
      <x:c r="C694" s="7" t="str">
        <x:v>Omitted</x:v>
      </x:c>
      <x:c r="D694" s="7" t="str">
        <x:v>FAIL</x:v>
      </x:c>
      <x:c r="E694" s="13" t="str">
        <x:v>Pending</x:v>
      </x:c>
      <x:c r="F694" s="13" t="str"/>
      <x:c r="G694" s="13" t="str"/>
      <x:c r="H694" s="13" t="str"/>
      <x:c r="I694" s="7" t="str">
        <x:v>Was this person reviewed? If rejected, give the actual rule and evidence. If acceptable, correct the omission. Confirm the Life-qualification gate and any record change since selection.</x:v>
      </x:c>
      <x:c r="J694" s="7" t="str">
        <x:v>L1</x:v>
      </x:c>
      <x:c r="K694" s="7" t="str">
        <x:v>Verified qualifications do not include active general Life. Current target-pool mismatch; actual historical omission reason unknown.</x:v>
      </x:c>
      <x:c r="L694" s="7" t="str">
        <x:v>Not supplied; membership is known, motive is not</x:v>
      </x:c>
      <x:c r="M694" s="7" t="n">
        <x:v>7</x:v>
      </x:c>
      <x:c r="N694" s="7" t="str">
        <x:v>Outside current general-Life recruiting pool</x:v>
      </x:c>
      <x:c r="O694" s="7" t="str">
        <x:v>Not displayed</x:v>
      </x:c>
      <x:c r="P694" s="7" t="str"/>
      <x:c r="Q694" s="7" t="str"/>
      <x:c r="R694" s="7" t="str"/>
      <x:c r="S694" s="15" t="str"/>
      <x:c r="T694" s="7" t="str">
        <x:v>No public business phone in collected record</x:v>
      </x:c>
      <x:c r="U694" s="7" t="str">
        <x:v>2325 KANSAS AVENUE, #1 SANTA MONICA CA, 90404</x:v>
      </x:c>
      <x:c r="V694" s="7" t="str">
        <x:v>Non-resident</x:v>
      </x:c>
      <x:c r="W694" s="7" t="str">
        <x:v>CA</x:v>
      </x:c>
      <x:c r="X694" s="7" t="str"/>
      <x:c r="Y694" s="7" t="str"/>
      <x:c r="Z694" s="7" t="str"/>
      <x:c r="AA694" s="7" t="str"/>
      <x:c r="AB694" s="7" t="str"/>
      <x:c r="AC694" s="7" t="str"/>
      <x:c r="AD694" s="7" t="str">
        <x:v>No agency or insurer displayed: onboarding opportunity possible; existing business unknown</x:v>
      </x:c>
      <x:c r="AE694" s="7" t="str">
        <x:v>Nonresident or address state outside CA; confirm geographic recruiting scope | No public business phone: contact enrichment needed, not proof of poor recruiting fit</x:v>
      </x:c>
      <x:c r="AF694" s="16" t="str"/>
      <x:c r="AG694" s="17" t="str"/>
      <x:c r="AH694" s="7" t="str"/>
      <x:c r="AI694" s="7" t="str"/>
      <x:c r="AJ694" s="7" t="str"/>
      <x:c r="AK694" s="15" t="str"/>
      <x:c r="AL694" s="7" t="str"/>
      <x:c r="AM694" s="7" t="str">
        <x:v>AGUILAR STUART KEVIN</x:v>
      </x:c>
      <x:c r="AN694" s="7" t="str">
        <x:v>https://cdicloud.insurance.ca.gov/cal/LicenseDetail?SearchType=IND&amp;SearchLicNbr=2M40603&amp;SearchIndvId=1998869</x:v>
      </x:c>
      <x:c r="AO694" s="7" t="str">
        <x:v>2026-10-08</x:v>
      </x:c>
      <x:c r="AP694" s="7" t="str">
        <x:v>4895746bc5eb17030fc7201385cc5b3c69758cb2f9c3787677839a115c77b67e</x:v>
      </x:c>
      <x:c r="AQ694" s="7" t="str">
        <x:v>Public Adjuster / Inactive / 06/18/2018 / 06/30/2022 / 06/30/2022</x:v>
      </x:c>
      <x:c r="AR694" s="7" t="str">
        <x:v>Inactive</x:v>
      </x:c>
      <x:c r="AS694" s="7" t="str">
        <x:v>Current detail page</x:v>
      </x:c>
    </x:row>
    <x:row r="695" ht="52" customHeight="1">
      <x:c r="A695" s="7" t="str">
        <x:v>AGUILAR KHRISTINE ALFONSO</x:v>
      </x:c>
      <x:c r="B695" s="14" t="str">
        <x:f>"0K53374"</x:f>
        <x:v>0K53374</x:v>
      </x:c>
      <x:c r="C695" s="7" t="str">
        <x:v>Omitted</x:v>
      </x:c>
      <x:c r="D695" s="7" t="str">
        <x:v>FAIL</x:v>
      </x:c>
      <x:c r="E695" s="13" t="str">
        <x:v>Pending</x:v>
      </x:c>
      <x:c r="F695" s="13" t="str"/>
      <x:c r="G695" s="13" t="str"/>
      <x:c r="H695" s="13" t="str"/>
      <x:c r="I695" s="7" t="str">
        <x:v>Was this person reviewed? If rejected, give the actual rule and evidence. If acceptable, correct the omission. Confirm the Life-qualification gate and any record change since selection.</x:v>
      </x:c>
      <x:c r="J695" s="7" t="str">
        <x:v>L1</x:v>
      </x:c>
      <x:c r="K695" s="7" t="str">
        <x:v>Verified qualifications do not include active general Life. Current target-pool mismatch; actual historical omission reason unknown.</x:v>
      </x:c>
      <x:c r="L695" s="7" t="str">
        <x:v>Not supplied; membership is known, motive is not</x:v>
      </x:c>
      <x:c r="M695" s="7" t="n">
        <x:v>7</x:v>
      </x:c>
      <x:c r="N695" s="7" t="str">
        <x:v>Outside current general-Life recruiting pool</x:v>
      </x:c>
      <x:c r="O695" s="7" t="str">
        <x:v>Not displayed</x:v>
      </x:c>
      <x:c r="P695" s="7" t="str"/>
      <x:c r="Q695" s="7" t="str"/>
      <x:c r="R695" s="7" t="str"/>
      <x:c r="S695" s="15" t="str"/>
      <x:c r="T695" s="7" t="str">
        <x:v>No public business phone in collected record</x:v>
      </x:c>
      <x:c r="U695" s="7" t="str"/>
      <x:c r="V695" s="7" t="str">
        <x:v>Resident</x:v>
      </x:c>
      <x:c r="W695" s="7" t="str">
        <x:v>CA</x:v>
      </x:c>
      <x:c r="X695" s="7" t="str"/>
      <x:c r="Y695" s="7" t="str"/>
      <x:c r="Z695" s="7" t="str"/>
      <x:c r="AA695" s="7" t="str"/>
      <x:c r="AB695" s="7" t="str"/>
      <x:c r="AC695" s="7" t="str"/>
      <x:c r="AD695" s="7" t="str">
        <x:v>No agency or insurer displayed: onboarding opportunity possible; existing business unknown</x:v>
      </x:c>
      <x:c r="AE695" s="7" t="str">
        <x:v>No public business phone: contact enrichment needed, not proof of poor recruiting fit</x:v>
      </x:c>
      <x:c r="AF695" s="16" t="str"/>
      <x:c r="AG695" s="17" t="str"/>
      <x:c r="AH695" s="7" t="str"/>
      <x:c r="AI695" s="7" t="str"/>
      <x:c r="AJ695" s="7" t="str"/>
      <x:c r="AK695" s="15" t="str"/>
      <x:c r="AL695" s="7" t="str"/>
      <x:c r="AM695" s="7" t="str">
        <x:v>Aguilar A Khristine | AGUILAR ALFONSO KHRISTINE</x:v>
      </x:c>
      <x:c r="AN695" s="7" t="str">
        <x:v>https://cdicloud.insurance.ca.gov/cal/LicenseDetail?SearchType=IND&amp;SearchLicNbr=0K53374&amp;SearchIndvId=1790823</x:v>
      </x:c>
      <x:c r="AO695" s="7" t="str">
        <x:v>2026-10-08</x:v>
      </x:c>
      <x:c r="AP695" s="7" t="str">
        <x:v>3fc4cc9b0ad1fc4d07456d12b915fc805534e0a296a88248d926e07615344296</x:v>
      </x:c>
      <x:c r="AQ695" s="7" t="str">
        <x:v>Accident and Health / Inactive / 10/13/2015 / 10/31/2019 / 10/31/2019
Life-Only / Inactive / 10/13/2015 / 10/31/2019 / 10/31/2019</x:v>
      </x:c>
      <x:c r="AR695" s="7" t="str">
        <x:v>Inactive</x:v>
      </x:c>
      <x:c r="AS695" s="7" t="str">
        <x:v>Current detail page</x:v>
      </x:c>
    </x:row>
    <x:row r="696" ht="52" customHeight="1">
      <x:c r="A696" s="7" t="str">
        <x:v>AGUILAR KIMBERLY</x:v>
      </x:c>
      <x:c r="B696" s="14" t="str">
        <x:f>"4082463"</x:f>
        <x:v>4082463</x:v>
      </x:c>
      <x:c r="C696" s="7" t="str">
        <x:v>Omitted</x:v>
      </x:c>
      <x:c r="D696" s="7" t="str">
        <x:v>FAIL</x:v>
      </x:c>
      <x:c r="E696" s="13" t="str">
        <x:v>Pending</x:v>
      </x:c>
      <x:c r="F696" s="13" t="str"/>
      <x:c r="G696" s="13" t="str"/>
      <x:c r="H696" s="13" t="str"/>
      <x:c r="I696" s="7" t="str">
        <x:v>Was this person reviewed? If rejected, give the actual rule and evidence. If acceptable, correct the omission. Confirm the Life-qualification gate and any record change since selection.</x:v>
      </x:c>
      <x:c r="J696" s="7" t="str">
        <x:v>L1</x:v>
      </x:c>
      <x:c r="K696" s="7" t="str">
        <x:v>Verified qualifications do not include active general Life. Current target-pool mismatch; actual historical omission reason unknown.</x:v>
      </x:c>
      <x:c r="L696" s="7" t="str">
        <x:v>Not supplied; membership is known, motive is not</x:v>
      </x:c>
      <x:c r="M696" s="7" t="n">
        <x:v>7</x:v>
      </x:c>
      <x:c r="N696" s="7" t="str">
        <x:v>Outside current general-Life recruiting pool</x:v>
      </x:c>
      <x:c r="O696" s="7" t="str">
        <x:v>Inactive</x:v>
      </x:c>
      <x:c r="P696" s="7" t="str">
        <x:v>04/08/2021</x:v>
      </x:c>
      <x:c r="Q696" s="7" t="str">
        <x:v>04/30/2023</x:v>
      </x:c>
      <x:c r="R696" s="7" t="str">
        <x:v>Limited Lines Automobile</x:v>
      </x:c>
      <x:c r="S696" s="15" t="str">
        <x:v>818-282-0907</x:v>
      </x:c>
      <x:c r="T696" s="7" t="str">
        <x:v>Current CDI</x:v>
      </x:c>
      <x:c r="U696" s="7" t="str">
        <x:v>3120 E TULARE ST SUITE 104 FRESNO CA, 93702</x:v>
      </x:c>
      <x:c r="V696" s="7" t="str">
        <x:v>Resident</x:v>
      </x:c>
      <x:c r="W696" s="7" t="str">
        <x:v>CA</x:v>
      </x:c>
      <x:c r="X696" s="7" t="str">
        <x:v>FRED LOYA INSURANCE AGENCY, INC. / Limited Lines Automobile / 07/18/2023</x:v>
      </x:c>
      <x:c r="Y696" s="7" t="str"/>
      <x:c r="Z696" s="7" t="str"/>
      <x:c r="AA696" s="7" t="str"/>
      <x:c r="AB696" s="7" t="str"/>
      <x:c r="AC696" s="7" t="str"/>
      <x:c r="AD696" s="7" t="str"/>
      <x:c r="AE696" s="7" t="str"/>
      <x:c r="AF696" s="16" t="str"/>
      <x:c r="AG696" s="17" t="str"/>
      <x:c r="AH696" s="7" t="str"/>
      <x:c r="AI696" s="7" t="str">
        <x:v>English</x:v>
      </x:c>
      <x:c r="AJ696" s="7" t="str"/>
      <x:c r="AK696" s="15" t="str"/>
      <x:c r="AL696" s="7" t="str"/>
      <x:c r="AM696" s="7" t="str">
        <x:v>AGUILAR  KIMBERLY</x:v>
      </x:c>
      <x:c r="AN696" s="7" t="str">
        <x:v>https://cdicloud.insurance.ca.gov/cal/LicenseDetail?SearchType=IND&amp;SearchLicNbr=4082463&amp;SearchIndvId=4082463</x:v>
      </x:c>
      <x:c r="AO696" s="7" t="str">
        <x:v>2026-10-08</x:v>
      </x:c>
      <x:c r="AP696" s="7" t="str">
        <x:v>53ee7a6a2aa487ffc5461eac1180b0764b672f46be0e6bb9d7cfae9e74f2db35</x:v>
      </x:c>
      <x:c r="AQ696" s="7" t="str">
        <x:v>Limited Lines Automobile / Active / 07/17/2023 / 07/17/2023 / 07/31/2027
Life / Inactive / 04/08/2021 / 04/30/2023 / 04/30/2023</x:v>
      </x:c>
      <x:c r="AR696" s="7" t="str">
        <x:v>Active</x:v>
      </x:c>
      <x:c r="AS696" s="7" t="str">
        <x:v>Current detail page</x:v>
      </x:c>
    </x:row>
    <x:row r="697" ht="52" customHeight="1">
      <x:c r="A697" s="7" t="str">
        <x:v>AGUILAR KIMBERLY</x:v>
      </x:c>
      <x:c r="B697" s="14" t="str">
        <x:f>"4191862"</x:f>
        <x:v>4191862</x:v>
      </x:c>
      <x:c r="C697" s="7" t="str">
        <x:v>Omitted</x:v>
      </x:c>
      <x:c r="D697" s="7" t="str">
        <x:v>FAIL</x:v>
      </x:c>
      <x:c r="E697" s="13" t="str">
        <x:v>Pending</x:v>
      </x:c>
      <x:c r="F697" s="13" t="str"/>
      <x:c r="G697" s="13" t="str"/>
      <x:c r="H697" s="13" t="str"/>
      <x:c r="I697" s="7" t="str">
        <x:v>Was this person reviewed? If rejected, give the actual rule and evidence. If acceptable, correct the omission. Confirm the Life-qualification gate and any record change since selection.</x:v>
      </x:c>
      <x:c r="J697" s="7" t="str">
        <x:v>L1</x:v>
      </x:c>
      <x:c r="K697" s="7" t="str">
        <x:v>Verified qualifications do not include active general Life. Current target-pool mismatch; actual historical omission reason unknown.</x:v>
      </x:c>
      <x:c r="L697" s="7" t="str">
        <x:v>Not supplied; membership is known, motive is not</x:v>
      </x:c>
      <x:c r="M697" s="7" t="n">
        <x:v>7</x:v>
      </x:c>
      <x:c r="N697" s="7" t="str">
        <x:v>Outside current general-Life recruiting pool</x:v>
      </x:c>
      <x:c r="O697" s="7" t="str">
        <x:v>Not displayed</x:v>
      </x:c>
      <x:c r="P697" s="7" t="str"/>
      <x:c r="Q697" s="7" t="str"/>
      <x:c r="R697" s="7" t="str">
        <x:v>Personal Lines</x:v>
      </x:c>
      <x:c r="S697" s="15" t="str">
        <x:v>818-818-5500</x:v>
      </x:c>
      <x:c r="T697" s="7" t="str">
        <x:v>Current CDI</x:v>
      </x:c>
      <x:c r="U697" s="7" t="str">
        <x:v>8949 RESEDA BLVD STE 102 NORTHRIDGE CA, 91324</x:v>
      </x:c>
      <x:c r="V697" s="7" t="str">
        <x:v>Resident</x:v>
      </x:c>
      <x:c r="W697" s="7" t="str">
        <x:v>CA</x:v>
      </x:c>
      <x:c r="X697" s="7" t="str"/>
      <x:c r="Y697" s="7" t="str"/>
      <x:c r="Z697" s="7" t="str"/>
      <x:c r="AA697" s="7" t="str"/>
      <x:c r="AB697" s="7" t="str">
        <x:v>GREENE ALESE MARSHALL / Personal Lines / 01/22/2024
MARIAN MOLHEM INSURANCE AGENCY INC / Casualty / 04/01/2024
MARIAN MOLHEM INSURANCE AGENCY INC / Property / 04/01/2024
VELEZ FERDINAND / Personal Lines / 01/22/2024
ZAREI WALKIRIA AYIMARA / Personal Lines / 07/25/2022</x:v>
      </x:c>
      <x:c r="AC697" s="7" t="str"/>
      <x:c r="AD697" s="7" t="str">
        <x:v>No agency or insurer displayed: onboarding opportunity possible; existing business unknown</x:v>
      </x:c>
      <x:c r="AE697" s="7" t="str">
        <x:v>P&amp;C/Personal Lines authority without displayed core Life appointments; mixed profile requires review | Sponsor relationships displayed: GREENE ALESE MARSHALL, MARIAN MOLHEM INSURANCE AGENCY INC, VELEZ FERDINAND, ZAREI WALKIRIA AYIMARA; inspect line-specific relationship, not a blanket employment inference</x:v>
      </x:c>
      <x:c r="AF697" s="16" t="str"/>
      <x:c r="AG697" s="17" t="str"/>
      <x:c r="AH697" s="7" t="str"/>
      <x:c r="AI697" s="7" t="str">
        <x:v>English</x:v>
      </x:c>
      <x:c r="AJ697" s="7" t="str"/>
      <x:c r="AK697" s="15" t="str"/>
      <x:c r="AL697" s="7" t="str"/>
      <x:c r="AM697" s="7" t="str">
        <x:v>AGUILAR  KIMBERLY</x:v>
      </x:c>
      <x:c r="AN697" s="7" t="str">
        <x:v>https://cdicloud.insurance.ca.gov/cal/LicenseDetail?SearchType=IND&amp;SearchLicNbr=4191862&amp;SearchIndvId=4191862</x:v>
      </x:c>
      <x:c r="AO697" s="7" t="str">
        <x:v>2026-10-08</x:v>
      </x:c>
      <x:c r="AP697" s="7" t="str">
        <x:v>8ce874770398ce9900f5e1b5b1f7a5a3966ef9428687de9944837eebe6a715b4</x:v>
      </x:c>
      <x:c r="AQ697" s="7" t="str">
        <x:v>Personal Lines / Active / 04/07/2022 / 04/07/2022 / 04/30/2028</x:v>
      </x:c>
      <x:c r="AR697" s="7" t="str">
        <x:v>Active</x:v>
      </x:c>
      <x:c r="AS697" s="7" t="str">
        <x:v>Current detail page</x:v>
      </x:c>
    </x:row>
    <x:row r="698" ht="52" customHeight="1">
      <x:c r="A698" s="7" t="str">
        <x:v>AGUILAR KIMBERLY</x:v>
      </x:c>
      <x:c r="B698" s="14" t="str">
        <x:f>"4493318"</x:f>
        <x:v>4493318</x:v>
      </x:c>
      <x:c r="C698" s="7" t="str">
        <x:v>Omitted</x:v>
      </x:c>
      <x:c r="D698" s="7" t="str">
        <x:v>FAIL</x:v>
      </x:c>
      <x:c r="E698" s="13" t="str">
        <x:v>Pending</x:v>
      </x:c>
      <x:c r="F698" s="13" t="str"/>
      <x:c r="G698" s="13" t="str"/>
      <x:c r="H698" s="13" t="str"/>
      <x:c r="I698" s="7" t="str">
        <x:v>Was this person reviewed? If rejected, give the actual rule and evidence. If acceptable, correct the omission. Confirm the Life-qualification gate and any record change since selection.</x:v>
      </x:c>
      <x:c r="J698" s="7" t="str">
        <x:v>L1</x:v>
      </x:c>
      <x:c r="K698" s="7" t="str">
        <x:v>Verified qualifications do not include active general Life. Current target-pool mismatch; actual historical omission reason unknown.</x:v>
      </x:c>
      <x:c r="L698" s="7" t="str">
        <x:v>Not supplied; membership is known, motive is not</x:v>
      </x:c>
      <x:c r="M698" s="7" t="n">
        <x:v>7</x:v>
      </x:c>
      <x:c r="N698" s="7" t="str">
        <x:v>Outside current general-Life recruiting pool</x:v>
      </x:c>
      <x:c r="O698" s="7" t="str">
        <x:v>Not displayed</x:v>
      </x:c>
      <x:c r="P698" s="7" t="str"/>
      <x:c r="Q698" s="7" t="str"/>
      <x:c r="R698" s="7" t="str">
        <x:v>Personal Lines</x:v>
      </x:c>
      <x:c r="S698" s="15" t="str"/>
      <x:c r="T698" s="7" t="str">
        <x:v>No public business phone in collected record</x:v>
      </x:c>
      <x:c r="U698" s="7" t="str">
        <x:v>9800 FREDERICKSBURG RD SAN ANTONIO TX, 78288</x:v>
      </x:c>
      <x:c r="V698" s="7" t="str">
        <x:v>Non-resident</x:v>
      </x:c>
      <x:c r="W698" s="7" t="str">
        <x:v>TX</x:v>
      </x:c>
      <x:c r="X698" s="7" t="str"/>
      <x:c r="Y698" s="7" t="str">
        <x:v>GARRISON PROPERTY AND CASUALTY INSURANCE COMPANY / Personal Lines / 09/17/2025
UNITED SERVICES AUTOMOBILE ASSOCIATION / Personal Lines / 09/17/2025
USAA CASUALTY INSURANCE COMPANY / Personal Lines / 09/17/2025
USAA GENERAL INDEMNITY COMPANY / Personal Lines / 09/17/2025</x:v>
      </x:c>
      <x:c r="Z698" s="7" t="str"/>
      <x:c r="AA698" s="7" t="str"/>
      <x:c r="AB698" s="7" t="str"/>
      <x:c r="AC698" s="7" t="str"/>
      <x:c r="AD698" s="7" t="str"/>
      <x:c r="AE698"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698" s="16" t="str"/>
      <x:c r="AG698" s="17" t="str"/>
      <x:c r="AH698" s="7" t="str"/>
      <x:c r="AI698" s="7" t="str"/>
      <x:c r="AJ698" s="7" t="str"/>
      <x:c r="AK698" s="15" t="str"/>
      <x:c r="AL698" s="7" t="str"/>
      <x:c r="AM698" s="7" t="str">
        <x:v>AGUILAR  KIMBERLY</x:v>
      </x:c>
      <x:c r="AN698" s="7" t="str">
        <x:v>https://cdicloud.insurance.ca.gov/cal/LicenseDetail?SearchType=IND&amp;SearchLicNbr=4493318&amp;SearchIndvId=4493318</x:v>
      </x:c>
      <x:c r="AO698" s="7" t="str">
        <x:v>2026-10-08</x:v>
      </x:c>
      <x:c r="AP698" s="7" t="str">
        <x:v>5641b9666f94580751639d4b1e85a156e8ad8d2da2c97153cf5fe0e5c0e91bf1</x:v>
      </x:c>
      <x:c r="AQ698" s="7" t="str">
        <x:v>Personal Lines / Active / 09/15/2025 / 09/15/2025 / 09/30/2027</x:v>
      </x:c>
      <x:c r="AR698" s="7" t="str">
        <x:v>Active</x:v>
      </x:c>
      <x:c r="AS698" s="7" t="str">
        <x:v>Current detail page</x:v>
      </x:c>
    </x:row>
    <x:row r="699" ht="52" customHeight="1">
      <x:c r="A699" s="7" t="str">
        <x:v>AGUILAR KIMBERLY ANNE</x:v>
      </x:c>
      <x:c r="B699" s="14" t="str">
        <x:f>"0D62393"</x:f>
        <x:v>0D62393</x:v>
      </x:c>
      <x:c r="C699" s="7" t="str">
        <x:v>Omitted</x:v>
      </x:c>
      <x:c r="D699" s="7" t="str">
        <x:v>FAIL</x:v>
      </x:c>
      <x:c r="E699" s="13" t="str">
        <x:v>Pending</x:v>
      </x:c>
      <x:c r="F699" s="13" t="str"/>
      <x:c r="G699" s="13" t="str"/>
      <x:c r="H699" s="13" t="str"/>
      <x:c r="I699" s="7" t="str">
        <x:v>Was this person reviewed? If rejected, give the actual rule and evidence. If acceptable, correct the omission. Confirm the Life-qualification gate and any record change since selection.</x:v>
      </x:c>
      <x:c r="J699" s="7" t="str">
        <x:v>L1</x:v>
      </x:c>
      <x:c r="K699" s="7" t="str">
        <x:v>Verified qualifications do not include active general Life. Current target-pool mismatch; actual historical omission reason unknown.</x:v>
      </x:c>
      <x:c r="L699" s="7" t="str">
        <x:v>Not supplied; membership is known, motive is not</x:v>
      </x:c>
      <x:c r="M699" s="7" t="n">
        <x:v>7</x:v>
      </x:c>
      <x:c r="N699" s="7" t="str">
        <x:v>Outside current general-Life recruiting pool</x:v>
      </x:c>
      <x:c r="O699" s="7" t="str">
        <x:v>Not displayed</x:v>
      </x:c>
      <x:c r="P699" s="7" t="str"/>
      <x:c r="Q699" s="7" t="str"/>
      <x:c r="R699" s="7" t="str"/>
      <x:c r="S699" s="15" t="str"/>
      <x:c r="T699" s="7" t="str">
        <x:v>No public business phone in collected record</x:v>
      </x:c>
      <x:c r="U699" s="7" t="str"/>
      <x:c r="V699" s="7" t="str">
        <x:v>Resident</x:v>
      </x:c>
      <x:c r="W699" s="7" t="str">
        <x:v>CA</x:v>
      </x:c>
      <x:c r="X699" s="7" t="str"/>
      <x:c r="Y699" s="7" t="str"/>
      <x:c r="Z699" s="7" t="str"/>
      <x:c r="AA699" s="7" t="str"/>
      <x:c r="AB699" s="7" t="str"/>
      <x:c r="AC699" s="7" t="str"/>
      <x:c r="AD699" s="7" t="str">
        <x:v>No agency or insurer displayed: onboarding opportunity possible; existing business unknown</x:v>
      </x:c>
      <x:c r="AE699" s="7" t="str">
        <x:v>No public business phone: contact enrichment needed, not proof of poor recruiting fit</x:v>
      </x:c>
      <x:c r="AF699" s="16" t="str"/>
      <x:c r="AG699" s="17" t="str"/>
      <x:c r="AH699" s="7" t="str"/>
      <x:c r="AI699" s="7" t="str"/>
      <x:c r="AJ699" s="7" t="str"/>
      <x:c r="AK699" s="15" t="str"/>
      <x:c r="AL699" s="7" t="str"/>
      <x:c r="AM699" s="7" t="str">
        <x:v>AGUILAR ANNE KIMBERLY</x:v>
      </x:c>
      <x:c r="AN699" s="7" t="str">
        <x:v>https://cdicloud.insurance.ca.gov/cal/LicenseDetail?SearchType=IND&amp;SearchLicNbr=0D62393&amp;SearchIndvId=681106</x:v>
      </x:c>
      <x:c r="AO699" s="7" t="str">
        <x:v>2026-10-08</x:v>
      </x:c>
      <x:c r="AP699" s="7" t="str">
        <x:v>c9f29b39549785d2f305f98f42fbda5c853bcfbcc5cd5385f5c9a55ca9718ed3</x:v>
      </x:c>
      <x:c r="AQ699" s="7" t="str">
        <x:v>Accident and Health / Inactive / 04/16/2002 / 04/30/2004 / 04/30/2004
Life-Only / Inactive / 04/16/2002 / 04/30/2004 / 04/30/2004</x:v>
      </x:c>
      <x:c r="AR699" s="7" t="str">
        <x:v>Inactive</x:v>
      </x:c>
      <x:c r="AS699" s="7" t="str">
        <x:v>Current detail page</x:v>
      </x:c>
    </x:row>
    <x:row r="700" ht="52" customHeight="1">
      <x:c r="A700" s="7" t="str">
        <x:v>AGUILAR KIMBERLY GENNETTE</x:v>
      </x:c>
      <x:c r="B700" s="14" t="str">
        <x:f>"0675485"</x:f>
        <x:v>0675485</x:v>
      </x:c>
      <x:c r="C700" s="7" t="str">
        <x:v>Omitted</x:v>
      </x:c>
      <x:c r="D700" s="7" t="str">
        <x:v>FAIL</x:v>
      </x:c>
      <x:c r="E700" s="13" t="str">
        <x:v>Pending</x:v>
      </x:c>
      <x:c r="F700" s="13" t="str"/>
      <x:c r="G700" s="13" t="str"/>
      <x:c r="H700" s="13" t="str"/>
      <x:c r="I700" s="7" t="str">
        <x:v>Was this person reviewed? If rejected, give the actual rule and evidence. If acceptable, correct the omission. Confirm the Life-qualification gate and any record change since selection.</x:v>
      </x:c>
      <x:c r="J700" s="7" t="str">
        <x:v>L1</x:v>
      </x:c>
      <x:c r="K700" s="7" t="str">
        <x:v>Verified qualifications do not include active general Life. Current target-pool mismatch; actual historical omission reason unknown.</x:v>
      </x:c>
      <x:c r="L700" s="7" t="str">
        <x:v>Not supplied; membership is known, motive is not</x:v>
      </x:c>
      <x:c r="M700" s="7" t="n">
        <x:v>7</x:v>
      </x:c>
      <x:c r="N700" s="7" t="str">
        <x:v>Outside current general-Life recruiting pool</x:v>
      </x:c>
      <x:c r="O700" s="7" t="str">
        <x:v>Not displayed</x:v>
      </x:c>
      <x:c r="P700" s="7" t="str"/>
      <x:c r="Q700" s="7" t="str"/>
      <x:c r="R700" s="7" t="str">
        <x:v>Casualty; Property</x:v>
      </x:c>
      <x:c r="S700" s="15" t="str">
        <x:v>201-351-0143</x:v>
      </x:c>
      <x:c r="T700" s="7" t="str">
        <x:v>Current CDI</x:v>
      </x:c>
      <x:c r="U700" s="7" t="str">
        <x:v>3113 CARLTON DR THOUSAND OAKS CA, 91360-4664</x:v>
      </x:c>
      <x:c r="V700" s="7" t="str">
        <x:v>Resident</x:v>
      </x:c>
      <x:c r="W700" s="7" t="str">
        <x:v>CA</x:v>
      </x:c>
      <x:c r="X700" s="7" t="str">
        <x:v>LIBERTY COMPANY INSURANCE BROKERS, LLC, THE / Property / 11/18/2025
LIBERTY COMPANY INSURANCE BROKERS, LLC, THE / Casualty / 11/18/2025</x:v>
      </x:c>
      <x:c r="Y700" s="7" t="str">
        <x:v>ALLMERICA FINANCIAL BENEFIT INSURANCE COMPANY / Casualty / 12/19/2025
ALLMERICA FINANCIAL BENEFIT INSURANCE COMPANY / Property / 12/19/2025
CITIZENS INSURANCE COMPANY OF AMERICA / Casualty / 12/19/2025
CITIZENS INSURANCE COMPANY OF AMERICA / Property / 12/19/2025
HANOVER AMERICAN INSURANCE COMPANY (THE) / Casualty / 12/19/2025
HANOVER AMERICAN INSURANCE COMPANY (THE) / Property / 12/19/2025
HANOVER INSURANCE COMPANY (THE) / Casualty / 12/19/2025
HANOVER INSURANCE COMPANY (THE) / Property / 12/19/2025
MASSACHUSETTS BAY INSURANCE COMPANY / Casualty / 12/19/2025
MASSACHUSETTS BAY INSURANCE COMPANY / Property / 12/19/2025
VERLAN FIRE INSURANCE COMPANY / Casualty / 12/19/2025
VERLAN FIRE INSURANCE COMPANY / Property / 12/19/2025</x:v>
      </x:c>
      <x:c r="Z700" s="7" t="str"/>
      <x:c r="AA700" s="7" t="str"/>
      <x:c r="AB700" s="7" t="str"/>
      <x:c r="AC700" s="7" t="str"/>
      <x:c r="AD700" s="7" t="str"/>
      <x:c r="AE700" s="7" t="str">
        <x:v>P&amp;C/Personal Lines authority without displayed core Life appointments; mixed profile requires review</x:v>
      </x:c>
      <x:c r="AF700" s="16" t="str"/>
      <x:c r="AG700" s="17" t="str"/>
      <x:c r="AH700" s="7" t="str"/>
      <x:c r="AI700" s="7" t="str">
        <x:v>English</x:v>
      </x:c>
      <x:c r="AJ700" s="7" t="str"/>
      <x:c r="AK700" s="15" t="str"/>
      <x:c r="AL700" s="7" t="str"/>
      <x:c r="AM700" s="7" t="str">
        <x:v>AGUILAR GENNETTE KIMBERLY</x:v>
      </x:c>
      <x:c r="AN700" s="7" t="str">
        <x:v>https://cdicloud.insurance.ca.gov/cal/LicenseDetail?SearchType=IND&amp;SearchLicNbr=0675485&amp;SearchIndvId=408004</x:v>
      </x:c>
      <x:c r="AO700" s="7" t="str">
        <x:v>2026-10-08</x:v>
      </x:c>
      <x:c r="AP700" s="7" t="str">
        <x:v>07183bb8c6e2b37485f91485e126c9efaacbe797577767499c6e4ecbedb5b4ac</x:v>
      </x:c>
      <x:c r="AQ700" s="7" t="str">
        <x:v>Casualty / Active / 06/15/1992 / 06/15/1992 / 06/30/2028
Property / Active / 06/15/1992 / 06/15/1992 / 06/30/2028</x:v>
      </x:c>
      <x:c r="AR700" s="7" t="str">
        <x:v>Active</x:v>
      </x:c>
      <x:c r="AS700" s="7" t="str">
        <x:v>Current detail page</x:v>
      </x:c>
    </x:row>
    <x:row r="701" ht="52" customHeight="1">
      <x:c r="A701" s="7" t="str">
        <x:v>AGUILAR KIRSTEN HAZEL</x:v>
      </x:c>
      <x:c r="B701" s="14" t="str">
        <x:f>"0L75679"</x:f>
        <x:v>0L75679</x:v>
      </x:c>
      <x:c r="C701" s="7" t="str">
        <x:v>Omitted</x:v>
      </x:c>
      <x:c r="D701" s="7" t="str">
        <x:v>FAIL</x:v>
      </x:c>
      <x:c r="E701" s="13" t="str">
        <x:v>Pending</x:v>
      </x:c>
      <x:c r="F701" s="13" t="str"/>
      <x:c r="G701" s="13" t="str"/>
      <x:c r="H701" s="13" t="str"/>
      <x:c r="I701" s="7" t="str">
        <x:v>Was this person reviewed? If rejected, give the actual rule and evidence. If acceptable, correct the omission. Confirm the Life-qualification gate and any record change since selection.</x:v>
      </x:c>
      <x:c r="J701" s="7" t="str">
        <x:v>L1</x:v>
      </x:c>
      <x:c r="K701" s="7" t="str">
        <x:v>Verified qualifications do not include active general Life. Current target-pool mismatch; actual historical omission reason unknown.</x:v>
      </x:c>
      <x:c r="L701" s="7" t="str">
        <x:v>Not supplied; membership is known, motive is not</x:v>
      </x:c>
      <x:c r="M701" s="7" t="n">
        <x:v>7</x:v>
      </x:c>
      <x:c r="N701" s="7" t="str">
        <x:v>Outside current general-Life recruiting pool</x:v>
      </x:c>
      <x:c r="O701" s="7" t="str">
        <x:v>Not displayed</x:v>
      </x:c>
      <x:c r="P701" s="7" t="str"/>
      <x:c r="Q701" s="7" t="str"/>
      <x:c r="R701" s="7" t="str"/>
      <x:c r="S701" s="15" t="str"/>
      <x:c r="T701" s="7" t="str">
        <x:v>No public business phone in collected record</x:v>
      </x:c>
      <x:c r="U701" s="7" t="str"/>
      <x:c r="V701" s="7" t="str">
        <x:v>Resident</x:v>
      </x:c>
      <x:c r="W701" s="7" t="str">
        <x:v>CA</x:v>
      </x:c>
      <x:c r="X701" s="7" t="str"/>
      <x:c r="Y701" s="7" t="str"/>
      <x:c r="Z701" s="7" t="str"/>
      <x:c r="AA701" s="7" t="str"/>
      <x:c r="AB701" s="7" t="str"/>
      <x:c r="AC701" s="7" t="str"/>
      <x:c r="AD701" s="7" t="str">
        <x:v>No agency or insurer displayed: onboarding opportunity possible; existing business unknown</x:v>
      </x:c>
      <x:c r="AE701" s="7" t="str">
        <x:v>No public business phone: contact enrichment needed, not proof of poor recruiting fit</x:v>
      </x:c>
      <x:c r="AF701" s="16" t="str"/>
      <x:c r="AG701" s="17" t="str"/>
      <x:c r="AH701" s="7" t="str"/>
      <x:c r="AI701" s="7" t="str"/>
      <x:c r="AJ701" s="7" t="str"/>
      <x:c r="AK701" s="15" t="str"/>
      <x:c r="AL701" s="7" t="str"/>
      <x:c r="AM701" s="7" t="str">
        <x:v>Aguilar H Kirsten | AGUILAR HAZEL KIRSTEN</x:v>
      </x:c>
      <x:c r="AN701" s="7" t="str">
        <x:v>https://cdicloud.insurance.ca.gov/cal/LicenseDetail?SearchType=IND&amp;SearchLicNbr=0L75679&amp;SearchIndvId=1939499</x:v>
      </x:c>
      <x:c r="AO701" s="7" t="str">
        <x:v>2026-10-08</x:v>
      </x:c>
      <x:c r="AP701" s="7" t="str">
        <x:v>88fe548ae32f3d5f2329e44ab4480e7816925a1e1c621dafac3d6d56c52b76e8</x:v>
      </x:c>
      <x:c r="AQ701" s="7" t="str">
        <x:v>Life-Only / Inactive / 05/19/2017 / 05/31/2019 / 05/31/2019</x:v>
      </x:c>
      <x:c r="AR701" s="7" t="str">
        <x:v>Inactive</x:v>
      </x:c>
      <x:c r="AS701" s="7" t="str">
        <x:v>Current detail page</x:v>
      </x:c>
    </x:row>
    <x:row r="702" ht="52" customHeight="1">
      <x:c r="A702" s="7" t="str">
        <x:v>AGUILAR KRISHNA GOMEZ</x:v>
      </x:c>
      <x:c r="B702" s="14" t="str">
        <x:f>"0D21027"</x:f>
        <x:v>0D21027</x:v>
      </x:c>
      <x:c r="C702" s="7" t="str">
        <x:v>Omitted</x:v>
      </x:c>
      <x:c r="D702" s="7" t="str">
        <x:v>FAIL</x:v>
      </x:c>
      <x:c r="E702" s="13" t="str">
        <x:v>Pending</x:v>
      </x:c>
      <x:c r="F702" s="13" t="str"/>
      <x:c r="G702" s="13" t="str"/>
      <x:c r="H702" s="13" t="str"/>
      <x:c r="I702" s="7" t="str">
        <x:v>Was this person reviewed? If rejected, give the actual rule and evidence. If acceptable, correct the omission. Confirm the Life-qualification gate and any record change since selection.</x:v>
      </x:c>
      <x:c r="J702" s="7" t="str">
        <x:v>L1</x:v>
      </x:c>
      <x:c r="K702" s="7" t="str">
        <x:v>Verified qualifications do not include active general Life. Current target-pool mismatch; actual historical omission reason unknown.</x:v>
      </x:c>
      <x:c r="L702" s="7" t="str">
        <x:v>Not supplied; membership is known, motive is not</x:v>
      </x:c>
      <x:c r="M702" s="7" t="n">
        <x:v>7</x:v>
      </x:c>
      <x:c r="N702" s="7" t="str">
        <x:v>Outside current general-Life recruiting pool</x:v>
      </x:c>
      <x:c r="O702" s="7" t="str">
        <x:v>Not displayed</x:v>
      </x:c>
      <x:c r="P702" s="7" t="str"/>
      <x:c r="Q702" s="7" t="str"/>
      <x:c r="R702" s="7" t="str"/>
      <x:c r="S702" s="15" t="str"/>
      <x:c r="T702" s="7" t="str">
        <x:v>No public business phone in collected record</x:v>
      </x:c>
      <x:c r="U702" s="7" t="str"/>
      <x:c r="V702" s="7" t="str">
        <x:v>Resident</x:v>
      </x:c>
      <x:c r="W702" s="7" t="str">
        <x:v>CA</x:v>
      </x:c>
      <x:c r="X702" s="7" t="str"/>
      <x:c r="Y702" s="7" t="str"/>
      <x:c r="Z702" s="7" t="str">
        <x:v>ORDER ID: &lt;SA010497&gt; AP LICENSE AND LICENSING RIGHTS OF RESPONDENT ARE HEREBY REVOKED. / 07/01/2001</x:v>
      </x:c>
      <x:c r="AA702" s="7" t="str"/>
      <x:c r="AB702" s="7" t="str"/>
      <x:c r="AC702" s="7" t="str"/>
      <x:c r="AD702" s="7" t="str">
        <x:v>No agency or insurer displayed: onboarding opportunity possible; existing business unknown</x:v>
      </x:c>
      <x:c r="AE702" s="7" t="str">
        <x:v>Enforcement order requires direct review; latest displayed order is not a removal order | No public business phone: contact enrichment needed, not proof of poor recruiting fit</x:v>
      </x:c>
      <x:c r="AF702" s="16" t="str"/>
      <x:c r="AG702" s="17" t="str"/>
      <x:c r="AH702" s="7" t="str"/>
      <x:c r="AI702" s="7" t="str"/>
      <x:c r="AJ702" s="7" t="str"/>
      <x:c r="AK702" s="15" t="str"/>
      <x:c r="AL702" s="7" t="str"/>
      <x:c r="AM702" s="7" t="str">
        <x:v>AGUILAR GOMEZ KRISHNA</x:v>
      </x:c>
      <x:c r="AN702" s="7" t="str">
        <x:v>https://cdicloud.insurance.ca.gov/cal/LicenseDetail?SearchType=IND&amp;SearchLicNbr=0D21027&amp;SearchIndvId=540634</x:v>
      </x:c>
      <x:c r="AO702" s="7" t="str">
        <x:v>2026-10-08</x:v>
      </x:c>
      <x:c r="AP702" s="7" t="str">
        <x:v>726c21746655099b96886b44b436417edcce11f4a3552e70472fdd79689fe63c</x:v>
      </x:c>
      <x:c r="AQ702" s="7" t="str">
        <x:v>Accident and Health / Inactive / 02/17/2001 / 07/01/2001 / 07/01/2001
Life-Only / Inactive / 02/17/2001 / 07/01/2001 / 07/01/2001</x:v>
      </x:c>
      <x:c r="AR702" s="7" t="str">
        <x:v>Inactive</x:v>
      </x:c>
      <x:c r="AS702" s="7" t="str">
        <x:v>Current detail page</x:v>
      </x:c>
    </x:row>
    <x:row r="703" ht="52" customHeight="1">
      <x:c r="A703" s="7" t="str">
        <x:v>AGUILAR KRISTEN ANN</x:v>
      </x:c>
      <x:c r="B703" s="14" t="str">
        <x:f>"0E43393"</x:f>
        <x:v>0E43393</x:v>
      </x:c>
      <x:c r="C703" s="7" t="str">
        <x:v>Omitted</x:v>
      </x:c>
      <x:c r="D703" s="7" t="str">
        <x:v>FAIL</x:v>
      </x:c>
      <x:c r="E703" s="13" t="str">
        <x:v>Pending</x:v>
      </x:c>
      <x:c r="F703" s="13" t="str"/>
      <x:c r="G703" s="13" t="str"/>
      <x:c r="H703" s="13" t="str"/>
      <x:c r="I703" s="7" t="str">
        <x:v>Was this person reviewed? If rejected, give the actual rule and evidence. If acceptable, correct the omission. Confirm the Life-qualification gate and any record change since selection.</x:v>
      </x:c>
      <x:c r="J703" s="7" t="str">
        <x:v>L1</x:v>
      </x:c>
      <x:c r="K703" s="7" t="str">
        <x:v>Verified qualifications do not include active general Life. Current target-pool mismatch; actual historical omission reason unknown.</x:v>
      </x:c>
      <x:c r="L703" s="7" t="str">
        <x:v>Not supplied; membership is known, motive is not</x:v>
      </x:c>
      <x:c r="M703" s="7" t="n">
        <x:v>7</x:v>
      </x:c>
      <x:c r="N703" s="7" t="str">
        <x:v>Outside current general-Life recruiting pool</x:v>
      </x:c>
      <x:c r="O703" s="7" t="str">
        <x:v>Not displayed</x:v>
      </x:c>
      <x:c r="P703" s="7" t="str"/>
      <x:c r="Q703" s="7" t="str"/>
      <x:c r="R703" s="7" t="str"/>
      <x:c r="S703" s="15" t="str"/>
      <x:c r="T703" s="7" t="str">
        <x:v>No public business phone in collected record</x:v>
      </x:c>
      <x:c r="U703" s="7" t="str"/>
      <x:c r="V703" s="7" t="str">
        <x:v>Resident</x:v>
      </x:c>
      <x:c r="W703" s="7" t="str">
        <x:v>CA</x:v>
      </x:c>
      <x:c r="X703" s="7" t="str"/>
      <x:c r="Y703" s="7" t="str"/>
      <x:c r="Z703" s="7" t="str"/>
      <x:c r="AA703" s="7" t="str"/>
      <x:c r="AB703" s="7" t="str"/>
      <x:c r="AC703" s="7" t="str"/>
      <x:c r="AD703" s="7" t="str">
        <x:v>No agency or insurer displayed: onboarding opportunity possible; existing business unknown</x:v>
      </x:c>
      <x:c r="AE703" s="7" t="str">
        <x:v>No public business phone: contact enrichment needed, not proof of poor recruiting fit</x:v>
      </x:c>
      <x:c r="AF703" s="16" t="str"/>
      <x:c r="AG703" s="17" t="str"/>
      <x:c r="AH703" s="7" t="str"/>
      <x:c r="AI703" s="7" t="str"/>
      <x:c r="AJ703" s="7" t="str"/>
      <x:c r="AK703" s="15" t="str"/>
      <x:c r="AL703" s="7" t="str"/>
      <x:c r="AM703" s="7" t="str">
        <x:v>AGUILAR ANN KRISTEN</x:v>
      </x:c>
      <x:c r="AN703" s="7" t="str">
        <x:v>https://cdicloud.insurance.ca.gov/cal/LicenseDetail?SearchType=IND&amp;SearchLicNbr=0E43393&amp;SearchIndvId=906774</x:v>
      </x:c>
      <x:c r="AO703" s="7" t="str">
        <x:v>2026-10-08</x:v>
      </x:c>
      <x:c r="AP703" s="7" t="str">
        <x:v>9995f1b11092b034fc04d0b1fab3662c22d67497154750116f7452677d1707cf</x:v>
      </x:c>
      <x:c r="AQ703" s="7" t="str">
        <x:v>Accident and Health / Inactive / 07/20/2004 / 07/31/2008 / 07/31/2008
Life-Only / Inactive / 07/20/2004 / 07/31/2008 / 07/31/2008</x:v>
      </x:c>
      <x:c r="AR703" s="7" t="str">
        <x:v>Inactive</x:v>
      </x:c>
      <x:c r="AS703" s="7" t="str">
        <x:v>Current detail page</x:v>
      </x:c>
    </x:row>
    <x:row r="704" ht="52" customHeight="1">
      <x:c r="A704" s="7" t="str">
        <x:v>AGUILAR KRISTEN ASHLEY</x:v>
      </x:c>
      <x:c r="B704" s="14" t="str">
        <x:f>"0I72797"</x:f>
        <x:v>0I72797</x:v>
      </x:c>
      <x:c r="C704" s="7" t="str">
        <x:v>Omitted</x:v>
      </x:c>
      <x:c r="D704" s="7" t="str">
        <x:v>FAIL</x:v>
      </x:c>
      <x:c r="E704" s="13" t="str">
        <x:v>Pending</x:v>
      </x:c>
      <x:c r="F704" s="13" t="str"/>
      <x:c r="G704" s="13" t="str"/>
      <x:c r="H704" s="13" t="str"/>
      <x:c r="I704" s="7" t="str">
        <x:v>Was this person reviewed? If rejected, give the actual rule and evidence. If acceptable, correct the omission. Confirm the Life-qualification gate and any record change since selection.</x:v>
      </x:c>
      <x:c r="J704" s="7" t="str">
        <x:v>L1</x:v>
      </x:c>
      <x:c r="K704" s="7" t="str">
        <x:v>Verified qualifications do not include active general Life. Current target-pool mismatch; actual historical omission reason unknown.</x:v>
      </x:c>
      <x:c r="L704" s="7" t="str">
        <x:v>Not supplied; membership is known, motive is not</x:v>
      </x:c>
      <x:c r="M704" s="7" t="n">
        <x:v>7</x:v>
      </x:c>
      <x:c r="N704" s="7" t="str">
        <x:v>Outside current general-Life recruiting pool</x:v>
      </x:c>
      <x:c r="O704" s="7" t="str">
        <x:v>Not displayed</x:v>
      </x:c>
      <x:c r="P704" s="7" t="str"/>
      <x:c r="Q704" s="7" t="str"/>
      <x:c r="R704" s="7" t="str"/>
      <x:c r="S704" s="15" t="str"/>
      <x:c r="T704" s="7" t="str">
        <x:v>No public business phone in collected record</x:v>
      </x:c>
      <x:c r="U704" s="7" t="str"/>
      <x:c r="V704" s="7" t="str">
        <x:v>Non-resident</x:v>
      </x:c>
      <x:c r="W704" s="7" t="str">
        <x:v>AZ</x:v>
      </x:c>
      <x:c r="X704" s="7" t="str"/>
      <x:c r="Y704" s="7" t="str"/>
      <x:c r="Z704" s="7" t="str"/>
      <x:c r="AA704" s="7" t="str"/>
      <x:c r="AB704" s="7" t="str"/>
      <x:c r="AC704" s="7" t="str"/>
      <x:c r="AD704" s="7" t="str">
        <x:v>No agency or insurer displayed: onboarding opportunity possible; existing business unknown</x:v>
      </x:c>
      <x:c r="AE704" s="7" t="str">
        <x:v>Nonresident or address state outside CA; confirm geographic recruiting scope | No public business phone: contact enrichment needed, not proof of poor recruiting fit</x:v>
      </x:c>
      <x:c r="AF704" s="16" t="str"/>
      <x:c r="AG704" s="17" t="str"/>
      <x:c r="AH704" s="7" t="str"/>
      <x:c r="AI704" s="7" t="str"/>
      <x:c r="AJ704" s="7" t="str"/>
      <x:c r="AK704" s="15" t="str"/>
      <x:c r="AL704" s="7" t="str"/>
      <x:c r="AM704" s="7" t="str">
        <x:v>AGUILAR ASHLEY KRISTEN</x:v>
      </x:c>
      <x:c r="AN704" s="7" t="str">
        <x:v>https://cdicloud.insurance.ca.gov/cal/LicenseDetail?SearchType=IND&amp;SearchLicNbr=0I72797&amp;SearchIndvId=1645642</x:v>
      </x:c>
      <x:c r="AO704" s="7" t="str">
        <x:v>2026-10-08</x:v>
      </x:c>
      <x:c r="AP704" s="7" t="str">
        <x:v>1aedc721d337b9f42e555989946a57961684d1edb911d00cd4f21c26e2d92cc1</x:v>
      </x:c>
      <x:c r="AQ704" s="7" t="str">
        <x:v>Personal Lines Broker-Agent / Inactive / 01/21/2014 / 01/31/2016 / 01/31/2016</x:v>
      </x:c>
      <x:c r="AR704" s="7" t="str">
        <x:v>Inactive</x:v>
      </x:c>
      <x:c r="AS704" s="7" t="str">
        <x:v>Current detail page</x:v>
      </x:c>
    </x:row>
    <x:row r="705" ht="52" customHeight="1">
      <x:c r="A705" s="7" t="str">
        <x:v>AGUILAR KRIZEN-JOI TIQUI</x:v>
      </x:c>
      <x:c r="B705" s="14" t="str">
        <x:f>"0E28760"</x:f>
        <x:v>0E28760</x:v>
      </x:c>
      <x:c r="C705" s="7" t="str">
        <x:v>Omitted</x:v>
      </x:c>
      <x:c r="D705" s="7" t="str">
        <x:v>FAIL</x:v>
      </x:c>
      <x:c r="E705" s="13" t="str">
        <x:v>Pending</x:v>
      </x:c>
      <x:c r="F705" s="13" t="str"/>
      <x:c r="G705" s="13" t="str"/>
      <x:c r="H705" s="13" t="str"/>
      <x:c r="I705" s="7" t="str">
        <x:v>Was this person reviewed? If rejected, give the actual rule and evidence. If acceptable, correct the omission. Confirm the Life-qualification gate and any record change since selection.</x:v>
      </x:c>
      <x:c r="J705" s="7" t="str">
        <x:v>L1</x:v>
      </x:c>
      <x:c r="K705" s="7" t="str">
        <x:v>Verified qualifications do not include active general Life. Current target-pool mismatch; actual historical omission reason unknown.</x:v>
      </x:c>
      <x:c r="L705" s="7" t="str">
        <x:v>Not supplied; membership is known, motive is not</x:v>
      </x:c>
      <x:c r="M705" s="7" t="n">
        <x:v>7</x:v>
      </x:c>
      <x:c r="N705" s="7" t="str">
        <x:v>Outside current general-Life recruiting pool</x:v>
      </x:c>
      <x:c r="O705" s="7" t="str">
        <x:v>Not displayed</x:v>
      </x:c>
      <x:c r="P705" s="7" t="str"/>
      <x:c r="Q705" s="7" t="str"/>
      <x:c r="R705" s="7" t="str"/>
      <x:c r="S705" s="15" t="str"/>
      <x:c r="T705" s="7" t="str">
        <x:v>No public business phone in collected record</x:v>
      </x:c>
      <x:c r="U705" s="7" t="str"/>
      <x:c r="V705" s="7" t="str">
        <x:v>Resident</x:v>
      </x:c>
      <x:c r="W705" s="7" t="str">
        <x:v>CA</x:v>
      </x:c>
      <x:c r="X705" s="7" t="str"/>
      <x:c r="Y705" s="7" t="str"/>
      <x:c r="Z705" s="7" t="str"/>
      <x:c r="AA705" s="7" t="str"/>
      <x:c r="AB705" s="7" t="str"/>
      <x:c r="AC705" s="7" t="str"/>
      <x:c r="AD705" s="7" t="str">
        <x:v>No agency or insurer displayed: onboarding opportunity possible; existing business unknown</x:v>
      </x:c>
      <x:c r="AE705" s="7" t="str">
        <x:v>No public business phone: contact enrichment needed, not proof of poor recruiting fit</x:v>
      </x:c>
      <x:c r="AF705" s="16" t="str"/>
      <x:c r="AG705" s="17" t="str"/>
      <x:c r="AH705" s="7" t="str"/>
      <x:c r="AI705" s="7" t="str"/>
      <x:c r="AJ705" s="7" t="str"/>
      <x:c r="AK705" s="15" t="str"/>
      <x:c r="AL705" s="7" t="str"/>
      <x:c r="AM705" s="7" t="str">
        <x:v>AGUILAR TIQUI KRIZEN-JOI</x:v>
      </x:c>
      <x:c r="AN705" s="7" t="str">
        <x:v>https://cdicloud.insurance.ca.gov/cal/LicenseDetail?SearchType=IND&amp;SearchLicNbr=0E28760&amp;SearchIndvId=878728</x:v>
      </x:c>
      <x:c r="AO705" s="7" t="str">
        <x:v>2026-10-08</x:v>
      </x:c>
      <x:c r="AP705" s="7" t="str">
        <x:v>66a017e4d3b5de15c6c553c8cef0d1ba82dfb14051d2f63a3d8d31482e2d338b</x:v>
      </x:c>
      <x:c r="AQ705" s="7" t="str">
        <x:v>Accident and Health / Inactive / 01/07/2004 / 01/31/2006 / 01/31/2006
Life-Only / Inactive / 01/07/2004 / 01/31/2006 / 01/31/2006</x:v>
      </x:c>
      <x:c r="AR705" s="7" t="str">
        <x:v>Inactive</x:v>
      </x:c>
      <x:c r="AS705" s="7" t="str">
        <x:v>Current detail page</x:v>
      </x:c>
    </x:row>
    <x:row r="706" ht="52" customHeight="1">
      <x:c r="A706" s="7" t="str">
        <x:v>AGUILAR KRYSTAL KRISTINE</x:v>
      </x:c>
      <x:c r="B706" s="14" t="str">
        <x:f>"0H00064"</x:f>
        <x:v>0H00064</x:v>
      </x:c>
      <x:c r="C706" s="7" t="str">
        <x:v>Omitted</x:v>
      </x:c>
      <x:c r="D706" s="7" t="str">
        <x:v>FAIL</x:v>
      </x:c>
      <x:c r="E706" s="13" t="str">
        <x:v>Pending</x:v>
      </x:c>
      <x:c r="F706" s="13" t="str"/>
      <x:c r="G706" s="13" t="str"/>
      <x:c r="H706" s="13" t="str"/>
      <x:c r="I706" s="7" t="str">
        <x:v>Was this person reviewed? If rejected, give the actual rule and evidence. If acceptable, correct the omission. Confirm the Life-qualification gate and any record change since selection.</x:v>
      </x:c>
      <x:c r="J706" s="7" t="str">
        <x:v>L1</x:v>
      </x:c>
      <x:c r="K706" s="7" t="str">
        <x:v>Verified qualifications do not include active general Life. Current target-pool mismatch; actual historical omission reason unknown.</x:v>
      </x:c>
      <x:c r="L706" s="7" t="str">
        <x:v>Not supplied; membership is known, motive is not</x:v>
      </x:c>
      <x:c r="M706" s="7" t="n">
        <x:v>7</x:v>
      </x:c>
      <x:c r="N706" s="7" t="str">
        <x:v>Outside current general-Life recruiting pool</x:v>
      </x:c>
      <x:c r="O706" s="7" t="str">
        <x:v>Not displayed</x:v>
      </x:c>
      <x:c r="P706" s="7" t="str"/>
      <x:c r="Q706" s="7" t="str"/>
      <x:c r="R706" s="7" t="str"/>
      <x:c r="S706" s="15" t="str"/>
      <x:c r="T706" s="7" t="str">
        <x:v>No public business phone in collected record</x:v>
      </x:c>
      <x:c r="U706" s="7" t="str"/>
      <x:c r="V706" s="7" t="str">
        <x:v>Non-resident</x:v>
      </x:c>
      <x:c r="W706" s="7" t="str">
        <x:v>CO</x:v>
      </x:c>
      <x:c r="X706" s="7" t="str"/>
      <x:c r="Y706" s="7" t="str"/>
      <x:c r="Z706" s="7" t="str"/>
      <x:c r="AA706" s="7" t="str"/>
      <x:c r="AB706" s="7" t="str"/>
      <x:c r="AC706" s="7" t="str"/>
      <x:c r="AD706" s="7" t="str">
        <x:v>No agency or insurer displayed: onboarding opportunity possible; existing business unknown</x:v>
      </x:c>
      <x:c r="AE706" s="7" t="str">
        <x:v>Nonresident or address state outside CA; confirm geographic recruiting scope | No public business phone: contact enrichment needed, not proof of poor recruiting fit</x:v>
      </x:c>
      <x:c r="AF706" s="16" t="str"/>
      <x:c r="AG706" s="17" t="str"/>
      <x:c r="AH706" s="7" t="str"/>
      <x:c r="AI706" s="7" t="str"/>
      <x:c r="AJ706" s="7" t="str"/>
      <x:c r="AK706" s="15" t="str"/>
      <x:c r="AL706" s="7" t="str"/>
      <x:c r="AM706" s="7" t="str">
        <x:v>AGUILAR KRISTINE KRYSTAL</x:v>
      </x:c>
      <x:c r="AN706" s="7" t="str">
        <x:v>https://cdicloud.insurance.ca.gov/cal/LicenseDetail?SearchType=IND&amp;SearchLicNbr=0H00064&amp;SearchIndvId=1332797</x:v>
      </x:c>
      <x:c r="AO706" s="7" t="str">
        <x:v>2026-10-08</x:v>
      </x:c>
      <x:c r="AP706" s="7" t="str">
        <x:v>7fd269ec91c172cf946fa490ef5a8f8dd43a975715eb26a664d7113827831bfc</x:v>
      </x:c>
      <x:c r="AQ706" s="7" t="str">
        <x:v>Casualty Broker-Agent / Inactive / 05/14/2010 / 05/31/2012 / 05/31/2012
Property Broker-Agent / Inactive / 05/14/2010 / 05/31/2012 / 05/31/2012</x:v>
      </x:c>
      <x:c r="AR706" s="7" t="str">
        <x:v>Inactive</x:v>
      </x:c>
      <x:c r="AS706" s="7" t="str">
        <x:v>Current detail page</x:v>
      </x:c>
    </x:row>
    <x:row r="707" ht="52" customHeight="1">
      <x:c r="A707" s="7" t="str">
        <x:v>AGUILAR KYHARA MICHELLE</x:v>
      </x:c>
      <x:c r="B707" s="14" t="str">
        <x:f>"4492109"</x:f>
        <x:v>4492109</x:v>
      </x:c>
      <x:c r="C707" s="7" t="str">
        <x:v>Omitted</x:v>
      </x:c>
      <x:c r="D707" s="7" t="str">
        <x:v>FAIL</x:v>
      </x:c>
      <x:c r="E707" s="13" t="str">
        <x:v>Pending</x:v>
      </x:c>
      <x:c r="F707" s="13" t="str"/>
      <x:c r="G707" s="13" t="str"/>
      <x:c r="H707" s="13" t="str"/>
      <x:c r="I707" s="7" t="str">
        <x:v>Was this person reviewed? If rejected, give the actual rule and evidence. If acceptable, correct the omission. Confirm the Life-qualification gate and any record change since selection.</x:v>
      </x:c>
      <x:c r="J707" s="7" t="str">
        <x:v>L1</x:v>
      </x:c>
      <x:c r="K707" s="7" t="str">
        <x:v>Verified qualifications do not include active general Life. Current target-pool mismatch; actual historical omission reason unknown.</x:v>
      </x:c>
      <x:c r="L707" s="7" t="str">
        <x:v>Not supplied; membership is known, motive is not</x:v>
      </x:c>
      <x:c r="M707" s="7" t="n">
        <x:v>7</x:v>
      </x:c>
      <x:c r="N707" s="7" t="str">
        <x:v>Outside current general-Life recruiting pool</x:v>
      </x:c>
      <x:c r="O707" s="7" t="str">
        <x:v>Not displayed</x:v>
      </x:c>
      <x:c r="P707" s="7" t="str"/>
      <x:c r="Q707" s="7" t="str"/>
      <x:c r="R707" s="7" t="str">
        <x:v>Limited Lines Automobile</x:v>
      </x:c>
      <x:c r="S707" s="15" t="str">
        <x:v>951-520-1384</x:v>
      </x:c>
      <x:c r="T707" s="7" t="str">
        <x:v>Current CDI</x:v>
      </x:c>
      <x:c r="U707" s="7" t="str">
        <x:v>1112 WEST 6TH STREET, STE 107 CORONA CA, 92882</x:v>
      </x:c>
      <x:c r="V707" s="7" t="str">
        <x:v>Resident</x:v>
      </x:c>
      <x:c r="W707" s="7" t="str">
        <x:v>CA</x:v>
      </x:c>
      <x:c r="X707" s="7" t="str">
        <x:v>FRED LOYA INSURANCE AGENCY, INC. / Limited Lines Automobile / 09/17/2025</x:v>
      </x:c>
      <x:c r="Y707" s="7" t="str">
        <x:v>NATION MOTOR CLUB, LLC / Motor Club / 11/19/2025</x:v>
      </x:c>
      <x:c r="Z707" s="7" t="str"/>
      <x:c r="AA707" s="7" t="str"/>
      <x:c r="AB707" s="7" t="str"/>
      <x:c r="AC707" s="7" t="str"/>
      <x:c r="AD707" s="7" t="str"/>
      <x:c r="AE707" s="7" t="str"/>
      <x:c r="AF707" s="16" t="str"/>
      <x:c r="AG707" s="17" t="str"/>
      <x:c r="AH707" s="7" t="str"/>
      <x:c r="AI707" s="7" t="str">
        <x:v>English</x:v>
      </x:c>
      <x:c r="AJ707" s="7" t="str"/>
      <x:c r="AK707" s="15" t="str"/>
      <x:c r="AL707" s="7" t="str"/>
      <x:c r="AM707" s="7" t="str">
        <x:v>AGUILAR MICHELLE KYHARA</x:v>
      </x:c>
      <x:c r="AN707" s="7" t="str">
        <x:v>https://cdicloud.insurance.ca.gov/cal/LicenseDetail?SearchType=IND&amp;SearchLicNbr=4492109&amp;SearchIndvId=4492109</x:v>
      </x:c>
      <x:c r="AO707" s="7" t="str">
        <x:v>2026-10-08</x:v>
      </x:c>
      <x:c r="AP707" s="7" t="str">
        <x:v>880de7a595bdd591406706c192f8bad4f3306366569ba01715c6822dd0eccb38</x:v>
      </x:c>
      <x:c r="AQ707" s="7" t="str">
        <x:v>Limited Lines Automobile / Active / 09/17/2025 / 09/17/2025 / 09/30/2027</x:v>
      </x:c>
      <x:c r="AR707" s="7" t="str">
        <x:v>Active</x:v>
      </x:c>
      <x:c r="AS707" s="7" t="str">
        <x:v>Current detail page</x:v>
      </x:c>
    </x:row>
    <x:row r="708" ht="52" customHeight="1">
      <x:c r="A708" s="7" t="str">
        <x:v>AGUILAR KYLIE ALEXANDRIA</x:v>
      </x:c>
      <x:c r="B708" s="14" t="str">
        <x:f>"4112697"</x:f>
        <x:v>4112697</x:v>
      </x:c>
      <x:c r="C708" s="7" t="str">
        <x:v>Omitted</x:v>
      </x:c>
      <x:c r="D708" s="7" t="str">
        <x:v>FAIL</x:v>
      </x:c>
      <x:c r="E708" s="13" t="str">
        <x:v>Pending</x:v>
      </x:c>
      <x:c r="F708" s="13" t="str"/>
      <x:c r="G708" s="13" t="str"/>
      <x:c r="H708" s="13" t="str"/>
      <x:c r="I708" s="7" t="str">
        <x:v>Was this person reviewed? If rejected, give the actual rule and evidence. If acceptable, correct the omission. Confirm the Life-qualification gate and any record change since selection.</x:v>
      </x:c>
      <x:c r="J708" s="7" t="str">
        <x:v>L1</x:v>
      </x:c>
      <x:c r="K708" s="7" t="str">
        <x:v>Verified qualifications do not include active general Life. Current target-pool mismatch; actual historical omission reason unknown.</x:v>
      </x:c>
      <x:c r="L708" s="7" t="str">
        <x:v>Not supplied; membership is known, motive is not</x:v>
      </x:c>
      <x:c r="M708" s="7" t="n">
        <x:v>7</x:v>
      </x:c>
      <x:c r="N708" s="7" t="str">
        <x:v>Outside current general-Life recruiting pool</x:v>
      </x:c>
      <x:c r="O708" s="7" t="str">
        <x:v>Not displayed</x:v>
      </x:c>
      <x:c r="P708" s="7" t="str"/>
      <x:c r="Q708" s="7" t="str"/>
      <x:c r="R708" s="7" t="str"/>
      <x:c r="S708" s="15" t="str">
        <x:v>559-904-3625</x:v>
      </x:c>
      <x:c r="T708" s="7" t="str">
        <x:v>Current CDI</x:v>
      </x:c>
      <x:c r="U708" s="7" t="str">
        <x:v>17723 EXCELSIOR AVE LATON CA, 93242</x:v>
      </x:c>
      <x:c r="V708" s="7" t="str">
        <x:v>Resident</x:v>
      </x:c>
      <x:c r="W708" s="7" t="str">
        <x:v>CA</x:v>
      </x:c>
      <x:c r="X708" s="7" t="str"/>
      <x:c r="Y708" s="7" t="str"/>
      <x:c r="Z708" s="7" t="str"/>
      <x:c r="AA708" s="7" t="str"/>
      <x:c r="AB708" s="7" t="str"/>
      <x:c r="AC708" s="7" t="str"/>
      <x:c r="AD708" s="7" t="str">
        <x:v>No agency or insurer displayed: onboarding opportunity possible; existing business unknown</x:v>
      </x:c>
      <x:c r="AE708" s="7" t="str"/>
      <x:c r="AF708" s="16" t="str"/>
      <x:c r="AG708" s="17" t="str"/>
      <x:c r="AH708" s="7" t="str"/>
      <x:c r="AI708" s="7" t="str">
        <x:v>English</x:v>
      </x:c>
      <x:c r="AJ708" s="7" t="str"/>
      <x:c r="AK708" s="15" t="str"/>
      <x:c r="AL708" s="7" t="str"/>
      <x:c r="AM708" s="7" t="str">
        <x:v>AGUILAR ALEXANDRIA KYLIE</x:v>
      </x:c>
      <x:c r="AN708" s="7" t="str">
        <x:v>https://cdicloud.insurance.ca.gov/cal/LicenseDetail?SearchType=IND&amp;SearchLicNbr=4112697&amp;SearchIndvId=4112697</x:v>
      </x:c>
      <x:c r="AO708" s="7" t="str">
        <x:v>2026-10-08</x:v>
      </x:c>
      <x:c r="AP708" s="7" t="str">
        <x:v>9987f047c1a4152fe83517ed794745503140a88d7704f5c6307cfe166e81c542</x:v>
      </x:c>
      <x:c r="AQ708" s="7" t="str">
        <x:v>Accident &amp; Health or Sickness / Inactive / 03/19/2021 / 03/31/2023 / 03/31/2023</x:v>
      </x:c>
      <x:c r="AR708" s="7" t="str">
        <x:v>Inactive</x:v>
      </x:c>
      <x:c r="AS708" s="7" t="str">
        <x:v>Current detail page</x:v>
      </x:c>
    </x:row>
    <x:row r="709" ht="52" customHeight="1">
      <x:c r="A709" s="7" t="str">
        <x:v>AGUILAR LACEY ANNE</x:v>
      </x:c>
      <x:c r="B709" s="14" t="str">
        <x:f>"0J12804"</x:f>
        <x:v>0J12804</x:v>
      </x:c>
      <x:c r="C709" s="7" t="str">
        <x:v>Omitted</x:v>
      </x:c>
      <x:c r="D709" s="7" t="str">
        <x:v>FAIL</x:v>
      </x:c>
      <x:c r="E709" s="13" t="str">
        <x:v>Pending</x:v>
      </x:c>
      <x:c r="F709" s="13" t="str"/>
      <x:c r="G709" s="13" t="str"/>
      <x:c r="H709" s="13" t="str"/>
      <x:c r="I709" s="7" t="str">
        <x:v>Was this person reviewed? If rejected, give the actual rule and evidence. If acceptable, correct the omission. Confirm the Life-qualification gate and any record change since selection.</x:v>
      </x:c>
      <x:c r="J709" s="7" t="str">
        <x:v>L1</x:v>
      </x:c>
      <x:c r="K709" s="7" t="str">
        <x:v>Verified qualifications do not include active general Life. Current target-pool mismatch; actual historical omission reason unknown.</x:v>
      </x:c>
      <x:c r="L709" s="7" t="str">
        <x:v>Not supplied; membership is known, motive is not</x:v>
      </x:c>
      <x:c r="M709" s="7" t="n">
        <x:v>7</x:v>
      </x:c>
      <x:c r="N709" s="7" t="str">
        <x:v>Outside current general-Life recruiting pool</x:v>
      </x:c>
      <x:c r="O709" s="7" t="str">
        <x:v>Not displayed</x:v>
      </x:c>
      <x:c r="P709" s="7" t="str"/>
      <x:c r="Q709" s="7" t="str"/>
      <x:c r="R709" s="7" t="str"/>
      <x:c r="S709" s="15" t="str"/>
      <x:c r="T709" s="7" t="str">
        <x:v>No public business phone in collected record</x:v>
      </x:c>
      <x:c r="U709" s="7" t="str"/>
      <x:c r="V709" s="7" t="str">
        <x:v>Non-resident</x:v>
      </x:c>
      <x:c r="W709" s="7" t="str">
        <x:v>AZ</x:v>
      </x:c>
      <x:c r="X709" s="7" t="str"/>
      <x:c r="Y709" s="7" t="str"/>
      <x:c r="Z709" s="7" t="str"/>
      <x:c r="AA709" s="7" t="str"/>
      <x:c r="AB709" s="7" t="str"/>
      <x:c r="AC709" s="7" t="str"/>
      <x:c r="AD709" s="7" t="str">
        <x:v>No agency or insurer displayed: onboarding opportunity possible; existing business unknown</x:v>
      </x:c>
      <x:c r="AE709" s="7" t="str">
        <x:v>Nonresident or address state outside CA; confirm geographic recruiting scope | No public business phone: contact enrichment needed, not proof of poor recruiting fit</x:v>
      </x:c>
      <x:c r="AF709" s="16" t="str"/>
      <x:c r="AG709" s="17" t="str"/>
      <x:c r="AH709" s="7" t="str"/>
      <x:c r="AI709" s="7" t="str"/>
      <x:c r="AJ709" s="7" t="str"/>
      <x:c r="AK709" s="15" t="str"/>
      <x:c r="AL709" s="7" t="str"/>
      <x:c r="AM709" s="7" t="str">
        <x:v>AGUILAR ANNE LACEY</x:v>
      </x:c>
      <x:c r="AN709" s="7" t="str">
        <x:v>https://cdicloud.insurance.ca.gov/cal/LicenseDetail?SearchType=IND&amp;SearchLicNbr=0J12804&amp;SearchIndvId=1709380</x:v>
      </x:c>
      <x:c r="AO709" s="7" t="str">
        <x:v>2026-10-08</x:v>
      </x:c>
      <x:c r="AP709" s="7" t="str">
        <x:v>f7cf393e28a9eac375b31ad1e4a297d561ee47b8f19dab9204b8d3453b5fc15d</x:v>
      </x:c>
      <x:c r="AQ709" s="7" t="str">
        <x:v>Personal Lines Broker-Agent / Inactive / 10/09/2014 / 10/31/2018 / 10/31/2018</x:v>
      </x:c>
      <x:c r="AR709" s="7" t="str">
        <x:v>Inactive</x:v>
      </x:c>
      <x:c r="AS709" s="7" t="str">
        <x:v>Current detail page</x:v>
      </x:c>
    </x:row>
    <x:row r="710" ht="52" customHeight="1">
      <x:c r="A710" s="7" t="str">
        <x:v>AGUILAR LARRY MARK</x:v>
      </x:c>
      <x:c r="B710" s="14" t="str">
        <x:f>"0M32445"</x:f>
        <x:v>0M32445</x:v>
      </x:c>
      <x:c r="C710" s="7" t="str">
        <x:v>Omitted</x:v>
      </x:c>
      <x:c r="D710" s="7" t="str">
        <x:v>FAIL</x:v>
      </x:c>
      <x:c r="E710" s="13" t="str">
        <x:v>Pending</x:v>
      </x:c>
      <x:c r="F710" s="13" t="str"/>
      <x:c r="G710" s="13" t="str"/>
      <x:c r="H710" s="13" t="str"/>
      <x:c r="I710" s="7" t="str">
        <x:v>Was this person reviewed? If rejected, give the actual rule and evidence. If acceptable, correct the omission. Confirm the Life-qualification gate and any record change since selection.</x:v>
      </x:c>
      <x:c r="J710" s="7" t="str">
        <x:v>L1</x:v>
      </x:c>
      <x:c r="K710" s="7" t="str">
        <x:v>Verified qualifications do not include active general Life. Current target-pool mismatch; actual historical omission reason unknown.</x:v>
      </x:c>
      <x:c r="L710" s="7" t="str">
        <x:v>Not supplied; membership is known, motive is not</x:v>
      </x:c>
      <x:c r="M710" s="7" t="n">
        <x:v>7</x:v>
      </x:c>
      <x:c r="N710" s="7" t="str">
        <x:v>Outside current general-Life recruiting pool</x:v>
      </x:c>
      <x:c r="O710" s="7" t="str">
        <x:v>Not displayed</x:v>
      </x:c>
      <x:c r="P710" s="7" t="str"/>
      <x:c r="Q710" s="7" t="str"/>
      <x:c r="R710" s="7" t="str"/>
      <x:c r="S710" s="15" t="str"/>
      <x:c r="T710" s="7" t="str">
        <x:v>No public business phone in collected record</x:v>
      </x:c>
      <x:c r="U710" s="7" t="str"/>
      <x:c r="V710" s="7" t="str">
        <x:v>Non-resident</x:v>
      </x:c>
      <x:c r="W710" s="7" t="str">
        <x:v>UT</x:v>
      </x:c>
      <x:c r="X710" s="7" t="str"/>
      <x:c r="Y710" s="7" t="str"/>
      <x:c r="Z710" s="7" t="str"/>
      <x:c r="AA710" s="7" t="str"/>
      <x:c r="AB710" s="7" t="str"/>
      <x:c r="AC710" s="7" t="str"/>
      <x:c r="AD710" s="7" t="str">
        <x:v>No agency or insurer displayed: onboarding opportunity possible; existing business unknown</x:v>
      </x:c>
      <x:c r="AE710" s="7" t="str">
        <x:v>Nonresident or address state outside CA; confirm geographic recruiting scope | No public business phone: contact enrichment needed, not proof of poor recruiting fit</x:v>
      </x:c>
      <x:c r="AF710" s="16" t="str"/>
      <x:c r="AG710" s="17" t="str"/>
      <x:c r="AH710" s="7" t="str"/>
      <x:c r="AI710" s="7" t="str"/>
      <x:c r="AJ710" s="7" t="str"/>
      <x:c r="AK710" s="15" t="str"/>
      <x:c r="AL710" s="7" t="str"/>
      <x:c r="AM710" s="7" t="str">
        <x:v>AGUILAR MARK LARRY</x:v>
      </x:c>
      <x:c r="AN710" s="7" t="str">
        <x:v>https://cdicloud.insurance.ca.gov/cal/LicenseDetail?SearchType=IND&amp;SearchLicNbr=0M32445&amp;SearchIndvId=2010888</x:v>
      </x:c>
      <x:c r="AO710" s="7" t="str">
        <x:v>2026-10-08</x:v>
      </x:c>
      <x:c r="AP710" s="7" t="str">
        <x:v>1010aefc099fac5fdb0865a5694233b1ce5ce5c648daf4c8da1506d6b8c9e542</x:v>
      </x:c>
      <x:c r="AQ710" s="7" t="str">
        <x:v>Casualty Broker-Agent / Inactive / 04/30/2018 / 04/30/2020 / 04/30/2020
Property Broker-Agent / Inactive / 04/30/2018 / 04/30/2020 / 04/30/2020</x:v>
      </x:c>
      <x:c r="AR710" s="7" t="str">
        <x:v>Inactive</x:v>
      </x:c>
      <x:c r="AS710" s="7" t="str">
        <x:v>Current detail page</x:v>
      </x:c>
    </x:row>
    <x:row r="711" ht="52" customHeight="1">
      <x:c r="A711" s="7" t="str">
        <x:v>AGUILAR LASHANDON</x:v>
      </x:c>
      <x:c r="B711" s="14" t="str">
        <x:f>"4202590"</x:f>
        <x:v>4202590</x:v>
      </x:c>
      <x:c r="C711" s="7" t="str">
        <x:v>Omitted</x:v>
      </x:c>
      <x:c r="D711" s="7" t="str">
        <x:v>FAIL</x:v>
      </x:c>
      <x:c r="E711" s="13" t="str">
        <x:v>Pending</x:v>
      </x:c>
      <x:c r="F711" s="13" t="str"/>
      <x:c r="G711" s="13" t="str"/>
      <x:c r="H711" s="13" t="str"/>
      <x:c r="I711" s="7" t="str">
        <x:v>Was this person reviewed? If rejected, give the actual rule and evidence. If acceptable, correct the omission. Confirm the Life-qualification gate and any record change since selection.</x:v>
      </x:c>
      <x:c r="J711" s="7" t="str">
        <x:v>L1</x:v>
      </x:c>
      <x:c r="K711" s="7" t="str">
        <x:v>Verified qualifications do not include active general Life. Current target-pool mismatch; actual historical omission reason unknown.</x:v>
      </x:c>
      <x:c r="L711" s="7" t="str">
        <x:v>Not supplied; membership is known, motive is not</x:v>
      </x:c>
      <x:c r="M711" s="7" t="n">
        <x:v>7</x:v>
      </x:c>
      <x:c r="N711" s="7" t="str">
        <x:v>Outside current general-Life recruiting pool</x:v>
      </x:c>
      <x:c r="O711" s="7" t="str">
        <x:v>Not displayed</x:v>
      </x:c>
      <x:c r="P711" s="7" t="str"/>
      <x:c r="Q711" s="7" t="str"/>
      <x:c r="R711" s="7" t="str"/>
      <x:c r="S711" s="15" t="str"/>
      <x:c r="T711" s="7" t="str">
        <x:v>No public business phone in collected record</x:v>
      </x:c>
      <x:c r="U711" s="7" t="str">
        <x:v>833 WOODMARK DR CROWLEY TX, 76036-1346</x:v>
      </x:c>
      <x:c r="V711" s="7" t="str">
        <x:v>Non-resident</x:v>
      </x:c>
      <x:c r="W711" s="7" t="str">
        <x:v>TX</x:v>
      </x:c>
      <x:c r="X711" s="7" t="str"/>
      <x:c r="Y711" s="7" t="str"/>
      <x:c r="Z711" s="7" t="str"/>
      <x:c r="AA711" s="7" t="str"/>
      <x:c r="AB711" s="7" t="str"/>
      <x:c r="AC711" s="7" t="str"/>
      <x:c r="AD711" s="7" t="str">
        <x:v>No agency or insurer displayed: onboarding opportunity possible; existing business unknown</x:v>
      </x:c>
      <x:c r="AE711" s="7" t="str">
        <x:v>Nonresident or address state outside CA; confirm geographic recruiting scope | No public business phone: contact enrichment needed, not proof of poor recruiting fit</x:v>
      </x:c>
      <x:c r="AF711" s="16" t="str"/>
      <x:c r="AG711" s="17" t="str"/>
      <x:c r="AH711" s="7" t="str"/>
      <x:c r="AI711" s="7" t="str"/>
      <x:c r="AJ711" s="7" t="str"/>
      <x:c r="AK711" s="15" t="str"/>
      <x:c r="AL711" s="7" t="str"/>
      <x:c r="AM711" s="7" t="str">
        <x:v>AGUILAR  LASHANDON</x:v>
      </x:c>
      <x:c r="AN711" s="7" t="str">
        <x:v>https://cdicloud.insurance.ca.gov/cal/LicenseDetail?SearchType=IND&amp;SearchLicNbr=4202590&amp;SearchIndvId=4202590</x:v>
      </x:c>
      <x:c r="AO711" s="7" t="str">
        <x:v>2026-10-08</x:v>
      </x:c>
      <x:c r="AP711" s="7" t="str">
        <x:v>319f59115c2d16487bb4153514e5f7fe7a26dae8ae50dae199763d13ca9e970e</x:v>
      </x:c>
      <x:c r="AQ711" s="7" t="str">
        <x:v>Casualty / Inactive / 04/07/2022 / 04/30/2026 / 04/30/2026
Property / Inactive / 04/07/2022 / 04/30/2026 / 04/30/2026</x:v>
      </x:c>
      <x:c r="AR711" s="7" t="str">
        <x:v>Inactive</x:v>
      </x:c>
      <x:c r="AS711" s="7" t="str">
        <x:v>Current detail page</x:v>
      </x:c>
    </x:row>
    <x:row r="712" ht="52" customHeight="1">
      <x:c r="A712" s="7" t="str">
        <x:v>AGUILAR LAURA ALEJANDRA</x:v>
      </x:c>
      <x:c r="B712" s="14" t="str">
        <x:f>"0I33538"</x:f>
        <x:v>0I33538</x:v>
      </x:c>
      <x:c r="C712" s="7" t="str">
        <x:v>Omitted</x:v>
      </x:c>
      <x:c r="D712" s="7" t="str">
        <x:v>FAIL</x:v>
      </x:c>
      <x:c r="E712" s="13" t="str">
        <x:v>Pending</x:v>
      </x:c>
      <x:c r="F712" s="13" t="str"/>
      <x:c r="G712" s="13" t="str"/>
      <x:c r="H712" s="13" t="str"/>
      <x:c r="I712" s="7" t="str">
        <x:v>Was this person reviewed? If rejected, give the actual rule and evidence. If acceptable, correct the omission. Confirm the Life-qualification gate and any record change since selection.</x:v>
      </x:c>
      <x:c r="J712" s="7" t="str">
        <x:v>L1</x:v>
      </x:c>
      <x:c r="K712" s="7" t="str">
        <x:v>Verified qualifications do not include active general Life. Current target-pool mismatch; actual historical omission reason unknown.</x:v>
      </x:c>
      <x:c r="L712" s="7" t="str">
        <x:v>Not supplied; membership is known, motive is not</x:v>
      </x:c>
      <x:c r="M712" s="7" t="n">
        <x:v>7</x:v>
      </x:c>
      <x:c r="N712" s="7" t="str">
        <x:v>Outside current general-Life recruiting pool</x:v>
      </x:c>
      <x:c r="O712" s="7" t="str">
        <x:v>Not displayed</x:v>
      </x:c>
      <x:c r="P712" s="7" t="str"/>
      <x:c r="Q712" s="7" t="str"/>
      <x:c r="R712" s="7" t="str"/>
      <x:c r="S712" s="15" t="str"/>
      <x:c r="T712" s="7" t="str">
        <x:v>No public business phone in collected record</x:v>
      </x:c>
      <x:c r="U712" s="7" t="str"/>
      <x:c r="V712" s="7" t="str">
        <x:v>Resident</x:v>
      </x:c>
      <x:c r="W712" s="7" t="str">
        <x:v>CA</x:v>
      </x:c>
      <x:c r="X712" s="7" t="str"/>
      <x:c r="Y712" s="7" t="str"/>
      <x:c r="Z712" s="7" t="str"/>
      <x:c r="AA712" s="7" t="str"/>
      <x:c r="AB712" s="7" t="str"/>
      <x:c r="AC712" s="7" t="str"/>
      <x:c r="AD712" s="7" t="str">
        <x:v>No agency or insurer displayed: onboarding opportunity possible; existing business unknown</x:v>
      </x:c>
      <x:c r="AE712" s="7" t="str">
        <x:v>No public business phone: contact enrichment needed, not proof of poor recruiting fit</x:v>
      </x:c>
      <x:c r="AF712" s="16" t="str"/>
      <x:c r="AG712" s="17" t="str"/>
      <x:c r="AH712" s="7" t="str"/>
      <x:c r="AI712" s="7" t="str"/>
      <x:c r="AJ712" s="7" t="str"/>
      <x:c r="AK712" s="15" t="str"/>
      <x:c r="AL712" s="7" t="str"/>
      <x:c r="AM712" s="7" t="str">
        <x:v>AGUILAR ALEJANDRA LAURA</x:v>
      </x:c>
      <x:c r="AN712" s="7" t="str">
        <x:v>https://cdicloud.insurance.ca.gov/cal/LicenseDetail?SearchType=IND&amp;SearchLicNbr=0I33538&amp;SearchIndvId=1578596</x:v>
      </x:c>
      <x:c r="AO712" s="7" t="str">
        <x:v>2026-10-08</x:v>
      </x:c>
      <x:c r="AP712" s="7" t="str">
        <x:v>df28bf52639c01f50b96a94d42b1a119a2d2493e41089ddd05617fc16e656b25</x:v>
      </x:c>
      <x:c r="AQ712" s="7" t="str">
        <x:v>Life-Only / Inactive / 05/01/2013 / 05/31/2015 / 05/31/2015</x:v>
      </x:c>
      <x:c r="AR712" s="7" t="str">
        <x:v>Inactive</x:v>
      </x:c>
      <x:c r="AS712" s="7" t="str">
        <x:v>Current detail page</x:v>
      </x:c>
    </x:row>
    <x:row r="713" ht="52" customHeight="1">
      <x:c r="A713" s="7" t="str">
        <x:v>AGUILAR LAURA LYNN</x:v>
      </x:c>
      <x:c r="B713" s="14" t="str">
        <x:f>"0D93007"</x:f>
        <x:v>0D93007</x:v>
      </x:c>
      <x:c r="C713" s="7" t="str">
        <x:v>Omitted</x:v>
      </x:c>
      <x:c r="D713" s="7" t="str">
        <x:v>FAIL</x:v>
      </x:c>
      <x:c r="E713" s="13" t="str">
        <x:v>Pending</x:v>
      </x:c>
      <x:c r="F713" s="13" t="str"/>
      <x:c r="G713" s="13" t="str"/>
      <x:c r="H713" s="13" t="str"/>
      <x:c r="I713" s="7" t="str">
        <x:v>Was this person reviewed? If rejected, give the actual rule and evidence. If acceptable, correct the omission. Confirm the Life-qualification gate and any record change since selection.</x:v>
      </x:c>
      <x:c r="J713" s="7" t="str">
        <x:v>L1</x:v>
      </x:c>
      <x:c r="K713" s="7" t="str">
        <x:v>Verified qualifications do not include active general Life. Current target-pool mismatch; actual historical omission reason unknown.</x:v>
      </x:c>
      <x:c r="L713" s="7" t="str">
        <x:v>Not supplied; membership is known, motive is not</x:v>
      </x:c>
      <x:c r="M713" s="7" t="n">
        <x:v>7</x:v>
      </x:c>
      <x:c r="N713" s="7" t="str">
        <x:v>Outside current general-Life recruiting pool</x:v>
      </x:c>
      <x:c r="O713" s="7" t="str">
        <x:v>Not displayed</x:v>
      </x:c>
      <x:c r="P713" s="7" t="str"/>
      <x:c r="Q713" s="7" t="str"/>
      <x:c r="R713" s="7" t="str">
        <x:v>Personal Lines</x:v>
      </x:c>
      <x:c r="S713" s="15" t="str"/>
      <x:c r="T713" s="7" t="str">
        <x:v>No public business phone in collected record</x:v>
      </x:c>
      <x:c r="U713" s="7" t="str">
        <x:v>1855 TELSTAR DRIVE ATTN: SANDRA HANCHETT COLORADO SPRINGS CO, 80920</x:v>
      </x:c>
      <x:c r="V713" s="7" t="str">
        <x:v>Non-resident</x:v>
      </x:c>
      <x:c r="W713" s="7" t="str">
        <x:v>CO</x:v>
      </x:c>
      <x:c r="X713" s="7" t="str"/>
      <x:c r="Y713" s="7" t="str">
        <x:v>GARRISON PROPERTY AND CASUALTY INSURANCE COMPANY / Personal Lines / 04/12/2007
UNITED SERVICES AUTOMOBILE ASSOCIATION / Personal Lines / 08/03/2019
USAA CASUALTY INSURANCE COMPANY / Personal Lines / 05/08/2003
USAA GENERAL INDEMNITY COMPANY / Personal Lines / 05/08/2003</x:v>
      </x:c>
      <x:c r="Z713" s="7" t="str"/>
      <x:c r="AA713" s="7" t="str"/>
      <x:c r="AB713" s="7" t="str"/>
      <x:c r="AC713" s="7" t="str"/>
      <x:c r="AD713" s="7" t="str"/>
      <x:c r="AE713"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713" s="16" t="str"/>
      <x:c r="AG713" s="17" t="str"/>
      <x:c r="AH713" s="7" t="str"/>
      <x:c r="AI713" s="7" t="str"/>
      <x:c r="AJ713" s="7" t="str"/>
      <x:c r="AK713" s="15" t="str"/>
      <x:c r="AL713" s="7" t="str"/>
      <x:c r="AM713" s="7" t="str">
        <x:v>AGUILAR LYNN LAURA</x:v>
      </x:c>
      <x:c r="AN713" s="7" t="str">
        <x:v>https://cdicloud.insurance.ca.gov/cal/LicenseDetail?SearchType=IND&amp;SearchLicNbr=0D93007&amp;SearchIndvId=831845</x:v>
      </x:c>
      <x:c r="AO713" s="7" t="str">
        <x:v>2026-10-08</x:v>
      </x:c>
      <x:c r="AP713" s="7" t="str">
        <x:v>98ed50209c6e3c1d8ac7b293e3a7efd77a78efa3dcead2b0b0afb088c7c724f5</x:v>
      </x:c>
      <x:c r="AQ713" s="7" t="str">
        <x:v>Personal Lines / Active / 03/03/2003 / 03/03/2003 / 12/31/2027</x:v>
      </x:c>
      <x:c r="AR713" s="7" t="str">
        <x:v>Active</x:v>
      </x:c>
      <x:c r="AS713" s="7" t="str">
        <x:v>Current detail page</x:v>
      </x:c>
    </x:row>
    <x:row r="714" ht="52" customHeight="1">
      <x:c r="A714" s="7" t="str">
        <x:v>AGUILAR LAURA PATRICIA</x:v>
      </x:c>
      <x:c r="B714" s="14" t="str">
        <x:f>"0B35671"</x:f>
        <x:v>0B35671</x:v>
      </x:c>
      <x:c r="C714" s="7" t="str">
        <x:v>Omitted</x:v>
      </x:c>
      <x:c r="D714" s="7" t="str">
        <x:v>FAIL</x:v>
      </x:c>
      <x:c r="E714" s="13" t="str">
        <x:v>Pending</x:v>
      </x:c>
      <x:c r="F714" s="13" t="str"/>
      <x:c r="G714" s="13" t="str"/>
      <x:c r="H714" s="13" t="str"/>
      <x:c r="I714" s="7" t="str">
        <x:v>Was this person reviewed? If rejected, give the actual rule and evidence. If acceptable, correct the omission. Confirm the Life-qualification gate and any record change since selection.</x:v>
      </x:c>
      <x:c r="J714" s="7" t="str">
        <x:v>L1</x:v>
      </x:c>
      <x:c r="K714" s="7" t="str">
        <x:v>Verified qualifications do not include active general Life. Current target-pool mismatch; actual historical omission reason unknown.</x:v>
      </x:c>
      <x:c r="L714" s="7" t="str">
        <x:v>Not supplied; membership is known, motive is not</x:v>
      </x:c>
      <x:c r="M714" s="7" t="n">
        <x:v>7</x:v>
      </x:c>
      <x:c r="N714" s="7" t="str">
        <x:v>Outside current general-Life recruiting pool</x:v>
      </x:c>
      <x:c r="O714" s="7" t="str">
        <x:v>Not displayed</x:v>
      </x:c>
      <x:c r="P714" s="7" t="str"/>
      <x:c r="Q714" s="7" t="str"/>
      <x:c r="R714" s="7" t="str"/>
      <x:c r="S714" s="15" t="str"/>
      <x:c r="T714" s="7" t="str">
        <x:v>No public business phone in collected record</x:v>
      </x:c>
      <x:c r="U714" s="7" t="str"/>
      <x:c r="V714" s="7" t="str">
        <x:v>Resident</x:v>
      </x:c>
      <x:c r="W714" s="7" t="str">
        <x:v>CA</x:v>
      </x:c>
      <x:c r="X714" s="7" t="str"/>
      <x:c r="Y714" s="7" t="str"/>
      <x:c r="Z714" s="7" t="str"/>
      <x:c r="AA714" s="7" t="str"/>
      <x:c r="AB714" s="7" t="str"/>
      <x:c r="AC714" s="7" t="str"/>
      <x:c r="AD714" s="7" t="str">
        <x:v>No agency or insurer displayed: onboarding opportunity possible; existing business unknown</x:v>
      </x:c>
      <x:c r="AE714" s="7" t="str">
        <x:v>No public business phone: contact enrichment needed, not proof of poor recruiting fit</x:v>
      </x:c>
      <x:c r="AF714" s="16" t="str"/>
      <x:c r="AG714" s="17" t="str"/>
      <x:c r="AH714" s="7" t="str"/>
      <x:c r="AI714" s="7" t="str"/>
      <x:c r="AJ714" s="7" t="str"/>
      <x:c r="AK714" s="15" t="str"/>
      <x:c r="AL714" s="7" t="str"/>
      <x:c r="AM714" s="7" t="str">
        <x:v>AGUILAR PATRICIA LAURA</x:v>
      </x:c>
      <x:c r="AN714" s="7" t="str">
        <x:v>https://cdicloud.insurance.ca.gov/cal/LicenseDetail?SearchType=IND&amp;SearchLicNbr=0B35671&amp;SearchIndvId=215818</x:v>
      </x:c>
      <x:c r="AO714" s="7" t="str">
        <x:v>2026-10-08</x:v>
      </x:c>
      <x:c r="AP714" s="7" t="str">
        <x:v>ff705f0391aa9c09c96b67280f8579402b41a6c65b03d81736189878281ce5ad</x:v>
      </x:c>
      <x:c r="AQ714" s="7" t="str">
        <x:v>Accident and Health / Inactive / 04/13/1994 / 04/30/1996 / 04/30/1996
Life-Only / Inactive / 04/13/1994 / 04/30/1996 / 04/30/1996</x:v>
      </x:c>
      <x:c r="AR714" s="7" t="str">
        <x:v>Inactive</x:v>
      </x:c>
      <x:c r="AS714" s="7" t="str">
        <x:v>Current detail page</x:v>
      </x:c>
    </x:row>
    <x:row r="715" ht="52" customHeight="1">
      <x:c r="A715" s="7" t="str">
        <x:v>AGUILAR LAURA PATRICIA</x:v>
      </x:c>
      <x:c r="B715" s="14" t="str">
        <x:f>"0F17830"</x:f>
        <x:v>0F17830</x:v>
      </x:c>
      <x:c r="C715" s="7" t="str">
        <x:v>Omitted</x:v>
      </x:c>
      <x:c r="D715" s="7" t="str">
        <x:v>FAIL</x:v>
      </x:c>
      <x:c r="E715" s="13" t="str">
        <x:v>Pending</x:v>
      </x:c>
      <x:c r="F715" s="13" t="str"/>
      <x:c r="G715" s="13" t="str"/>
      <x:c r="H715" s="13" t="str"/>
      <x:c r="I715" s="7" t="str">
        <x:v>Was this person reviewed? If rejected, give the actual rule and evidence. If acceptable, correct the omission. Confirm the Life-qualification gate and any record change since selection.</x:v>
      </x:c>
      <x:c r="J715" s="7" t="str">
        <x:v>L1</x:v>
      </x:c>
      <x:c r="K715" s="7" t="str">
        <x:v>Verified qualifications do not include active general Life. Current target-pool mismatch; actual historical omission reason unknown.</x:v>
      </x:c>
      <x:c r="L715" s="7" t="str">
        <x:v>Not supplied; membership is known, motive is not</x:v>
      </x:c>
      <x:c r="M715" s="7" t="n">
        <x:v>7</x:v>
      </x:c>
      <x:c r="N715" s="7" t="str">
        <x:v>Outside current general-Life recruiting pool</x:v>
      </x:c>
      <x:c r="O715" s="7" t="str">
        <x:v>Not displayed</x:v>
      </x:c>
      <x:c r="P715" s="7" t="str"/>
      <x:c r="Q715" s="7" t="str"/>
      <x:c r="R715" s="7" t="str"/>
      <x:c r="S715" s="15" t="str"/>
      <x:c r="T715" s="7" t="str">
        <x:v>No public business phone in collected record</x:v>
      </x:c>
      <x:c r="U715" s="7" t="str"/>
      <x:c r="V715" s="7" t="str">
        <x:v>Resident</x:v>
      </x:c>
      <x:c r="W715" s="7" t="str">
        <x:v>CA</x:v>
      </x:c>
      <x:c r="X715" s="7" t="str"/>
      <x:c r="Y715" s="7" t="str"/>
      <x:c r="Z715" s="7" t="str"/>
      <x:c r="AA715" s="7" t="str"/>
      <x:c r="AB715" s="7" t="str"/>
      <x:c r="AC715" s="7" t="str"/>
      <x:c r="AD715" s="7" t="str">
        <x:v>No agency or insurer displayed: onboarding opportunity possible; existing business unknown</x:v>
      </x:c>
      <x:c r="AE715" s="7" t="str">
        <x:v>No public business phone: contact enrichment needed, not proof of poor recruiting fit</x:v>
      </x:c>
      <x:c r="AF715" s="16" t="str"/>
      <x:c r="AG715" s="17" t="str"/>
      <x:c r="AH715" s="7" t="str"/>
      <x:c r="AI715" s="7" t="str"/>
      <x:c r="AJ715" s="7" t="str"/>
      <x:c r="AK715" s="15" t="str"/>
      <x:c r="AL715" s="7" t="str"/>
      <x:c r="AM715" s="7" t="str">
        <x:v>AGUILAR PATRICIA LAURA</x:v>
      </x:c>
      <x:c r="AN715" s="7" t="str">
        <x:v>https://cdicloud.insurance.ca.gov/cal/LicenseDetail?SearchType=IND&amp;SearchLicNbr=0F17830&amp;SearchIndvId=1016564</x:v>
      </x:c>
      <x:c r="AO715" s="7" t="str">
        <x:v>2026-10-08</x:v>
      </x:c>
      <x:c r="AP715" s="7" t="str">
        <x:v>2d60a084689e807d8df3d6719bee2479bdef862d1a4a6eaa700c57c2a13bde2f</x:v>
      </x:c>
      <x:c r="AQ715" s="7" t="str">
        <x:v>Accident and Health / Inactive / 05/11/2006 / 05/31/2008 / 05/31/2008
Life-Only / Inactive / 05/11/2006 / 05/31/2008 / 05/31/2008</x:v>
      </x:c>
      <x:c r="AR715" s="7" t="str">
        <x:v>Inactive</x:v>
      </x:c>
      <x:c r="AS715" s="7" t="str">
        <x:v>Current detail page</x:v>
      </x:c>
    </x:row>
    <x:row r="716" ht="52" customHeight="1">
      <x:c r="A716" s="7" t="str">
        <x:v>AGUILAR LAURA RAQUEL</x:v>
      </x:c>
      <x:c r="B716" s="14" t="str">
        <x:f>"0F18763"</x:f>
        <x:v>0F18763</x:v>
      </x:c>
      <x:c r="C716" s="7" t="str">
        <x:v>Omitted</x:v>
      </x:c>
      <x:c r="D716" s="7" t="str">
        <x:v>FAIL</x:v>
      </x:c>
      <x:c r="E716" s="13" t="str">
        <x:v>Pending</x:v>
      </x:c>
      <x:c r="F716" s="13" t="str"/>
      <x:c r="G716" s="13" t="str"/>
      <x:c r="H716" s="13" t="str"/>
      <x:c r="I716" s="7" t="str">
        <x:v>Was this person reviewed? If rejected, give the actual rule and evidence. If acceptable, correct the omission. Confirm the Life-qualification gate and any record change since selection.</x:v>
      </x:c>
      <x:c r="J716" s="7" t="str">
        <x:v>L1</x:v>
      </x:c>
      <x:c r="K716" s="7" t="str">
        <x:v>Verified qualifications do not include active general Life. Current target-pool mismatch; actual historical omission reason unknown.</x:v>
      </x:c>
      <x:c r="L716" s="7" t="str">
        <x:v>Not supplied; membership is known, motive is not</x:v>
      </x:c>
      <x:c r="M716" s="7" t="n">
        <x:v>7</x:v>
      </x:c>
      <x:c r="N716" s="7" t="str">
        <x:v>Outside current general-Life recruiting pool</x:v>
      </x:c>
      <x:c r="O716" s="7" t="str">
        <x:v>Not displayed</x:v>
      </x:c>
      <x:c r="P716" s="7" t="str"/>
      <x:c r="Q716" s="7" t="str"/>
      <x:c r="R716" s="7" t="str"/>
      <x:c r="S716" s="15" t="str"/>
      <x:c r="T716" s="7" t="str">
        <x:v>No public business phone in collected record</x:v>
      </x:c>
      <x:c r="U716" s="7" t="str"/>
      <x:c r="V716" s="7" t="str">
        <x:v>Non-resident</x:v>
      </x:c>
      <x:c r="W716" s="7" t="str">
        <x:v>TX</x:v>
      </x:c>
      <x:c r="X716" s="7" t="str"/>
      <x:c r="Y716" s="7" t="str"/>
      <x:c r="Z716" s="7" t="str"/>
      <x:c r="AA716" s="7" t="str"/>
      <x:c r="AB716" s="7" t="str"/>
      <x:c r="AC716" s="7" t="str"/>
      <x:c r="AD716" s="7" t="str">
        <x:v>No agency or insurer displayed: onboarding opportunity possible; existing business unknown</x:v>
      </x:c>
      <x:c r="AE716" s="7" t="str">
        <x:v>Nonresident or address state outside CA; confirm geographic recruiting scope | No public business phone: contact enrichment needed, not proof of poor recruiting fit</x:v>
      </x:c>
      <x:c r="AF716" s="16" t="str"/>
      <x:c r="AG716" s="17" t="str"/>
      <x:c r="AH716" s="7" t="str"/>
      <x:c r="AI716" s="7" t="str"/>
      <x:c r="AJ716" s="7" t="str"/>
      <x:c r="AK716" s="15" t="str"/>
      <x:c r="AL716" s="7" t="str"/>
      <x:c r="AM716" s="7" t="str">
        <x:v>AGUILAR RAQUEL LAURA</x:v>
      </x:c>
      <x:c r="AN716" s="7" t="str">
        <x:v>https://cdicloud.insurance.ca.gov/cal/LicenseDetail?SearchType=IND&amp;SearchLicNbr=0F18763&amp;SearchIndvId=1012484</x:v>
      </x:c>
      <x:c r="AO716" s="7" t="str">
        <x:v>2026-10-08</x:v>
      </x:c>
      <x:c r="AP716" s="7" t="str">
        <x:v>a5cdcdb3f0cea04d7520ea6e7bdfcc6924fa934b745b208bbedf85e065118d71</x:v>
      </x:c>
      <x:c r="AQ716" s="7" t="str">
        <x:v>Casualty Broker-Agent / Inactive / 05/09/2006 / 11/08/2010 / 11/08/2010
Property Broker-Agent / Inactive / 05/09/2006 / 11/08/2010 / 11/08/2010</x:v>
      </x:c>
      <x:c r="AR716" s="7" t="str">
        <x:v>Inactive</x:v>
      </x:c>
      <x:c r="AS716" s="7" t="str">
        <x:v>Current detail page</x:v>
      </x:c>
    </x:row>
    <x:row r="717" ht="52" customHeight="1">
      <x:c r="A717" s="7" t="str">
        <x:v>AGUILAR LAUREN</x:v>
      </x:c>
      <x:c r="B717" s="14" t="str">
        <x:f>"0M68468"</x:f>
        <x:v>0M68468</x:v>
      </x:c>
      <x:c r="C717" s="7" t="str">
        <x:v>Omitted</x:v>
      </x:c>
      <x:c r="D717" s="7" t="str">
        <x:v>FAIL</x:v>
      </x:c>
      <x:c r="E717" s="13" t="str">
        <x:v>Pending</x:v>
      </x:c>
      <x:c r="F717" s="13" t="str"/>
      <x:c r="G717" s="13" t="str"/>
      <x:c r="H717" s="13" t="str"/>
      <x:c r="I717" s="7" t="str">
        <x:v>Was this person reviewed? If rejected, give the actual rule and evidence. If acceptable, correct the omission. Confirm the Life-qualification gate and any record change since selection.</x:v>
      </x:c>
      <x:c r="J717" s="7" t="str">
        <x:v>L1</x:v>
      </x:c>
      <x:c r="K717" s="7" t="str">
        <x:v>Verified qualifications do not include active general Life. Current target-pool mismatch; actual historical omission reason unknown.</x:v>
      </x:c>
      <x:c r="L717" s="7" t="str">
        <x:v>Not supplied; membership is known, motive is not</x:v>
      </x:c>
      <x:c r="M717" s="7" t="n">
        <x:v>7</x:v>
      </x:c>
      <x:c r="N717" s="7" t="str">
        <x:v>Outside current general-Life recruiting pool</x:v>
      </x:c>
      <x:c r="O717" s="7" t="str">
        <x:v>Not displayed</x:v>
      </x:c>
      <x:c r="P717" s="7" t="str"/>
      <x:c r="Q717" s="7" t="str"/>
      <x:c r="R717" s="7" t="str"/>
      <x:c r="S717" s="15" t="str"/>
      <x:c r="T717" s="7" t="str">
        <x:v>No public business phone in collected record</x:v>
      </x:c>
      <x:c r="U717" s="7" t="str"/>
      <x:c r="V717" s="7" t="str">
        <x:v>Resident</x:v>
      </x:c>
      <x:c r="W717" s="7" t="str">
        <x:v>CA</x:v>
      </x:c>
      <x:c r="X717" s="7" t="str"/>
      <x:c r="Y717" s="7" t="str"/>
      <x:c r="Z717" s="7" t="str"/>
      <x:c r="AA717" s="7" t="str"/>
      <x:c r="AB717" s="7" t="str"/>
      <x:c r="AC717" s="7" t="str"/>
      <x:c r="AD717" s="7" t="str">
        <x:v>No agency or insurer displayed: onboarding opportunity possible; existing business unknown</x:v>
      </x:c>
      <x:c r="AE717" s="7" t="str">
        <x:v>No public business phone: contact enrichment needed, not proof of poor recruiting fit</x:v>
      </x:c>
      <x:c r="AF717" s="16" t="str"/>
      <x:c r="AG717" s="17" t="str"/>
      <x:c r="AH717" s="7" t="str"/>
      <x:c r="AI717" s="7" t="str"/>
      <x:c r="AJ717" s="7" t="str"/>
      <x:c r="AK717" s="15" t="str"/>
      <x:c r="AL717" s="7" t="str"/>
      <x:c r="AM717" s="7" t="str">
        <x:v>AGUILAR  LAUREN</x:v>
      </x:c>
      <x:c r="AN717" s="7" t="str">
        <x:v>https://cdicloud.insurance.ca.gov/cal/LicenseDetail?SearchType=IND&amp;SearchLicNbr=0M68468&amp;SearchIndvId=2030760</x:v>
      </x:c>
      <x:c r="AO717" s="7" t="str">
        <x:v>2026-10-08</x:v>
      </x:c>
      <x:c r="AP717" s="7" t="str">
        <x:v>6d0b5fd5303798149a1a8efa2c23b0fd95a0b6ae078d90dc12c17499309d9acb</x:v>
      </x:c>
      <x:c r="AQ717" s="7" t="str">
        <x:v>Personal Lines Broker-Agent / Inactive / 11/16/2018 / 11/30/2020 / 11/30/2020</x:v>
      </x:c>
      <x:c r="AR717" s="7" t="str">
        <x:v>Inactive</x:v>
      </x:c>
      <x:c r="AS717" s="7" t="str">
        <x:v>Current detail page</x:v>
      </x:c>
    </x:row>
    <x:row r="718" ht="52" customHeight="1">
      <x:c r="A718" s="7" t="str">
        <x:v>AGUILAR LAURIE GEORGINA</x:v>
      </x:c>
      <x:c r="B718" s="14" t="str">
        <x:f>"0H28902"</x:f>
        <x:v>0H28902</x:v>
      </x:c>
      <x:c r="C718" s="7" t="str">
        <x:v>Omitted</x:v>
      </x:c>
      <x:c r="D718" s="7" t="str">
        <x:v>FAIL</x:v>
      </x:c>
      <x:c r="E718" s="13" t="str">
        <x:v>Pending</x:v>
      </x:c>
      <x:c r="F718" s="13" t="str"/>
      <x:c r="G718" s="13" t="str"/>
      <x:c r="H718" s="13" t="str"/>
      <x:c r="I718" s="7" t="str">
        <x:v>Was this person reviewed? If rejected, give the actual rule and evidence. If acceptable, correct the omission. Confirm the Life-qualification gate and any record change since selection.</x:v>
      </x:c>
      <x:c r="J718" s="7" t="str">
        <x:v>L1</x:v>
      </x:c>
      <x:c r="K718" s="7" t="str">
        <x:v>Verified qualifications do not include active general Life. Current target-pool mismatch; actual historical omission reason unknown.</x:v>
      </x:c>
      <x:c r="L718" s="7" t="str">
        <x:v>Not supplied; membership is known, motive is not</x:v>
      </x:c>
      <x:c r="M718" s="7" t="n">
        <x:v>7</x:v>
      </x:c>
      <x:c r="N718" s="7" t="str">
        <x:v>Outside current general-Life recruiting pool</x:v>
      </x:c>
      <x:c r="O718" s="7" t="str">
        <x:v>Not displayed</x:v>
      </x:c>
      <x:c r="P718" s="7" t="str"/>
      <x:c r="Q718" s="7" t="str"/>
      <x:c r="R718" s="7" t="str"/>
      <x:c r="S718" s="15" t="str"/>
      <x:c r="T718" s="7" t="str">
        <x:v>No public business phone in collected record</x:v>
      </x:c>
      <x:c r="U718" s="7" t="str"/>
      <x:c r="V718" s="7" t="str">
        <x:v>Resident</x:v>
      </x:c>
      <x:c r="W718" s="7" t="str">
        <x:v>CA</x:v>
      </x:c>
      <x:c r="X718" s="7" t="str"/>
      <x:c r="Y718" s="7" t="str"/>
      <x:c r="Z718" s="7" t="str"/>
      <x:c r="AA718" s="7" t="str"/>
      <x:c r="AB718" s="7" t="str"/>
      <x:c r="AC718" s="7" t="str"/>
      <x:c r="AD718" s="7" t="str">
        <x:v>No agency or insurer displayed: onboarding opportunity possible; existing business unknown</x:v>
      </x:c>
      <x:c r="AE718" s="7" t="str">
        <x:v>No public business phone: contact enrichment needed, not proof of poor recruiting fit</x:v>
      </x:c>
      <x:c r="AF718" s="16" t="str"/>
      <x:c r="AG718" s="17" t="str"/>
      <x:c r="AH718" s="7" t="str"/>
      <x:c r="AI718" s="7" t="str"/>
      <x:c r="AJ718" s="7" t="str"/>
      <x:c r="AK718" s="15" t="str"/>
      <x:c r="AL718" s="7" t="str"/>
      <x:c r="AM718" s="7" t="str">
        <x:v>AGUILAR GEORGINA LAURIE</x:v>
      </x:c>
      <x:c r="AN718" s="7" t="str">
        <x:v>https://cdicloud.insurance.ca.gov/cal/LicenseDetail?SearchType=IND&amp;SearchLicNbr=0H28902&amp;SearchIndvId=1375290</x:v>
      </x:c>
      <x:c r="AO718" s="7" t="str">
        <x:v>2026-10-08</x:v>
      </x:c>
      <x:c r="AP718" s="7" t="str">
        <x:v>d435ff63f7b9cedc6cf40638180764e99ab5b4f3d8f8d9257142b15f14b01136</x:v>
      </x:c>
      <x:c r="AQ718" s="7" t="str">
        <x:v>Life-Only / Inactive / 01/04/2011 / 01/31/2013 / 01/31/2013</x:v>
      </x:c>
      <x:c r="AR718" s="7" t="str">
        <x:v>Inactive</x:v>
      </x:c>
      <x:c r="AS718" s="7" t="str">
        <x:v>Current detail page</x:v>
      </x:c>
    </x:row>
    <x:row r="719" ht="52" customHeight="1">
      <x:c r="A719" s="7" t="str">
        <x:v>AGUILAR LAWRENCE</x:v>
      </x:c>
      <x:c r="B719" s="14" t="str">
        <x:f>"0D04415"</x:f>
        <x:v>0D04415</x:v>
      </x:c>
      <x:c r="C719" s="7" t="str">
        <x:v>Omitted</x:v>
      </x:c>
      <x:c r="D719" s="7" t="str">
        <x:v>FAIL</x:v>
      </x:c>
      <x:c r="E719" s="13" t="str">
        <x:v>Pending</x:v>
      </x:c>
      <x:c r="F719" s="13" t="str"/>
      <x:c r="G719" s="13" t="str"/>
      <x:c r="H719" s="13" t="str"/>
      <x:c r="I719" s="7" t="str">
        <x:v>Was this person reviewed? If rejected, give the actual rule and evidence. If acceptable, correct the omission. Confirm the Life-qualification gate and any record change since selection.</x:v>
      </x:c>
      <x:c r="J719" s="7" t="str">
        <x:v>L1</x:v>
      </x:c>
      <x:c r="K719" s="7" t="str">
        <x:v>Verified qualifications do not include active general Life. Current target-pool mismatch; actual historical omission reason unknown.</x:v>
      </x:c>
      <x:c r="L719" s="7" t="str">
        <x:v>Not supplied; membership is known, motive is not</x:v>
      </x:c>
      <x:c r="M719" s="7" t="n">
        <x:v>7</x:v>
      </x:c>
      <x:c r="N719" s="7" t="str">
        <x:v>Outside current general-Life recruiting pool</x:v>
      </x:c>
      <x:c r="O719" s="7" t="str">
        <x:v>Not displayed</x:v>
      </x:c>
      <x:c r="P719" s="7" t="str"/>
      <x:c r="Q719" s="7" t="str"/>
      <x:c r="R719" s="7" t="str"/>
      <x:c r="S719" s="15" t="str"/>
      <x:c r="T719" s="7" t="str">
        <x:v>No public business phone in collected record</x:v>
      </x:c>
      <x:c r="U719" s="7" t="str"/>
      <x:c r="V719" s="7" t="str">
        <x:v>Resident</x:v>
      </x:c>
      <x:c r="W719" s="7" t="str">
        <x:v>CA</x:v>
      </x:c>
      <x:c r="X719" s="7" t="str"/>
      <x:c r="Y719" s="7" t="str"/>
      <x:c r="Z719" s="7" t="str"/>
      <x:c r="AA719" s="7" t="str"/>
      <x:c r="AB719" s="7" t="str"/>
      <x:c r="AC719" s="7" t="str"/>
      <x:c r="AD719" s="7" t="str">
        <x:v>No agency or insurer displayed: onboarding opportunity possible; existing business unknown</x:v>
      </x:c>
      <x:c r="AE719" s="7" t="str">
        <x:v>No public business phone: contact enrichment needed, not proof of poor recruiting fit</x:v>
      </x:c>
      <x:c r="AF719" s="16" t="str"/>
      <x:c r="AG719" s="17" t="str"/>
      <x:c r="AH719" s="7" t="str"/>
      <x:c r="AI719" s="7" t="str"/>
      <x:c r="AJ719" s="7" t="str"/>
      <x:c r="AK719" s="15" t="str"/>
      <x:c r="AL719" s="7" t="str"/>
      <x:c r="AM719" s="7" t="str">
        <x:v>AGUILAR  LAWRENCE</x:v>
      </x:c>
      <x:c r="AN719" s="7" t="str">
        <x:v>https://cdicloud.insurance.ca.gov/cal/LicenseDetail?SearchType=IND&amp;SearchLicNbr=0D04415&amp;SearchIndvId=503228</x:v>
      </x:c>
      <x:c r="AO719" s="7" t="str">
        <x:v>2026-10-08</x:v>
      </x:c>
      <x:c r="AP719" s="7" t="str">
        <x:v>33db535beb15880d4b0d59ec7b210790372e228364bbe9ea5b1ffa38fdc0e442</x:v>
      </x:c>
      <x:c r="AQ719" s="7" t="str">
        <x:v>Casualty Broker-Agent / Inactive / 08/23/2000 / 08/31/2002 / 08/31/2002
Property Broker-Agent / Inactive / 08/23/2000 / 08/31/2002 / 08/31/2002</x:v>
      </x:c>
      <x:c r="AR719" s="7" t="str">
        <x:v>Inactive</x:v>
      </x:c>
      <x:c r="AS719" s="7" t="str">
        <x:v>Current detail page</x:v>
      </x:c>
    </x:row>
    <x:row r="720" ht="52" customHeight="1">
      <x:c r="A720" s="7" t="str">
        <x:v>AGUILAR LAYLONIE</x:v>
      </x:c>
      <x:c r="B720" s="14" t="str">
        <x:f>"4388541"</x:f>
        <x:v>4388541</x:v>
      </x:c>
      <x:c r="C720" s="7" t="str">
        <x:v>Omitted</x:v>
      </x:c>
      <x:c r="D720" s="7" t="str">
        <x:v>FAIL</x:v>
      </x:c>
      <x:c r="E720" s="13" t="str">
        <x:v>Pending</x:v>
      </x:c>
      <x:c r="F720" s="13" t="str"/>
      <x:c r="G720" s="13" t="str"/>
      <x:c r="H720" s="13" t="str"/>
      <x:c r="I720" s="7" t="str">
        <x:v>Was this person reviewed? If rejected, give the actual rule and evidence. If acceptable, correct the omission. Confirm the Life-qualification gate and any record change since selection.</x:v>
      </x:c>
      <x:c r="J720" s="7" t="str">
        <x:v>L1</x:v>
      </x:c>
      <x:c r="K720" s="7" t="str">
        <x:v>Verified qualifications do not include active general Life. Current target-pool mismatch; actual historical omission reason unknown.</x:v>
      </x:c>
      <x:c r="L720" s="7" t="str">
        <x:v>Not supplied; membership is known, motive is not</x:v>
      </x:c>
      <x:c r="M720" s="7" t="n">
        <x:v>7</x:v>
      </x:c>
      <x:c r="N720" s="7" t="str">
        <x:v>Outside current general-Life recruiting pool</x:v>
      </x:c>
      <x:c r="O720" s="7" t="str">
        <x:v>Not displayed</x:v>
      </x:c>
      <x:c r="P720" s="7" t="str"/>
      <x:c r="Q720" s="7" t="str"/>
      <x:c r="R720" s="7" t="str">
        <x:v>Limited Lines Automobile</x:v>
      </x:c>
      <x:c r="S720" s="15" t="str">
        <x:v>661-872-3330</x:v>
      </x:c>
      <x:c r="T720" s="7" t="str">
        <x:v>Current CDI</x:v>
      </x:c>
      <x:c r="U720" s="7" t="str">
        <x:v>3122 NILES STREET, SUITE C BAKERSFIELD CA, 93306</x:v>
      </x:c>
      <x:c r="V720" s="7" t="str">
        <x:v>Resident</x:v>
      </x:c>
      <x:c r="W720" s="7" t="str">
        <x:v>CA</x:v>
      </x:c>
      <x:c r="X720" s="7" t="str">
        <x:v>FRED LOYA INSURANCE AGENCY, INC. / Limited Lines Automobile / 06/20/2024</x:v>
      </x:c>
      <x:c r="Y720" s="7" t="str">
        <x:v>NATION MOTOR CLUB, LLC / Motor Club / 07/16/2024</x:v>
      </x:c>
      <x:c r="Z720" s="7" t="str"/>
      <x:c r="AA720" s="7" t="str"/>
      <x:c r="AB720" s="7" t="str"/>
      <x:c r="AC720" s="7" t="str"/>
      <x:c r="AD720" s="7" t="str"/>
      <x:c r="AE720" s="7" t="str"/>
      <x:c r="AF720" s="16" t="str"/>
      <x:c r="AG720" s="17" t="str"/>
      <x:c r="AH720" s="7" t="str"/>
      <x:c r="AI720" s="7" t="str">
        <x:v>English</x:v>
      </x:c>
      <x:c r="AJ720" s="7" t="str"/>
      <x:c r="AK720" s="15" t="str"/>
      <x:c r="AL720" s="7" t="str"/>
      <x:c r="AM720" s="7" t="str">
        <x:v>AGUILAR  LAYLONIE</x:v>
      </x:c>
      <x:c r="AN720" s="7" t="str">
        <x:v>https://cdicloud.insurance.ca.gov/cal/LicenseDetail?SearchType=IND&amp;SearchLicNbr=4388541&amp;SearchIndvId=4388541</x:v>
      </x:c>
      <x:c r="AO720" s="7" t="str">
        <x:v>2026-10-08</x:v>
      </x:c>
      <x:c r="AP720" s="7" t="str">
        <x:v>5cabccc7c64dfe32b92a5f0fe03a48486f6a08424b4846f858bf6b16fcb8fa83</x:v>
      </x:c>
      <x:c r="AQ720" s="7" t="str">
        <x:v>Limited Lines Automobile / Active / 06/20/2024 / 06/20/2024 / 06/30/2028</x:v>
      </x:c>
      <x:c r="AR720" s="7" t="str">
        <x:v>Active</x:v>
      </x:c>
      <x:c r="AS720" s="7" t="str">
        <x:v>Current detail page</x:v>
      </x:c>
    </x:row>
    <x:row r="721" ht="52" customHeight="1">
      <x:c r="A721" s="7" t="str">
        <x:v>AGUILAR LEANDRO</x:v>
      </x:c>
      <x:c r="B721" s="14" t="str">
        <x:f>"0J08771"</x:f>
        <x:v>0J08771</x:v>
      </x:c>
      <x:c r="C721" s="7" t="str">
        <x:v>Omitted</x:v>
      </x:c>
      <x:c r="D721" s="7" t="str">
        <x:v>FAIL</x:v>
      </x:c>
      <x:c r="E721" s="13" t="str">
        <x:v>Pending</x:v>
      </x:c>
      <x:c r="F721" s="13" t="str"/>
      <x:c r="G721" s="13" t="str"/>
      <x:c r="H721" s="13" t="str"/>
      <x:c r="I721" s="7" t="str">
        <x:v>Was this person reviewed? If rejected, give the actual rule and evidence. If acceptable, correct the omission. Confirm the Life-qualification gate and any record change since selection.</x:v>
      </x:c>
      <x:c r="J721" s="7" t="str">
        <x:v>L1</x:v>
      </x:c>
      <x:c r="K721" s="7" t="str">
        <x:v>Verified qualifications do not include active general Life. Current target-pool mismatch; actual historical omission reason unknown.</x:v>
      </x:c>
      <x:c r="L721" s="7" t="str">
        <x:v>Not supplied; membership is known, motive is not</x:v>
      </x:c>
      <x:c r="M721" s="7" t="n">
        <x:v>7</x:v>
      </x:c>
      <x:c r="N721" s="7" t="str">
        <x:v>Outside current general-Life recruiting pool</x:v>
      </x:c>
      <x:c r="O721" s="7" t="str">
        <x:v>Not displayed</x:v>
      </x:c>
      <x:c r="P721" s="7" t="str"/>
      <x:c r="Q721" s="7" t="str"/>
      <x:c r="R721" s="7" t="str"/>
      <x:c r="S721" s="15" t="str"/>
      <x:c r="T721" s="7" t="str">
        <x:v>No public business phone in collected record</x:v>
      </x:c>
      <x:c r="U721" s="7" t="str"/>
      <x:c r="V721" s="7" t="str">
        <x:v>Non-resident</x:v>
      </x:c>
      <x:c r="W721" s="7" t="str">
        <x:v>FL</x:v>
      </x:c>
      <x:c r="X721" s="7" t="str"/>
      <x:c r="Y721" s="7" t="str"/>
      <x:c r="Z721" s="7" t="str"/>
      <x:c r="AA721" s="7" t="str"/>
      <x:c r="AB721" s="7" t="str"/>
      <x:c r="AC721" s="7" t="str"/>
      <x:c r="AD721" s="7" t="str">
        <x:v>No agency or insurer displayed: onboarding opportunity possible; existing business unknown</x:v>
      </x:c>
      <x:c r="AE721" s="7" t="str">
        <x:v>Nonresident or address state outside CA; confirm geographic recruiting scope | No public business phone: contact enrichment needed, not proof of poor recruiting fit</x:v>
      </x:c>
      <x:c r="AF721" s="16" t="str"/>
      <x:c r="AG721" s="17" t="str"/>
      <x:c r="AH721" s="7" t="str"/>
      <x:c r="AI721" s="7" t="str"/>
      <x:c r="AJ721" s="7" t="str"/>
      <x:c r="AK721" s="15" t="str"/>
      <x:c r="AL721" s="7" t="str"/>
      <x:c r="AM721" s="7" t="str">
        <x:v>AGUILAR  LEANDRO</x:v>
      </x:c>
      <x:c r="AN721" s="7" t="str">
        <x:v>https://cdicloud.insurance.ca.gov/cal/LicenseDetail?SearchType=IND&amp;SearchLicNbr=0J08771&amp;SearchIndvId=1703540</x:v>
      </x:c>
      <x:c r="AO721" s="7" t="str">
        <x:v>2026-10-08</x:v>
      </x:c>
      <x:c r="AP721" s="7" t="str">
        <x:v>2bc41821f52de45e84a1451ab3c98012a58c093fd61831393262b246a7cfa705</x:v>
      </x:c>
      <x:c r="AQ721" s="7" t="str">
        <x:v>Accident and Health / Inactive / 09/23/2014 / 09/30/2016 / 09/30/2016</x:v>
      </x:c>
      <x:c r="AR721" s="7" t="str">
        <x:v>Inactive</x:v>
      </x:c>
      <x:c r="AS721" s="7" t="str">
        <x:v>Current detail page</x:v>
      </x:c>
    </x:row>
    <x:row r="722" ht="52" customHeight="1">
      <x:c r="A722" s="7" t="str">
        <x:v>AGUILAR LEANN</x:v>
      </x:c>
      <x:c r="B722" s="14" t="str">
        <x:f>"4132787"</x:f>
        <x:v>4132787</x:v>
      </x:c>
      <x:c r="C722" s="7" t="str">
        <x:v>Omitted</x:v>
      </x:c>
      <x:c r="D722" s="7" t="str">
        <x:v>FAIL</x:v>
      </x:c>
      <x:c r="E722" s="13" t="str">
        <x:v>Pending</x:v>
      </x:c>
      <x:c r="F722" s="13" t="str"/>
      <x:c r="G722" s="13" t="str"/>
      <x:c r="H722" s="13" t="str"/>
      <x:c r="I722" s="7" t="str">
        <x:v>Was this person reviewed? If rejected, give the actual rule and evidence. If acceptable, correct the omission. Confirm the Life-qualification gate and any record change since selection.</x:v>
      </x:c>
      <x:c r="J722" s="7" t="str">
        <x:v>L1</x:v>
      </x:c>
      <x:c r="K722" s="7" t="str">
        <x:v>Verified qualifications do not include active general Life. Current target-pool mismatch; actual historical omission reason unknown.</x:v>
      </x:c>
      <x:c r="L722" s="7" t="str">
        <x:v>Not supplied; membership is known, motive is not</x:v>
      </x:c>
      <x:c r="M722" s="7" t="n">
        <x:v>7</x:v>
      </x:c>
      <x:c r="N722" s="7" t="str">
        <x:v>Outside current general-Life recruiting pool</x:v>
      </x:c>
      <x:c r="O722" s="7" t="str">
        <x:v>Inactive</x:v>
      </x:c>
      <x:c r="P722" s="7" t="str">
        <x:v>06/16/2021</x:v>
      </x:c>
      <x:c r="Q722" s="7" t="str">
        <x:v>06/30/2023</x:v>
      </x:c>
      <x:c r="R722" s="7" t="str"/>
      <x:c r="S722" s="15" t="str">
        <x:v>213-243-7000</x:v>
      </x:c>
      <x:c r="T722" s="7" t="str">
        <x:v>Current CDI</x:v>
      </x:c>
      <x:c r="U722" s="7" t="str">
        <x:v>515 S FLOWER ST 34TH FLOOR LOS ANGELES CA, 90071</x:v>
      </x:c>
      <x:c r="V722" s="7" t="str">
        <x:v>Resident</x:v>
      </x:c>
      <x:c r="W722" s="7" t="str">
        <x:v>CA</x:v>
      </x:c>
      <x:c r="X722" s="7" t="str"/>
      <x:c r="Y722" s="7" t="str"/>
      <x:c r="Z722" s="7" t="str"/>
      <x:c r="AA722" s="7" t="str"/>
      <x:c r="AB722" s="7" t="str"/>
      <x:c r="AC722" s="7" t="str"/>
      <x:c r="AD722" s="7" t="str">
        <x:v>No agency or insurer displayed: onboarding opportunity possible; existing business unknown</x:v>
      </x:c>
      <x:c r="AE722" s="7" t="str"/>
      <x:c r="AF722" s="16" t="str"/>
      <x:c r="AG722" s="17" t="str"/>
      <x:c r="AH722" s="7" t="str"/>
      <x:c r="AI722" s="7" t="str">
        <x:v>English</x:v>
      </x:c>
      <x:c r="AJ722" s="7" t="str"/>
      <x:c r="AK722" s="15" t="str"/>
      <x:c r="AL722" s="7" t="str"/>
      <x:c r="AM722" s="7" t="str">
        <x:v>AGUILAR  LEANN</x:v>
      </x:c>
      <x:c r="AN722" s="7" t="str">
        <x:v>https://cdicloud.insurance.ca.gov/cal/LicenseDetail?SearchType=IND&amp;SearchLicNbr=4132787&amp;SearchIndvId=4132787</x:v>
      </x:c>
      <x:c r="AO722" s="7" t="str">
        <x:v>2026-10-08</x:v>
      </x:c>
      <x:c r="AP722" s="7" t="str">
        <x:v>b9861e1e9bdbfb004f19d4c992792883ccc9e47a5ebc35d46ae6996a891cd431</x:v>
      </x:c>
      <x:c r="AQ722" s="7" t="str">
        <x:v>Accident &amp; Health or Sickness / Inactive / 06/16/2021 / 06/30/2023 / 06/30/2023
Life / Inactive / 06/16/2021 / 06/30/2023 / 06/30/2023</x:v>
      </x:c>
      <x:c r="AR722" s="7" t="str">
        <x:v>Inactive</x:v>
      </x:c>
      <x:c r="AS722" s="7" t="str">
        <x:v>Current detail page</x:v>
      </x:c>
    </x:row>
    <x:row r="723" ht="52" customHeight="1">
      <x:c r="A723" s="7" t="str">
        <x:v>AGUILAR LEONARDO</x:v>
      </x:c>
      <x:c r="B723" s="14" t="str">
        <x:f>"0L28141"</x:f>
        <x:v>0L28141</x:v>
      </x:c>
      <x:c r="C723" s="7" t="str">
        <x:v>Omitted</x:v>
      </x:c>
      <x:c r="D723" s="7" t="str">
        <x:v>FAIL</x:v>
      </x:c>
      <x:c r="E723" s="13" t="str">
        <x:v>Pending</x:v>
      </x:c>
      <x:c r="F723" s="13" t="str"/>
      <x:c r="G723" s="13" t="str"/>
      <x:c r="H723" s="13" t="str"/>
      <x:c r="I723" s="7" t="str">
        <x:v>Was this person reviewed? If rejected, give the actual rule and evidence. If acceptable, correct the omission. Confirm the Life-qualification gate and any record change since selection.</x:v>
      </x:c>
      <x:c r="J723" s="7" t="str">
        <x:v>L1</x:v>
      </x:c>
      <x:c r="K723" s="7" t="str">
        <x:v>Verified qualifications do not include active general Life. Current target-pool mismatch; actual historical omission reason unknown.</x:v>
      </x:c>
      <x:c r="L723" s="7" t="str">
        <x:v>Not supplied; membership is known, motive is not</x:v>
      </x:c>
      <x:c r="M723" s="7" t="n">
        <x:v>7</x:v>
      </x:c>
      <x:c r="N723" s="7" t="str">
        <x:v>Outside current general-Life recruiting pool</x:v>
      </x:c>
      <x:c r="O723" s="7" t="str">
        <x:v>Not displayed</x:v>
      </x:c>
      <x:c r="P723" s="7" t="str"/>
      <x:c r="Q723" s="7" t="str"/>
      <x:c r="R723" s="7" t="str"/>
      <x:c r="S723" s="15" t="str"/>
      <x:c r="T723" s="7" t="str">
        <x:v>No public business phone in collected record</x:v>
      </x:c>
      <x:c r="U723" s="7" t="str"/>
      <x:c r="V723" s="7" t="str">
        <x:v>Resident</x:v>
      </x:c>
      <x:c r="W723" s="7" t="str">
        <x:v>CA</x:v>
      </x:c>
      <x:c r="X723" s="7" t="str"/>
      <x:c r="Y723" s="7" t="str"/>
      <x:c r="Z723" s="7" t="str"/>
      <x:c r="AA723" s="7" t="str"/>
      <x:c r="AB723" s="7" t="str"/>
      <x:c r="AC723" s="7" t="str"/>
      <x:c r="AD723" s="7" t="str">
        <x:v>No agency or insurer displayed: onboarding opportunity possible; existing business unknown</x:v>
      </x:c>
      <x:c r="AE723" s="7" t="str">
        <x:v>No public business phone: contact enrichment needed, not proof of poor recruiting fit</x:v>
      </x:c>
      <x:c r="AF723" s="16" t="str"/>
      <x:c r="AG723" s="17" t="str"/>
      <x:c r="AH723" s="7" t="str"/>
      <x:c r="AI723" s="7" t="str"/>
      <x:c r="AJ723" s="7" t="str"/>
      <x:c r="AK723" s="15" t="str"/>
      <x:c r="AL723" s="7" t="str"/>
      <x:c r="AM723" s="7" t="str">
        <x:v>AGUILAR  LEONARDO | Aguilar Valdez  Leonardo</x:v>
      </x:c>
      <x:c r="AN723" s="7" t="str">
        <x:v>https://cdicloud.insurance.ca.gov/cal/LicenseDetail?SearchType=IND&amp;SearchLicNbr=0L28141&amp;SearchIndvId=1849962</x:v>
      </x:c>
      <x:c r="AO723" s="7" t="str">
        <x:v>2026-10-08</x:v>
      </x:c>
      <x:c r="AP723" s="7" t="str">
        <x:v>9e96e4c61d57267081a593f90ec746fda3fc45ee047b013721ec8df1ac91fd98</x:v>
      </x:c>
      <x:c r="AQ723" s="7" t="str">
        <x:v>Personal Lines Broker-Agent / Inactive / 10/20/2016 / 10/31/2018 / 10/31/2018</x:v>
      </x:c>
      <x:c r="AR723" s="7" t="str">
        <x:v>Inactive</x:v>
      </x:c>
      <x:c r="AS723" s="7" t="str">
        <x:v>Current detail page</x:v>
      </x:c>
    </x:row>
    <x:row r="724" ht="52" customHeight="1">
      <x:c r="A724" s="7" t="str">
        <x:v>AGUILAR LEOPOLDO</x:v>
      </x:c>
      <x:c r="B724" s="14" t="str">
        <x:f>"0G91615"</x:f>
        <x:v>0G91615</x:v>
      </x:c>
      <x:c r="C724" s="7" t="str">
        <x:v>Omitted</x:v>
      </x:c>
      <x:c r="D724" s="7" t="str">
        <x:v>FAIL</x:v>
      </x:c>
      <x:c r="E724" s="13" t="str">
        <x:v>Pending</x:v>
      </x:c>
      <x:c r="F724" s="13" t="str"/>
      <x:c r="G724" s="13" t="str"/>
      <x:c r="H724" s="13" t="str"/>
      <x:c r="I724" s="7" t="str">
        <x:v>Was this person reviewed? If rejected, give the actual rule and evidence. If acceptable, correct the omission. Confirm the Life-qualification gate and any record change since selection.</x:v>
      </x:c>
      <x:c r="J724" s="7" t="str">
        <x:v>L1</x:v>
      </x:c>
      <x:c r="K724" s="7" t="str">
        <x:v>Verified qualifications do not include active general Life. Current target-pool mismatch; actual historical omission reason unknown.</x:v>
      </x:c>
      <x:c r="L724" s="7" t="str">
        <x:v>Not supplied; membership is known, motive is not</x:v>
      </x:c>
      <x:c r="M724" s="7" t="n">
        <x:v>7</x:v>
      </x:c>
      <x:c r="N724" s="7" t="str">
        <x:v>Outside current general-Life recruiting pool</x:v>
      </x:c>
      <x:c r="O724" s="7" t="str">
        <x:v>Not displayed</x:v>
      </x:c>
      <x:c r="P724" s="7" t="str"/>
      <x:c r="Q724" s="7" t="str"/>
      <x:c r="R724" s="7" t="str"/>
      <x:c r="S724" s="15" t="str"/>
      <x:c r="T724" s="7" t="str">
        <x:v>No public business phone in collected record</x:v>
      </x:c>
      <x:c r="U724" s="7" t="str"/>
      <x:c r="V724" s="7" t="str">
        <x:v>Resident</x:v>
      </x:c>
      <x:c r="W724" s="7" t="str">
        <x:v>CA</x:v>
      </x:c>
      <x:c r="X724" s="7" t="str"/>
      <x:c r="Y724" s="7" t="str"/>
      <x:c r="Z724" s="7" t="str"/>
      <x:c r="AA724" s="7" t="str"/>
      <x:c r="AB724" s="7" t="str"/>
      <x:c r="AC724" s="7" t="str"/>
      <x:c r="AD724" s="7" t="str">
        <x:v>No agency or insurer displayed: onboarding opportunity possible; existing business unknown</x:v>
      </x:c>
      <x:c r="AE724" s="7" t="str">
        <x:v>No public business phone: contact enrichment needed, not proof of poor recruiting fit</x:v>
      </x:c>
      <x:c r="AF724" s="16" t="str"/>
      <x:c r="AG724" s="17" t="str"/>
      <x:c r="AH724" s="7" t="str"/>
      <x:c r="AI724" s="7" t="str"/>
      <x:c r="AJ724" s="7" t="str"/>
      <x:c r="AK724" s="15" t="str"/>
      <x:c r="AL724" s="7" t="str"/>
      <x:c r="AM724" s="7" t="str">
        <x:v>AGUILAR  LEOPOLDO</x:v>
      </x:c>
      <x:c r="AN724" s="7" t="str">
        <x:v>https://cdicloud.insurance.ca.gov/cal/LicenseDetail?SearchType=IND&amp;SearchLicNbr=0G91615&amp;SearchIndvId=1326249</x:v>
      </x:c>
      <x:c r="AO724" s="7" t="str">
        <x:v>2026-10-08</x:v>
      </x:c>
      <x:c r="AP724" s="7" t="str">
        <x:v>b94e12ea06690bd790b23e0d9f00d2a6eb98b6014f37abdae7314b16a9bd5fd5</x:v>
      </x:c>
      <x:c r="AQ724" s="7" t="str">
        <x:v>Life-Only / Inactive / 03/24/2010 / 03/31/2012 / 03/31/2012</x:v>
      </x:c>
      <x:c r="AR724" s="7" t="str">
        <x:v>Inactive</x:v>
      </x:c>
      <x:c r="AS724" s="7" t="str">
        <x:v>Current detail page</x:v>
      </x:c>
    </x:row>
    <x:row r="725" ht="52" customHeight="1">
      <x:c r="A725" s="7" t="str">
        <x:v>AGUILAR LESLIE</x:v>
      </x:c>
      <x:c r="B725" s="14" t="str">
        <x:f>"0H47717"</x:f>
        <x:v>0H47717</x:v>
      </x:c>
      <x:c r="C725" s="7" t="str">
        <x:v>Omitted</x:v>
      </x:c>
      <x:c r="D725" s="7" t="str">
        <x:v>FAIL</x:v>
      </x:c>
      <x:c r="E725" s="13" t="str">
        <x:v>Pending</x:v>
      </x:c>
      <x:c r="F725" s="13" t="str"/>
      <x:c r="G725" s="13" t="str"/>
      <x:c r="H725" s="13" t="str"/>
      <x:c r="I725" s="7" t="str">
        <x:v>Was this person reviewed? If rejected, give the actual rule and evidence. If acceptable, correct the omission. Confirm the Life-qualification gate and any record change since selection.</x:v>
      </x:c>
      <x:c r="J725" s="7" t="str">
        <x:v>L1</x:v>
      </x:c>
      <x:c r="K725" s="7" t="str">
        <x:v>Verified qualifications do not include active general Life. Current target-pool mismatch; actual historical omission reason unknown.</x:v>
      </x:c>
      <x:c r="L725" s="7" t="str">
        <x:v>Not supplied; membership is known, motive is not</x:v>
      </x:c>
      <x:c r="M725" s="7" t="n">
        <x:v>7</x:v>
      </x:c>
      <x:c r="N725" s="7" t="str">
        <x:v>Outside current general-Life recruiting pool</x:v>
      </x:c>
      <x:c r="O725" s="7" t="str">
        <x:v>Inactive</x:v>
      </x:c>
      <x:c r="P725" s="7" t="str">
        <x:v>05/27/2015</x:v>
      </x:c>
      <x:c r="Q725" s="7" t="str">
        <x:v>07/31/2025</x:v>
      </x:c>
      <x:c r="R725" s="7" t="str"/>
      <x:c r="S725" s="15" t="str">
        <x:v>951-485-0590</x:v>
      </x:c>
      <x:c r="T725" s="7" t="str">
        <x:v>Current CDI</x:v>
      </x:c>
      <x:c r="U725" s="7" t="str">
        <x:v>23715 SUNNYMEAD BLVD SUITE G MORENO VALLEY CA, 92553</x:v>
      </x:c>
      <x:c r="V725" s="7" t="str">
        <x:v>Resident</x:v>
      </x:c>
      <x:c r="W725" s="7" t="str">
        <x:v>CA</x:v>
      </x:c>
      <x:c r="X725" s="7" t="str"/>
      <x:c r="Y725" s="7" t="str"/>
      <x:c r="Z725" s="7" t="str"/>
      <x:c r="AA725" s="7" t="str"/>
      <x:c r="AB725" s="7" t="str"/>
      <x:c r="AC725" s="7" t="str"/>
      <x:c r="AD725" s="7" t="str">
        <x:v>No agency or insurer displayed: onboarding opportunity possible; existing business unknown</x:v>
      </x:c>
      <x:c r="AE725" s="7" t="str"/>
      <x:c r="AF725" s="16" t="str"/>
      <x:c r="AG725" s="17" t="str"/>
      <x:c r="AH725" s="7" t="str"/>
      <x:c r="AI725" s="7" t="str">
        <x:v>English, Spanish, Spanish</x:v>
      </x:c>
      <x:c r="AJ725" s="7" t="str"/>
      <x:c r="AK725" s="15" t="str"/>
      <x:c r="AL725" s="7" t="str"/>
      <x:c r="AM725" s="7" t="str">
        <x:v>AGUILAR  LESLIE</x:v>
      </x:c>
      <x:c r="AN725" s="7" t="str">
        <x:v>https://cdicloud.insurance.ca.gov/cal/LicenseDetail?SearchType=IND&amp;SearchLicNbr=0H47717&amp;SearchIndvId=1461846</x:v>
      </x:c>
      <x:c r="AO725" s="7" t="str">
        <x:v>2026-10-08</x:v>
      </x:c>
      <x:c r="AP725" s="7" t="str">
        <x:v>25d729115fb147ceebe69cbfb60d865d65079cb0e0f730a27c9e717626e47105</x:v>
      </x:c>
      <x:c r="AQ725" s="7" t="str">
        <x:v>Accident &amp; Health or Sickness / Inactive / 05/27/2015 / 07/31/2025 / 07/31/2025
Casualty / Inactive / 07/12/2011 / 07/31/2025 / 07/31/2025
Life / Inactive / 05/27/2015 / 07/31/2025 / 07/31/2025
Property / Inactive / 07/12/2011 / 07/31/2025 / 07/31/2025</x:v>
      </x:c>
      <x:c r="AR725" s="7" t="str">
        <x:v>Inactive</x:v>
      </x:c>
      <x:c r="AS725" s="7" t="str">
        <x:v>Current detail page</x:v>
      </x:c>
    </x:row>
    <x:row r="726" ht="52" customHeight="1">
      <x:c r="A726" s="7" t="str">
        <x:v>AGUILAR LESLIE KARINA</x:v>
      </x:c>
      <x:c r="B726" s="14" t="str">
        <x:f>"0K18187"</x:f>
        <x:v>0K18187</x:v>
      </x:c>
      <x:c r="C726" s="7" t="str">
        <x:v>Omitted</x:v>
      </x:c>
      <x:c r="D726" s="7" t="str">
        <x:v>FAIL</x:v>
      </x:c>
      <x:c r="E726" s="13" t="str">
        <x:v>Pending</x:v>
      </x:c>
      <x:c r="F726" s="13" t="str"/>
      <x:c r="G726" s="13" t="str"/>
      <x:c r="H726" s="13" t="str"/>
      <x:c r="I726" s="7" t="str">
        <x:v>Was this person reviewed? If rejected, give the actual rule and evidence. If acceptable, correct the omission. Confirm the Life-qualification gate and any record change since selection.</x:v>
      </x:c>
      <x:c r="J726" s="7" t="str">
        <x:v>L1</x:v>
      </x:c>
      <x:c r="K726" s="7" t="str">
        <x:v>Verified qualifications do not include active general Life. Current target-pool mismatch; actual historical omission reason unknown.</x:v>
      </x:c>
      <x:c r="L726" s="7" t="str">
        <x:v>Not supplied; membership is known, motive is not</x:v>
      </x:c>
      <x:c r="M726" s="7" t="n">
        <x:v>7</x:v>
      </x:c>
      <x:c r="N726" s="7" t="str">
        <x:v>Outside current general-Life recruiting pool</x:v>
      </x:c>
      <x:c r="O726" s="7" t="str">
        <x:v>Not displayed</x:v>
      </x:c>
      <x:c r="P726" s="7" t="str"/>
      <x:c r="Q726" s="7" t="str"/>
      <x:c r="R726" s="7" t="str"/>
      <x:c r="S726" s="15" t="str"/>
      <x:c r="T726" s="7" t="str">
        <x:v>No public business phone in collected record</x:v>
      </x:c>
      <x:c r="U726" s="7" t="str"/>
      <x:c r="V726" s="7" t="str">
        <x:v>Resident</x:v>
      </x:c>
      <x:c r="W726" s="7" t="str">
        <x:v>CA</x:v>
      </x:c>
      <x:c r="X726" s="7" t="str"/>
      <x:c r="Y726" s="7" t="str"/>
      <x:c r="Z726" s="7" t="str"/>
      <x:c r="AA726" s="7" t="str"/>
      <x:c r="AB726" s="7" t="str"/>
      <x:c r="AC726" s="7" t="str"/>
      <x:c r="AD726" s="7" t="str">
        <x:v>No agency or insurer displayed: onboarding opportunity possible; existing business unknown</x:v>
      </x:c>
      <x:c r="AE726" s="7" t="str">
        <x:v>No public business phone: contact enrichment needed, not proof of poor recruiting fit</x:v>
      </x:c>
      <x:c r="AF726" s="16" t="str"/>
      <x:c r="AG726" s="17" t="str"/>
      <x:c r="AH726" s="7" t="str"/>
      <x:c r="AI726" s="7" t="str"/>
      <x:c r="AJ726" s="7" t="str"/>
      <x:c r="AK726" s="15" t="str"/>
      <x:c r="AL726" s="7" t="str"/>
      <x:c r="AM726" s="7" t="str">
        <x:v>Aguilar K Leslie | AGUILAR KARINA LESLIE</x:v>
      </x:c>
      <x:c r="AN726" s="7" t="str">
        <x:v>https://cdicloud.insurance.ca.gov/cal/LicenseDetail?SearchType=IND&amp;SearchLicNbr=0K18187&amp;SearchIndvId=1750820</x:v>
      </x:c>
      <x:c r="AO726" s="7" t="str">
        <x:v>2026-10-08</x:v>
      </x:c>
      <x:c r="AP726" s="7" t="str">
        <x:v>0e77ec5b0275d4dd333083158caa226f03cb2f459dc822cfdf8e4ab5766e9e15</x:v>
      </x:c>
      <x:c r="AQ726" s="7" t="str">
        <x:v>Casualty Broker-Agent / Inactive / 06/11/2015 / 04/30/2017 / 04/30/2017
Life-Only / Inactive / 04/10/2015 / 04/30/2017 / 04/30/2017
Property Broker-Agent / Inactive / 06/11/2015 / 04/30/2017 / 04/30/2017</x:v>
      </x:c>
      <x:c r="AR726" s="7" t="str">
        <x:v>Inactive</x:v>
      </x:c>
      <x:c r="AS726" s="7" t="str">
        <x:v>Current detail page</x:v>
      </x:c>
    </x:row>
    <x:row r="727" ht="52" customHeight="1">
      <x:c r="A727" s="7" t="str">
        <x:v>AGUILAR LESLIE YVETTE</x:v>
      </x:c>
      <x:c r="B727" s="14" t="str">
        <x:f>"0L70659"</x:f>
        <x:v>0L70659</x:v>
      </x:c>
      <x:c r="C727" s="7" t="str">
        <x:v>Omitted</x:v>
      </x:c>
      <x:c r="D727" s="7" t="str">
        <x:v>FAIL</x:v>
      </x:c>
      <x:c r="E727" s="13" t="str">
        <x:v>Pending</x:v>
      </x:c>
      <x:c r="F727" s="13" t="str"/>
      <x:c r="G727" s="13" t="str"/>
      <x:c r="H727" s="13" t="str"/>
      <x:c r="I727" s="7" t="str">
        <x:v>Was this person reviewed? If rejected, give the actual rule and evidence. If acceptable, correct the omission. Confirm the Life-qualification gate and any record change since selection.</x:v>
      </x:c>
      <x:c r="J727" s="7" t="str">
        <x:v>L1</x:v>
      </x:c>
      <x:c r="K727" s="7" t="str">
        <x:v>Verified qualifications do not include active general Life. Current target-pool mismatch; actual historical omission reason unknown.</x:v>
      </x:c>
      <x:c r="L727" s="7" t="str">
        <x:v>Not supplied; membership is known, motive is not</x:v>
      </x:c>
      <x:c r="M727" s="7" t="n">
        <x:v>7</x:v>
      </x:c>
      <x:c r="N727" s="7" t="str">
        <x:v>Outside current general-Life recruiting pool</x:v>
      </x:c>
      <x:c r="O727" s="7" t="str">
        <x:v>Not displayed</x:v>
      </x:c>
      <x:c r="P727" s="7" t="str"/>
      <x:c r="Q727" s="7" t="str"/>
      <x:c r="R727" s="7" t="str"/>
      <x:c r="S727" s="15" t="str"/>
      <x:c r="T727" s="7" t="str">
        <x:v>No public business phone in collected record</x:v>
      </x:c>
      <x:c r="U727" s="7" t="str"/>
      <x:c r="V727" s="7" t="str">
        <x:v>Resident</x:v>
      </x:c>
      <x:c r="W727" s="7" t="str">
        <x:v>CA</x:v>
      </x:c>
      <x:c r="X727" s="7" t="str"/>
      <x:c r="Y727" s="7" t="str"/>
      <x:c r="Z727" s="7" t="str"/>
      <x:c r="AA727" s="7" t="str"/>
      <x:c r="AB727" s="7" t="str"/>
      <x:c r="AC727" s="7" t="str"/>
      <x:c r="AD727" s="7" t="str">
        <x:v>No agency or insurer displayed: onboarding opportunity possible; existing business unknown</x:v>
      </x:c>
      <x:c r="AE727" s="7" t="str">
        <x:v>No public business phone: contact enrichment needed, not proof of poor recruiting fit</x:v>
      </x:c>
      <x:c r="AF727" s="16" t="str"/>
      <x:c r="AG727" s="17" t="str"/>
      <x:c r="AH727" s="7" t="str"/>
      <x:c r="AI727" s="7" t="str"/>
      <x:c r="AJ727" s="7" t="str"/>
      <x:c r="AK727" s="15" t="str"/>
      <x:c r="AL727" s="7" t="str"/>
      <x:c r="AM727" s="7" t="str">
        <x:v>aguilar y leslie | AGUILAR YVETTE LESLIE</x:v>
      </x:c>
      <x:c r="AN727" s="7" t="str">
        <x:v>https://cdicloud.insurance.ca.gov/cal/LicenseDetail?SearchType=IND&amp;SearchLicNbr=0L70659&amp;SearchIndvId=1917161</x:v>
      </x:c>
      <x:c r="AO727" s="7" t="str">
        <x:v>2026-10-08</x:v>
      </x:c>
      <x:c r="AP727" s="7" t="str">
        <x:v>29e5e887d0bdad564840484f7817459c093e110d84711d848dc481525e27d327</x:v>
      </x:c>
      <x:c r="AQ727" s="7" t="str">
        <x:v>Life-Only / Inactive / 04/18/2017 / 04/30/2019 / 04/30/2019</x:v>
      </x:c>
      <x:c r="AR727" s="7" t="str">
        <x:v>Inactive</x:v>
      </x:c>
      <x:c r="AS727" s="7" t="str">
        <x:v>Current detail page</x:v>
      </x:c>
    </x:row>
    <x:row r="728" ht="52" customHeight="1">
      <x:c r="A728" s="7" t="str">
        <x:v>AGUILAR LETICIA</x:v>
      </x:c>
      <x:c r="B728" s="14" t="str">
        <x:f>"0E06465"</x:f>
        <x:v>0E06465</x:v>
      </x:c>
      <x:c r="C728" s="7" t="str">
        <x:v>Omitted</x:v>
      </x:c>
      <x:c r="D728" s="7" t="str">
        <x:v>FAIL</x:v>
      </x:c>
      <x:c r="E728" s="13" t="str">
        <x:v>Pending</x:v>
      </x:c>
      <x:c r="F728" s="13" t="str"/>
      <x:c r="G728" s="13" t="str"/>
      <x:c r="H728" s="13" t="str"/>
      <x:c r="I728" s="7" t="str">
        <x:v>Was this person reviewed? If rejected, give the actual rule and evidence. If acceptable, correct the omission. Confirm the Life-qualification gate and any record change since selection.</x:v>
      </x:c>
      <x:c r="J728" s="7" t="str">
        <x:v>L1</x:v>
      </x:c>
      <x:c r="K728" s="7" t="str">
        <x:v>Verified qualifications do not include active general Life. Current target-pool mismatch; actual historical omission reason unknown.</x:v>
      </x:c>
      <x:c r="L728" s="7" t="str">
        <x:v>Not supplied; membership is known, motive is not</x:v>
      </x:c>
      <x:c r="M728" s="7" t="n">
        <x:v>7</x:v>
      </x:c>
      <x:c r="N728" s="7" t="str">
        <x:v>Outside current general-Life recruiting pool</x:v>
      </x:c>
      <x:c r="O728" s="7" t="str">
        <x:v>Not displayed</x:v>
      </x:c>
      <x:c r="P728" s="7" t="str"/>
      <x:c r="Q728" s="7" t="str"/>
      <x:c r="R728" s="7" t="str"/>
      <x:c r="S728" s="15" t="str"/>
      <x:c r="T728" s="7" t="str">
        <x:v>No public business phone in collected record</x:v>
      </x:c>
      <x:c r="U728" s="7" t="str"/>
      <x:c r="V728" s="7" t="str">
        <x:v>Resident</x:v>
      </x:c>
      <x:c r="W728" s="7" t="str">
        <x:v>CA</x:v>
      </x:c>
      <x:c r="X728" s="7" t="str"/>
      <x:c r="Y728" s="7" t="str"/>
      <x:c r="Z728" s="7" t="str"/>
      <x:c r="AA728" s="7" t="str"/>
      <x:c r="AB728" s="7" t="str"/>
      <x:c r="AC728" s="7" t="str"/>
      <x:c r="AD728" s="7" t="str">
        <x:v>No agency or insurer displayed: onboarding opportunity possible; existing business unknown</x:v>
      </x:c>
      <x:c r="AE728" s="7" t="str">
        <x:v>No public business phone: contact enrichment needed, not proof of poor recruiting fit</x:v>
      </x:c>
      <x:c r="AF728" s="16" t="str"/>
      <x:c r="AG728" s="17" t="str"/>
      <x:c r="AH728" s="7" t="str"/>
      <x:c r="AI728" s="7" t="str">
        <x:v>English</x:v>
      </x:c>
      <x:c r="AJ728" s="7" t="str"/>
      <x:c r="AK728" s="15" t="str"/>
      <x:c r="AL728" s="7" t="str"/>
      <x:c r="AM728" s="7" t="str">
        <x:v>AGUILAR  LETICIA</x:v>
      </x:c>
      <x:c r="AN728" s="7" t="str">
        <x:v>https://cdicloud.insurance.ca.gov/cal/LicenseDetail?SearchType=IND&amp;SearchLicNbr=0E06465&amp;SearchIndvId=849707</x:v>
      </x:c>
      <x:c r="AO728" s="7" t="str">
        <x:v>2026-10-08</x:v>
      </x:c>
      <x:c r="AP728" s="7" t="str">
        <x:v>961e93d957820e058c02e47921879314df4c3bb4d613f736f814801fd33c30f0</x:v>
      </x:c>
      <x:c r="AQ728" s="7" t="str">
        <x:v>Casualty Broker-Agent / Inactive / 06/19/2003 / 06/30/2011 / 06/30/2011
Property Broker-Agent / Inactive / 06/19/2003 / 06/30/2011 / 06/30/2011</x:v>
      </x:c>
      <x:c r="AR728" s="7" t="str">
        <x:v>Inactive</x:v>
      </x:c>
      <x:c r="AS728" s="7" t="str">
        <x:v>Current detail page</x:v>
      </x:c>
    </x:row>
    <x:row r="729" ht="52" customHeight="1">
      <x:c r="A729" s="7" t="str">
        <x:v>AGUILAR LETICIA</x:v>
      </x:c>
      <x:c r="B729" s="14" t="str">
        <x:f>"0E29350"</x:f>
        <x:v>0E29350</x:v>
      </x:c>
      <x:c r="C729" s="7" t="str">
        <x:v>Omitted</x:v>
      </x:c>
      <x:c r="D729" s="7" t="str">
        <x:v>FAIL</x:v>
      </x:c>
      <x:c r="E729" s="13" t="str">
        <x:v>Pending</x:v>
      </x:c>
      <x:c r="F729" s="13" t="str"/>
      <x:c r="G729" s="13" t="str"/>
      <x:c r="H729" s="13" t="str"/>
      <x:c r="I729" s="7" t="str">
        <x:v>Was this person reviewed? If rejected, give the actual rule and evidence. If acceptable, correct the omission. Confirm the Life-qualification gate and any record change since selection.</x:v>
      </x:c>
      <x:c r="J729" s="7" t="str">
        <x:v>L1</x:v>
      </x:c>
      <x:c r="K729" s="7" t="str">
        <x:v>Verified qualifications do not include active general Life. Current target-pool mismatch; actual historical omission reason unknown.</x:v>
      </x:c>
      <x:c r="L729" s="7" t="str">
        <x:v>Not supplied; membership is known, motive is not</x:v>
      </x:c>
      <x:c r="M729" s="7" t="n">
        <x:v>7</x:v>
      </x:c>
      <x:c r="N729" s="7" t="str">
        <x:v>Outside current general-Life recruiting pool</x:v>
      </x:c>
      <x:c r="O729" s="7" t="str">
        <x:v>Not displayed</x:v>
      </x:c>
      <x:c r="P729" s="7" t="str"/>
      <x:c r="Q729" s="7" t="str"/>
      <x:c r="R729" s="7" t="str"/>
      <x:c r="S729" s="15" t="str"/>
      <x:c r="T729" s="7" t="str">
        <x:v>No public business phone in collected record</x:v>
      </x:c>
      <x:c r="U729" s="7" t="str"/>
      <x:c r="V729" s="7" t="str">
        <x:v>Non-resident</x:v>
      </x:c>
      <x:c r="W729" s="7" t="str">
        <x:v>TX</x:v>
      </x:c>
      <x:c r="X729" s="7" t="str"/>
      <x:c r="Y729" s="7" t="str"/>
      <x:c r="Z729" s="7" t="str"/>
      <x:c r="AA729" s="7" t="str"/>
      <x:c r="AB729" s="7" t="str"/>
      <x:c r="AC729" s="7" t="str"/>
      <x:c r="AD729" s="7" t="str">
        <x:v>No agency or insurer displayed: onboarding opportunity possible; existing business unknown</x:v>
      </x:c>
      <x:c r="AE729" s="7" t="str">
        <x:v>Nonresident or address state outside CA; confirm geographic recruiting scope | No public business phone: contact enrichment needed, not proof of poor recruiting fit</x:v>
      </x:c>
      <x:c r="AF729" s="16" t="str"/>
      <x:c r="AG729" s="17" t="str"/>
      <x:c r="AH729" s="7" t="str"/>
      <x:c r="AI729" s="7" t="str"/>
      <x:c r="AJ729" s="7" t="str"/>
      <x:c r="AK729" s="15" t="str"/>
      <x:c r="AL729" s="7" t="str"/>
      <x:c r="AM729" s="7" t="str">
        <x:v>AGUILAR  LETICIA</x:v>
      </x:c>
      <x:c r="AN729" s="7" t="str">
        <x:v>https://cdicloud.insurance.ca.gov/cal/LicenseDetail?SearchType=IND&amp;SearchLicNbr=0E29350&amp;SearchIndvId=880524</x:v>
      </x:c>
      <x:c r="AO729" s="7" t="str">
        <x:v>2026-10-08</x:v>
      </x:c>
      <x:c r="AP729" s="7" t="str">
        <x:v>814d200d2dee5e6d7f29dc5a85af2357ad9329ff0689280f3c15d9ab4c1d8522</x:v>
      </x:c>
      <x:c r="AQ729" s="7" t="str">
        <x:v>Accident and Health / Inactive / 01/20/2004 / 01/31/2006 / 01/31/2006
Life-Only / Inactive / 01/20/2004 / 01/31/2006 / 01/31/2006</x:v>
      </x:c>
      <x:c r="AR729" s="7" t="str">
        <x:v>Inactive</x:v>
      </x:c>
      <x:c r="AS729" s="7" t="str">
        <x:v>Current detail page</x:v>
      </x:c>
    </x:row>
    <x:row r="730" ht="52" customHeight="1">
      <x:c r="A730" s="7" t="str">
        <x:v>AGUILAR LETICIA</x:v>
      </x:c>
      <x:c r="B730" s="14" t="str">
        <x:f>"E0E06465"</x:f>
        <x:v>E0E06465</x:v>
      </x:c>
      <x:c r="C730" s="7" t="str">
        <x:v>Omitted</x:v>
      </x:c>
      <x:c r="D730" s="7" t="str">
        <x:v>REVIEW</x:v>
      </x:c>
      <x:c r="E730" s="13" t="str">
        <x:v>Pending</x:v>
      </x:c>
      <x:c r="F730" s="13" t="str"/>
      <x:c r="G730" s="13" t="str"/>
      <x:c r="H730" s="13" t="str"/>
      <x:c r="I730" s="7" t="str">
        <x:v>Was this record reviewed? The detail page provides no qualifications. Verify the actual license type and Life authority before deciding; do not reject for missing data.</x:v>
      </x:c>
      <x:c r="J730" s="7" t="str">
        <x:v>L1</x:v>
      </x:c>
      <x:c r="K730" s="7" t="str">
        <x:v>Detail page displays no qualification information. Life authority cannot be verified; missing data is not a qualification failure. Historical omission reason unknown.</x:v>
      </x:c>
      <x:c r="L730" s="7" t="str">
        <x:v>Not supplied; membership is known, motive is not</x:v>
      </x:c>
      <x:c r="M730" s="7" t="n">
        <x:v>7</x:v>
      </x:c>
      <x:c r="N730" s="7" t="str">
        <x:v>Outside current general-Life recruiting pool</x:v>
      </x:c>
      <x:c r="O730" s="7" t="str">
        <x:v>Not displayed</x:v>
      </x:c>
      <x:c r="P730" s="7" t="str"/>
      <x:c r="Q730" s="7" t="str"/>
      <x:c r="R730" s="7" t="str"/>
      <x:c r="S730" s="15" t="str"/>
      <x:c r="T730" s="7" t="str">
        <x:v>No public business phone in collected record</x:v>
      </x:c>
      <x:c r="U730" s="7" t="str"/>
      <x:c r="V730" s="7" t="str">
        <x:v>Resident</x:v>
      </x:c>
      <x:c r="W730" s="7" t="str">
        <x:v>CA</x:v>
      </x:c>
      <x:c r="X730" s="7" t="str"/>
      <x:c r="Y730" s="7" t="str"/>
      <x:c r="Z730" s="7" t="str"/>
      <x:c r="AA730" s="7" t="str"/>
      <x:c r="AB730" s="7" t="str"/>
      <x:c r="AC730" s="7" t="str"/>
      <x:c r="AD730" s="7" t="str">
        <x:v>No agency or insurer displayed: onboarding opportunity possible; existing business unknown</x:v>
      </x:c>
      <x:c r="AE730" s="7" t="str">
        <x:v>No public business phone: contact enrichment needed, not proof of poor recruiting fit</x:v>
      </x:c>
      <x:c r="AF730" s="16" t="str"/>
      <x:c r="AG730" s="17" t="str"/>
      <x:c r="AH730" s="7" t="str"/>
      <x:c r="AI730" s="7" t="str">
        <x:v>English</x:v>
      </x:c>
      <x:c r="AJ730" s="7" t="str"/>
      <x:c r="AK730" s="15" t="str"/>
      <x:c r="AL730" s="7" t="str"/>
      <x:c r="AM730" s="7" t="str">
        <x:v>AGUILAR  LETICIA</x:v>
      </x:c>
      <x:c r="AN730" s="7" t="str">
        <x:v>https://cdicloud.insurance.ca.gov/cal/LicenseDetail?SearchType=IND&amp;SearchLicNbr=E0E06465&amp;SearchIndvId=849707</x:v>
      </x:c>
      <x:c r="AO730" s="7" t="str">
        <x:v>2026-10-08</x:v>
      </x:c>
      <x:c r="AP730" s="7" t="str">
        <x:v>ba4a8ea8827184ffd158d51d5f83db3e4b4c29cffdeb469ee31aa01546c7b169</x:v>
      </x:c>
      <x:c r="AQ730" s="7" t="str"/>
      <x:c r="AR730" s="7" t="str">
        <x:v>Active</x:v>
      </x:c>
      <x:c r="AS730" s="7" t="str">
        <x:v>Current detail page</x:v>
      </x:c>
    </x:row>
    <x:row r="731" ht="52" customHeight="1">
      <x:c r="A731" s="7" t="str">
        <x:v>AGUILAR LETICIA ALEJANDRA</x:v>
      </x:c>
      <x:c r="B731" s="14" t="str">
        <x:f>"0I00348"</x:f>
        <x:v>0I00348</x:v>
      </x:c>
      <x:c r="C731" s="7" t="str">
        <x:v>Omitted</x:v>
      </x:c>
      <x:c r="D731" s="7" t="str">
        <x:v>FAIL</x:v>
      </x:c>
      <x:c r="E731" s="13" t="str">
        <x:v>Pending</x:v>
      </x:c>
      <x:c r="F731" s="13" t="str"/>
      <x:c r="G731" s="13" t="str"/>
      <x:c r="H731" s="13" t="str"/>
      <x:c r="I731" s="7" t="str">
        <x:v>Was this person reviewed? If rejected, give the actual rule and evidence. If acceptable, correct the omission. Confirm the Life-qualification gate and any record change since selection.</x:v>
      </x:c>
      <x:c r="J731" s="7" t="str">
        <x:v>L1</x:v>
      </x:c>
      <x:c r="K731" s="7" t="str">
        <x:v>Verified qualifications do not include active general Life. Current target-pool mismatch; actual historical omission reason unknown.</x:v>
      </x:c>
      <x:c r="L731" s="7" t="str">
        <x:v>Not supplied; membership is known, motive is not</x:v>
      </x:c>
      <x:c r="M731" s="7" t="n">
        <x:v>7</x:v>
      </x:c>
      <x:c r="N731" s="7" t="str">
        <x:v>Outside current general-Life recruiting pool</x:v>
      </x:c>
      <x:c r="O731" s="7" t="str">
        <x:v>Not displayed</x:v>
      </x:c>
      <x:c r="P731" s="7" t="str"/>
      <x:c r="Q731" s="7" t="str"/>
      <x:c r="R731" s="7" t="str"/>
      <x:c r="S731" s="15" t="str"/>
      <x:c r="T731" s="7" t="str">
        <x:v>No public business phone in collected record</x:v>
      </x:c>
      <x:c r="U731" s="7" t="str"/>
      <x:c r="V731" s="7" t="str">
        <x:v>Resident</x:v>
      </x:c>
      <x:c r="W731" s="7" t="str">
        <x:v>CA</x:v>
      </x:c>
      <x:c r="X731" s="7" t="str"/>
      <x:c r="Y731" s="7" t="str"/>
      <x:c r="Z731" s="7" t="str"/>
      <x:c r="AA731" s="7" t="str"/>
      <x:c r="AB731" s="7" t="str"/>
      <x:c r="AC731" s="7" t="str"/>
      <x:c r="AD731" s="7" t="str">
        <x:v>No agency or insurer displayed: onboarding opportunity possible; existing business unknown</x:v>
      </x:c>
      <x:c r="AE731" s="7" t="str">
        <x:v>No public business phone: contact enrichment needed, not proof of poor recruiting fit</x:v>
      </x:c>
      <x:c r="AF731" s="16" t="str"/>
      <x:c r="AG731" s="17" t="str"/>
      <x:c r="AH731" s="7" t="str"/>
      <x:c r="AI731" s="7" t="str"/>
      <x:c r="AJ731" s="7" t="str"/>
      <x:c r="AK731" s="15" t="str"/>
      <x:c r="AL731" s="7" t="str"/>
      <x:c r="AM731" s="7" t="str">
        <x:v>AGUILAR ALEJANDRA LETICIA</x:v>
      </x:c>
      <x:c r="AN731" s="7" t="str">
        <x:v>https://cdicloud.insurance.ca.gov/cal/LicenseDetail?SearchType=IND&amp;SearchLicNbr=0I00348&amp;SearchIndvId=1525799</x:v>
      </x:c>
      <x:c r="AO731" s="7" t="str">
        <x:v>2026-10-08</x:v>
      </x:c>
      <x:c r="AP731" s="7" t="str">
        <x:v>714cde5a698242bcd490cda826148c7fa7715619b72706daa574e1d42ec87c4f</x:v>
      </x:c>
      <x:c r="AQ731" s="7" t="str">
        <x:v>Life-Only / Inactive / 08/17/2012 / 08/31/2016 / 08/31/2016</x:v>
      </x:c>
      <x:c r="AR731" s="7" t="str">
        <x:v>Inactive</x:v>
      </x:c>
      <x:c r="AS731" s="7" t="str">
        <x:v>Current detail page</x:v>
      </x:c>
    </x:row>
    <x:row r="732" ht="52" customHeight="1">
      <x:c r="A732" s="7" t="str">
        <x:v>AGUILAR LETICIA IRACEMA</x:v>
      </x:c>
      <x:c r="B732" s="14" t="str">
        <x:f>"0J13531"</x:f>
        <x:v>0J13531</x:v>
      </x:c>
      <x:c r="C732" s="7" t="str">
        <x:v>Omitted</x:v>
      </x:c>
      <x:c r="D732" s="7" t="str">
        <x:v>FAIL</x:v>
      </x:c>
      <x:c r="E732" s="13" t="str">
        <x:v>Pending</x:v>
      </x:c>
      <x:c r="F732" s="13" t="str"/>
      <x:c r="G732" s="13" t="str"/>
      <x:c r="H732" s="13" t="str"/>
      <x:c r="I732" s="7" t="str">
        <x:v>Was this person reviewed? If rejected, give the actual rule and evidence. If acceptable, correct the omission. Confirm the Life-qualification gate and any record change since selection.</x:v>
      </x:c>
      <x:c r="J732" s="7" t="str">
        <x:v>L1</x:v>
      </x:c>
      <x:c r="K732" s="7" t="str">
        <x:v>Verified qualifications do not include active general Life. Current target-pool mismatch; actual historical omission reason unknown.</x:v>
      </x:c>
      <x:c r="L732" s="7" t="str">
        <x:v>Not supplied; membership is known, motive is not</x:v>
      </x:c>
      <x:c r="M732" s="7" t="n">
        <x:v>7</x:v>
      </x:c>
      <x:c r="N732" s="7" t="str">
        <x:v>Outside current general-Life recruiting pool</x:v>
      </x:c>
      <x:c r="O732" s="7" t="str">
        <x:v>Not displayed</x:v>
      </x:c>
      <x:c r="P732" s="7" t="str"/>
      <x:c r="Q732" s="7" t="str"/>
      <x:c r="R732" s="7" t="str">
        <x:v>Accident &amp; Health or Sickness</x:v>
      </x:c>
      <x:c r="S732" s="15" t="str">
        <x:v>209-259-9945</x:v>
      </x:c>
      <x:c r="T732" s="7" t="str">
        <x:v>Current CDI</x:v>
      </x:c>
      <x:c r="U732" s="7" t="str">
        <x:v>1800 HARRISON 9TH FLOOR OAKLAND CA, 94612</x:v>
      </x:c>
      <x:c r="V732" s="7" t="str">
        <x:v>Resident</x:v>
      </x:c>
      <x:c r="W732" s="7" t="str">
        <x:v>CA</x:v>
      </x:c>
      <x:c r="X732" s="7" t="str"/>
      <x:c r="Y732" s="7" t="str">
        <x:v>KAISER PERMANENTE INSURANCE COMPANY / Accident &amp; Health or Sickness / 10/23/2018</x:v>
      </x:c>
      <x:c r="Z732" s="7" t="str"/>
      <x:c r="AA732" s="7" t="str"/>
      <x:c r="AB732" s="7" t="str"/>
      <x:c r="AC732" s="7" t="str"/>
      <x:c r="AD732" s="7" t="str">
        <x:v>Active A&amp;H supports optional cross-selling; not necessary for target products</x:v>
      </x:c>
      <x:c r="AE732" s="7" t="str">
        <x:v>Displayed insurer appointments are A&amp;H/disability only despite active Life authority</x:v>
      </x:c>
      <x:c r="AF732" s="16" t="str"/>
      <x:c r="AG732" s="17" t="str"/>
      <x:c r="AH732" s="7" t="str"/>
      <x:c r="AI732" s="7" t="str">
        <x:v>English</x:v>
      </x:c>
      <x:c r="AJ732" s="7" t="str"/>
      <x:c r="AK732" s="15" t="str"/>
      <x:c r="AL732" s="7" t="str"/>
      <x:c r="AM732" s="7" t="str">
        <x:v>AGUILAR IRACEMA LETICIA</x:v>
      </x:c>
      <x:c r="AN732" s="7" t="str">
        <x:v>https://cdicloud.insurance.ca.gov/cal/LicenseDetail?SearchType=IND&amp;SearchLicNbr=0J13531&amp;SearchIndvId=1707303</x:v>
      </x:c>
      <x:c r="AO732" s="7" t="str">
        <x:v>2026-10-08</x:v>
      </x:c>
      <x:c r="AP732" s="7" t="str">
        <x:v>b104c9574d2e29f9e015fa9c7a1985fb68074d455c6d01dc3bd89875796ab631</x:v>
      </x:c>
      <x:c r="AQ732" s="7" t="str">
        <x:v>Accident &amp; Health or Sickness / Active / 10/20/2014 / 01/13/2017 / 10/31/2028</x:v>
      </x:c>
      <x:c r="AR732" s="7" t="str">
        <x:v>Active</x:v>
      </x:c>
      <x:c r="AS732" s="7" t="str">
        <x:v>Current detail page</x:v>
      </x:c>
    </x:row>
    <x:row r="733" ht="52" customHeight="1">
      <x:c r="A733" s="7" t="str">
        <x:v>AGUILAR LIDIA</x:v>
      </x:c>
      <x:c r="B733" s="14" t="str">
        <x:f>"0G07557"</x:f>
        <x:v>0G07557</x:v>
      </x:c>
      <x:c r="C733" s="7" t="str">
        <x:v>Omitted</x:v>
      </x:c>
      <x:c r="D733" s="7" t="str">
        <x:v>FAIL</x:v>
      </x:c>
      <x:c r="E733" s="13" t="str">
        <x:v>Pending</x:v>
      </x:c>
      <x:c r="F733" s="13" t="str"/>
      <x:c r="G733" s="13" t="str"/>
      <x:c r="H733" s="13" t="str"/>
      <x:c r="I733" s="7" t="str">
        <x:v>Was this person reviewed? If rejected, give the actual rule and evidence. If acceptable, correct the omission. Confirm the Life-qualification gate and any record change since selection.</x:v>
      </x:c>
      <x:c r="J733" s="7" t="str">
        <x:v>L1</x:v>
      </x:c>
      <x:c r="K733" s="7" t="str">
        <x:v>Verified qualifications do not include active general Life. Current target-pool mismatch; actual historical omission reason unknown.</x:v>
      </x:c>
      <x:c r="L733" s="7" t="str">
        <x:v>Not supplied; membership is known, motive is not</x:v>
      </x:c>
      <x:c r="M733" s="7" t="n">
        <x:v>7</x:v>
      </x:c>
      <x:c r="N733" s="7" t="str">
        <x:v>Outside current general-Life recruiting pool</x:v>
      </x:c>
      <x:c r="O733" s="7" t="str">
        <x:v>Not displayed</x:v>
      </x:c>
      <x:c r="P733" s="7" t="str"/>
      <x:c r="Q733" s="7" t="str"/>
      <x:c r="R733" s="7" t="str"/>
      <x:c r="S733" s="15" t="str"/>
      <x:c r="T733" s="7" t="str">
        <x:v>No public business phone in collected record</x:v>
      </x:c>
      <x:c r="U733" s="7" t="str"/>
      <x:c r="V733" s="7" t="str">
        <x:v>Resident</x:v>
      </x:c>
      <x:c r="W733" s="7" t="str">
        <x:v>CA</x:v>
      </x:c>
      <x:c r="X733" s="7" t="str"/>
      <x:c r="Y733" s="7" t="str"/>
      <x:c r="Z733" s="7" t="str"/>
      <x:c r="AA733" s="7" t="str"/>
      <x:c r="AB733" s="7" t="str"/>
      <x:c r="AC733" s="7" t="str"/>
      <x:c r="AD733" s="7" t="str">
        <x:v>No agency or insurer displayed: onboarding opportunity possible; existing business unknown</x:v>
      </x:c>
      <x:c r="AE733" s="7" t="str">
        <x:v>No public business phone: contact enrichment needed, not proof of poor recruiting fit</x:v>
      </x:c>
      <x:c r="AF733" s="16" t="str"/>
      <x:c r="AG733" s="17" t="str"/>
      <x:c r="AH733" s="7" t="str"/>
      <x:c r="AI733" s="7" t="str"/>
      <x:c r="AJ733" s="7" t="str"/>
      <x:c r="AK733" s="15" t="str"/>
      <x:c r="AL733" s="7" t="str"/>
      <x:c r="AM733" s="7" t="str">
        <x:v>AGUILAR  LIDIA</x:v>
      </x:c>
      <x:c r="AN733" s="7" t="str">
        <x:v>https://cdicloud.insurance.ca.gov/cal/LicenseDetail?SearchType=IND&amp;SearchLicNbr=0G07557&amp;SearchIndvId=1130991</x:v>
      </x:c>
      <x:c r="AO733" s="7" t="str">
        <x:v>2026-10-08</x:v>
      </x:c>
      <x:c r="AP733" s="7" t="str">
        <x:v>86c62155182ad8790eb834e68972b45dd637178e20f1f53c7a1c2f63b554af67</x:v>
      </x:c>
      <x:c r="AQ733" s="7" t="str">
        <x:v>Casualty Broker-Agent / Inactive / 03/29/2008 / 03/31/2010 / 03/31/2010
Property Broker-Agent / Inactive / 03/29/2008 / 03/31/2010 / 03/31/2010</x:v>
      </x:c>
      <x:c r="AR733" s="7" t="str">
        <x:v>Inactive</x:v>
      </x:c>
      <x:c r="AS733" s="7" t="str">
        <x:v>Current detail page</x:v>
      </x:c>
    </x:row>
    <x:row r="734" ht="52" customHeight="1">
      <x:c r="A734" s="7" t="str">
        <x:v>AGUILAR LILI-ANN DIAZ</x:v>
      </x:c>
      <x:c r="B734" s="14" t="str">
        <x:f>"0E49851"</x:f>
        <x:v>0E49851</x:v>
      </x:c>
      <x:c r="C734" s="7" t="str">
        <x:v>Omitted</x:v>
      </x:c>
      <x:c r="D734" s="7" t="str">
        <x:v>FAIL</x:v>
      </x:c>
      <x:c r="E734" s="13" t="str">
        <x:v>Pending</x:v>
      </x:c>
      <x:c r="F734" s="13" t="str"/>
      <x:c r="G734" s="13" t="str"/>
      <x:c r="H734" s="13" t="str"/>
      <x:c r="I734" s="7" t="str">
        <x:v>Was this person reviewed? If rejected, give the actual rule and evidence. If acceptable, correct the omission. Confirm the Life-qualification gate and any record change since selection.</x:v>
      </x:c>
      <x:c r="J734" s="7" t="str">
        <x:v>L1</x:v>
      </x:c>
      <x:c r="K734" s="7" t="str">
        <x:v>Verified qualifications do not include active general Life. Current target-pool mismatch; actual historical omission reason unknown.</x:v>
      </x:c>
      <x:c r="L734" s="7" t="str">
        <x:v>Not supplied; membership is known, motive is not</x:v>
      </x:c>
      <x:c r="M734" s="7" t="n">
        <x:v>7</x:v>
      </x:c>
      <x:c r="N734" s="7" t="str">
        <x:v>Outside current general-Life recruiting pool</x:v>
      </x:c>
      <x:c r="O734" s="7" t="str">
        <x:v>Not displayed</x:v>
      </x:c>
      <x:c r="P734" s="7" t="str"/>
      <x:c r="Q734" s="7" t="str"/>
      <x:c r="R734" s="7" t="str"/>
      <x:c r="S734" s="15" t="str"/>
      <x:c r="T734" s="7" t="str">
        <x:v>No public business phone in collected record</x:v>
      </x:c>
      <x:c r="U734" s="7" t="str"/>
      <x:c r="V734" s="7" t="str">
        <x:v>Resident</x:v>
      </x:c>
      <x:c r="W734" s="7" t="str">
        <x:v>CA</x:v>
      </x:c>
      <x:c r="X734" s="7" t="str"/>
      <x:c r="Y734" s="7" t="str"/>
      <x:c r="Z734" s="7" t="str"/>
      <x:c r="AA734" s="7" t="str"/>
      <x:c r="AB734" s="7" t="str"/>
      <x:c r="AC734" s="7" t="str"/>
      <x:c r="AD734" s="7" t="str">
        <x:v>No agency or insurer displayed: onboarding opportunity possible; existing business unknown</x:v>
      </x:c>
      <x:c r="AE734" s="7" t="str">
        <x:v>No public business phone: contact enrichment needed, not proof of poor recruiting fit</x:v>
      </x:c>
      <x:c r="AF734" s="16" t="str"/>
      <x:c r="AG734" s="17" t="str"/>
      <x:c r="AH734" s="7" t="str"/>
      <x:c r="AI734" s="7" t="str"/>
      <x:c r="AJ734" s="7" t="str"/>
      <x:c r="AK734" s="15" t="str"/>
      <x:c r="AL734" s="7" t="str"/>
      <x:c r="AM734" s="7" t="str">
        <x:v>AGUILAR DIAZ LILI-ANN</x:v>
      </x:c>
      <x:c r="AN734" s="7" t="str">
        <x:v>https://cdicloud.insurance.ca.gov/cal/LicenseDetail?SearchType=IND&amp;SearchLicNbr=0E49851&amp;SearchIndvId=905530</x:v>
      </x:c>
      <x:c r="AO734" s="7" t="str">
        <x:v>2026-10-08</x:v>
      </x:c>
      <x:c r="AP734" s="7" t="str">
        <x:v>e04816cdafe6fe94830a68cb93a6bce3bd8a0d47141c7f4e9f3f04239353eba1</x:v>
      </x:c>
      <x:c r="AQ734" s="7" t="str">
        <x:v>Accident and Health / Inactive / 07/12/2004 / 07/31/2012 / 07/31/2012
Life-Only / Inactive / 07/12/2004 / 07/31/2012 / 07/31/2012</x:v>
      </x:c>
      <x:c r="AR734" s="7" t="str">
        <x:v>Inactive</x:v>
      </x:c>
      <x:c r="AS734" s="7" t="str">
        <x:v>Current detail page</x:v>
      </x:c>
    </x:row>
    <x:row r="735" ht="52" customHeight="1">
      <x:c r="A735" s="7" t="str">
        <x:v>AGUILAR LILIANA</x:v>
      </x:c>
      <x:c r="B735" s="14" t="str">
        <x:f>"0G79965"</x:f>
        <x:v>0G79965</x:v>
      </x:c>
      <x:c r="C735" s="7" t="str">
        <x:v>Omitted</x:v>
      </x:c>
      <x:c r="D735" s="7" t="str">
        <x:v>FAIL</x:v>
      </x:c>
      <x:c r="E735" s="13" t="str">
        <x:v>Pending</x:v>
      </x:c>
      <x:c r="F735" s="13" t="str"/>
      <x:c r="G735" s="13" t="str"/>
      <x:c r="H735" s="13" t="str"/>
      <x:c r="I735" s="7" t="str">
        <x:v>Was this person reviewed? If rejected, give the actual rule and evidence. If acceptable, correct the omission. Confirm the Life-qualification gate and any record change since selection.</x:v>
      </x:c>
      <x:c r="J735" s="7" t="str">
        <x:v>L1</x:v>
      </x:c>
      <x:c r="K735" s="7" t="str">
        <x:v>Verified qualifications do not include active general Life. Current target-pool mismatch; actual historical omission reason unknown.</x:v>
      </x:c>
      <x:c r="L735" s="7" t="str">
        <x:v>Not supplied; membership is known, motive is not</x:v>
      </x:c>
      <x:c r="M735" s="7" t="n">
        <x:v>7</x:v>
      </x:c>
      <x:c r="N735" s="7" t="str">
        <x:v>Outside current general-Life recruiting pool</x:v>
      </x:c>
      <x:c r="O735" s="7" t="str">
        <x:v>Not displayed</x:v>
      </x:c>
      <x:c r="P735" s="7" t="str"/>
      <x:c r="Q735" s="7" t="str"/>
      <x:c r="R735" s="7" t="str"/>
      <x:c r="S735" s="15" t="str"/>
      <x:c r="T735" s="7" t="str">
        <x:v>No public business phone in collected record</x:v>
      </x:c>
      <x:c r="U735" s="7" t="str"/>
      <x:c r="V735" s="7" t="str">
        <x:v>Resident</x:v>
      </x:c>
      <x:c r="W735" s="7" t="str">
        <x:v>CA</x:v>
      </x:c>
      <x:c r="X735" s="7" t="str"/>
      <x:c r="Y735" s="7" t="str"/>
      <x:c r="Z735" s="7" t="str"/>
      <x:c r="AA735" s="7" t="str"/>
      <x:c r="AB735" s="7" t="str"/>
      <x:c r="AC735" s="7" t="str"/>
      <x:c r="AD735" s="7" t="str">
        <x:v>No agency or insurer displayed: onboarding opportunity possible; existing business unknown</x:v>
      </x:c>
      <x:c r="AE735" s="7" t="str">
        <x:v>No public business phone: contact enrichment needed, not proof of poor recruiting fit</x:v>
      </x:c>
      <x:c r="AF735" s="16" t="str"/>
      <x:c r="AG735" s="17" t="str"/>
      <x:c r="AH735" s="7" t="str"/>
      <x:c r="AI735" s="7" t="str"/>
      <x:c r="AJ735" s="7" t="str"/>
      <x:c r="AK735" s="15" t="str"/>
      <x:c r="AL735" s="7" t="str"/>
      <x:c r="AM735" s="7" t="str">
        <x:v>AGUILAR  LILIANA</x:v>
      </x:c>
      <x:c r="AN735" s="7" t="str">
        <x:v>https://cdicloud.insurance.ca.gov/cal/LicenseDetail?SearchType=IND&amp;SearchLicNbr=0G79965&amp;SearchIndvId=1309237</x:v>
      </x:c>
      <x:c r="AO735" s="7" t="str">
        <x:v>2026-10-08</x:v>
      </x:c>
      <x:c r="AP735" s="7" t="str">
        <x:v>28f52265ac8a03ec4abfb6f91ae7ad2ee706b66bafe923285522d79e491e93f5</x:v>
      </x:c>
      <x:c r="AQ735" s="7" t="str">
        <x:v>Limited Lines Automobile / Inactive / 10/28/2009 / 10/31/2011 / 10/31/2011</x:v>
      </x:c>
      <x:c r="AR735" s="7" t="str">
        <x:v>Inactive</x:v>
      </x:c>
      <x:c r="AS735" s="7" t="str">
        <x:v>Current detail page</x:v>
      </x:c>
    </x:row>
    <x:row r="736" ht="52" customHeight="1">
      <x:c r="A736" s="7" t="str">
        <x:v>AGUILAR LILY</x:v>
      </x:c>
      <x:c r="B736" s="14" t="str">
        <x:f>"0K55907"</x:f>
        <x:v>0K55907</x:v>
      </x:c>
      <x:c r="C736" s="7" t="str">
        <x:v>Omitted</x:v>
      </x:c>
      <x:c r="D736" s="7" t="str">
        <x:v>FAIL</x:v>
      </x:c>
      <x:c r="E736" s="13" t="str">
        <x:v>Pending</x:v>
      </x:c>
      <x:c r="F736" s="13" t="str"/>
      <x:c r="G736" s="13" t="str"/>
      <x:c r="H736" s="13" t="str"/>
      <x:c r="I736" s="7" t="str">
        <x:v>Was this person reviewed? If rejected, give the actual rule and evidence. If acceptable, correct the omission. Confirm the Life-qualification gate and any record change since selection.</x:v>
      </x:c>
      <x:c r="J736" s="7" t="str">
        <x:v>L1</x:v>
      </x:c>
      <x:c r="K736" s="7" t="str">
        <x:v>Verified qualifications do not include active general Life. Current target-pool mismatch; actual historical omission reason unknown.</x:v>
      </x:c>
      <x:c r="L736" s="7" t="str">
        <x:v>Not supplied; membership is known, motive is not</x:v>
      </x:c>
      <x:c r="M736" s="7" t="n">
        <x:v>7</x:v>
      </x:c>
      <x:c r="N736" s="7" t="str">
        <x:v>Outside current general-Life recruiting pool</x:v>
      </x:c>
      <x:c r="O736" s="7" t="str">
        <x:v>Not displayed</x:v>
      </x:c>
      <x:c r="P736" s="7" t="str"/>
      <x:c r="Q736" s="7" t="str"/>
      <x:c r="R736" s="7" t="str"/>
      <x:c r="S736" s="15" t="str"/>
      <x:c r="T736" s="7" t="str">
        <x:v>No public business phone in collected record</x:v>
      </x:c>
      <x:c r="U736" s="7" t="str"/>
      <x:c r="V736" s="7" t="str">
        <x:v>Resident</x:v>
      </x:c>
      <x:c r="W736" s="7" t="str">
        <x:v>CA</x:v>
      </x:c>
      <x:c r="X736" s="7" t="str"/>
      <x:c r="Y736" s="7" t="str"/>
      <x:c r="Z736" s="7" t="str"/>
      <x:c r="AA736" s="7" t="str"/>
      <x:c r="AB736" s="7" t="str"/>
      <x:c r="AC736" s="7" t="str"/>
      <x:c r="AD736" s="7" t="str">
        <x:v>No agency or insurer displayed: onboarding opportunity possible; existing business unknown</x:v>
      </x:c>
      <x:c r="AE736" s="7" t="str">
        <x:v>No public business phone: contact enrichment needed, not proof of poor recruiting fit</x:v>
      </x:c>
      <x:c r="AF736" s="16" t="str"/>
      <x:c r="AG736" s="17" t="str"/>
      <x:c r="AH736" s="7" t="str"/>
      <x:c r="AI736" s="7" t="str">
        <x:v>English, Spanish, Spanish</x:v>
      </x:c>
      <x:c r="AJ736" s="7" t="str"/>
      <x:c r="AK736" s="15" t="str"/>
      <x:c r="AL736" s="7" t="str"/>
      <x:c r="AM736" s="7" t="str">
        <x:v>AGUILAR  LILY</x:v>
      </x:c>
      <x:c r="AN736" s="7" t="str">
        <x:v>https://cdicloud.insurance.ca.gov/cal/LicenseDetail?SearchType=IND&amp;SearchLicNbr=0K55907&amp;SearchIndvId=1794950</x:v>
      </x:c>
      <x:c r="AO736" s="7" t="str">
        <x:v>2026-10-08</x:v>
      </x:c>
      <x:c r="AP736" s="7" t="str">
        <x:v>8a682417e843cd86062b59bd0552e9a18be974757f94dac791a3e6a1ae8acdff</x:v>
      </x:c>
      <x:c r="AQ736" s="7" t="str">
        <x:v>Accident and Health / Inactive / 10/23/2015 / 10/31/2019 / 10/31/2019
Life-Only / Inactive / 10/23/2015 / 10/31/2019 / 10/31/2019</x:v>
      </x:c>
      <x:c r="AR736" s="7" t="str">
        <x:v>Inactive</x:v>
      </x:c>
      <x:c r="AS736" s="7" t="str">
        <x:v>Current detail page</x:v>
      </x:c>
    </x:row>
    <x:row r="737" ht="52" customHeight="1">
      <x:c r="A737" s="7" t="str">
        <x:v>AGUILAR LILYANA ANTONIA</x:v>
      </x:c>
      <x:c r="B737" s="14" t="str">
        <x:f>"4081449"</x:f>
        <x:v>4081449</x:v>
      </x:c>
      <x:c r="C737" s="7" t="str">
        <x:v>Omitted</x:v>
      </x:c>
      <x:c r="D737" s="7" t="str">
        <x:v>FAIL</x:v>
      </x:c>
      <x:c r="E737" s="13" t="str">
        <x:v>Pending</x:v>
      </x:c>
      <x:c r="F737" s="13" t="str"/>
      <x:c r="G737" s="13" t="str"/>
      <x:c r="H737" s="13" t="str"/>
      <x:c r="I737" s="7" t="str">
        <x:v>Was this person reviewed? If rejected, give the actual rule and evidence. If acceptable, correct the omission. Confirm the Life-qualification gate and any record change since selection.</x:v>
      </x:c>
      <x:c r="J737" s="7" t="str">
        <x:v>L1</x:v>
      </x:c>
      <x:c r="K737" s="7" t="str">
        <x:v>Verified qualifications do not include active general Life. Current target-pool mismatch; actual historical omission reason unknown.</x:v>
      </x:c>
      <x:c r="L737" s="7" t="str">
        <x:v>Not supplied; membership is known, motive is not</x:v>
      </x:c>
      <x:c r="M737" s="7" t="n">
        <x:v>7</x:v>
      </x:c>
      <x:c r="N737" s="7" t="str">
        <x:v>Outside current general-Life recruiting pool</x:v>
      </x:c>
      <x:c r="O737" s="7" t="str">
        <x:v>Inactive</x:v>
      </x:c>
      <x:c r="P737" s="7" t="str">
        <x:v>11/06/2020</x:v>
      </x:c>
      <x:c r="Q737" s="7" t="str">
        <x:v>11/30/2022</x:v>
      </x:c>
      <x:c r="R737" s="7" t="str"/>
      <x:c r="S737" s="15" t="str">
        <x:v>916-727-7200</x:v>
      </x:c>
      <x:c r="T737" s="7" t="str">
        <x:v>Current CDI</x:v>
      </x:c>
      <x:c r="U737" s="7" t="str">
        <x:v>6939 SUNRISE BLVD SUITE 101 CITRUS HEIGHTS CA, 95610</x:v>
      </x:c>
      <x:c r="V737" s="7" t="str">
        <x:v>Resident</x:v>
      </x:c>
      <x:c r="W737" s="7" t="str">
        <x:v>CA</x:v>
      </x:c>
      <x:c r="X737" s="7" t="str"/>
      <x:c r="Y737" s="7" t="str"/>
      <x:c r="Z737" s="7" t="str"/>
      <x:c r="AA737" s="7" t="str"/>
      <x:c r="AB737" s="7" t="str"/>
      <x:c r="AC737" s="7" t="str"/>
      <x:c r="AD737" s="7" t="str">
        <x:v>No agency or insurer displayed: onboarding opportunity possible; existing business unknown</x:v>
      </x:c>
      <x:c r="AE737" s="7" t="str"/>
      <x:c r="AF737" s="16" t="str"/>
      <x:c r="AG737" s="17" t="str"/>
      <x:c r="AH737" s="7" t="str"/>
      <x:c r="AI737" s="7" t="str">
        <x:v>English</x:v>
      </x:c>
      <x:c r="AJ737" s="7" t="str"/>
      <x:c r="AK737" s="15" t="str"/>
      <x:c r="AL737" s="7" t="str"/>
      <x:c r="AM737" s="7" t="str">
        <x:v>AGUILAR ANTONIA LILYANA</x:v>
      </x:c>
      <x:c r="AN737" s="7" t="str">
        <x:v>https://cdicloud.insurance.ca.gov/cal/LicenseDetail?SearchType=IND&amp;SearchLicNbr=4081449&amp;SearchIndvId=4081449</x:v>
      </x:c>
      <x:c r="AO737" s="7" t="str">
        <x:v>2026-10-08</x:v>
      </x:c>
      <x:c r="AP737" s="7" t="str">
        <x:v>eb981d8078fe594eb357dbff0c12e7e476703818f7fe7f475978ecdcba231fd8</x:v>
      </x:c>
      <x:c r="AQ737" s="7" t="str">
        <x:v>Life / Inactive / 11/06/2020 / 11/30/2022 / 11/30/2022</x:v>
      </x:c>
      <x:c r="AR737" s="7" t="str">
        <x:v>Inactive</x:v>
      </x:c>
      <x:c r="AS737" s="7" t="str">
        <x:v>Current detail page</x:v>
      </x:c>
    </x:row>
    <x:row r="738" ht="52" customHeight="1">
      <x:c r="A738" s="7" t="str">
        <x:v>AGUILAR LINDA KATHLEEN</x:v>
      </x:c>
      <x:c r="B738" s="14" t="str">
        <x:f>"0C81234"</x:f>
        <x:v>0C81234</x:v>
      </x:c>
      <x:c r="C738" s="7" t="str">
        <x:v>Omitted</x:v>
      </x:c>
      <x:c r="D738" s="7" t="str">
        <x:v>FAIL</x:v>
      </x:c>
      <x:c r="E738" s="13" t="str">
        <x:v>Pending</x:v>
      </x:c>
      <x:c r="F738" s="13" t="str"/>
      <x:c r="G738" s="13" t="str"/>
      <x:c r="H738" s="13" t="str"/>
      <x:c r="I738" s="7" t="str">
        <x:v>Was this person reviewed? If rejected, give the actual rule and evidence. If acceptable, correct the omission. Confirm the Life-qualification gate and any record change since selection.</x:v>
      </x:c>
      <x:c r="J738" s="7" t="str">
        <x:v>L1</x:v>
      </x:c>
      <x:c r="K738" s="7" t="str">
        <x:v>Verified qualifications do not include active general Life. Current target-pool mismatch; actual historical omission reason unknown.</x:v>
      </x:c>
      <x:c r="L738" s="7" t="str">
        <x:v>Not supplied; membership is known, motive is not</x:v>
      </x:c>
      <x:c r="M738" s="7" t="n">
        <x:v>7</x:v>
      </x:c>
      <x:c r="N738" s="7" t="str">
        <x:v>Outside current general-Life recruiting pool</x:v>
      </x:c>
      <x:c r="O738" s="7" t="str">
        <x:v>Not displayed</x:v>
      </x:c>
      <x:c r="P738" s="7" t="str"/>
      <x:c r="Q738" s="7" t="str"/>
      <x:c r="R738" s="7" t="str"/>
      <x:c r="S738" s="15" t="str"/>
      <x:c r="T738" s="7" t="str">
        <x:v>No public business phone in collected record</x:v>
      </x:c>
      <x:c r="U738" s="7" t="str"/>
      <x:c r="V738" s="7" t="str">
        <x:v>Resident</x:v>
      </x:c>
      <x:c r="W738" s="7" t="str">
        <x:v>CA</x:v>
      </x:c>
      <x:c r="X738" s="7" t="str"/>
      <x:c r="Y738" s="7" t="str"/>
      <x:c r="Z738" s="7" t="str"/>
      <x:c r="AA738" s="7" t="str"/>
      <x:c r="AB738" s="7" t="str"/>
      <x:c r="AC738" s="7" t="str"/>
      <x:c r="AD738" s="7" t="str">
        <x:v>No agency or insurer displayed: onboarding opportunity possible; existing business unknown</x:v>
      </x:c>
      <x:c r="AE738" s="7" t="str">
        <x:v>No public business phone: contact enrichment needed, not proof of poor recruiting fit</x:v>
      </x:c>
      <x:c r="AF738" s="16" t="str"/>
      <x:c r="AG738" s="17" t="str"/>
      <x:c r="AH738" s="7" t="str"/>
      <x:c r="AI738" s="7" t="str"/>
      <x:c r="AJ738" s="7" t="str"/>
      <x:c r="AK738" s="15" t="str"/>
      <x:c r="AL738" s="7" t="str"/>
      <x:c r="AM738" s="7" t="str">
        <x:v>AGUILAR KATHLEEN LINDA</x:v>
      </x:c>
      <x:c r="AN738" s="7" t="str">
        <x:v>https://cdicloud.insurance.ca.gov/cal/LicenseDetail?SearchType=IND&amp;SearchLicNbr=0C81234&amp;SearchIndvId=456265</x:v>
      </x:c>
      <x:c r="AO738" s="7" t="str">
        <x:v>2026-10-08</x:v>
      </x:c>
      <x:c r="AP738" s="7" t="str">
        <x:v>3dd09a4f204504bd5bc6e3e79b75a0d8a304dbf62cafbea1c532afd58ec5b1e4</x:v>
      </x:c>
      <x:c r="AQ738" s="7" t="str">
        <x:v>Accident and Health / Inactive / 12/18/1999 / 12/31/2001 / 12/31/2001
Life-Only / Inactive / 12/18/1999 / 12/31/2001 / 12/31/2001</x:v>
      </x:c>
      <x:c r="AR738" s="7" t="str">
        <x:v>Inactive</x:v>
      </x:c>
      <x:c r="AS738" s="7" t="str">
        <x:v>Current detail page</x:v>
      </x:c>
    </x:row>
    <x:row r="739" ht="52" customHeight="1">
      <x:c r="A739" s="7" t="str">
        <x:v>AGUILAR LIONEL</x:v>
      </x:c>
      <x:c r="B739" s="14" t="str">
        <x:f>"0H18302"</x:f>
        <x:v>0H18302</x:v>
      </x:c>
      <x:c r="C739" s="7" t="str">
        <x:v>Omitted</x:v>
      </x:c>
      <x:c r="D739" s="7" t="str">
        <x:v>FAIL</x:v>
      </x:c>
      <x:c r="E739" s="13" t="str">
        <x:v>Pending</x:v>
      </x:c>
      <x:c r="F739" s="13" t="str"/>
      <x:c r="G739" s="13" t="str"/>
      <x:c r="H739" s="13" t="str"/>
      <x:c r="I739" s="7" t="str">
        <x:v>Was this person reviewed? If rejected, give the actual rule and evidence. If acceptable, correct the omission. Confirm the Life-qualification gate and any record change since selection.</x:v>
      </x:c>
      <x:c r="J739" s="7" t="str">
        <x:v>L1</x:v>
      </x:c>
      <x:c r="K739" s="7" t="str">
        <x:v>Verified qualifications do not include active general Life. Current target-pool mismatch; actual historical omission reason unknown.</x:v>
      </x:c>
      <x:c r="L739" s="7" t="str">
        <x:v>Not supplied; membership is known, motive is not</x:v>
      </x:c>
      <x:c r="M739" s="7" t="n">
        <x:v>7</x:v>
      </x:c>
      <x:c r="N739" s="7" t="str">
        <x:v>Outside current general-Life recruiting pool</x:v>
      </x:c>
      <x:c r="O739" s="7" t="str">
        <x:v>Not displayed</x:v>
      </x:c>
      <x:c r="P739" s="7" t="str"/>
      <x:c r="Q739" s="7" t="str"/>
      <x:c r="R739" s="7" t="str"/>
      <x:c r="S739" s="15" t="str"/>
      <x:c r="T739" s="7" t="str">
        <x:v>No public business phone in collected record</x:v>
      </x:c>
      <x:c r="U739" s="7" t="str"/>
      <x:c r="V739" s="7" t="str">
        <x:v>Non-resident</x:v>
      </x:c>
      <x:c r="W739" s="7" t="str">
        <x:v>TX</x:v>
      </x:c>
      <x:c r="X739" s="7" t="str"/>
      <x:c r="Y739" s="7" t="str"/>
      <x:c r="Z739" s="7" t="str"/>
      <x:c r="AA739" s="7" t="str"/>
      <x:c r="AB739" s="7" t="str"/>
      <x:c r="AC739" s="7" t="str"/>
      <x:c r="AD739" s="7" t="str">
        <x:v>No agency or insurer displayed: onboarding opportunity possible; existing business unknown</x:v>
      </x:c>
      <x:c r="AE739" s="7" t="str">
        <x:v>Nonresident or address state outside CA; confirm geographic recruiting scope | No public business phone: contact enrichment needed, not proof of poor recruiting fit</x:v>
      </x:c>
      <x:c r="AF739" s="16" t="str"/>
      <x:c r="AG739" s="17" t="str"/>
      <x:c r="AH739" s="7" t="str"/>
      <x:c r="AI739" s="7" t="str"/>
      <x:c r="AJ739" s="7" t="str"/>
      <x:c r="AK739" s="15" t="str"/>
      <x:c r="AL739" s="7" t="str"/>
      <x:c r="AM739" s="7" t="str">
        <x:v>AGUILAR  LIONEL</x:v>
      </x:c>
      <x:c r="AN739" s="7" t="str">
        <x:v>https://cdicloud.insurance.ca.gov/cal/LicenseDetail?SearchType=IND&amp;SearchLicNbr=0H18302&amp;SearchIndvId=1356921</x:v>
      </x:c>
      <x:c r="AO739" s="7" t="str">
        <x:v>2026-10-08</x:v>
      </x:c>
      <x:c r="AP739" s="7" t="str">
        <x:v>3efccb76008a5c179ee25cd482fca728c2643411f615b42ccfc1899fc5bc0b41</x:v>
      </x:c>
      <x:c r="AQ739" s="7" t="str">
        <x:v>Casualty Broker-Agent / Inactive / 10/07/2010 / 10/31/2012 / 10/31/2012
Property Broker-Agent / Inactive / 10/07/2010 / 10/31/2012 / 10/31/2012</x:v>
      </x:c>
      <x:c r="AR739" s="7" t="str">
        <x:v>Inactive</x:v>
      </x:c>
      <x:c r="AS739" s="7" t="str">
        <x:v>Current detail page</x:v>
      </x:c>
    </x:row>
    <x:row r="740" ht="52" customHeight="1">
      <x:c r="A740" s="7" t="str">
        <x:v>AGUILAR LISA MARIE</x:v>
      </x:c>
      <x:c r="B740" s="14" t="str">
        <x:f>"0C40961"</x:f>
        <x:v>0C40961</x:v>
      </x:c>
      <x:c r="C740" s="7" t="str">
        <x:v>Omitted</x:v>
      </x:c>
      <x:c r="D740" s="7" t="str">
        <x:v>FAIL</x:v>
      </x:c>
      <x:c r="E740" s="13" t="str">
        <x:v>Pending</x:v>
      </x:c>
      <x:c r="F740" s="13" t="str"/>
      <x:c r="G740" s="13" t="str"/>
      <x:c r="H740" s="13" t="str"/>
      <x:c r="I740" s="7" t="str">
        <x:v>Was this person reviewed? If rejected, give the actual rule and evidence. If acceptable, correct the omission. Confirm the Life-qualification gate and any record change since selection.</x:v>
      </x:c>
      <x:c r="J740" s="7" t="str">
        <x:v>L1</x:v>
      </x:c>
      <x:c r="K740" s="7" t="str">
        <x:v>Verified qualifications do not include active general Life. Current target-pool mismatch; actual historical omission reason unknown.</x:v>
      </x:c>
      <x:c r="L740" s="7" t="str">
        <x:v>Not supplied; membership is known, motive is not</x:v>
      </x:c>
      <x:c r="M740" s="7" t="n">
        <x:v>7</x:v>
      </x:c>
      <x:c r="N740" s="7" t="str">
        <x:v>Outside current general-Life recruiting pool</x:v>
      </x:c>
      <x:c r="O740" s="7" t="str">
        <x:v>Not displayed</x:v>
      </x:c>
      <x:c r="P740" s="7" t="str"/>
      <x:c r="Q740" s="7" t="str"/>
      <x:c r="R740" s="7" t="str"/>
      <x:c r="S740" s="15" t="str"/>
      <x:c r="T740" s="7" t="str">
        <x:v>No public business phone in collected record</x:v>
      </x:c>
      <x:c r="U740" s="7" t="str"/>
      <x:c r="V740" s="7" t="str">
        <x:v>Resident</x:v>
      </x:c>
      <x:c r="W740" s="7" t="str">
        <x:v>CA</x:v>
      </x:c>
      <x:c r="X740" s="7" t="str"/>
      <x:c r="Y740" s="7" t="str"/>
      <x:c r="Z740" s="7" t="str"/>
      <x:c r="AA740" s="7" t="str"/>
      <x:c r="AB740" s="7" t="str"/>
      <x:c r="AC740" s="7" t="str"/>
      <x:c r="AD740" s="7" t="str">
        <x:v>No agency or insurer displayed: onboarding opportunity possible; existing business unknown</x:v>
      </x:c>
      <x:c r="AE740" s="7" t="str">
        <x:v>No public business phone: contact enrichment needed, not proof of poor recruiting fit</x:v>
      </x:c>
      <x:c r="AF740" s="16" t="str"/>
      <x:c r="AG740" s="17" t="str"/>
      <x:c r="AH740" s="7" t="str"/>
      <x:c r="AI740" s="7" t="str"/>
      <x:c r="AJ740" s="7" t="str"/>
      <x:c r="AK740" s="15" t="str"/>
      <x:c r="AL740" s="7" t="str"/>
      <x:c r="AM740" s="7" t="str">
        <x:v>AGUILAR MARIE LISA</x:v>
      </x:c>
      <x:c r="AN740" s="7" t="str">
        <x:v>https://cdicloud.insurance.ca.gov/cal/LicenseDetail?SearchType=IND&amp;SearchLicNbr=0C40961&amp;SearchIndvId=315564</x:v>
      </x:c>
      <x:c r="AO740" s="7" t="str">
        <x:v>2026-10-08</x:v>
      </x:c>
      <x:c r="AP740" s="7" t="str">
        <x:v>12c2efd3dba296bc1892ab400ba26cb1f7a30f53e0f760ac9a2ef054a8e3a83f</x:v>
      </x:c>
      <x:c r="AQ740" s="7" t="str">
        <x:v>Motor Club Agent / Inactive / 08/21/1998 / 08/31/2000 / 08/31/2000</x:v>
      </x:c>
      <x:c r="AR740" s="7" t="str">
        <x:v>Inactive</x:v>
      </x:c>
      <x:c r="AS740" s="7" t="str">
        <x:v>Current detail page</x:v>
      </x:c>
    </x:row>
    <x:row r="741" ht="52" customHeight="1">
      <x:c r="A741" s="7" t="str">
        <x:v>AGUILAR LISA MARIE</x:v>
      </x:c>
      <x:c r="B741" s="14" t="str">
        <x:f>"1845835"</x:f>
        <x:v>1845835</x:v>
      </x:c>
      <x:c r="C741" s="7" t="str">
        <x:v>Omitted</x:v>
      </x:c>
      <x:c r="D741" s="7" t="str">
        <x:v>FAIL</x:v>
      </x:c>
      <x:c r="E741" s="13" t="str">
        <x:v>Pending</x:v>
      </x:c>
      <x:c r="F741" s="13" t="str"/>
      <x:c r="G741" s="13" t="str"/>
      <x:c r="H741" s="13" t="str"/>
      <x:c r="I741" s="7" t="str">
        <x:v>Was this person reviewed? If rejected, give the actual rule and evidence. If acceptable, correct the omission. Confirm the Life-qualification gate and any record change since selection.</x:v>
      </x:c>
      <x:c r="J741" s="7" t="str">
        <x:v>L1</x:v>
      </x:c>
      <x:c r="K741" s="7" t="str">
        <x:v>Verified qualifications do not include active general Life. Current target-pool mismatch; actual historical omission reason unknown.</x:v>
      </x:c>
      <x:c r="L741" s="7" t="str">
        <x:v>Not supplied; membership is known, motive is not</x:v>
      </x:c>
      <x:c r="M741" s="7" t="n">
        <x:v>7</x:v>
      </x:c>
      <x:c r="N741" s="7" t="str">
        <x:v>Outside current general-Life recruiting pool</x:v>
      </x:c>
      <x:c r="O741" s="7" t="str">
        <x:v>Not displayed</x:v>
      </x:c>
      <x:c r="P741" s="7" t="str"/>
      <x:c r="Q741" s="7" t="str"/>
      <x:c r="R741" s="7" t="str"/>
      <x:c r="S741" s="15" t="str"/>
      <x:c r="T741" s="7" t="str">
        <x:v>No public business phone in collected record</x:v>
      </x:c>
      <x:c r="U741" s="7" t="str"/>
      <x:c r="V741" s="7" t="str">
        <x:v>Resident</x:v>
      </x:c>
      <x:c r="W741" s="7" t="str">
        <x:v>CA</x:v>
      </x:c>
      <x:c r="X741" s="7" t="str"/>
      <x:c r="Y741" s="7" t="str"/>
      <x:c r="Z741" s="7" t="str"/>
      <x:c r="AA741" s="7" t="str"/>
      <x:c r="AB741" s="7" t="str"/>
      <x:c r="AC741" s="7" t="str">
        <x:v>EMPLOYER - HAI Q. HUYNH; BA #1844264; EFF: 10/13/2011</x:v>
      </x:c>
      <x:c r="AD741" s="7" t="str">
        <x:v>No agency or insurer displayed: onboarding opportunity possible; existing business unknown</x:v>
      </x:c>
      <x:c r="AE741" s="7" t="str">
        <x:v>No public business phone: contact enrichment needed, not proof of poor recruiting fit</x:v>
      </x:c>
      <x:c r="AF741" s="16" t="str"/>
      <x:c r="AG741" s="17" t="str"/>
      <x:c r="AH741" s="7" t="str"/>
      <x:c r="AI741" s="7" t="str"/>
      <x:c r="AJ741" s="7" t="str"/>
      <x:c r="AK741" s="15" t="str"/>
      <x:c r="AL741" s="7" t="str"/>
      <x:c r="AM741" s="7" t="str">
        <x:v>AGUILAR MARIE LISA</x:v>
      </x:c>
      <x:c r="AN741" s="7" t="str">
        <x:v>https://cdicloud.insurance.ca.gov/cal/LicenseDetail?SearchType=IND&amp;SearchLicNbr=1845835&amp;SearchIndvId=1482238</x:v>
      </x:c>
      <x:c r="AO741" s="7" t="str">
        <x:v>2026-10-08</x:v>
      </x:c>
      <x:c r="AP741" s="7" t="str">
        <x:v>85709da93eebf258f47421807c4207e55ca08a33ddec72b44c3ab760f69d693e</x:v>
      </x:c>
      <x:c r="AQ741" s="7" t="str">
        <x:v>Bail Agent / Inactive / 10/13/2011 / 04/16/2019 / 04/16/2019</x:v>
      </x:c>
      <x:c r="AR741" s="7" t="str">
        <x:v>Inactive</x:v>
      </x:c>
      <x:c r="AS741" s="7" t="str">
        <x:v>Current detail page</x:v>
      </x:c>
    </x:row>
    <x:row r="742" ht="52" customHeight="1">
      <x:c r="A742" s="7" t="str">
        <x:v>AGUILAR LISBET LUCILA</x:v>
      </x:c>
      <x:c r="B742" s="14" t="str">
        <x:f>"4293949"</x:f>
        <x:v>4293949</x:v>
      </x:c>
      <x:c r="C742" s="7" t="str">
        <x:v>Omitted</x:v>
      </x:c>
      <x:c r="D742" s="7" t="str">
        <x:v>FAIL</x:v>
      </x:c>
      <x:c r="E742" s="13" t="str">
        <x:v>Pending</x:v>
      </x:c>
      <x:c r="F742" s="13" t="str"/>
      <x:c r="G742" s="13" t="str"/>
      <x:c r="H742" s="13" t="str"/>
      <x:c r="I742" s="7" t="str">
        <x:v>Was this person reviewed? If rejected, give the actual rule and evidence. If acceptable, correct the omission. Confirm the Life-qualification gate and any record change since selection.</x:v>
      </x:c>
      <x:c r="J742" s="7" t="str">
        <x:v>L1</x:v>
      </x:c>
      <x:c r="K742" s="7" t="str">
        <x:v>Verified qualifications do not include active general Life. Current target-pool mismatch; actual historical omission reason unknown.</x:v>
      </x:c>
      <x:c r="L742" s="7" t="str">
        <x:v>Not supplied; membership is known, motive is not</x:v>
      </x:c>
      <x:c r="M742" s="7" t="n">
        <x:v>7</x:v>
      </x:c>
      <x:c r="N742" s="7" t="str">
        <x:v>Outside current general-Life recruiting pool</x:v>
      </x:c>
      <x:c r="O742" s="7" t="str">
        <x:v>Not displayed</x:v>
      </x:c>
      <x:c r="P742" s="7" t="str"/>
      <x:c r="Q742" s="7" t="str"/>
      <x:c r="R742" s="7" t="str">
        <x:v>Casualty; Property</x:v>
      </x:c>
      <x:c r="S742" s="15" t="str">
        <x:v>510-957-5016</x:v>
      </x:c>
      <x:c r="T742" s="7" t="str">
        <x:v>Current CDI</x:v>
      </x:c>
      <x:c r="U742" s="7" t="str">
        <x:v>14393 E 14TH ST STE#200 SAN LEANDRO CA, 94578</x:v>
      </x:c>
      <x:c r="V742" s="7" t="str">
        <x:v>Resident</x:v>
      </x:c>
      <x:c r="W742" s="7" t="str">
        <x:v>CA</x:v>
      </x:c>
      <x:c r="X742" s="7" t="str"/>
      <x:c r="Y742" s="7" t="str">
        <x:v>FARMERS INSURANCE EXCHANGE / Casualty / 10/29/2024
FARMERS INSURANCE EXCHANGE / Property / 10/29/2024
FIRE INSURANCE EXCHANGE / Casualty / 10/29/2024
FIRE INSURANCE EXCHANGE / Property / 10/29/2024
FOREMOST INSURANCE COMPANY GRAND RAPIDS, MICHIGAN / Casualty / 10/29/2024
FOREMOST INSURANCE COMPANY GRAND RAPIDS, MICHIGAN / Property / 10/29/2024
MID-CENTURY INSURANCE COMPANY / Casualty / 10/29/2024
MID-CENTURY INSURANCE COMPANY / Property / 10/29/2024
TRUCK INSURANCE EXCHANGE / Casualty / 10/29/2024
TRUCK INSURANCE EXCHANGE / Property / 10/29/2024</x:v>
      </x:c>
      <x:c r="Z742" s="7" t="str"/>
      <x:c r="AA742" s="7" t="str"/>
      <x:c r="AB742" s="7" t="str"/>
      <x:c r="AC742" s="7" t="str"/>
      <x:c r="AD742" s="7" t="str"/>
      <x:c r="AE742" s="7" t="str">
        <x:v>P&amp;C/Personal Lines authority without displayed core Life appointments; mixed profile requires review</x:v>
      </x:c>
      <x:c r="AF742" s="16" t="str"/>
      <x:c r="AG742" s="17" t="str"/>
      <x:c r="AH742" s="7" t="str"/>
      <x:c r="AI742" s="7" t="str">
        <x:v>English</x:v>
      </x:c>
      <x:c r="AJ742" s="7" t="str"/>
      <x:c r="AK742" s="15" t="str"/>
      <x:c r="AL742" s="7" t="str"/>
      <x:c r="AM742" s="7" t="str">
        <x:v>AGUILAR LUCILA LISBET</x:v>
      </x:c>
      <x:c r="AN742" s="7" t="str">
        <x:v>https://cdicloud.insurance.ca.gov/cal/LicenseDetail?SearchType=IND&amp;SearchLicNbr=4293949&amp;SearchIndvId=4293949</x:v>
      </x:c>
      <x:c r="AO742" s="7" t="str">
        <x:v>2026-10-08</x:v>
      </x:c>
      <x:c r="AP742" s="7" t="str">
        <x:v>ade09821fddd5e3eb019b79d522e9022f62ca3eee3e3b860abe428ea7e8b99c9</x:v>
      </x:c>
      <x:c r="AQ742" s="7" t="str">
        <x:v>Casualty / Active / 05/08/2023 / 05/08/2023 / 05/31/2027
Property / Active / 05/08/2023 / 05/08/2023 / 05/31/2027</x:v>
      </x:c>
      <x:c r="AR742" s="7" t="str">
        <x:v>Active</x:v>
      </x:c>
      <x:c r="AS742" s="7" t="str">
        <x:v>Current detail page</x:v>
      </x:c>
    </x:row>
    <x:row r="743" ht="52" customHeight="1">
      <x:c r="A743" s="7" t="str">
        <x:v>AGUILAR LISETTE DEL CARMEN</x:v>
      </x:c>
      <x:c r="B743" s="14" t="str">
        <x:f>"0C38400"</x:f>
        <x:v>0C38400</x:v>
      </x:c>
      <x:c r="C743" s="7" t="str">
        <x:v>Omitted</x:v>
      </x:c>
      <x:c r="D743" s="7" t="str">
        <x:v>FAIL</x:v>
      </x:c>
      <x:c r="E743" s="13" t="str">
        <x:v>Pending</x:v>
      </x:c>
      <x:c r="F743" s="13" t="str"/>
      <x:c r="G743" s="13" t="str"/>
      <x:c r="H743" s="13" t="str"/>
      <x:c r="I743" s="7" t="str">
        <x:v>Was this person reviewed? If rejected, give the actual rule and evidence. If acceptable, correct the omission. Confirm the Life-qualification gate and any record change since selection.</x:v>
      </x:c>
      <x:c r="J743" s="7" t="str">
        <x:v>L1</x:v>
      </x:c>
      <x:c r="K743" s="7" t="str">
        <x:v>Verified qualifications do not include active general Life. Current target-pool mismatch; actual historical omission reason unknown.</x:v>
      </x:c>
      <x:c r="L743" s="7" t="str">
        <x:v>Not supplied; membership is known, motive is not</x:v>
      </x:c>
      <x:c r="M743" s="7" t="n">
        <x:v>7</x:v>
      </x:c>
      <x:c r="N743" s="7" t="str">
        <x:v>Outside current general-Life recruiting pool</x:v>
      </x:c>
      <x:c r="O743" s="7" t="str">
        <x:v>Not displayed</x:v>
      </x:c>
      <x:c r="P743" s="7" t="str"/>
      <x:c r="Q743" s="7" t="str"/>
      <x:c r="R743" s="7" t="str"/>
      <x:c r="S743" s="15" t="str">
        <x:v>323-825-0980</x:v>
      </x:c>
      <x:c r="T743" s="7" t="str">
        <x:v>Current CDI</x:v>
      </x:c>
      <x:c r="U743" s="7" t="str">
        <x:v>6201 WHITTIER BLVD. SUITE 3 LOS ANGELES CA, 90022</x:v>
      </x:c>
      <x:c r="V743" s="7" t="str">
        <x:v>Resident</x:v>
      </x:c>
      <x:c r="W743" s="7" t="str">
        <x:v>CA</x:v>
      </x:c>
      <x:c r="X743" s="7" t="str"/>
      <x:c r="Y743" s="7" t="str"/>
      <x:c r="Z743" s="7" t="str"/>
      <x:c r="AA743" s="7" t="str"/>
      <x:c r="AB743" s="7" t="str"/>
      <x:c r="AC743" s="7" t="str"/>
      <x:c r="AD743" s="7" t="str">
        <x:v>No agency or insurer displayed: onboarding opportunity possible; existing business unknown</x:v>
      </x:c>
      <x:c r="AE743" s="7" t="str"/>
      <x:c r="AF743" s="16" t="str"/>
      <x:c r="AG743" s="17" t="str"/>
      <x:c r="AH743" s="7" t="str"/>
      <x:c r="AI743" s="7" t="str">
        <x:v>English, Spanish, Spanish</x:v>
      </x:c>
      <x:c r="AJ743" s="7" t="str"/>
      <x:c r="AK743" s="15" t="str"/>
      <x:c r="AL743" s="7" t="str"/>
      <x:c r="AM743" s="7" t="str">
        <x:v>AGUILAR DEL CARMEN LISETTE</x:v>
      </x:c>
      <x:c r="AN743" s="7" t="str">
        <x:v>https://cdicloud.insurance.ca.gov/cal/LicenseDetail?SearchType=IND&amp;SearchLicNbr=0C38400&amp;SearchIndvId=313109</x:v>
      </x:c>
      <x:c r="AO743" s="7" t="str">
        <x:v>2026-10-08</x:v>
      </x:c>
      <x:c r="AP743" s="7" t="str">
        <x:v>a14935392760209e3f4ae32947303e7ccea3299ed5892c28526c3f5018a151cf</x:v>
      </x:c>
      <x:c r="AQ743" s="7" t="str">
        <x:v>Personal Lines / Inactive / 03/14/2012 / 03/31/2022 / 03/31/2022</x:v>
      </x:c>
      <x:c r="AR743" s="7" t="str">
        <x:v>Inactive</x:v>
      </x:c>
      <x:c r="AS743" s="7" t="str">
        <x:v>Current detail page</x:v>
      </x:c>
    </x:row>
    <x:row r="744" ht="52" customHeight="1">
      <x:c r="A744" s="7" t="str">
        <x:v>AGUILAR LISSINIA L</x:v>
      </x:c>
      <x:c r="B744" s="14" t="str">
        <x:f>"4560542"</x:f>
        <x:v>4560542</x:v>
      </x:c>
      <x:c r="C744" s="7" t="str">
        <x:v>Omitted</x:v>
      </x:c>
      <x:c r="D744" s="7" t="str">
        <x:v>FAIL</x:v>
      </x:c>
      <x:c r="E744" s="13" t="str">
        <x:v>Pending</x:v>
      </x:c>
      <x:c r="F744" s="13" t="str"/>
      <x:c r="G744" s="13" t="str"/>
      <x:c r="H744" s="13" t="str"/>
      <x:c r="I744" s="7" t="str">
        <x:v>Was this person reviewed? If rejected, give the actual rule and evidence. If acceptable, correct the omission. Confirm the Life-qualification gate and any record change since selection.</x:v>
      </x:c>
      <x:c r="J744" s="7" t="str">
        <x:v>L1</x:v>
      </x:c>
      <x:c r="K744" s="7" t="str">
        <x:v>Verified qualifications do not include active general Life. Current target-pool mismatch; actual historical omission reason unknown.</x:v>
      </x:c>
      <x:c r="L744" s="7" t="str">
        <x:v>Not supplied; membership is known, motive is not</x:v>
      </x:c>
      <x:c r="M744" s="7" t="n">
        <x:v>7</x:v>
      </x:c>
      <x:c r="N744" s="7" t="str">
        <x:v>Outside current general-Life recruiting pool</x:v>
      </x:c>
      <x:c r="O744" s="7" t="str">
        <x:v>Not displayed</x:v>
      </x:c>
      <x:c r="P744" s="7" t="str"/>
      <x:c r="Q744" s="7" t="str"/>
      <x:c r="R744" s="7" t="str">
        <x:v>Accident &amp; Health or Sickness</x:v>
      </x:c>
      <x:c r="S744" s="15" t="str">
        <x:v>951-544-8480</x:v>
      </x:c>
      <x:c r="T744" s="7" t="str">
        <x:v>Current CDI</x:v>
      </x:c>
      <x:c r="U744" s="7" t="str">
        <x:v>937 N. MILLARD AVENUE RIALTO CA, 92376</x:v>
      </x:c>
      <x:c r="V744" s="7" t="str">
        <x:v>Resident</x:v>
      </x:c>
      <x:c r="W744" s="7" t="str">
        <x:v>CA</x:v>
      </x:c>
      <x:c r="X744" s="7" t="str"/>
      <x:c r="Y744" s="7" t="str">
        <x:v>ANTHEM BLUE CROSS LIFE AND HEALTH INSURANCE COMPANY / Accident &amp; Health or Sickness / 08/03/2026</x:v>
      </x:c>
      <x:c r="Z744" s="7" t="str"/>
      <x:c r="AA744" s="7" t="str"/>
      <x:c r="AB744" s="7" t="str"/>
      <x:c r="AC744" s="7" t="str"/>
      <x:c r="AD744" s="7" t="str">
        <x:v>Active A&amp;H supports optional cross-selling; not necessary for target products</x:v>
      </x:c>
      <x:c r="AE744" s="7" t="str">
        <x:v>Displayed insurer appointments are A&amp;H/disability only despite active Life authority</x:v>
      </x:c>
      <x:c r="AF744" s="16" t="str"/>
      <x:c r="AG744" s="17" t="str"/>
      <x:c r="AH744" s="7" t="str"/>
      <x:c r="AI744" s="7" t="str">
        <x:v>English, Spanish, Spanish</x:v>
      </x:c>
      <x:c r="AJ744" s="7" t="str"/>
      <x:c r="AK744" s="15" t="str"/>
      <x:c r="AL744" s="7" t="str"/>
      <x:c r="AM744" s="7" t="str">
        <x:v>AGUILAR L LISSINIA</x:v>
      </x:c>
      <x:c r="AN744" s="7" t="str">
        <x:v>https://cdicloud.insurance.ca.gov/cal/LicenseDetail?SearchType=IND&amp;SearchLicNbr=4560542&amp;SearchIndvId=4560542</x:v>
      </x:c>
      <x:c r="AO744" s="7" t="str">
        <x:v>2026-10-08</x:v>
      </x:c>
      <x:c r="AP744" s="7" t="str">
        <x:v>6d954347dc6a6c658688bb4b678139c05892986c1f9542b121b516362bdf550f</x:v>
      </x:c>
      <x:c r="AQ744" s="7" t="str">
        <x:v>Accident &amp; Health or Sickness / Active / 06/29/2026 / 06/29/2026 / 06/30/2028</x:v>
      </x:c>
      <x:c r="AR744" s="7" t="str">
        <x:v>Active</x:v>
      </x:c>
      <x:c r="AS744" s="7" t="str">
        <x:v>Current detail page</x:v>
      </x:c>
    </x:row>
    <x:row r="745" ht="52" customHeight="1">
      <x:c r="A745" s="7" t="str">
        <x:v>AGUILAR LIZBETH</x:v>
      </x:c>
      <x:c r="B745" s="14" t="str">
        <x:f>"0K56244"</x:f>
        <x:v>0K56244</x:v>
      </x:c>
      <x:c r="C745" s="7" t="str">
        <x:v>Omitted</x:v>
      </x:c>
      <x:c r="D745" s="7" t="str">
        <x:v>FAIL</x:v>
      </x:c>
      <x:c r="E745" s="13" t="str">
        <x:v>Pending</x:v>
      </x:c>
      <x:c r="F745" s="13" t="str"/>
      <x:c r="G745" s="13" t="str"/>
      <x:c r="H745" s="13" t="str"/>
      <x:c r="I745" s="7" t="str">
        <x:v>Was this person reviewed? If rejected, give the actual rule and evidence. If acceptable, correct the omission. Confirm the Life-qualification gate and any record change since selection.</x:v>
      </x:c>
      <x:c r="J745" s="7" t="str">
        <x:v>L1</x:v>
      </x:c>
      <x:c r="K745" s="7" t="str">
        <x:v>Verified qualifications do not include active general Life. Current target-pool mismatch; actual historical omission reason unknown.</x:v>
      </x:c>
      <x:c r="L745" s="7" t="str">
        <x:v>Not supplied; membership is known, motive is not</x:v>
      </x:c>
      <x:c r="M745" s="7" t="n">
        <x:v>7</x:v>
      </x:c>
      <x:c r="N745" s="7" t="str">
        <x:v>Outside current general-Life recruiting pool</x:v>
      </x:c>
      <x:c r="O745" s="7" t="str">
        <x:v>Not displayed</x:v>
      </x:c>
      <x:c r="P745" s="7" t="str"/>
      <x:c r="Q745" s="7" t="str"/>
      <x:c r="R745" s="7" t="str"/>
      <x:c r="S745" s="15" t="str"/>
      <x:c r="T745" s="7" t="str">
        <x:v>No public business phone in collected record</x:v>
      </x:c>
      <x:c r="U745" s="7" t="str"/>
      <x:c r="V745" s="7" t="str">
        <x:v>Resident</x:v>
      </x:c>
      <x:c r="W745" s="7" t="str">
        <x:v>CA</x:v>
      </x:c>
      <x:c r="X745" s="7" t="str"/>
      <x:c r="Y745" s="7" t="str"/>
      <x:c r="Z745" s="7" t="str"/>
      <x:c r="AA745" s="7" t="str"/>
      <x:c r="AB745" s="7" t="str"/>
      <x:c r="AC745" s="7" t="str"/>
      <x:c r="AD745" s="7" t="str">
        <x:v>No agency or insurer displayed: onboarding opportunity possible; existing business unknown</x:v>
      </x:c>
      <x:c r="AE745" s="7" t="str">
        <x:v>No public business phone: contact enrichment needed, not proof of poor recruiting fit</x:v>
      </x:c>
      <x:c r="AF745" s="16" t="str"/>
      <x:c r="AG745" s="17" t="str"/>
      <x:c r="AH745" s="7" t="str"/>
      <x:c r="AI745" s="7" t="str"/>
      <x:c r="AJ745" s="7" t="str"/>
      <x:c r="AK745" s="15" t="str"/>
      <x:c r="AL745" s="7" t="str"/>
      <x:c r="AM745" s="7" t="str">
        <x:v>AGUILAR  LIZBETH</x:v>
      </x:c>
      <x:c r="AN745" s="7" t="str">
        <x:v>https://cdicloud.insurance.ca.gov/cal/LicenseDetail?SearchType=IND&amp;SearchLicNbr=0K56244&amp;SearchIndvId=1794242</x:v>
      </x:c>
      <x:c r="AO745" s="7" t="str">
        <x:v>2026-10-08</x:v>
      </x:c>
      <x:c r="AP745" s="7" t="str">
        <x:v>511d5e28c49d85616559bb17d5ed32ed8b87f6f7cd687228a1c77634a8d03216</x:v>
      </x:c>
      <x:c r="AQ745" s="7" t="str">
        <x:v>Life-Only / Inactive / 10/26/2015 / 10/31/2017 / 10/31/2017</x:v>
      </x:c>
      <x:c r="AR745" s="7" t="str">
        <x:v>Inactive</x:v>
      </x:c>
      <x:c r="AS745" s="7" t="str">
        <x:v>Current detail page</x:v>
      </x:c>
    </x:row>
    <x:row r="746" ht="52" customHeight="1">
      <x:c r="A746" s="7" t="str">
        <x:v>AGUILAR LOLITA DE GUZMAN</x:v>
      </x:c>
      <x:c r="B746" s="14" t="str">
        <x:f>"0623539"</x:f>
        <x:v>0623539</x:v>
      </x:c>
      <x:c r="C746" s="7" t="str">
        <x:v>Omitted</x:v>
      </x:c>
      <x:c r="D746" s="7" t="str">
        <x:v>FAIL</x:v>
      </x:c>
      <x:c r="E746" s="13" t="str">
        <x:v>Pending</x:v>
      </x:c>
      <x:c r="F746" s="13" t="str"/>
      <x:c r="G746" s="13" t="str"/>
      <x:c r="H746" s="13" t="str"/>
      <x:c r="I746" s="7" t="str">
        <x:v>Was this person reviewed? If rejected, give the actual rule and evidence. If acceptable, correct the omission. Confirm the Life-qualification gate and any record change since selection.</x:v>
      </x:c>
      <x:c r="J746" s="7" t="str">
        <x:v>L1</x:v>
      </x:c>
      <x:c r="K746" s="7" t="str">
        <x:v>Verified qualifications do not include active general Life. Current target-pool mismatch; actual historical omission reason unknown.</x:v>
      </x:c>
      <x:c r="L746" s="7" t="str">
        <x:v>Not supplied; membership is known, motive is not</x:v>
      </x:c>
      <x:c r="M746" s="7" t="n">
        <x:v>7</x:v>
      </x:c>
      <x:c r="N746" s="7" t="str">
        <x:v>Outside current general-Life recruiting pool</x:v>
      </x:c>
      <x:c r="O746" s="7" t="str">
        <x:v>Not displayed</x:v>
      </x:c>
      <x:c r="P746" s="7" t="str"/>
      <x:c r="Q746" s="7" t="str"/>
      <x:c r="R746" s="7" t="str"/>
      <x:c r="S746" s="15" t="str"/>
      <x:c r="T746" s="7" t="str">
        <x:v>No public business phone in collected record</x:v>
      </x:c>
      <x:c r="U746" s="7" t="str"/>
      <x:c r="V746" s="7" t="str">
        <x:v>Resident</x:v>
      </x:c>
      <x:c r="W746" s="7" t="str">
        <x:v>CA</x:v>
      </x:c>
      <x:c r="X746" s="7" t="str"/>
      <x:c r="Y746" s="7" t="str"/>
      <x:c r="Z746" s="7" t="str"/>
      <x:c r="AA746" s="7" t="str"/>
      <x:c r="AB746" s="7" t="str"/>
      <x:c r="AC746" s="7" t="str"/>
      <x:c r="AD746" s="7" t="str">
        <x:v>No agency or insurer displayed: onboarding opportunity possible; existing business unknown</x:v>
      </x:c>
      <x:c r="AE746" s="7" t="str">
        <x:v>No public business phone: contact enrichment needed, not proof of poor recruiting fit</x:v>
      </x:c>
      <x:c r="AF746" s="16" t="str"/>
      <x:c r="AG746" s="17" t="str"/>
      <x:c r="AH746" s="7" t="str"/>
      <x:c r="AI746" s="7" t="str"/>
      <x:c r="AJ746" s="7" t="str"/>
      <x:c r="AK746" s="15" t="str"/>
      <x:c r="AL746" s="7" t="str"/>
      <x:c r="AM746" s="7" t="str">
        <x:v>AGUILAR DE GUZMAN LOLITA</x:v>
      </x:c>
      <x:c r="AN746" s="7" t="str">
        <x:v>https://cdicloud.insurance.ca.gov/cal/LicenseDetail?SearchType=IND&amp;SearchLicNbr=0623539&amp;SearchIndvId=394527</x:v>
      </x:c>
      <x:c r="AO746" s="7" t="str">
        <x:v>2026-10-08</x:v>
      </x:c>
      <x:c r="AP746" s="7" t="str">
        <x:v>c63f71eb78df7ed16c3c1a726f0719754d902a1158fc8ef74895198d97266b5a</x:v>
      </x:c>
      <x:c r="AQ746" s="7" t="str">
        <x:v>Accident and Health / Inactive / 03/24/1982 / 11/30/1996 / 11/30/1996
Life-Only / Inactive / 03/24/1982 / 11/30/1996 / 11/30/1996</x:v>
      </x:c>
      <x:c r="AR746" s="7" t="str">
        <x:v>Inactive</x:v>
      </x:c>
      <x:c r="AS746" s="7" t="str">
        <x:v>Current detail page</x:v>
      </x:c>
    </x:row>
    <x:row r="747" ht="52" customHeight="1">
      <x:c r="A747" s="7" t="str">
        <x:v>AGUILAR LOPEZ SANDRA YAMILETH</x:v>
      </x:c>
      <x:c r="B747" s="14" t="str">
        <x:f>"4197947"</x:f>
        <x:v>4197947</x:v>
      </x:c>
      <x:c r="C747" s="7" t="str">
        <x:v>Omitted</x:v>
      </x:c>
      <x:c r="D747" s="7" t="str">
        <x:v>FAIL</x:v>
      </x:c>
      <x:c r="E747" s="13" t="str">
        <x:v>Pending</x:v>
      </x:c>
      <x:c r="F747" s="13" t="str"/>
      <x:c r="G747" s="13" t="str"/>
      <x:c r="H747" s="13" t="str"/>
      <x:c r="I747" s="7" t="str">
        <x:v>Was this person reviewed? If rejected, give the actual rule and evidence. If acceptable, correct the omission. Confirm the Life-qualification gate and any record change since selection.</x:v>
      </x:c>
      <x:c r="J747" s="7" t="str">
        <x:v>L1</x:v>
      </x:c>
      <x:c r="K747" s="7" t="str">
        <x:v>Verified qualifications do not include active general Life. Current target-pool mismatch; actual historical omission reason unknown.</x:v>
      </x:c>
      <x:c r="L747" s="7" t="str">
        <x:v>Not supplied; membership is known, motive is not</x:v>
      </x:c>
      <x:c r="M747" s="7" t="n">
        <x:v>7</x:v>
      </x:c>
      <x:c r="N747" s="7" t="str">
        <x:v>Outside current general-Life recruiting pool</x:v>
      </x:c>
      <x:c r="O747" s="7" t="str">
        <x:v>Inactive</x:v>
      </x:c>
      <x:c r="P747" s="7" t="str">
        <x:v>03/22/2022</x:v>
      </x:c>
      <x:c r="Q747" s="7" t="str">
        <x:v>03/31/2024</x:v>
      </x:c>
      <x:c r="R747" s="7" t="str"/>
      <x:c r="S747" s="15" t="str"/>
      <x:c r="T747" s="7" t="str">
        <x:v>No public business phone in collected record</x:v>
      </x:c>
      <x:c r="U747" s="7" t="str">
        <x:v>918 RIO FRIO ST MENDOTA CA, 93640</x:v>
      </x:c>
      <x:c r="V747" s="7" t="str">
        <x:v>Resident</x:v>
      </x:c>
      <x:c r="W747" s="7" t="str">
        <x:v>CA</x:v>
      </x:c>
      <x:c r="X747" s="7" t="str"/>
      <x:c r="Y747" s="7" t="str"/>
      <x:c r="Z747" s="7" t="str"/>
      <x:c r="AA747" s="7" t="str"/>
      <x:c r="AB747" s="7" t="str"/>
      <x:c r="AC747" s="7" t="str"/>
      <x:c r="AD747" s="7" t="str">
        <x:v>No agency or insurer displayed: onboarding opportunity possible; existing business unknown</x:v>
      </x:c>
      <x:c r="AE747" s="7" t="str">
        <x:v>No public business phone: contact enrichment needed, not proof of poor recruiting fit</x:v>
      </x:c>
      <x:c r="AF747" s="16" t="str"/>
      <x:c r="AG747" s="17" t="str"/>
      <x:c r="AH747" s="7" t="str"/>
      <x:c r="AI747" s="7" t="str"/>
      <x:c r="AJ747" s="7" t="str"/>
      <x:c r="AK747" s="15" t="str"/>
      <x:c r="AL747" s="7" t="str"/>
      <x:c r="AM747" s="7" t="str">
        <x:v>AGUILAR LOPEZ YAMILETH SANDRA</x:v>
      </x:c>
      <x:c r="AN747" s="7" t="str">
        <x:v>https://cdicloud.insurance.ca.gov/cal/LicenseDetail?SearchType=IND&amp;SearchLicNbr=4197947&amp;SearchIndvId=4197947</x:v>
      </x:c>
      <x:c r="AO747" s="7" t="str">
        <x:v>2026-10-08</x:v>
      </x:c>
      <x:c r="AP747" s="7" t="str">
        <x:v>05da69a6c79bc37d624f9032881078bf67798ebdfcd2a5e97a8623137b130a76</x:v>
      </x:c>
      <x:c r="AQ747" s="7" t="str">
        <x:v>Life / Inactive / 03/22/2022 / 03/31/2024 / 03/31/2024</x:v>
      </x:c>
      <x:c r="AR747" s="7" t="str">
        <x:v>Inactive</x:v>
      </x:c>
      <x:c r="AS747" s="7" t="str">
        <x:v>Current detail page</x:v>
      </x:c>
    </x:row>
    <x:row r="748" ht="52" customHeight="1">
      <x:c r="A748" s="7" t="str">
        <x:v>AGUILAR LORENA</x:v>
      </x:c>
      <x:c r="B748" s="14" t="str">
        <x:f>"0G08745"</x:f>
        <x:v>0G08745</x:v>
      </x:c>
      <x:c r="C748" s="7" t="str">
        <x:v>Omitted</x:v>
      </x:c>
      <x:c r="D748" s="7" t="str">
        <x:v>FAIL</x:v>
      </x:c>
      <x:c r="E748" s="13" t="str">
        <x:v>Pending</x:v>
      </x:c>
      <x:c r="F748" s="13" t="str"/>
      <x:c r="G748" s="13" t="str"/>
      <x:c r="H748" s="13" t="str"/>
      <x:c r="I748" s="7" t="str">
        <x:v>Was this person reviewed? If rejected, give the actual rule and evidence. If acceptable, correct the omission. Confirm the Life-qualification gate and any record change since selection.</x:v>
      </x:c>
      <x:c r="J748" s="7" t="str">
        <x:v>L1</x:v>
      </x:c>
      <x:c r="K748" s="7" t="str">
        <x:v>Verified qualifications do not include active general Life. Current target-pool mismatch; actual historical omission reason unknown.</x:v>
      </x:c>
      <x:c r="L748" s="7" t="str">
        <x:v>Not supplied; membership is known, motive is not</x:v>
      </x:c>
      <x:c r="M748" s="7" t="n">
        <x:v>7</x:v>
      </x:c>
      <x:c r="N748" s="7" t="str">
        <x:v>Outside current general-Life recruiting pool</x:v>
      </x:c>
      <x:c r="O748" s="7" t="str">
        <x:v>Not displayed</x:v>
      </x:c>
      <x:c r="P748" s="7" t="str"/>
      <x:c r="Q748" s="7" t="str"/>
      <x:c r="R748" s="7" t="str">
        <x:v>Casualty; Property</x:v>
      </x:c>
      <x:c r="S748" s="15" t="str"/>
      <x:c r="T748" s="7" t="str">
        <x:v>No public business phone in collected record</x:v>
      </x:c>
      <x:c r="U748" s="7" t="str">
        <x:v>870 W. EL MONTE WAY DINUBA CA, 93618</x:v>
      </x:c>
      <x:c r="V748" s="7" t="str">
        <x:v>Resident</x:v>
      </x:c>
      <x:c r="W748" s="7" t="str">
        <x:v>CA</x:v>
      </x:c>
      <x:c r="X748" s="7" t="str">
        <x:v>FRED LOYA INSURANCE AGENCY, INC. / Property / 05/22/2010
FRED LOYA INSURANCE AGENCY, INC. / Casualty / 05/22/2010</x:v>
      </x:c>
      <x:c r="Y748" s="7" t="str">
        <x:v>NATION MOTOR CLUB, LLC / Motor Club / 03/11/2016</x:v>
      </x:c>
      <x:c r="Z748" s="7" t="str"/>
      <x:c r="AA748" s="7" t="str"/>
      <x:c r="AB748" s="7" t="str"/>
      <x:c r="AC748" s="7" t="str"/>
      <x:c r="AD748" s="7" t="str"/>
      <x:c r="AE748" s="7" t="str">
        <x:v>P&amp;C/Personal Lines authority without displayed core Life appointments; mixed profile requires review | No public business phone: contact enrichment needed, not proof of poor recruiting fit</x:v>
      </x:c>
      <x:c r="AF748" s="16" t="str"/>
      <x:c r="AG748" s="17" t="str"/>
      <x:c r="AH748" s="7" t="str"/>
      <x:c r="AI748" s="7" t="str">
        <x:v>English</x:v>
      </x:c>
      <x:c r="AJ748" s="7" t="str"/>
      <x:c r="AK748" s="15" t="str"/>
      <x:c r="AL748" s="7" t="str"/>
      <x:c r="AM748" s="7" t="str">
        <x:v>AGUILAR  LORENA</x:v>
      </x:c>
      <x:c r="AN748" s="7" t="str">
        <x:v>https://cdicloud.insurance.ca.gov/cal/LicenseDetail?SearchType=IND&amp;SearchLicNbr=0G08745&amp;SearchIndvId=1133328</x:v>
      </x:c>
      <x:c r="AO748" s="7" t="str">
        <x:v>2026-10-08</x:v>
      </x:c>
      <x:c r="AP748" s="7" t="str">
        <x:v>1081f2c3bd897e80ecaed08bef3e00bd36dc5e8002cd3f18bb3d27bffed26123</x:v>
      </x:c>
      <x:c r="AQ748" s="7" t="str">
        <x:v>Casualty / Active / 04/11/2008 / 04/11/2008 / 04/30/2028
Property / Active / 04/11/2008 / 04/11/2008 / 04/30/2028</x:v>
      </x:c>
      <x:c r="AR748" s="7" t="str">
        <x:v>Active</x:v>
      </x:c>
      <x:c r="AS748" s="7" t="str">
        <x:v>Current detail page</x:v>
      </x:c>
    </x:row>
    <x:row r="749" ht="52" customHeight="1">
      <x:c r="A749" s="7" t="str">
        <x:v>AGUILAR LORENA</x:v>
      </x:c>
      <x:c r="B749" s="14" t="str">
        <x:f>"0L71574"</x:f>
        <x:v>0L71574</x:v>
      </x:c>
      <x:c r="C749" s="7" t="str">
        <x:v>Omitted</x:v>
      </x:c>
      <x:c r="D749" s="7" t="str">
        <x:v>FAIL</x:v>
      </x:c>
      <x:c r="E749" s="13" t="str">
        <x:v>Pending</x:v>
      </x:c>
      <x:c r="F749" s="13" t="str"/>
      <x:c r="G749" s="13" t="str"/>
      <x:c r="H749" s="13" t="str"/>
      <x:c r="I749" s="7" t="str">
        <x:v>Was this person reviewed? If rejected, give the actual rule and evidence. If acceptable, correct the omission. Confirm the Life-qualification gate and any record change since selection.</x:v>
      </x:c>
      <x:c r="J749" s="7" t="str">
        <x:v>L1</x:v>
      </x:c>
      <x:c r="K749" s="7" t="str">
        <x:v>Verified qualifications do not include active general Life. Current target-pool mismatch; actual historical omission reason unknown.</x:v>
      </x:c>
      <x:c r="L749" s="7" t="str">
        <x:v>Not supplied; membership is known, motive is not</x:v>
      </x:c>
      <x:c r="M749" s="7" t="n">
        <x:v>7</x:v>
      </x:c>
      <x:c r="N749" s="7" t="str">
        <x:v>Outside current general-Life recruiting pool</x:v>
      </x:c>
      <x:c r="O749" s="7" t="str">
        <x:v>Not displayed</x:v>
      </x:c>
      <x:c r="P749" s="7" t="str"/>
      <x:c r="Q749" s="7" t="str"/>
      <x:c r="R749" s="7" t="str"/>
      <x:c r="S749" s="15" t="str"/>
      <x:c r="T749" s="7" t="str">
        <x:v>No public business phone in collected record</x:v>
      </x:c>
      <x:c r="U749" s="7" t="str"/>
      <x:c r="V749" s="7" t="str">
        <x:v>Resident</x:v>
      </x:c>
      <x:c r="W749" s="7" t="str">
        <x:v>CA</x:v>
      </x:c>
      <x:c r="X749" s="7" t="str"/>
      <x:c r="Y749" s="7" t="str"/>
      <x:c r="Z749" s="7" t="str"/>
      <x:c r="AA749" s="7" t="str"/>
      <x:c r="AB749" s="7" t="str"/>
      <x:c r="AC749" s="7" t="str"/>
      <x:c r="AD749" s="7" t="str">
        <x:v>No agency or insurer displayed: onboarding opportunity possible; existing business unknown</x:v>
      </x:c>
      <x:c r="AE749" s="7" t="str">
        <x:v>No public business phone: contact enrichment needed, not proof of poor recruiting fit</x:v>
      </x:c>
      <x:c r="AF749" s="16" t="str"/>
      <x:c r="AG749" s="17" t="str"/>
      <x:c r="AH749" s="7" t="str"/>
      <x:c r="AI749" s="7" t="str">
        <x:v>English, Spanish, Spanish</x:v>
      </x:c>
      <x:c r="AJ749" s="7" t="str"/>
      <x:c r="AK749" s="15" t="str"/>
      <x:c r="AL749" s="7" t="str"/>
      <x:c r="AM749" s="7" t="str">
        <x:v>AGUILAR  LORENA</x:v>
      </x:c>
      <x:c r="AN749" s="7" t="str">
        <x:v>https://cdicloud.insurance.ca.gov/cal/LicenseDetail?SearchType=IND&amp;SearchLicNbr=0L71574&amp;SearchIndvId=1931921</x:v>
      </x:c>
      <x:c r="AO749" s="7" t="str">
        <x:v>2026-10-08</x:v>
      </x:c>
      <x:c r="AP749" s="7" t="str">
        <x:v>56162849ecd564149b67829043c1a888eba983219f74f313de43ae904e730af3</x:v>
      </x:c>
      <x:c r="AQ749" s="7" t="str">
        <x:v>Life-Only / Inactive / 04/24/2017 / 04/30/2021 / 04/30/2021</x:v>
      </x:c>
      <x:c r="AR749" s="7" t="str">
        <x:v>Inactive</x:v>
      </x:c>
      <x:c r="AS749" s="7" t="str">
        <x:v>Current detail page</x:v>
      </x:c>
    </x:row>
    <x:row r="750" ht="52" customHeight="1">
      <x:c r="A750" s="7" t="str">
        <x:v>AGUILAR LORIN</x:v>
      </x:c>
      <x:c r="B750" s="14" t="str">
        <x:f>"0I72957"</x:f>
        <x:v>0I72957</x:v>
      </x:c>
      <x:c r="C750" s="7" t="str">
        <x:v>Omitted</x:v>
      </x:c>
      <x:c r="D750" s="7" t="str">
        <x:v>FAIL</x:v>
      </x:c>
      <x:c r="E750" s="13" t="str">
        <x:v>Pending</x:v>
      </x:c>
      <x:c r="F750" s="13" t="str"/>
      <x:c r="G750" s="13" t="str"/>
      <x:c r="H750" s="13" t="str"/>
      <x:c r="I750" s="7" t="str">
        <x:v>Was this person reviewed? If rejected, give the actual rule and evidence. If acceptable, correct the omission. Confirm the Life-qualification gate and any record change since selection.</x:v>
      </x:c>
      <x:c r="J750" s="7" t="str">
        <x:v>L1</x:v>
      </x:c>
      <x:c r="K750" s="7" t="str">
        <x:v>Verified qualifications do not include active general Life. Current target-pool mismatch; actual historical omission reason unknown.</x:v>
      </x:c>
      <x:c r="L750" s="7" t="str">
        <x:v>Not supplied; membership is known, motive is not</x:v>
      </x:c>
      <x:c r="M750" s="7" t="n">
        <x:v>7</x:v>
      </x:c>
      <x:c r="N750" s="7" t="str">
        <x:v>Outside current general-Life recruiting pool</x:v>
      </x:c>
      <x:c r="O750" s="7" t="str">
        <x:v>Not displayed</x:v>
      </x:c>
      <x:c r="P750" s="7" t="str"/>
      <x:c r="Q750" s="7" t="str"/>
      <x:c r="R750" s="7" t="str"/>
      <x:c r="S750" s="15" t="str"/>
      <x:c r="T750" s="7" t="str">
        <x:v>No public business phone in collected record</x:v>
      </x:c>
      <x:c r="U750" s="7" t="str"/>
      <x:c r="V750" s="7" t="str">
        <x:v>Resident</x:v>
      </x:c>
      <x:c r="W750" s="7" t="str">
        <x:v>CA</x:v>
      </x:c>
      <x:c r="X750" s="7" t="str"/>
      <x:c r="Y750" s="7" t="str"/>
      <x:c r="Z750" s="7" t="str"/>
      <x:c r="AA750" s="7" t="str"/>
      <x:c r="AB750" s="7" t="str"/>
      <x:c r="AC750" s="7" t="str"/>
      <x:c r="AD750" s="7" t="str">
        <x:v>No agency or insurer displayed: onboarding opportunity possible; existing business unknown</x:v>
      </x:c>
      <x:c r="AE750" s="7" t="str">
        <x:v>No public business phone: contact enrichment needed, not proof of poor recruiting fit</x:v>
      </x:c>
      <x:c r="AF750" s="16" t="str"/>
      <x:c r="AG750" s="17" t="str"/>
      <x:c r="AH750" s="7" t="str"/>
      <x:c r="AI750" s="7" t="str"/>
      <x:c r="AJ750" s="7" t="str"/>
      <x:c r="AK750" s="15" t="str"/>
      <x:c r="AL750" s="7" t="str"/>
      <x:c r="AM750" s="7" t="str">
        <x:v>AGUILAR  LORIN</x:v>
      </x:c>
      <x:c r="AN750" s="7" t="str">
        <x:v>https://cdicloud.insurance.ca.gov/cal/LicenseDetail?SearchType=IND&amp;SearchLicNbr=0I72957&amp;SearchIndvId=1644458</x:v>
      </x:c>
      <x:c r="AO750" s="7" t="str">
        <x:v>2026-10-08</x:v>
      </x:c>
      <x:c r="AP750" s="7" t="str">
        <x:v>8274d547efa5333c7cb5c8f5fc0b4c4322770486b4c6da45496b3caf864d97e5</x:v>
      </x:c>
      <x:c r="AQ750" s="7" t="str">
        <x:v>Limited Lines Automobile / Inactive / 01/23/2014 / 01/31/2016 / 01/31/2016</x:v>
      </x:c>
      <x:c r="AR750" s="7" t="str">
        <x:v>Inactive</x:v>
      </x:c>
      <x:c r="AS750" s="7" t="str">
        <x:v>Current detail page</x:v>
      </x:c>
    </x:row>
    <x:row r="751" ht="52" customHeight="1">
      <x:c r="A751" s="7" t="str">
        <x:v>AGUILAR LORISSA</x:v>
      </x:c>
      <x:c r="B751" s="14" t="str">
        <x:f>"4122609"</x:f>
        <x:v>4122609</x:v>
      </x:c>
      <x:c r="C751" s="7" t="str">
        <x:v>Omitted</x:v>
      </x:c>
      <x:c r="D751" s="7" t="str">
        <x:v>FAIL</x:v>
      </x:c>
      <x:c r="E751" s="13" t="str">
        <x:v>Pending</x:v>
      </x:c>
      <x:c r="F751" s="13" t="str"/>
      <x:c r="G751" s="13" t="str"/>
      <x:c r="H751" s="13" t="str"/>
      <x:c r="I751" s="7" t="str">
        <x:v>Was this person reviewed? If rejected, give the actual rule and evidence. If acceptable, correct the omission. Confirm the Life-qualification gate and any record change since selection.</x:v>
      </x:c>
      <x:c r="J751" s="7" t="str">
        <x:v>L1</x:v>
      </x:c>
      <x:c r="K751" s="7" t="str">
        <x:v>Verified qualifications do not include active general Life. Current target-pool mismatch; actual historical omission reason unknown.</x:v>
      </x:c>
      <x:c r="L751" s="7" t="str">
        <x:v>Not supplied; membership is known, motive is not</x:v>
      </x:c>
      <x:c r="M751" s="7" t="n">
        <x:v>7</x:v>
      </x:c>
      <x:c r="N751" s="7" t="str">
        <x:v>Outside current general-Life recruiting pool</x:v>
      </x:c>
      <x:c r="O751" s="7" t="str">
        <x:v>Not displayed</x:v>
      </x:c>
      <x:c r="P751" s="7" t="str"/>
      <x:c r="Q751" s="7" t="str"/>
      <x:c r="R751" s="7" t="str">
        <x:v>Casualty; Property</x:v>
      </x:c>
      <x:c r="S751" s="15" t="str"/>
      <x:c r="T751" s="7" t="str">
        <x:v>No public business phone in collected record</x:v>
      </x:c>
      <x:c r="U751" s="7" t="str">
        <x:v>4804 LAUREL CANYON BLVD STE 820 VALLEY VILLAGE CA, 91607-3717</x:v>
      </x:c>
      <x:c r="V751" s="7" t="str">
        <x:v>Non-resident</x:v>
      </x:c>
      <x:c r="W751" s="7" t="str">
        <x:v>CA</x:v>
      </x:c>
      <x:c r="X751" s="7" t="str"/>
      <x:c r="Y751" s="7" t="str">
        <x:v>AMERICAN TRAVELER MOTOR CLUB, LLC (THE) / Motor Club / 06/21/2024
CENTURY-NATIONAL INSURANCE COMPANY / Casualty / 05/13/2021
CENTURY-NATIONAL INSURANCE COMPANY / Property / 05/13/2021
INTEGON NATIONAL INSURANCE COMPANY / Casualty / 05/13/2021
INTEGON NATIONAL INSURANCE COMPANY / Property / 05/13/2021
INTEGON PREFERRED INSURANCE COMPANY / Casualty / 05/13/2021
INTEGON PREFERRED INSURANCE COMPANY / Property / 05/13/2021
NATIONAL GENERAL ASSURANCE COMPANY / Casualty / 05/13/2021
NATIONAL GENERAL ASSURANCE COMPANY / Property / 05/13/2021</x:v>
      </x:c>
      <x:c r="Z751" s="7" t="str"/>
      <x:c r="AA751" s="7" t="str"/>
      <x:c r="AB751" s="7" t="str"/>
      <x:c r="AC751" s="7" t="str"/>
      <x:c r="AD751" s="7" t="str"/>
      <x:c r="AE751"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751" s="16" t="str"/>
      <x:c r="AG751" s="17" t="str"/>
      <x:c r="AH751" s="7" t="str"/>
      <x:c r="AI751" s="7" t="str">
        <x:v>English</x:v>
      </x:c>
      <x:c r="AJ751" s="7" t="str"/>
      <x:c r="AK751" s="15" t="str"/>
      <x:c r="AL751" s="7" t="str"/>
      <x:c r="AM751" s="7" t="str">
        <x:v>AGUILAR  LORISSA</x:v>
      </x:c>
      <x:c r="AN751" s="7" t="str">
        <x:v>https://cdicloud.insurance.ca.gov/cal/LicenseDetail?SearchType=IND&amp;SearchLicNbr=4122609&amp;SearchIndvId=4122609</x:v>
      </x:c>
      <x:c r="AO751" s="7" t="str">
        <x:v>2026-10-08</x:v>
      </x:c>
      <x:c r="AP751" s="7" t="str">
        <x:v>c5dc8f9778e1df783f1a0a650f7779f0cbb1c1e232ac52bf09636dbe534c1d21</x:v>
      </x:c>
      <x:c r="AQ751" s="7" t="str">
        <x:v>Casualty / Active / 05/05/2021 / 05/05/2021 / 05/31/2027
Property / Active / 05/05/2021 / 05/05/2021 / 05/31/2027
Motor Club Agent / Inactive / 05/05/2021 / 12/08/2023 / 12/08/2023</x:v>
      </x:c>
      <x:c r="AR751" s="7" t="str">
        <x:v>Active</x:v>
      </x:c>
      <x:c r="AS751" s="7" t="str">
        <x:v>Current detail page</x:v>
      </x:c>
    </x:row>
    <x:row r="752" ht="52" customHeight="1">
      <x:c r="A752" s="7" t="str">
        <x:v>AGUILAR LOUIS</x:v>
      </x:c>
      <x:c r="B752" s="14" t="str">
        <x:f>"0M24717"</x:f>
        <x:v>0M24717</x:v>
      </x:c>
      <x:c r="C752" s="7" t="str">
        <x:v>Omitted</x:v>
      </x:c>
      <x:c r="D752" s="7" t="str">
        <x:v>FAIL</x:v>
      </x:c>
      <x:c r="E752" s="13" t="str">
        <x:v>Pending</x:v>
      </x:c>
      <x:c r="F752" s="13" t="str"/>
      <x:c r="G752" s="13" t="str"/>
      <x:c r="H752" s="13" t="str"/>
      <x:c r="I752" s="7" t="str">
        <x:v>Was this person reviewed? If rejected, give the actual rule and evidence. If acceptable, correct the omission. Confirm the Life-qualification gate and any record change since selection.</x:v>
      </x:c>
      <x:c r="J752" s="7" t="str">
        <x:v>L1</x:v>
      </x:c>
      <x:c r="K752" s="7" t="str">
        <x:v>Verified qualifications do not include active general Life. Current target-pool mismatch; actual historical omission reason unknown.</x:v>
      </x:c>
      <x:c r="L752" s="7" t="str">
        <x:v>Not supplied; membership is known, motive is not</x:v>
      </x:c>
      <x:c r="M752" s="7" t="n">
        <x:v>7</x:v>
      </x:c>
      <x:c r="N752" s="7" t="str">
        <x:v>Outside current general-Life recruiting pool</x:v>
      </x:c>
      <x:c r="O752" s="7" t="str">
        <x:v>Not displayed</x:v>
      </x:c>
      <x:c r="P752" s="7" t="str"/>
      <x:c r="Q752" s="7" t="str"/>
      <x:c r="R752" s="7" t="str"/>
      <x:c r="S752" s="15" t="str"/>
      <x:c r="T752" s="7" t="str">
        <x:v>No public business phone in collected record</x:v>
      </x:c>
      <x:c r="U752" s="7" t="str"/>
      <x:c r="V752" s="7" t="str">
        <x:v>Resident</x:v>
      </x:c>
      <x:c r="W752" s="7" t="str">
        <x:v>CA</x:v>
      </x:c>
      <x:c r="X752" s="7" t="str"/>
      <x:c r="Y752" s="7" t="str"/>
      <x:c r="Z752" s="7" t="str"/>
      <x:c r="AA752" s="7" t="str"/>
      <x:c r="AB752" s="7" t="str"/>
      <x:c r="AC752" s="7" t="str"/>
      <x:c r="AD752" s="7" t="str">
        <x:v>No agency or insurer displayed: onboarding opportunity possible; existing business unknown</x:v>
      </x:c>
      <x:c r="AE752" s="7" t="str">
        <x:v>No public business phone: contact enrichment needed, not proof of poor recruiting fit</x:v>
      </x:c>
      <x:c r="AF752" s="16" t="str"/>
      <x:c r="AG752" s="17" t="str"/>
      <x:c r="AH752" s="7" t="str"/>
      <x:c r="AI752" s="7" t="str"/>
      <x:c r="AJ752" s="7" t="str"/>
      <x:c r="AK752" s="15" t="str"/>
      <x:c r="AL752" s="7" t="str"/>
      <x:c r="AM752" s="7" t="str">
        <x:v>AGUILAR  LOUIS</x:v>
      </x:c>
      <x:c r="AN752" s="7" t="str">
        <x:v>https://cdicloud.insurance.ca.gov/cal/LicenseDetail?SearchType=IND&amp;SearchLicNbr=0M24717&amp;SearchIndvId=2006932</x:v>
      </x:c>
      <x:c r="AO752" s="7" t="str">
        <x:v>2026-10-08</x:v>
      </x:c>
      <x:c r="AP752" s="7" t="str">
        <x:v>022b829ce8e79766b05526b8c1f97066ad9a24c415d2a9af19d5e8c8e5e610b3</x:v>
      </x:c>
      <x:c r="AQ752" s="7" t="str">
        <x:v>Life-Only / Inactive / 03/15/2018 / 03/31/2020 / 03/31/2020</x:v>
      </x:c>
      <x:c r="AR752" s="7" t="str">
        <x:v>Inactive</x:v>
      </x:c>
      <x:c r="AS752" s="7" t="str">
        <x:v>Current detail page</x:v>
      </x:c>
    </x:row>
    <x:row r="753" ht="52" customHeight="1">
      <x:c r="A753" s="7" t="str">
        <x:v>AGUILAR LOUIS</x:v>
      </x:c>
      <x:c r="B753" s="14" t="str">
        <x:f>"4158096"</x:f>
        <x:v>4158096</x:v>
      </x:c>
      <x:c r="C753" s="7" t="str">
        <x:v>Omitted</x:v>
      </x:c>
      <x:c r="D753" s="7" t="str">
        <x:v>FAIL</x:v>
      </x:c>
      <x:c r="E753" s="13" t="str">
        <x:v>Pending</x:v>
      </x:c>
      <x:c r="F753" s="13" t="str"/>
      <x:c r="G753" s="13" t="str"/>
      <x:c r="H753" s="13" t="str"/>
      <x:c r="I753" s="7" t="str">
        <x:v>Was this person reviewed? If rejected, give the actual rule and evidence. If acceptable, correct the omission. Confirm the Life-qualification gate and any record change since selection.</x:v>
      </x:c>
      <x:c r="J753" s="7" t="str">
        <x:v>L1</x:v>
      </x:c>
      <x:c r="K753" s="7" t="str">
        <x:v>Verified qualifications do not include active general Life. Current target-pool mismatch; actual historical omission reason unknown.</x:v>
      </x:c>
      <x:c r="L753" s="7" t="str">
        <x:v>Not supplied; membership is known, motive is not</x:v>
      </x:c>
      <x:c r="M753" s="7" t="n">
        <x:v>7</x:v>
      </x:c>
      <x:c r="N753" s="7" t="str">
        <x:v>Outside current general-Life recruiting pool</x:v>
      </x:c>
      <x:c r="O753" s="7" t="str">
        <x:v>Inactive</x:v>
      </x:c>
      <x:c r="P753" s="7" t="str">
        <x:v>11/15/2021</x:v>
      </x:c>
      <x:c r="Q753" s="7" t="str">
        <x:v>11/30/2023</x:v>
      </x:c>
      <x:c r="R753" s="7" t="str"/>
      <x:c r="S753" s="15" t="str"/>
      <x:c r="T753" s="7" t="str">
        <x:v>No public business phone in collected record</x:v>
      </x:c>
      <x:c r="U753" s="7" t="str">
        <x:v>SELECT QUOTE 6800 W 115TH ST. OVERLAND PARK KS, 66211</x:v>
      </x:c>
      <x:c r="V753" s="7" t="str">
        <x:v>Non-resident</x:v>
      </x:c>
      <x:c r="W753" s="7" t="str">
        <x:v>KS</x:v>
      </x:c>
      <x:c r="X753" s="7" t="str"/>
      <x:c r="Y753" s="7" t="str"/>
      <x:c r="Z753" s="7" t="str"/>
      <x:c r="AA753" s="7" t="str"/>
      <x:c r="AB753" s="7" t="str"/>
      <x:c r="AC753" s="7" t="str"/>
      <x:c r="AD753" s="7" t="str">
        <x:v>No agency or insurer displayed: onboarding opportunity possible; existing business unknown</x:v>
      </x:c>
      <x:c r="AE753" s="7" t="str">
        <x:v>Nonresident or address state outside CA; confirm geographic recruiting scope | No public business phone: contact enrichment needed, not proof of poor recruiting fit</x:v>
      </x:c>
      <x:c r="AF753" s="16" t="str"/>
      <x:c r="AG753" s="17" t="str"/>
      <x:c r="AH753" s="7" t="str"/>
      <x:c r="AI753" s="7" t="str"/>
      <x:c r="AJ753" s="7" t="str"/>
      <x:c r="AK753" s="15" t="str"/>
      <x:c r="AL753" s="7" t="str"/>
      <x:c r="AM753" s="7" t="str">
        <x:v>AGUILAR  LOUIS</x:v>
      </x:c>
      <x:c r="AN753" s="7" t="str">
        <x:v>https://cdicloud.insurance.ca.gov/cal/LicenseDetail?SearchType=IND&amp;SearchLicNbr=4158096&amp;SearchIndvId=4158096</x:v>
      </x:c>
      <x:c r="AO753" s="7" t="str">
        <x:v>2026-10-08</x:v>
      </x:c>
      <x:c r="AP753" s="7" t="str">
        <x:v>cf20f6b5307eb33c5e573479750579fb016479da15999e4b14198dcbc237481d</x:v>
      </x:c>
      <x:c r="AQ753" s="7" t="str">
        <x:v>Accident &amp; Health or Sickness / Inactive / 11/15/2021 / 11/30/2023 / 11/30/2023
Life / Inactive / 11/15/2021 / 11/30/2023 / 11/30/2023</x:v>
      </x:c>
      <x:c r="AR753" s="7" t="str">
        <x:v>Inactive</x:v>
      </x:c>
      <x:c r="AS753" s="7" t="str">
        <x:v>Current detail page</x:v>
      </x:c>
    </x:row>
    <x:row r="754" ht="52" customHeight="1">
      <x:c r="A754" s="7" t="str">
        <x:v>AGUILAR LOUIS SCOTT</x:v>
      </x:c>
      <x:c r="B754" s="14" t="str">
        <x:f>"0B83517"</x:f>
        <x:v>0B83517</x:v>
      </x:c>
      <x:c r="C754" s="7" t="str">
        <x:v>Omitted</x:v>
      </x:c>
      <x:c r="D754" s="7" t="str">
        <x:v>FAIL</x:v>
      </x:c>
      <x:c r="E754" s="13" t="str">
        <x:v>Pending</x:v>
      </x:c>
      <x:c r="F754" s="13" t="str"/>
      <x:c r="G754" s="13" t="str"/>
      <x:c r="H754" s="13" t="str"/>
      <x:c r="I754" s="7" t="str">
        <x:v>Was this person reviewed? If rejected, give the actual rule and evidence. If acceptable, correct the omission. Confirm the Life-qualification gate and any record change since selection.</x:v>
      </x:c>
      <x:c r="J754" s="7" t="str">
        <x:v>L1</x:v>
      </x:c>
      <x:c r="K754" s="7" t="str">
        <x:v>Verified qualifications do not include active general Life. Current target-pool mismatch; actual historical omission reason unknown.</x:v>
      </x:c>
      <x:c r="L754" s="7" t="str">
        <x:v>Not supplied; membership is known, motive is not</x:v>
      </x:c>
      <x:c r="M754" s="7" t="n">
        <x:v>7</x:v>
      </x:c>
      <x:c r="N754" s="7" t="str">
        <x:v>Outside current general-Life recruiting pool</x:v>
      </x:c>
      <x:c r="O754" s="7" t="str">
        <x:v>Not displayed</x:v>
      </x:c>
      <x:c r="P754" s="7" t="str"/>
      <x:c r="Q754" s="7" t="str"/>
      <x:c r="R754" s="7" t="str"/>
      <x:c r="S754" s="15" t="str"/>
      <x:c r="T754" s="7" t="str">
        <x:v>No public business phone in collected record</x:v>
      </x:c>
      <x:c r="U754" s="7" t="str"/>
      <x:c r="V754" s="7" t="str">
        <x:v>Resident</x:v>
      </x:c>
      <x:c r="W754" s="7" t="str">
        <x:v>CA</x:v>
      </x:c>
      <x:c r="X754" s="7" t="str"/>
      <x:c r="Y754" s="7" t="str"/>
      <x:c r="Z754" s="7" t="str"/>
      <x:c r="AA754" s="7" t="str"/>
      <x:c r="AB754" s="7" t="str"/>
      <x:c r="AC754" s="7" t="str"/>
      <x:c r="AD754" s="7" t="str">
        <x:v>No agency or insurer displayed: onboarding opportunity possible; existing business unknown</x:v>
      </x:c>
      <x:c r="AE754" s="7" t="str">
        <x:v>No public business phone: contact enrichment needed, not proof of poor recruiting fit</x:v>
      </x:c>
      <x:c r="AF754" s="16" t="str"/>
      <x:c r="AG754" s="17" t="str"/>
      <x:c r="AH754" s="7" t="str"/>
      <x:c r="AI754" s="7" t="str"/>
      <x:c r="AJ754" s="7" t="str"/>
      <x:c r="AK754" s="15" t="str"/>
      <x:c r="AL754" s="7" t="str"/>
      <x:c r="AM754" s="7" t="str">
        <x:v>AGUILAR SCOTT LOUIS</x:v>
      </x:c>
      <x:c r="AN754" s="7" t="str">
        <x:v>https://cdicloud.insurance.ca.gov/cal/LicenseDetail?SearchType=IND&amp;SearchLicNbr=0B83517&amp;SearchIndvId=261090</x:v>
      </x:c>
      <x:c r="AO754" s="7" t="str">
        <x:v>2026-10-08</x:v>
      </x:c>
      <x:c r="AP754" s="7" t="str">
        <x:v>fd48324ddbef7c3eda2dc745050112182b3c12ff5431c47739f9505b6117fdfb</x:v>
      </x:c>
      <x:c r="AQ754" s="7" t="str">
        <x:v>Accident and Health / Inactive / 06/25/1996 / 06/30/1998 / 06/30/1998
Casualty Broker-Agent / Inactive / 11/22/1996 / 06/30/1998 / 06/30/1998
Life-Only / Inactive / 06/25/1996 / 06/30/1998 / 06/30/1998
Property Broker-Agent / Inactive / 11/22/1996 / 06/30/1998 / 06/30/1998</x:v>
      </x:c>
      <x:c r="AR754" s="7" t="str">
        <x:v>Inactive</x:v>
      </x:c>
      <x:c r="AS754" s="7" t="str">
        <x:v>Current detail page</x:v>
      </x:c>
    </x:row>
    <x:row r="755" ht="52" customHeight="1">
      <x:c r="A755" s="7" t="str">
        <x:v>AGUILAR LOURDES YVETTE</x:v>
      </x:c>
      <x:c r="B755" s="14" t="str">
        <x:f>"0L52702"</x:f>
        <x:v>0L52702</x:v>
      </x:c>
      <x:c r="C755" s="7" t="str">
        <x:v>Omitted</x:v>
      </x:c>
      <x:c r="D755" s="7" t="str">
        <x:v>FAIL</x:v>
      </x:c>
      <x:c r="E755" s="13" t="str">
        <x:v>Pending</x:v>
      </x:c>
      <x:c r="F755" s="13" t="str"/>
      <x:c r="G755" s="13" t="str"/>
      <x:c r="H755" s="13" t="str"/>
      <x:c r="I755" s="7" t="str">
        <x:v>Was this person reviewed? If rejected, give the actual rule and evidence. If acceptable, correct the omission. Confirm the Life-qualification gate and any record change since selection.</x:v>
      </x:c>
      <x:c r="J755" s="7" t="str">
        <x:v>L1</x:v>
      </x:c>
      <x:c r="K755" s="7" t="str">
        <x:v>Verified qualifications do not include active general Life. Current target-pool mismatch; actual historical omission reason unknown.</x:v>
      </x:c>
      <x:c r="L755" s="7" t="str">
        <x:v>Not supplied; membership is known, motive is not</x:v>
      </x:c>
      <x:c r="M755" s="7" t="n">
        <x:v>7</x:v>
      </x:c>
      <x:c r="N755" s="7" t="str">
        <x:v>Outside current general-Life recruiting pool</x:v>
      </x:c>
      <x:c r="O755" s="7" t="str">
        <x:v>Not displayed</x:v>
      </x:c>
      <x:c r="P755" s="7" t="str"/>
      <x:c r="Q755" s="7" t="str"/>
      <x:c r="R755" s="7" t="str"/>
      <x:c r="S755" s="15" t="str"/>
      <x:c r="T755" s="7" t="str">
        <x:v>No public business phone in collected record</x:v>
      </x:c>
      <x:c r="U755" s="7" t="str"/>
      <x:c r="V755" s="7" t="str">
        <x:v>Resident</x:v>
      </x:c>
      <x:c r="W755" s="7" t="str">
        <x:v>CA</x:v>
      </x:c>
      <x:c r="X755" s="7" t="str"/>
      <x:c r="Y755" s="7" t="str"/>
      <x:c r="Z755" s="7" t="str"/>
      <x:c r="AA755" s="7" t="str"/>
      <x:c r="AB755" s="7" t="str"/>
      <x:c r="AC755" s="7" t="str"/>
      <x:c r="AD755" s="7" t="str">
        <x:v>No agency or insurer displayed: onboarding opportunity possible; existing business unknown</x:v>
      </x:c>
      <x:c r="AE755" s="7" t="str">
        <x:v>No public business phone: contact enrichment needed, not proof of poor recruiting fit</x:v>
      </x:c>
      <x:c r="AF755" s="16" t="str"/>
      <x:c r="AG755" s="17" t="str"/>
      <x:c r="AH755" s="7" t="str"/>
      <x:c r="AI755" s="7" t="str"/>
      <x:c r="AJ755" s="7" t="str"/>
      <x:c r="AK755" s="15" t="str"/>
      <x:c r="AL755" s="7" t="str"/>
      <x:c r="AM755" s="7" t="str">
        <x:v>Aguilar Y Lourdes | AGUILAR YVETTE LOURDES</x:v>
      </x:c>
      <x:c r="AN755" s="7" t="str">
        <x:v>https://cdicloud.insurance.ca.gov/cal/LicenseDetail?SearchType=IND&amp;SearchLicNbr=0L52702&amp;SearchIndvId=1891381</x:v>
      </x:c>
      <x:c r="AO755" s="7" t="str">
        <x:v>2026-10-08</x:v>
      </x:c>
      <x:c r="AP755" s="7" t="str">
        <x:v>6a8a07de84689a2b72f2353221b63a31195b35bd8331b3fc23d138283b11e689</x:v>
      </x:c>
      <x:c r="AQ755" s="7" t="str">
        <x:v>Life-Only / Inactive / 01/31/2017 / 01/31/2019 / 01/31/2019</x:v>
      </x:c>
      <x:c r="AR755" s="7" t="str">
        <x:v>Inactive</x:v>
      </x:c>
      <x:c r="AS755" s="7" t="str">
        <x:v>Current detail page</x:v>
      </x:c>
    </x:row>
    <x:row r="756" ht="52" customHeight="1">
      <x:c r="A756" s="7" t="str">
        <x:v>AGUILAR LOW DEANNA LEE</x:v>
      </x:c>
      <x:c r="B756" s="14" t="str">
        <x:f>"0G00202"</x:f>
        <x:v>0G00202</x:v>
      </x:c>
      <x:c r="C756" s="7" t="str">
        <x:v>Omitted</x:v>
      </x:c>
      <x:c r="D756" s="7" t="str">
        <x:v>FAIL</x:v>
      </x:c>
      <x:c r="E756" s="13" t="str">
        <x:v>Pending</x:v>
      </x:c>
      <x:c r="F756" s="13" t="str"/>
      <x:c r="G756" s="13" t="str"/>
      <x:c r="H756" s="13" t="str"/>
      <x:c r="I756" s="7" t="str">
        <x:v>Was this person reviewed? If rejected, give the actual rule and evidence. If acceptable, correct the omission. Confirm the Life-qualification gate and any record change since selection.</x:v>
      </x:c>
      <x:c r="J756" s="7" t="str">
        <x:v>L1</x:v>
      </x:c>
      <x:c r="K756" s="7" t="str">
        <x:v>Verified qualifications do not include active general Life. Current target-pool mismatch; actual historical omission reason unknown.</x:v>
      </x:c>
      <x:c r="L756" s="7" t="str">
        <x:v>Not supplied; membership is known, motive is not</x:v>
      </x:c>
      <x:c r="M756" s="7" t="n">
        <x:v>7</x:v>
      </x:c>
      <x:c r="N756" s="7" t="str">
        <x:v>Outside current general-Life recruiting pool</x:v>
      </x:c>
      <x:c r="O756" s="7" t="str">
        <x:v>Inactive</x:v>
      </x:c>
      <x:c r="P756" s="7" t="str">
        <x:v>02/23/2008</x:v>
      </x:c>
      <x:c r="Q756" s="7" t="str">
        <x:v>12/31/2023</x:v>
      </x:c>
      <x:c r="R756" s="7" t="str"/>
      <x:c r="S756" s="15" t="str">
        <x:v>760-221-1961</x:v>
      </x:c>
      <x:c r="T756" s="7" t="str">
        <x:v>Current CDI</x:v>
      </x:c>
      <x:c r="U756" s="7" t="str">
        <x:v>78654 CIMMARON CYN PALM DESERT CA, 92211</x:v>
      </x:c>
      <x:c r="V756" s="7" t="str">
        <x:v>Resident</x:v>
      </x:c>
      <x:c r="W756" s="7" t="str">
        <x:v>CA</x:v>
      </x:c>
      <x:c r="X756" s="7" t="str"/>
      <x:c r="Y756" s="7" t="str"/>
      <x:c r="Z756" s="7" t="str"/>
      <x:c r="AA756" s="7" t="str"/>
      <x:c r="AB756" s="7" t="str"/>
      <x:c r="AC756" s="7" t="str"/>
      <x:c r="AD756" s="7" t="str">
        <x:v>No agency or insurer displayed: onboarding opportunity possible; existing business unknown</x:v>
      </x:c>
      <x:c r="AE756" s="7" t="str"/>
      <x:c r="AF756" s="16" t="str"/>
      <x:c r="AG756" s="17" t="str"/>
      <x:c r="AH756" s="7" t="str"/>
      <x:c r="AI756" s="7" t="str">
        <x:v>English</x:v>
      </x:c>
      <x:c r="AJ756" s="7" t="str"/>
      <x:c r="AK756" s="15" t="str"/>
      <x:c r="AL756" s="7" t="str"/>
      <x:c r="AM756" s="7" t="str">
        <x:v>AGUILAR LEE DEANNA | AGUILAR LOW LEE DEANNA</x:v>
      </x:c>
      <x:c r="AN756" s="7" t="str">
        <x:v>https://cdicloud.insurance.ca.gov/cal/LicenseDetail?SearchType=IND&amp;SearchLicNbr=0G00202&amp;SearchIndvId=1124445</x:v>
      </x:c>
      <x:c r="AO756" s="7" t="str">
        <x:v>2026-10-08</x:v>
      </x:c>
      <x:c r="AP756" s="7" t="str">
        <x:v>6d163adf21eaa9045855596aa848be15d33edc29413ea9f0ed859263c3d4936b</x:v>
      </x:c>
      <x:c r="AQ756" s="7" t="str">
        <x:v>Accident &amp; Health or Sickness / Inactive / 02/23/2008 / 12/31/2023 / 12/31/2023
Life / Inactive / 02/23/2008 / 12/31/2023 / 12/31/2023</x:v>
      </x:c>
      <x:c r="AR756" s="7" t="str">
        <x:v>Inactive</x:v>
      </x:c>
      <x:c r="AS756" s="7" t="str">
        <x:v>Current detail page</x:v>
      </x:c>
    </x:row>
    <x:row r="757" ht="52" customHeight="1">
      <x:c r="A757" s="7" t="str">
        <x:v>AGUILAR LOZOYA VANESSA RUBY</x:v>
      </x:c>
      <x:c r="B757" s="14" t="str">
        <x:f>"4180245"</x:f>
        <x:v>4180245</x:v>
      </x:c>
      <x:c r="C757" s="7" t="str">
        <x:v>Omitted</x:v>
      </x:c>
      <x:c r="D757" s="7" t="str">
        <x:v>FAIL</x:v>
      </x:c>
      <x:c r="E757" s="13" t="str">
        <x:v>Pending</x:v>
      </x:c>
      <x:c r="F757" s="13" t="str"/>
      <x:c r="G757" s="13" t="str"/>
      <x:c r="H757" s="13" t="str"/>
      <x:c r="I757" s="7" t="str">
        <x:v>Was this person reviewed? If rejected, give the actual rule and evidence. If acceptable, correct the omission. Confirm the Life-qualification gate and any record change since selection.</x:v>
      </x:c>
      <x:c r="J757" s="7" t="str">
        <x:v>L1</x:v>
      </x:c>
      <x:c r="K757" s="7" t="str">
        <x:v>Verified qualifications do not include active general Life. Current target-pool mismatch; actual historical omission reason unknown.</x:v>
      </x:c>
      <x:c r="L757" s="7" t="str">
        <x:v>Not supplied; membership is known, motive is not</x:v>
      </x:c>
      <x:c r="M757" s="7" t="n">
        <x:v>7</x:v>
      </x:c>
      <x:c r="N757" s="7" t="str">
        <x:v>Outside current general-Life recruiting pool</x:v>
      </x:c>
      <x:c r="O757" s="7" t="str">
        <x:v>Not displayed</x:v>
      </x:c>
      <x:c r="P757" s="7" t="str"/>
      <x:c r="Q757" s="7" t="str"/>
      <x:c r="R757" s="7" t="str">
        <x:v>Personal Lines</x:v>
      </x:c>
      <x:c r="S757" s="15" t="str">
        <x:v>877-776-2436</x:v>
      </x:c>
      <x:c r="T757" s="7" t="str">
        <x:v>Current CDI</x:v>
      </x:c>
      <x:c r="U757" s="7" t="str">
        <x:v>PROGRESSIVE INSURANCE - EMPLOYEE LICENSING - 32001 10940 WHITE ROCK RD STE 130 RANCHO CORDOVA CA, 95670-6182</x:v>
      </x:c>
      <x:c r="V757" s="7" t="str">
        <x:v>Resident</x:v>
      </x:c>
      <x:c r="W757" s="7" t="str">
        <x:v>CA</x:v>
      </x:c>
      <x:c r="X757" s="7" t="str"/>
      <x:c r="Y757" s="7" t="str"/>
      <x:c r="Z757" s="7" t="str"/>
      <x:c r="AA757" s="7" t="str"/>
      <x:c r="AB757" s="7" t="str"/>
      <x:c r="AC757" s="7" t="str"/>
      <x:c r="AD757" s="7" t="str">
        <x:v>No agency or insurer displayed: onboarding opportunity possible; existing business unknown</x:v>
      </x:c>
      <x:c r="AE757" s="7" t="str">
        <x:v>P&amp;C/Personal Lines authority without displayed core Life appointments; mixed profile requires review | Toll-free business number: verify that it reaches the individual rather than a central office</x:v>
      </x:c>
      <x:c r="AF757" s="16" t="str"/>
      <x:c r="AG757" s="17" t="str"/>
      <x:c r="AH757" s="7" t="str"/>
      <x:c r="AI757" s="7" t="str">
        <x:v>English</x:v>
      </x:c>
      <x:c r="AJ757" s="7" t="str"/>
      <x:c r="AK757" s="15" t="str"/>
      <x:c r="AL757" s="7" t="str"/>
      <x:c r="AM757" s="7" t="str">
        <x:v>AGUILAR  VANESSA | AGUILAR LOZOYA RUBY VANESSA</x:v>
      </x:c>
      <x:c r="AN757" s="7" t="str">
        <x:v>https://cdicloud.insurance.ca.gov/cal/LicenseDetail?SearchType=IND&amp;SearchLicNbr=4180245&amp;SearchIndvId=4180245</x:v>
      </x:c>
      <x:c r="AO757" s="7" t="str">
        <x:v>2026-10-08</x:v>
      </x:c>
      <x:c r="AP757" s="7" t="str">
        <x:v>bf899dd761407398ff63f8522eb8a1b3ee3a791514a65a7a369ef1419f1f761f</x:v>
      </x:c>
      <x:c r="AQ757" s="7" t="str">
        <x:v>Personal Lines / Active / 03/09/2022 / 03/09/2022 / 03/31/2028</x:v>
      </x:c>
      <x:c r="AR757" s="7" t="str">
        <x:v>Active</x:v>
      </x:c>
      <x:c r="AS757" s="7" t="str">
        <x:v>Current detail page</x:v>
      </x:c>
    </x:row>
    <x:row r="758" ht="52" customHeight="1">
      <x:c r="A758" s="7" t="str">
        <x:v>AGUILAR LUALHATI LIELA CASTRO</x:v>
      </x:c>
      <x:c r="B758" s="14" t="str">
        <x:f>"0D81382"</x:f>
        <x:v>0D81382</x:v>
      </x:c>
      <x:c r="C758" s="7" t="str">
        <x:v>Omitted</x:v>
      </x:c>
      <x:c r="D758" s="7" t="str">
        <x:v>FAIL</x:v>
      </x:c>
      <x:c r="E758" s="13" t="str">
        <x:v>Pending</x:v>
      </x:c>
      <x:c r="F758" s="13" t="str"/>
      <x:c r="G758" s="13" t="str"/>
      <x:c r="H758" s="13" t="str"/>
      <x:c r="I758" s="7" t="str">
        <x:v>Was this person reviewed? If rejected, give the actual rule and evidence. If acceptable, correct the omission. Confirm the Life-qualification gate and any record change since selection.</x:v>
      </x:c>
      <x:c r="J758" s="7" t="str">
        <x:v>L1</x:v>
      </x:c>
      <x:c r="K758" s="7" t="str">
        <x:v>Verified qualifications do not include active general Life. Current target-pool mismatch; actual historical omission reason unknown.</x:v>
      </x:c>
      <x:c r="L758" s="7" t="str">
        <x:v>Not supplied; membership is known, motive is not</x:v>
      </x:c>
      <x:c r="M758" s="7" t="n">
        <x:v>7</x:v>
      </x:c>
      <x:c r="N758" s="7" t="str">
        <x:v>Outside current general-Life recruiting pool</x:v>
      </x:c>
      <x:c r="O758" s="7" t="str">
        <x:v>Not displayed</x:v>
      </x:c>
      <x:c r="P758" s="7" t="str"/>
      <x:c r="Q758" s="7" t="str"/>
      <x:c r="R758" s="7" t="str"/>
      <x:c r="S758" s="15" t="str"/>
      <x:c r="T758" s="7" t="str">
        <x:v>No public business phone in collected record</x:v>
      </x:c>
      <x:c r="U758" s="7" t="str"/>
      <x:c r="V758" s="7" t="str">
        <x:v>Resident</x:v>
      </x:c>
      <x:c r="W758" s="7" t="str">
        <x:v>CA</x:v>
      </x:c>
      <x:c r="X758" s="7" t="str"/>
      <x:c r="Y758" s="7" t="str"/>
      <x:c r="Z758" s="7" t="str"/>
      <x:c r="AA758" s="7" t="str"/>
      <x:c r="AB758" s="7" t="str"/>
      <x:c r="AC758" s="7" t="str"/>
      <x:c r="AD758" s="7" t="str">
        <x:v>No agency or insurer displayed: onboarding opportunity possible; existing business unknown</x:v>
      </x:c>
      <x:c r="AE758" s="7" t="str">
        <x:v>No public business phone: contact enrichment needed, not proof of poor recruiting fit</x:v>
      </x:c>
      <x:c r="AF758" s="16" t="str"/>
      <x:c r="AG758" s="17" t="str"/>
      <x:c r="AH758" s="7" t="str"/>
      <x:c r="AI758" s="7" t="str"/>
      <x:c r="AJ758" s="7" t="str"/>
      <x:c r="AK758" s="15" t="str"/>
      <x:c r="AL758" s="7" t="str"/>
      <x:c r="AM758" s="7" t="str">
        <x:v>AGUILAR CASTRO LUALHATI LIELA</x:v>
      </x:c>
      <x:c r="AN758" s="7" t="str">
        <x:v>https://cdicloud.insurance.ca.gov/cal/LicenseDetail?SearchType=IND&amp;SearchLicNbr=0D81382&amp;SearchIndvId=823647</x:v>
      </x:c>
      <x:c r="AO758" s="7" t="str">
        <x:v>2026-10-08</x:v>
      </x:c>
      <x:c r="AP758" s="7" t="str">
        <x:v>4aea87d7b23910917731f3a7713444a25482473761d04cd8d9118d793ae72087</x:v>
      </x:c>
      <x:c r="AQ758" s="7" t="str">
        <x:v>Accident and Health / Inactive / 12/27/2002 / 12/31/2008 / 12/31/2008
Life-Only / Inactive / 12/27/2002 / 12/31/2008 / 12/31/2008</x:v>
      </x:c>
      <x:c r="AR758" s="7" t="str">
        <x:v>Inactive</x:v>
      </x:c>
      <x:c r="AS758" s="7" t="str">
        <x:v>Current detail page</x:v>
      </x:c>
    </x:row>
    <x:row r="759" ht="52" customHeight="1">
      <x:c r="A759" s="7" t="str">
        <x:v>AGUILAR LUCIA C</x:v>
      </x:c>
      <x:c r="B759" s="14" t="str">
        <x:f>"0K30475"</x:f>
        <x:v>0K30475</x:v>
      </x:c>
      <x:c r="C759" s="7" t="str">
        <x:v>Omitted</x:v>
      </x:c>
      <x:c r="D759" s="7" t="str">
        <x:v>FAIL</x:v>
      </x:c>
      <x:c r="E759" s="13" t="str">
        <x:v>Pending</x:v>
      </x:c>
      <x:c r="F759" s="13" t="str"/>
      <x:c r="G759" s="13" t="str"/>
      <x:c r="H759" s="13" t="str"/>
      <x:c r="I759" s="7" t="str">
        <x:v>Was this person reviewed? If rejected, give the actual rule and evidence. If acceptable, correct the omission. Confirm the Life-qualification gate and any record change since selection.</x:v>
      </x:c>
      <x:c r="J759" s="7" t="str">
        <x:v>L1</x:v>
      </x:c>
      <x:c r="K759" s="7" t="str">
        <x:v>Verified qualifications do not include active general Life. Current target-pool mismatch; actual historical omission reason unknown.</x:v>
      </x:c>
      <x:c r="L759" s="7" t="str">
        <x:v>Not supplied; membership is known, motive is not</x:v>
      </x:c>
      <x:c r="M759" s="7" t="n">
        <x:v>7</x:v>
      </x:c>
      <x:c r="N759" s="7" t="str">
        <x:v>Outside current general-Life recruiting pool</x:v>
      </x:c>
      <x:c r="O759" s="7" t="str">
        <x:v>Not displayed</x:v>
      </x:c>
      <x:c r="P759" s="7" t="str"/>
      <x:c r="Q759" s="7" t="str"/>
      <x:c r="R759" s="7" t="str">
        <x:v>Personal Lines</x:v>
      </x:c>
      <x:c r="S759" s="15" t="str"/>
      <x:c r="T759" s="7" t="str">
        <x:v>No public business phone in collected record</x:v>
      </x:c>
      <x:c r="U759" s="7" t="str">
        <x:v>422 N MAIN ST SALINAS CA, 93901-2820</x:v>
      </x:c>
      <x:c r="V759" s="7" t="str">
        <x:v>Resident</x:v>
      </x:c>
      <x:c r="W759" s="7" t="str">
        <x:v>CA</x:v>
      </x:c>
      <x:c r="X759" s="7" t="str"/>
      <x:c r="Y759" s="7" t="str">
        <x:v>FOREMOST INSURANCE COMPANY GRAND RAPIDS, MICHIGAN / Personal Lines / 06/06/2024</x:v>
      </x:c>
      <x:c r="Z759" s="7" t="str"/>
      <x:c r="AA759" s="7" t="str"/>
      <x:c r="AB759" s="7" t="str"/>
      <x:c r="AC759" s="7" t="str"/>
      <x:c r="AD759" s="7" t="str"/>
      <x:c r="AE759" s="7" t="str">
        <x:v>P&amp;C/Personal Lines authority without displayed core Life appointments; mixed profile requires review | No public business phone: contact enrichment needed, not proof of poor recruiting fit</x:v>
      </x:c>
      <x:c r="AF759" s="16" t="str"/>
      <x:c r="AG759" s="17" t="str"/>
      <x:c r="AH759" s="7" t="str"/>
      <x:c r="AI759" s="7" t="str">
        <x:v>English, Spanish, Spanish</x:v>
      </x:c>
      <x:c r="AJ759" s="7" t="str"/>
      <x:c r="AK759" s="15" t="str"/>
      <x:c r="AL759" s="7" t="str"/>
      <x:c r="AM759" s="7" t="str">
        <x:v>aguilar c lucia | AGUILAR C LUCIA | AGUILAR CAMACHO LUCIA</x:v>
      </x:c>
      <x:c r="AN759" s="7" t="str">
        <x:v>https://cdicloud.insurance.ca.gov/cal/LicenseDetail?SearchType=IND&amp;SearchLicNbr=0K30475&amp;SearchIndvId=1765122</x:v>
      </x:c>
      <x:c r="AO759" s="7" t="str">
        <x:v>2026-10-08</x:v>
      </x:c>
      <x:c r="AP759" s="7" t="str">
        <x:v>79be3392176b59a0039a132a51ca5be22e44f856b5ef8f3bb5ba05650ee53f33</x:v>
      </x:c>
      <x:c r="AQ759" s="7" t="str">
        <x:v>Personal Lines / Active / 06/15/2015 / 06/15/2015 / 06/30/2027</x:v>
      </x:c>
      <x:c r="AR759" s="7" t="str">
        <x:v>Active</x:v>
      </x:c>
      <x:c r="AS759" s="7" t="str">
        <x:v>Current detail page</x:v>
      </x:c>
    </x:row>
    <x:row r="760" ht="52" customHeight="1">
      <x:c r="A760" s="7" t="str">
        <x:v>AGUILAR LUCINA EMPERATRIZ</x:v>
      </x:c>
      <x:c r="B760" s="14" t="str">
        <x:f>"0F22713"</x:f>
        <x:v>0F22713</x:v>
      </x:c>
      <x:c r="C760" s="7" t="str">
        <x:v>Omitted</x:v>
      </x:c>
      <x:c r="D760" s="7" t="str">
        <x:v>FAIL</x:v>
      </x:c>
      <x:c r="E760" s="13" t="str">
        <x:v>Pending</x:v>
      </x:c>
      <x:c r="F760" s="13" t="str"/>
      <x:c r="G760" s="13" t="str"/>
      <x:c r="H760" s="13" t="str"/>
      <x:c r="I760" s="7" t="str">
        <x:v>Was this person reviewed? If rejected, give the actual rule and evidence. If acceptable, correct the omission. Confirm the Life-qualification gate and any record change since selection.</x:v>
      </x:c>
      <x:c r="J760" s="7" t="str">
        <x:v>L1</x:v>
      </x:c>
      <x:c r="K760" s="7" t="str">
        <x:v>Verified qualifications do not include active general Life. Current target-pool mismatch; actual historical omission reason unknown.</x:v>
      </x:c>
      <x:c r="L760" s="7" t="str">
        <x:v>Not supplied; membership is known, motive is not</x:v>
      </x:c>
      <x:c r="M760" s="7" t="n">
        <x:v>7</x:v>
      </x:c>
      <x:c r="N760" s="7" t="str">
        <x:v>Outside current general-Life recruiting pool</x:v>
      </x:c>
      <x:c r="O760" s="7" t="str">
        <x:v>Not displayed</x:v>
      </x:c>
      <x:c r="P760" s="7" t="str"/>
      <x:c r="Q760" s="7" t="str"/>
      <x:c r="R760" s="7" t="str"/>
      <x:c r="S760" s="15" t="str"/>
      <x:c r="T760" s="7" t="str">
        <x:v>No public business phone in collected record</x:v>
      </x:c>
      <x:c r="U760" s="7" t="str"/>
      <x:c r="V760" s="7" t="str">
        <x:v>Resident</x:v>
      </x:c>
      <x:c r="W760" s="7" t="str">
        <x:v>CA</x:v>
      </x:c>
      <x:c r="X760" s="7" t="str"/>
      <x:c r="Y760" s="7" t="str"/>
      <x:c r="Z760" s="7" t="str"/>
      <x:c r="AA760" s="7" t="str"/>
      <x:c r="AB760" s="7" t="str"/>
      <x:c r="AC760" s="7" t="str"/>
      <x:c r="AD760" s="7" t="str">
        <x:v>No agency or insurer displayed: onboarding opportunity possible; existing business unknown</x:v>
      </x:c>
      <x:c r="AE760" s="7" t="str">
        <x:v>No public business phone: contact enrichment needed, not proof of poor recruiting fit</x:v>
      </x:c>
      <x:c r="AF760" s="16" t="str"/>
      <x:c r="AG760" s="17" t="str"/>
      <x:c r="AH760" s="7" t="str"/>
      <x:c r="AI760" s="7" t="str"/>
      <x:c r="AJ760" s="7" t="str"/>
      <x:c r="AK760" s="15" t="str"/>
      <x:c r="AL760" s="7" t="str"/>
      <x:c r="AM760" s="7" t="str">
        <x:v>AGUILAR EMPERATRIZ LUCINA</x:v>
      </x:c>
      <x:c r="AN760" s="7" t="str">
        <x:v>https://cdicloud.insurance.ca.gov/cal/LicenseDetail?SearchType=IND&amp;SearchLicNbr=0F22713&amp;SearchIndvId=1029328</x:v>
      </x:c>
      <x:c r="AO760" s="7" t="str">
        <x:v>2026-10-08</x:v>
      </x:c>
      <x:c r="AP760" s="7" t="str">
        <x:v>5f631fc67d2addd7628fafed232ba3e55a89026e30eaa7faedc2b9d8a3ab864d</x:v>
      </x:c>
      <x:c r="AQ760" s="7" t="str">
        <x:v>Motor Club Agent / Inactive / 06/06/2006 / 06/30/2008 / 06/30/2008</x:v>
      </x:c>
      <x:c r="AR760" s="7" t="str">
        <x:v>Inactive</x:v>
      </x:c>
      <x:c r="AS760" s="7" t="str">
        <x:v>Current detail page</x:v>
      </x:c>
    </x:row>
    <x:row r="761" ht="52" customHeight="1">
      <x:c r="A761" s="7" t="str">
        <x:v>AGUILAR LUCINDA</x:v>
      </x:c>
      <x:c r="B761" s="14" t="str">
        <x:f>"4129905"</x:f>
        <x:v>4129905</x:v>
      </x:c>
      <x:c r="C761" s="7" t="str">
        <x:v>Omitted</x:v>
      </x:c>
      <x:c r="D761" s="7" t="str">
        <x:v>FAIL</x:v>
      </x:c>
      <x:c r="E761" s="13" t="str">
        <x:v>Pending</x:v>
      </x:c>
      <x:c r="F761" s="13" t="str"/>
      <x:c r="G761" s="13" t="str"/>
      <x:c r="H761" s="13" t="str"/>
      <x:c r="I761" s="7" t="str">
        <x:v>Was this person reviewed? If rejected, give the actual rule and evidence. If acceptable, correct the omission. Confirm the Life-qualification gate and any record change since selection.</x:v>
      </x:c>
      <x:c r="J761" s="7" t="str">
        <x:v>L1</x:v>
      </x:c>
      <x:c r="K761" s="7" t="str">
        <x:v>Verified qualifications do not include active general Life. Current target-pool mismatch; actual historical omission reason unknown.</x:v>
      </x:c>
      <x:c r="L761" s="7" t="str">
        <x:v>Not supplied; membership is known, motive is not</x:v>
      </x:c>
      <x:c r="M761" s="7" t="n">
        <x:v>7</x:v>
      </x:c>
      <x:c r="N761" s="7" t="str">
        <x:v>Outside current general-Life recruiting pool</x:v>
      </x:c>
      <x:c r="O761" s="7" t="str">
        <x:v>Not displayed</x:v>
      </x:c>
      <x:c r="P761" s="7" t="str"/>
      <x:c r="Q761" s="7" t="str"/>
      <x:c r="R761" s="7" t="str"/>
      <x:c r="S761" s="15" t="str">
        <x:v>916-955-8972</x:v>
      </x:c>
      <x:c r="T761" s="7" t="str">
        <x:v>Current CDI</x:v>
      </x:c>
      <x:c r="U761" s="7" t="str">
        <x:v>2875 S DECKER LAKE DR STE 400 SALT LAKE CITY UT, 84119-2351</x:v>
      </x:c>
      <x:c r="V761" s="7" t="str">
        <x:v>Resident</x:v>
      </x:c>
      <x:c r="W761" s="7" t="str">
        <x:v>UT</x:v>
      </x:c>
      <x:c r="X761" s="7" t="str"/>
      <x:c r="Y761" s="7" t="str"/>
      <x:c r="Z761" s="7" t="str"/>
      <x:c r="AA761" s="7" t="str"/>
      <x:c r="AB761" s="7" t="str"/>
      <x:c r="AC761" s="7" t="str"/>
      <x:c r="AD761" s="7" t="str">
        <x:v>No agency or insurer displayed: onboarding opportunity possible; existing business unknown</x:v>
      </x:c>
      <x:c r="AE761" s="7" t="str">
        <x:v>Nonresident or address state outside CA; confirm geographic recruiting scope</x:v>
      </x:c>
      <x:c r="AF761" s="16" t="str"/>
      <x:c r="AG761" s="17" t="str"/>
      <x:c r="AH761" s="7" t="str"/>
      <x:c r="AI761" s="7" t="str">
        <x:v>English</x:v>
      </x:c>
      <x:c r="AJ761" s="7" t="str"/>
      <x:c r="AK761" s="15" t="str"/>
      <x:c r="AL761" s="7" t="str"/>
      <x:c r="AM761" s="7" t="str">
        <x:v>AGUILAR  LUCINDA</x:v>
      </x:c>
      <x:c r="AN761" s="7" t="str">
        <x:v>https://cdicloud.insurance.ca.gov/cal/LicenseDetail?SearchType=IND&amp;SearchLicNbr=4129905&amp;SearchIndvId=4129905</x:v>
      </x:c>
      <x:c r="AO761" s="7" t="str">
        <x:v>2026-10-08</x:v>
      </x:c>
      <x:c r="AP761" s="7" t="str">
        <x:v>55f75fa17b47cc61b65f6688e9e5ed48e05ea50723a8e572e2f0052406022482</x:v>
      </x:c>
      <x:c r="AQ761" s="7" t="str">
        <x:v>Accident &amp; Health or Sickness / Inactive / 06/24/2021 / 06/30/2023 / 06/30/2023</x:v>
      </x:c>
      <x:c r="AR761" s="7" t="str">
        <x:v>Inactive</x:v>
      </x:c>
      <x:c r="AS761" s="7" t="str">
        <x:v>Current detail page</x:v>
      </x:c>
    </x:row>
    <x:row r="762" ht="52" customHeight="1">
      <x:c r="A762" s="7" t="str">
        <x:v>AGUILAR LUIS</x:v>
      </x:c>
      <x:c r="B762" s="14" t="str">
        <x:f>"0E13832"</x:f>
        <x:v>0E13832</x:v>
      </x:c>
      <x:c r="C762" s="7" t="str">
        <x:v>Omitted</x:v>
      </x:c>
      <x:c r="D762" s="7" t="str">
        <x:v>FAIL</x:v>
      </x:c>
      <x:c r="E762" s="13" t="str">
        <x:v>Pending</x:v>
      </x:c>
      <x:c r="F762" s="13" t="str"/>
      <x:c r="G762" s="13" t="str"/>
      <x:c r="H762" s="13" t="str"/>
      <x:c r="I762" s="7" t="str">
        <x:v>Was this person reviewed? If rejected, give the actual rule and evidence. If acceptable, correct the omission. Confirm the Life-qualification gate and any record change since selection.</x:v>
      </x:c>
      <x:c r="J762" s="7" t="str">
        <x:v>L1</x:v>
      </x:c>
      <x:c r="K762" s="7" t="str">
        <x:v>Verified qualifications do not include active general Life. Current target-pool mismatch; actual historical omission reason unknown.</x:v>
      </x:c>
      <x:c r="L762" s="7" t="str">
        <x:v>Not supplied; membership is known, motive is not</x:v>
      </x:c>
      <x:c r="M762" s="7" t="n">
        <x:v>7</x:v>
      </x:c>
      <x:c r="N762" s="7" t="str">
        <x:v>Outside current general-Life recruiting pool</x:v>
      </x:c>
      <x:c r="O762" s="7" t="str">
        <x:v>Not displayed</x:v>
      </x:c>
      <x:c r="P762" s="7" t="str"/>
      <x:c r="Q762" s="7" t="str"/>
      <x:c r="R762" s="7" t="str"/>
      <x:c r="S762" s="15" t="str"/>
      <x:c r="T762" s="7" t="str">
        <x:v>No public business phone in collected record</x:v>
      </x:c>
      <x:c r="U762" s="7" t="str"/>
      <x:c r="V762" s="7" t="str">
        <x:v>Resident</x:v>
      </x:c>
      <x:c r="W762" s="7" t="str">
        <x:v>CA</x:v>
      </x:c>
      <x:c r="X762" s="7" t="str"/>
      <x:c r="Y762" s="7" t="str"/>
      <x:c r="Z762" s="7" t="str"/>
      <x:c r="AA762" s="7" t="str"/>
      <x:c r="AB762" s="7" t="str"/>
      <x:c r="AC762" s="7" t="str"/>
      <x:c r="AD762" s="7" t="str">
        <x:v>No agency or insurer displayed: onboarding opportunity possible; existing business unknown</x:v>
      </x:c>
      <x:c r="AE762" s="7" t="str">
        <x:v>No public business phone: contact enrichment needed, not proof of poor recruiting fit</x:v>
      </x:c>
      <x:c r="AF762" s="16" t="str"/>
      <x:c r="AG762" s="17" t="str"/>
      <x:c r="AH762" s="7" t="str"/>
      <x:c r="AI762" s="7" t="str"/>
      <x:c r="AJ762" s="7" t="str"/>
      <x:c r="AK762" s="15" t="str"/>
      <x:c r="AL762" s="7" t="str"/>
      <x:c r="AM762" s="7" t="str">
        <x:v>AGUILAR  LUIS</x:v>
      </x:c>
      <x:c r="AN762" s="7" t="str">
        <x:v>https://cdicloud.insurance.ca.gov/cal/LicenseDetail?SearchType=IND&amp;SearchLicNbr=0E13832&amp;SearchIndvId=859142</x:v>
      </x:c>
      <x:c r="AO762" s="7" t="str">
        <x:v>2026-10-08</x:v>
      </x:c>
      <x:c r="AP762" s="7" t="str">
        <x:v>7c5d52c85cafabe57d226e22c4a086b56515b0b34df0f40d73f636b836766b0c</x:v>
      </x:c>
      <x:c r="AQ762" s="7" t="str">
        <x:v>Accident and Health / Inactive / 08/21/2003 / 08/31/2011 / 08/31/2011
Life-Only / Inactive / 08/21/2003 / 08/31/2011 / 08/31/2011</x:v>
      </x:c>
      <x:c r="AR762" s="7" t="str">
        <x:v>Inactive</x:v>
      </x:c>
      <x:c r="AS762" s="7" t="str">
        <x:v>Current detail page</x:v>
      </x:c>
    </x:row>
    <x:row r="763" ht="52" customHeight="1">
      <x:c r="A763" s="7" t="str">
        <x:v>AGUILAR LUIS</x:v>
      </x:c>
      <x:c r="B763" s="14" t="str">
        <x:f>"0F70505"</x:f>
        <x:v>0F70505</x:v>
      </x:c>
      <x:c r="C763" s="7" t="str">
        <x:v>Omitted</x:v>
      </x:c>
      <x:c r="D763" s="7" t="str">
        <x:v>FAIL</x:v>
      </x:c>
      <x:c r="E763" s="13" t="str">
        <x:v>Pending</x:v>
      </x:c>
      <x:c r="F763" s="13" t="str"/>
      <x:c r="G763" s="13" t="str"/>
      <x:c r="H763" s="13" t="str"/>
      <x:c r="I763" s="7" t="str">
        <x:v>Was this person reviewed? If rejected, give the actual rule and evidence. If acceptable, correct the omission. Confirm the Life-qualification gate and any record change since selection.</x:v>
      </x:c>
      <x:c r="J763" s="7" t="str">
        <x:v>L1</x:v>
      </x:c>
      <x:c r="K763" s="7" t="str">
        <x:v>Verified qualifications do not include active general Life. Current target-pool mismatch; actual historical omission reason unknown.</x:v>
      </x:c>
      <x:c r="L763" s="7" t="str">
        <x:v>Not supplied; membership is known, motive is not</x:v>
      </x:c>
      <x:c r="M763" s="7" t="n">
        <x:v>7</x:v>
      </x:c>
      <x:c r="N763" s="7" t="str">
        <x:v>Outside current general-Life recruiting pool</x:v>
      </x:c>
      <x:c r="O763" s="7" t="str">
        <x:v>Not displayed</x:v>
      </x:c>
      <x:c r="P763" s="7" t="str"/>
      <x:c r="Q763" s="7" t="str"/>
      <x:c r="R763" s="7" t="str"/>
      <x:c r="S763" s="15" t="str"/>
      <x:c r="T763" s="7" t="str">
        <x:v>No public business phone in collected record</x:v>
      </x:c>
      <x:c r="U763" s="7" t="str"/>
      <x:c r="V763" s="7" t="str">
        <x:v>Resident</x:v>
      </x:c>
      <x:c r="W763" s="7" t="str">
        <x:v>CA</x:v>
      </x:c>
      <x:c r="X763" s="7" t="str"/>
      <x:c r="Y763" s="7" t="str"/>
      <x:c r="Z763" s="7" t="str"/>
      <x:c r="AA763" s="7" t="str"/>
      <x:c r="AB763" s="7" t="str"/>
      <x:c r="AC763" s="7" t="str"/>
      <x:c r="AD763" s="7" t="str">
        <x:v>No agency or insurer displayed: onboarding opportunity possible; existing business unknown</x:v>
      </x:c>
      <x:c r="AE763" s="7" t="str">
        <x:v>No public business phone: contact enrichment needed, not proof of poor recruiting fit</x:v>
      </x:c>
      <x:c r="AF763" s="16" t="str"/>
      <x:c r="AG763" s="17" t="str"/>
      <x:c r="AH763" s="7" t="str"/>
      <x:c r="AI763" s="7" t="str"/>
      <x:c r="AJ763" s="7" t="str"/>
      <x:c r="AK763" s="15" t="str"/>
      <x:c r="AL763" s="7" t="str"/>
      <x:c r="AM763" s="7" t="str">
        <x:v>AGUILAR  LUIS</x:v>
      </x:c>
      <x:c r="AN763" s="7" t="str">
        <x:v>https://cdicloud.insurance.ca.gov/cal/LicenseDetail?SearchType=IND&amp;SearchLicNbr=0F70505&amp;SearchIndvId=1088002</x:v>
      </x:c>
      <x:c r="AO763" s="7" t="str">
        <x:v>2026-10-08</x:v>
      </x:c>
      <x:c r="AP763" s="7" t="str">
        <x:v>62bbd426e59652bcf7b1401ae1ed3688808c3691325a2b359a019fb5074ef7ff</x:v>
      </x:c>
      <x:c r="AQ763" s="7" t="str">
        <x:v>Accident and Health / Inactive / 06/19/2007 / 06/30/2009 / 06/30/2009
Life-Only / Inactive / 06/19/2007 / 06/30/2009 / 06/30/2009</x:v>
      </x:c>
      <x:c r="AR763" s="7" t="str">
        <x:v>Inactive</x:v>
      </x:c>
      <x:c r="AS763" s="7" t="str">
        <x:v>Current detail page</x:v>
      </x:c>
    </x:row>
    <x:row r="764" ht="52" customHeight="1">
      <x:c r="A764" s="7" t="str">
        <x:v>AGUILAR LUIS</x:v>
      </x:c>
      <x:c r="B764" s="14" t="str">
        <x:f>"4244259"</x:f>
        <x:v>4244259</x:v>
      </x:c>
      <x:c r="C764" s="7" t="str">
        <x:v>Omitted</x:v>
      </x:c>
      <x:c r="D764" s="7" t="str">
        <x:v>FAIL</x:v>
      </x:c>
      <x:c r="E764" s="13" t="str">
        <x:v>Pending</x:v>
      </x:c>
      <x:c r="F764" s="13" t="str"/>
      <x:c r="G764" s="13" t="str"/>
      <x:c r="H764" s="13" t="str"/>
      <x:c r="I764" s="7" t="str">
        <x:v>Was this person reviewed? If rejected, give the actual rule and evidence. If acceptable, correct the omission. Confirm the Life-qualification gate and any record change since selection.</x:v>
      </x:c>
      <x:c r="J764" s="7" t="str">
        <x:v>L1</x:v>
      </x:c>
      <x:c r="K764" s="7" t="str">
        <x:v>Verified qualifications do not include active general Life. Current target-pool mismatch; actual historical omission reason unknown.</x:v>
      </x:c>
      <x:c r="L764" s="7" t="str">
        <x:v>Not supplied; membership is known, motive is not</x:v>
      </x:c>
      <x:c r="M764" s="7" t="n">
        <x:v>7</x:v>
      </x:c>
      <x:c r="N764" s="7" t="str">
        <x:v>Outside current general-Life recruiting pool</x:v>
      </x:c>
      <x:c r="O764" s="7" t="str">
        <x:v>Not displayed</x:v>
      </x:c>
      <x:c r="P764" s="7" t="str"/>
      <x:c r="Q764" s="7" t="str"/>
      <x:c r="R764" s="7" t="str"/>
      <x:c r="S764" s="15" t="str"/>
      <x:c r="T764" s="7" t="str">
        <x:v>No public business phone in collected record</x:v>
      </x:c>
      <x:c r="U764" s="7" t="str">
        <x:v>6666 SW 115 CT APT 110 MIAMI FL, 33173</x:v>
      </x:c>
      <x:c r="V764" s="7" t="str">
        <x:v>Non-resident</x:v>
      </x:c>
      <x:c r="W764" s="7" t="str">
        <x:v>FL</x:v>
      </x:c>
      <x:c r="X764" s="7" t="str"/>
      <x:c r="Y764" s="7" t="str"/>
      <x:c r="Z764" s="7" t="str"/>
      <x:c r="AA764" s="7" t="str"/>
      <x:c r="AB764" s="7" t="str"/>
      <x:c r="AC764" s="7" t="str"/>
      <x:c r="AD764" s="7" t="str">
        <x:v>No agency or insurer displayed: onboarding opportunity possible; existing business unknown</x:v>
      </x:c>
      <x:c r="AE764" s="7" t="str">
        <x:v>Nonresident or address state outside CA; confirm geographic recruiting scope | No public business phone: contact enrichment needed, not proof of poor recruiting fit</x:v>
      </x:c>
      <x:c r="AF764" s="16" t="str"/>
      <x:c r="AG764" s="17" t="str"/>
      <x:c r="AH764" s="7" t="str"/>
      <x:c r="AI764" s="7" t="str"/>
      <x:c r="AJ764" s="7" t="str"/>
      <x:c r="AK764" s="15" t="str"/>
      <x:c r="AL764" s="7" t="str"/>
      <x:c r="AM764" s="7" t="str">
        <x:v>AGUILAR  LUIS</x:v>
      </x:c>
      <x:c r="AN764" s="7" t="str">
        <x:v>https://cdicloud.insurance.ca.gov/cal/LicenseDetail?SearchType=IND&amp;SearchLicNbr=4244259&amp;SearchIndvId=4244259</x:v>
      </x:c>
      <x:c r="AO764" s="7" t="str">
        <x:v>2026-10-08</x:v>
      </x:c>
      <x:c r="AP764" s="7" t="str">
        <x:v>393d3a31dd888b83974d58e97a99a9f1245129be5b4a25a0e2371139c0bbcb87</x:v>
      </x:c>
      <x:c r="AQ764" s="7" t="str">
        <x:v>Accident &amp; Health or Sickness / Inactive / 10/05/2022 / 10/31/2024 / 10/31/2024</x:v>
      </x:c>
      <x:c r="AR764" s="7" t="str">
        <x:v>Inactive</x:v>
      </x:c>
      <x:c r="AS764" s="7" t="str">
        <x:v>Current detail page</x:v>
      </x:c>
    </x:row>
    <x:row r="765" ht="52" customHeight="1">
      <x:c r="A765" s="7" t="str">
        <x:v>AGUILAR LUIS ALBERTO</x:v>
      </x:c>
      <x:c r="B765" s="14" t="str">
        <x:f>"0B26300"</x:f>
        <x:v>0B26300</x:v>
      </x:c>
      <x:c r="C765" s="7" t="str">
        <x:v>Omitted</x:v>
      </x:c>
      <x:c r="D765" s="7" t="str">
        <x:v>FAIL</x:v>
      </x:c>
      <x:c r="E765" s="13" t="str">
        <x:v>Pending</x:v>
      </x:c>
      <x:c r="F765" s="13" t="str"/>
      <x:c r="G765" s="13" t="str"/>
      <x:c r="H765" s="13" t="str"/>
      <x:c r="I765" s="7" t="str">
        <x:v>Was this person reviewed? If rejected, give the actual rule and evidence. If acceptable, correct the omission. Confirm the Life-qualification gate and any record change since selection.</x:v>
      </x:c>
      <x:c r="J765" s="7" t="str">
        <x:v>L1</x:v>
      </x:c>
      <x:c r="K765" s="7" t="str">
        <x:v>Verified qualifications do not include active general Life. Current target-pool mismatch; actual historical omission reason unknown.</x:v>
      </x:c>
      <x:c r="L765" s="7" t="str">
        <x:v>Not supplied; membership is known, motive is not</x:v>
      </x:c>
      <x:c r="M765" s="7" t="n">
        <x:v>7</x:v>
      </x:c>
      <x:c r="N765" s="7" t="str">
        <x:v>Outside current general-Life recruiting pool</x:v>
      </x:c>
      <x:c r="O765" s="7" t="str">
        <x:v>Inactive</x:v>
      </x:c>
      <x:c r="P765" s="7" t="str">
        <x:v>06/11/1999</x:v>
      </x:c>
      <x:c r="Q765" s="7" t="str">
        <x:v>11/30/2023</x:v>
      </x:c>
      <x:c r="R765" s="7" t="str"/>
      <x:c r="S765" s="15" t="str">
        <x:v>323-719-3169</x:v>
      </x:c>
      <x:c r="T765" s="7" t="str">
        <x:v>Current CDI</x:v>
      </x:c>
      <x:c r="U765" s="7" t="str">
        <x:v>3130 WILSHIRE BLVD #414 LOS ANGELES LOS ANGELES CA, 90010</x:v>
      </x:c>
      <x:c r="V765" s="7" t="str">
        <x:v>Resident</x:v>
      </x:c>
      <x:c r="W765" s="7" t="str">
        <x:v>CA</x:v>
      </x:c>
      <x:c r="X765" s="7" t="str"/>
      <x:c r="Y765" s="7" t="str"/>
      <x:c r="Z765" s="7" t="str"/>
      <x:c r="AA765" s="7" t="str"/>
      <x:c r="AB765" s="7" t="str"/>
      <x:c r="AC765" s="7" t="str"/>
      <x:c r="AD765" s="7" t="str">
        <x:v>No agency or insurer displayed: onboarding opportunity possible; existing business unknown</x:v>
      </x:c>
      <x:c r="AE765" s="7" t="str"/>
      <x:c r="AF765" s="16" t="str"/>
      <x:c r="AG765" s="17" t="str"/>
      <x:c r="AH765" s="7" t="str"/>
      <x:c r="AI765" s="7" t="str">
        <x:v>English</x:v>
      </x:c>
      <x:c r="AJ765" s="7" t="str"/>
      <x:c r="AK765" s="15" t="str"/>
      <x:c r="AL765" s="7" t="str"/>
      <x:c r="AM765" s="7" t="str">
        <x:v>AGUILAR ALBERTO LUIS</x:v>
      </x:c>
      <x:c r="AN765" s="7" t="str">
        <x:v>https://cdicloud.insurance.ca.gov/cal/LicenseDetail?SearchType=IND&amp;SearchLicNbr=0B26300&amp;SearchIndvId=207035</x:v>
      </x:c>
      <x:c r="AO765" s="7" t="str">
        <x:v>2026-10-08</x:v>
      </x:c>
      <x:c r="AP765" s="7" t="str">
        <x:v>19910a1f24dd0647113ffecb6cc4d0c99b41b7f33466a4844b04358d761222ff</x:v>
      </x:c>
      <x:c r="AQ765" s="7" t="str">
        <x:v>Accident &amp; Health or Sickness / Inactive / 06/11/1999 / 11/30/2023 / 11/30/2023
Life / Inactive / 06/11/1999 / 11/30/2023 / 11/30/2023
Part Time Fraternal / Inactive / 11/18/1993 / 11/30/2001 / 11/30/2001</x:v>
      </x:c>
      <x:c r="AR765" s="7" t="str">
        <x:v>Inactive</x:v>
      </x:c>
      <x:c r="AS765" s="7" t="str">
        <x:v>Current detail page</x:v>
      </x:c>
    </x:row>
    <x:row r="766" ht="52" customHeight="1">
      <x:c r="A766" s="7" t="str">
        <x:v>AGUILAR LUIS ALBERTO</x:v>
      </x:c>
      <x:c r="B766" s="14" t="str">
        <x:f>"4155042"</x:f>
        <x:v>4155042</x:v>
      </x:c>
      <x:c r="C766" s="7" t="str">
        <x:v>Omitted</x:v>
      </x:c>
      <x:c r="D766" s="7" t="str">
        <x:v>FAIL</x:v>
      </x:c>
      <x:c r="E766" s="13" t="str">
        <x:v>Pending</x:v>
      </x:c>
      <x:c r="F766" s="13" t="str"/>
      <x:c r="G766" s="13" t="str"/>
      <x:c r="H766" s="13" t="str"/>
      <x:c r="I766" s="7" t="str">
        <x:v>Was this person reviewed? If rejected, give the actual rule and evidence. If acceptable, correct the omission. Confirm the Life-qualification gate and any record change since selection.</x:v>
      </x:c>
      <x:c r="J766" s="7" t="str">
        <x:v>L1</x:v>
      </x:c>
      <x:c r="K766" s="7" t="str">
        <x:v>Verified qualifications do not include active general Life. Current target-pool mismatch; actual historical omission reason unknown.</x:v>
      </x:c>
      <x:c r="L766" s="7" t="str">
        <x:v>Not supplied; membership is known, motive is not</x:v>
      </x:c>
      <x:c r="M766" s="7" t="n">
        <x:v>7</x:v>
      </x:c>
      <x:c r="N766" s="7" t="str">
        <x:v>Outside current general-Life recruiting pool</x:v>
      </x:c>
      <x:c r="O766" s="7" t="str">
        <x:v>Inactive</x:v>
      </x:c>
      <x:c r="P766" s="7" t="str">
        <x:v>09/23/2021</x:v>
      </x:c>
      <x:c r="Q766" s="7" t="str">
        <x:v>09/30/2023</x:v>
      </x:c>
      <x:c r="R766" s="7" t="str"/>
      <x:c r="S766" s="15" t="str">
        <x:v>714-852-9695</x:v>
      </x:c>
      <x:c r="T766" s="7" t="str">
        <x:v>Current CDI</x:v>
      </x:c>
      <x:c r="U766" s="7" t="str">
        <x:v>3401 W. SUNFLOWER AVE. SUITE 100 SANTA ANA CA, 92704</x:v>
      </x:c>
      <x:c r="V766" s="7" t="str">
        <x:v>Resident</x:v>
      </x:c>
      <x:c r="W766" s="7" t="str">
        <x:v>CA</x:v>
      </x:c>
      <x:c r="X766" s="7" t="str"/>
      <x:c r="Y766" s="7" t="str"/>
      <x:c r="Z766" s="7" t="str"/>
      <x:c r="AA766" s="7" t="str"/>
      <x:c r="AB766" s="7" t="str"/>
      <x:c r="AC766" s="7" t="str"/>
      <x:c r="AD766" s="7" t="str">
        <x:v>No agency or insurer displayed: onboarding opportunity possible; existing business unknown</x:v>
      </x:c>
      <x:c r="AE766" s="7" t="str"/>
      <x:c r="AF766" s="16" t="str"/>
      <x:c r="AG766" s="17" t="str"/>
      <x:c r="AH766" s="7" t="str"/>
      <x:c r="AI766" s="7" t="str">
        <x:v>English</x:v>
      </x:c>
      <x:c r="AJ766" s="7" t="str"/>
      <x:c r="AK766" s="15" t="str"/>
      <x:c r="AL766" s="7" t="str"/>
      <x:c r="AM766" s="7" t="str">
        <x:v>AGUILAR ALBERTO LUIS</x:v>
      </x:c>
      <x:c r="AN766" s="7" t="str">
        <x:v>https://cdicloud.insurance.ca.gov/cal/LicenseDetail?SearchType=IND&amp;SearchLicNbr=4155042&amp;SearchIndvId=4155042</x:v>
      </x:c>
      <x:c r="AO766" s="7" t="str">
        <x:v>2026-10-08</x:v>
      </x:c>
      <x:c r="AP766" s="7" t="str">
        <x:v>4828c837b3040400a92d700640b76283eaf98be583f756620d5cb46bbaca56a5</x:v>
      </x:c>
      <x:c r="AQ766" s="7" t="str">
        <x:v>Life / Inactive / 09/23/2021 / 09/30/2023 / 09/30/2023</x:v>
      </x:c>
      <x:c r="AR766" s="7" t="str">
        <x:v>Inactive</x:v>
      </x:c>
      <x:c r="AS766" s="7" t="str">
        <x:v>Current detail page</x:v>
      </x:c>
    </x:row>
    <x:row r="767" ht="52" customHeight="1">
      <x:c r="A767" s="7" t="str">
        <x:v>AGUILAR LUIS ALEJANDRA GIOVANNA</x:v>
      </x:c>
      <x:c r="B767" s="14" t="str">
        <x:f>"4239021"</x:f>
        <x:v>4239021</x:v>
      </x:c>
      <x:c r="C767" s="7" t="str">
        <x:v>Omitted</x:v>
      </x:c>
      <x:c r="D767" s="7" t="str">
        <x:v>FAIL</x:v>
      </x:c>
      <x:c r="E767" s="13" t="str">
        <x:v>Pending</x:v>
      </x:c>
      <x:c r="F767" s="13" t="str"/>
      <x:c r="G767" s="13" t="str"/>
      <x:c r="H767" s="13" t="str"/>
      <x:c r="I767" s="7" t="str">
        <x:v>Was this person reviewed? If rejected, give the actual rule and evidence. If acceptable, correct the omission. Confirm the Life-qualification gate and any record change since selection.</x:v>
      </x:c>
      <x:c r="J767" s="7" t="str">
        <x:v>L1</x:v>
      </x:c>
      <x:c r="K767" s="7" t="str">
        <x:v>Verified qualifications do not include active general Life. Current target-pool mismatch; actual historical omission reason unknown.</x:v>
      </x:c>
      <x:c r="L767" s="7" t="str">
        <x:v>Not supplied; membership is known, motive is not</x:v>
      </x:c>
      <x:c r="M767" s="7" t="n">
        <x:v>7</x:v>
      </x:c>
      <x:c r="N767" s="7" t="str">
        <x:v>Outside current general-Life recruiting pool</x:v>
      </x:c>
      <x:c r="O767" s="7" t="str">
        <x:v>Inactive</x:v>
      </x:c>
      <x:c r="P767" s="7" t="str">
        <x:v>09/19/2022</x:v>
      </x:c>
      <x:c r="Q767" s="7" t="str">
        <x:v>09/30/2024</x:v>
      </x:c>
      <x:c r="R767" s="7" t="str"/>
      <x:c r="S767" s="15" t="str"/>
      <x:c r="T767" s="7" t="str">
        <x:v>No public business phone in collected record</x:v>
      </x:c>
      <x:c r="U767" s="7" t="str">
        <x:v>340 RANCHEROS DR STE 298 SAN MARCOS CA, 92069</x:v>
      </x:c>
      <x:c r="V767" s="7" t="str">
        <x:v>Resident</x:v>
      </x:c>
      <x:c r="W767" s="7" t="str">
        <x:v>CA</x:v>
      </x:c>
      <x:c r="X767" s="7" t="str"/>
      <x:c r="Y767" s="7" t="str"/>
      <x:c r="Z767" s="7" t="str"/>
      <x:c r="AA767" s="7" t="str"/>
      <x:c r="AB767" s="7" t="str"/>
      <x:c r="AC767" s="7" t="str"/>
      <x:c r="AD767" s="7" t="str">
        <x:v>No agency or insurer displayed: onboarding opportunity possible; existing business unknown</x:v>
      </x:c>
      <x:c r="AE767" s="7" t="str">
        <x:v>No public business phone: contact enrichment needed, not proof of poor recruiting fit</x:v>
      </x:c>
      <x:c r="AF767" s="16" t="str"/>
      <x:c r="AG767" s="17" t="str"/>
      <x:c r="AH767" s="7" t="str"/>
      <x:c r="AI767" s="7" t="str"/>
      <x:c r="AJ767" s="7" t="str"/>
      <x:c r="AK767" s="15" t="str"/>
      <x:c r="AL767" s="7" t="str"/>
      <x:c r="AM767" s="7" t="str">
        <x:v>AGUILAR LUIS GIOVANNA ALEJANDRA</x:v>
      </x:c>
      <x:c r="AN767" s="7" t="str">
        <x:v>https://cdicloud.insurance.ca.gov/cal/LicenseDetail?SearchType=IND&amp;SearchLicNbr=4239021&amp;SearchIndvId=4239021</x:v>
      </x:c>
      <x:c r="AO767" s="7" t="str">
        <x:v>2026-10-08</x:v>
      </x:c>
      <x:c r="AP767" s="7" t="str">
        <x:v>5d7dc9c93277d88e4e609df52916de204ce6c50d900acfb26d001a2044d9c4d3</x:v>
      </x:c>
      <x:c r="AQ767" s="7" t="str">
        <x:v>Life / Inactive / 09/19/2022 / 09/30/2024 / 09/30/2024</x:v>
      </x:c>
      <x:c r="AR767" s="7" t="str">
        <x:v>Inactive</x:v>
      </x:c>
      <x:c r="AS767" s="7" t="str">
        <x:v>Current detail page</x:v>
      </x:c>
    </x:row>
    <x:row r="768" ht="52" customHeight="1">
      <x:c r="A768" s="7" t="str">
        <x:v>AGUILAR LUIS ALONSO</x:v>
      </x:c>
      <x:c r="B768" s="14" t="str">
        <x:f>"4306041"</x:f>
        <x:v>4306041</x:v>
      </x:c>
      <x:c r="C768" s="7" t="str">
        <x:v>Omitted</x:v>
      </x:c>
      <x:c r="D768" s="7" t="str">
        <x:v>FAIL</x:v>
      </x:c>
      <x:c r="E768" s="13" t="str">
        <x:v>Pending</x:v>
      </x:c>
      <x:c r="F768" s="13" t="str"/>
      <x:c r="G768" s="13" t="str"/>
      <x:c r="H768" s="13" t="str"/>
      <x:c r="I768" s="7" t="str">
        <x:v>Was this person reviewed? If rejected, give the actual rule and evidence. If acceptable, correct the omission. Confirm the Life-qualification gate and any record change since selection.</x:v>
      </x:c>
      <x:c r="J768" s="7" t="str">
        <x:v>L1</x:v>
      </x:c>
      <x:c r="K768" s="7" t="str">
        <x:v>Verified qualifications do not include active general Life. Current target-pool mismatch; actual historical omission reason unknown.</x:v>
      </x:c>
      <x:c r="L768" s="7" t="str">
        <x:v>Not supplied; membership is known, motive is not</x:v>
      </x:c>
      <x:c r="M768" s="7" t="n">
        <x:v>7</x:v>
      </x:c>
      <x:c r="N768" s="7" t="str">
        <x:v>Outside current general-Life recruiting pool</x:v>
      </x:c>
      <x:c r="O768" s="7" t="str">
        <x:v>Not displayed</x:v>
      </x:c>
      <x:c r="P768" s="7" t="str"/>
      <x:c r="Q768" s="7" t="str"/>
      <x:c r="R768" s="7" t="str">
        <x:v>Accident &amp; Health or Sickness</x:v>
      </x:c>
      <x:c r="S768" s="15" t="str"/>
      <x:c r="T768" s="7" t="str">
        <x:v>No public business phone in collected record</x:v>
      </x:c>
      <x:c r="U768" s="7" t="str">
        <x:v>833 E AILSIE AVE APT 12G KINGSVILLE TX, 78363-6783</x:v>
      </x:c>
      <x:c r="V768" s="7" t="str">
        <x:v>Non-resident</x:v>
      </x:c>
      <x:c r="W768" s="7" t="str">
        <x:v>TX</x:v>
      </x:c>
      <x:c r="X768" s="7" t="str"/>
      <x:c r="Y768" s="7" t="str">
        <x:v>AETNA LIFE INSURANCE COMPANY / Accident &amp; Health or Sickness / 08/11/2023
ANTHEM BLUE CROSS LIFE AND HEALTH INSURANCE COMPANY / Accident &amp; Health or Sickness / 09/08/2023
GOLDEN RULE INSURANCE COMPANY / Accident &amp; Health or Sickness / 10/15/2024
HEALTH NET LIFE INSURANCE COMPANY / Accident &amp; Health or Sickness / 09/13/2023
MEDCO CONTAINMENT LIFE INSURANCE COMPANY / Accident &amp; Health or Sickness / 11/27/2024</x:v>
      </x:c>
      <x:c r="Z768" s="7" t="str"/>
      <x:c r="AA768" s="7" t="str"/>
      <x:c r="AB768" s="7" t="str"/>
      <x:c r="AC768" s="7" t="str"/>
      <x:c r="AD768" s="7" t="str">
        <x:v>Active A&amp;H supports optional cross-selling; not necessary for target products</x:v>
      </x:c>
      <x:c r="AE768" s="7" t="str">
        <x:v>Displayed insurer appointments are A&amp;H/disability only despite active Life authority | Nonresident or address state outside CA; confirm geographic recruiting scope | No public business phone: contact enrichment needed, not proof of poor recruiting fit</x:v>
      </x:c>
      <x:c r="AF768" s="16" t="str"/>
      <x:c r="AG768" s="17" t="str"/>
      <x:c r="AH768" s="7" t="str"/>
      <x:c r="AI768" s="7" t="str"/>
      <x:c r="AJ768" s="7" t="str"/>
      <x:c r="AK768" s="15" t="str"/>
      <x:c r="AL768" s="7" t="str"/>
      <x:c r="AM768" s="7" t="str">
        <x:v>Aguilar Alonso Luis</x:v>
      </x:c>
      <x:c r="AN768" s="7" t="str">
        <x:v>https://cdicloud.insurance.ca.gov/cal/LicenseDetail?SearchType=IND&amp;SearchLicNbr=4306041&amp;SearchIndvId=4306041</x:v>
      </x:c>
      <x:c r="AO768" s="7" t="str">
        <x:v>2026-10-08</x:v>
      </x:c>
      <x:c r="AP768" s="7" t="str">
        <x:v>9013a6b8789c992cfef9b0180050224c0b9f44f94ca615c15644be6893d0a923</x:v>
      </x:c>
      <x:c r="AQ768" s="7" t="str">
        <x:v>Accident &amp; Health or Sickness / Active / 07/03/2023 / 07/03/2023 / 07/31/2027</x:v>
      </x:c>
      <x:c r="AR768" s="7" t="str">
        <x:v>Active</x:v>
      </x:c>
      <x:c r="AS768" s="7" t="str">
        <x:v>Current detail page</x:v>
      </x:c>
    </x:row>
    <x:row r="769" ht="52" customHeight="1">
      <x:c r="A769" s="7" t="str">
        <x:v>AGUILAR LUIS ARMANDO</x:v>
      </x:c>
      <x:c r="B769" s="14" t="str">
        <x:f>"0K18590"</x:f>
        <x:v>0K18590</x:v>
      </x:c>
      <x:c r="C769" s="7" t="str">
        <x:v>Omitted</x:v>
      </x:c>
      <x:c r="D769" s="7" t="str">
        <x:v>FAIL</x:v>
      </x:c>
      <x:c r="E769" s="13" t="str">
        <x:v>Pending</x:v>
      </x:c>
      <x:c r="F769" s="13" t="str"/>
      <x:c r="G769" s="13" t="str"/>
      <x:c r="H769" s="13" t="str"/>
      <x:c r="I769" s="7" t="str">
        <x:v>Was this person reviewed? If rejected, give the actual rule and evidence. If acceptable, correct the omission. Confirm the Life-qualification gate and any record change since selection.</x:v>
      </x:c>
      <x:c r="J769" s="7" t="str">
        <x:v>L1</x:v>
      </x:c>
      <x:c r="K769" s="7" t="str">
        <x:v>Verified qualifications do not include active general Life. Current target-pool mismatch; actual historical omission reason unknown.</x:v>
      </x:c>
      <x:c r="L769" s="7" t="str">
        <x:v>Not supplied; membership is known, motive is not</x:v>
      </x:c>
      <x:c r="M769" s="7" t="n">
        <x:v>7</x:v>
      </x:c>
      <x:c r="N769" s="7" t="str">
        <x:v>Outside current general-Life recruiting pool</x:v>
      </x:c>
      <x:c r="O769" s="7" t="str">
        <x:v>Not displayed</x:v>
      </x:c>
      <x:c r="P769" s="7" t="str"/>
      <x:c r="Q769" s="7" t="str"/>
      <x:c r="R769" s="7" t="str"/>
      <x:c r="S769" s="15" t="str">
        <x:v>209-643-6010</x:v>
      </x:c>
      <x:c r="T769" s="7" t="str">
        <x:v>Current CDI</x:v>
      </x:c>
      <x:c r="U769" s="7" t="str">
        <x:v>1329 COMMERCE AVE ATWATER CA, 95301</x:v>
      </x:c>
      <x:c r="V769" s="7" t="str">
        <x:v>Resident</x:v>
      </x:c>
      <x:c r="W769" s="7" t="str">
        <x:v>CA</x:v>
      </x:c>
      <x:c r="X769" s="7" t="str"/>
      <x:c r="Y769" s="7" t="str"/>
      <x:c r="Z769" s="7" t="str"/>
      <x:c r="AA769" s="7" t="str"/>
      <x:c r="AB769" s="7" t="str"/>
      <x:c r="AC769" s="7" t="str"/>
      <x:c r="AD769" s="7" t="str">
        <x:v>No agency or insurer displayed: onboarding opportunity possible; existing business unknown</x:v>
      </x:c>
      <x:c r="AE769" s="7" t="str"/>
      <x:c r="AF769" s="16" t="str"/>
      <x:c r="AG769" s="17" t="str"/>
      <x:c r="AH769" s="7" t="str"/>
      <x:c r="AI769" s="7" t="str">
        <x:v>English</x:v>
      </x:c>
      <x:c r="AJ769" s="7" t="str"/>
      <x:c r="AK769" s="15" t="str"/>
      <x:c r="AL769" s="7" t="str"/>
      <x:c r="AM769" s="7" t="str">
        <x:v>Aguilar A Luis | AGUILAR ARMANDO LUIS</x:v>
      </x:c>
      <x:c r="AN769" s="7" t="str">
        <x:v>https://cdicloud.insurance.ca.gov/cal/LicenseDetail?SearchType=IND&amp;SearchLicNbr=0K18590&amp;SearchIndvId=1751180</x:v>
      </x:c>
      <x:c r="AO769" s="7" t="str">
        <x:v>2026-10-08</x:v>
      </x:c>
      <x:c r="AP769" s="7" t="str">
        <x:v>4037fc309ceaa8f1537ef3ed67271273a10f753514a66f75b4d3e8492b4b52c8</x:v>
      </x:c>
      <x:c r="AQ769" s="7" t="str">
        <x:v>Limited Lines Automobile / Inactive / 04/14/2015 / 04/30/2023 / 04/30/2023</x:v>
      </x:c>
      <x:c r="AR769" s="7" t="str">
        <x:v>Inactive</x:v>
      </x:c>
      <x:c r="AS769" s="7" t="str">
        <x:v>Current detail page</x:v>
      </x:c>
    </x:row>
    <x:row r="770" ht="52" customHeight="1">
      <x:c r="A770" s="7" t="str">
        <x:v>AGUILAR LUIS ARTURO</x:v>
      </x:c>
      <x:c r="B770" s="14" t="str">
        <x:f>"0B43704"</x:f>
        <x:v>0B43704</x:v>
      </x:c>
      <x:c r="C770" s="7" t="str">
        <x:v>Omitted</x:v>
      </x:c>
      <x:c r="D770" s="7" t="str">
        <x:v>FAIL</x:v>
      </x:c>
      <x:c r="E770" s="13" t="str">
        <x:v>Pending</x:v>
      </x:c>
      <x:c r="F770" s="13" t="str"/>
      <x:c r="G770" s="13" t="str"/>
      <x:c r="H770" s="13" t="str"/>
      <x:c r="I770" s="7" t="str">
        <x:v>Was this person reviewed? If rejected, give the actual rule and evidence. If acceptable, correct the omission. Confirm the Life-qualification gate and any record change since selection.</x:v>
      </x:c>
      <x:c r="J770" s="7" t="str">
        <x:v>L1</x:v>
      </x:c>
      <x:c r="K770" s="7" t="str">
        <x:v>Verified qualifications do not include active general Life. Current target-pool mismatch; actual historical omission reason unknown.</x:v>
      </x:c>
      <x:c r="L770" s="7" t="str">
        <x:v>Not supplied; membership is known, motive is not</x:v>
      </x:c>
      <x:c r="M770" s="7" t="n">
        <x:v>7</x:v>
      </x:c>
      <x:c r="N770" s="7" t="str">
        <x:v>Outside current general-Life recruiting pool</x:v>
      </x:c>
      <x:c r="O770" s="7" t="str">
        <x:v>Not displayed</x:v>
      </x:c>
      <x:c r="P770" s="7" t="str"/>
      <x:c r="Q770" s="7" t="str"/>
      <x:c r="R770" s="7" t="str"/>
      <x:c r="S770" s="15" t="str"/>
      <x:c r="T770" s="7" t="str">
        <x:v>No public business phone in collected record</x:v>
      </x:c>
      <x:c r="U770" s="7" t="str"/>
      <x:c r="V770" s="7" t="str">
        <x:v>Resident</x:v>
      </x:c>
      <x:c r="W770" s="7" t="str">
        <x:v>CA</x:v>
      </x:c>
      <x:c r="X770" s="7" t="str"/>
      <x:c r="Y770" s="7" t="str"/>
      <x:c r="Z770" s="7" t="str"/>
      <x:c r="AA770" s="7" t="str"/>
      <x:c r="AB770" s="7" t="str"/>
      <x:c r="AC770" s="7" t="str"/>
      <x:c r="AD770" s="7" t="str">
        <x:v>No agency or insurer displayed: onboarding opportunity possible; existing business unknown</x:v>
      </x:c>
      <x:c r="AE770" s="7" t="str">
        <x:v>No public business phone: contact enrichment needed, not proof of poor recruiting fit</x:v>
      </x:c>
      <x:c r="AF770" s="16" t="str"/>
      <x:c r="AG770" s="17" t="str"/>
      <x:c r="AH770" s="7" t="str"/>
      <x:c r="AI770" s="7" t="str"/>
      <x:c r="AJ770" s="7" t="str"/>
      <x:c r="AK770" s="15" t="str"/>
      <x:c r="AL770" s="7" t="str"/>
      <x:c r="AM770" s="7" t="str">
        <x:v>AGUILAR ARTURO LUIS | AGUILAR-LARA ARTURO LUIS</x:v>
      </x:c>
      <x:c r="AN770" s="7" t="str">
        <x:v>https://cdicloud.insurance.ca.gov/cal/LicenseDetail?SearchType=IND&amp;SearchLicNbr=0B43704&amp;SearchIndvId=223440</x:v>
      </x:c>
      <x:c r="AO770" s="7" t="str">
        <x:v>2026-10-08</x:v>
      </x:c>
      <x:c r="AP770" s="7" t="str">
        <x:v>6408ede88d79c8d729980cefdc52639cb2251676d85a2375ff53d79e712b712f</x:v>
      </x:c>
      <x:c r="AQ770" s="7" t="str">
        <x:v>Accident and Health / Inactive / 08/04/1994 / 08/31/1996 / 08/31/1996
Life-Only / Inactive / 08/04/1994 / 07/31/2018 / 07/31/2018</x:v>
      </x:c>
      <x:c r="AR770" s="7" t="str">
        <x:v>Inactive</x:v>
      </x:c>
      <x:c r="AS770" s="7" t="str">
        <x:v>Current detail page</x:v>
      </x:c>
    </x:row>
    <x:row r="771" ht="52" customHeight="1">
      <x:c r="A771" s="7" t="str">
        <x:v>AGUILAR LUIS AVERILLA</x:v>
      </x:c>
      <x:c r="B771" s="14" t="str">
        <x:f>"0C00579"</x:f>
        <x:v>0C00579</x:v>
      </x:c>
      <x:c r="C771" s="7" t="str">
        <x:v>Omitted</x:v>
      </x:c>
      <x:c r="D771" s="7" t="str">
        <x:v>FAIL</x:v>
      </x:c>
      <x:c r="E771" s="13" t="str">
        <x:v>Pending</x:v>
      </x:c>
      <x:c r="F771" s="13" t="str"/>
      <x:c r="G771" s="13" t="str"/>
      <x:c r="H771" s="13" t="str"/>
      <x:c r="I771" s="7" t="str">
        <x:v>Was this person reviewed? If rejected, give the actual rule and evidence. If acceptable, correct the omission. Confirm the Life-qualification gate and any record change since selection.</x:v>
      </x:c>
      <x:c r="J771" s="7" t="str">
        <x:v>L1</x:v>
      </x:c>
      <x:c r="K771" s="7" t="str">
        <x:v>Verified qualifications do not include active general Life. Current target-pool mismatch; actual historical omission reason unknown.</x:v>
      </x:c>
      <x:c r="L771" s="7" t="str">
        <x:v>Not supplied; membership is known, motive is not</x:v>
      </x:c>
      <x:c r="M771" s="7" t="n">
        <x:v>7</x:v>
      </x:c>
      <x:c r="N771" s="7" t="str">
        <x:v>Outside current general-Life recruiting pool</x:v>
      </x:c>
      <x:c r="O771" s="7" t="str">
        <x:v>Not displayed</x:v>
      </x:c>
      <x:c r="P771" s="7" t="str"/>
      <x:c r="Q771" s="7" t="str"/>
      <x:c r="R771" s="7" t="str"/>
      <x:c r="S771" s="15" t="str"/>
      <x:c r="T771" s="7" t="str">
        <x:v>No public business phone in collected record</x:v>
      </x:c>
      <x:c r="U771" s="7" t="str"/>
      <x:c r="V771" s="7" t="str">
        <x:v>Resident</x:v>
      </x:c>
      <x:c r="W771" s="7" t="str">
        <x:v>CA</x:v>
      </x:c>
      <x:c r="X771" s="7" t="str"/>
      <x:c r="Y771" s="7" t="str"/>
      <x:c r="Z771" s="7" t="str"/>
      <x:c r="AA771" s="7" t="str"/>
      <x:c r="AB771" s="7" t="str"/>
      <x:c r="AC771" s="7" t="str"/>
      <x:c r="AD771" s="7" t="str">
        <x:v>No agency or insurer displayed: onboarding opportunity possible; existing business unknown</x:v>
      </x:c>
      <x:c r="AE771" s="7" t="str">
        <x:v>No public business phone: contact enrichment needed, not proof of poor recruiting fit</x:v>
      </x:c>
      <x:c r="AF771" s="16" t="str"/>
      <x:c r="AG771" s="17" t="str"/>
      <x:c r="AH771" s="7" t="str"/>
      <x:c r="AI771" s="7" t="str"/>
      <x:c r="AJ771" s="7" t="str"/>
      <x:c r="AK771" s="15" t="str"/>
      <x:c r="AL771" s="7" t="str"/>
      <x:c r="AM771" s="7" t="str">
        <x:v>AGUILAR AVERILLA LUIS</x:v>
      </x:c>
      <x:c r="AN771" s="7" t="str">
        <x:v>https://cdicloud.insurance.ca.gov/cal/LicenseDetail?SearchType=IND&amp;SearchLicNbr=0C00579&amp;SearchIndvId=277233</x:v>
      </x:c>
      <x:c r="AO771" s="7" t="str">
        <x:v>2026-10-08</x:v>
      </x:c>
      <x:c r="AP771" s="7" t="str">
        <x:v>a85bc839c644646528da591438f9ae90e34a4a89d2e838c9b5a00949f4b04b68</x:v>
      </x:c>
      <x:c r="AQ771" s="7" t="str">
        <x:v>Accident and Health / Inactive / 04/03/1997 / 04/30/1999 / 04/30/1999
Life-Only / Inactive / 04/03/1997 / 04/30/1999 / 04/30/1999</x:v>
      </x:c>
      <x:c r="AR771" s="7" t="str">
        <x:v>Inactive</x:v>
      </x:c>
      <x:c r="AS771" s="7" t="str">
        <x:v>Current detail page</x:v>
      </x:c>
    </x:row>
    <x:row r="772" ht="52" customHeight="1">
      <x:c r="A772" s="7" t="str">
        <x:v>AGUILAR LUIS GILBERT</x:v>
      </x:c>
      <x:c r="B772" s="14" t="str">
        <x:f>"0L49221"</x:f>
        <x:v>0L49221</x:v>
      </x:c>
      <x:c r="C772" s="7" t="str">
        <x:v>Omitted</x:v>
      </x:c>
      <x:c r="D772" s="7" t="str">
        <x:v>FAIL</x:v>
      </x:c>
      <x:c r="E772" s="13" t="str">
        <x:v>Pending</x:v>
      </x:c>
      <x:c r="F772" s="13" t="str"/>
      <x:c r="G772" s="13" t="str"/>
      <x:c r="H772" s="13" t="str"/>
      <x:c r="I772" s="7" t="str">
        <x:v>Was this person reviewed? If rejected, give the actual rule and evidence. If acceptable, correct the omission. Confirm the Life-qualification gate and any record change since selection.</x:v>
      </x:c>
      <x:c r="J772" s="7" t="str">
        <x:v>L1</x:v>
      </x:c>
      <x:c r="K772" s="7" t="str">
        <x:v>Verified qualifications do not include active general Life. Current target-pool mismatch; actual historical omission reason unknown.</x:v>
      </x:c>
      <x:c r="L772" s="7" t="str">
        <x:v>Not supplied; membership is known, motive is not</x:v>
      </x:c>
      <x:c r="M772" s="7" t="n">
        <x:v>7</x:v>
      </x:c>
      <x:c r="N772" s="7" t="str">
        <x:v>Outside current general-Life recruiting pool</x:v>
      </x:c>
      <x:c r="O772" s="7" t="str">
        <x:v>Inactive</x:v>
      </x:c>
      <x:c r="P772" s="7" t="str">
        <x:v>01/12/2017</x:v>
      </x:c>
      <x:c r="Q772" s="7" t="str">
        <x:v>01/31/2025</x:v>
      </x:c>
      <x:c r="R772" s="7" t="str"/>
      <x:c r="S772" s="15" t="str">
        <x:v>909-518-9860</x:v>
      </x:c>
      <x:c r="T772" s="7" t="str">
        <x:v>Current CDI</x:v>
      </x:c>
      <x:c r="U772" s="7" t="str">
        <x:v>21550 OXNARD STREET SUITE 470 WOODLAND HILLS WOODLAND HILLS CA, 91367</x:v>
      </x:c>
      <x:c r="V772" s="7" t="str">
        <x:v>Resident</x:v>
      </x:c>
      <x:c r="W772" s="7" t="str">
        <x:v>CA</x:v>
      </x:c>
      <x:c r="X772" s="7" t="str"/>
      <x:c r="Y772" s="7" t="str"/>
      <x:c r="Z772" s="7" t="str"/>
      <x:c r="AA772" s="7" t="str"/>
      <x:c r="AB772" s="7" t="str"/>
      <x:c r="AC772" s="7" t="str"/>
      <x:c r="AD772" s="7" t="str">
        <x:v>No agency or insurer displayed: onboarding opportunity possible; existing business unknown</x:v>
      </x:c>
      <x:c r="AE772" s="7" t="str"/>
      <x:c r="AF772" s="16" t="str"/>
      <x:c r="AG772" s="17" t="str"/>
      <x:c r="AH772" s="7" t="str"/>
      <x:c r="AI772" s="7" t="str">
        <x:v>English</x:v>
      </x:c>
      <x:c r="AJ772" s="7" t="str"/>
      <x:c r="AK772" s="15" t="str"/>
      <x:c r="AL772" s="7" t="str"/>
      <x:c r="AM772" s="7" t="str">
        <x:v>Aguilar G Luis | AGUILAR GILBERT LUIS</x:v>
      </x:c>
      <x:c r="AN772" s="7" t="str">
        <x:v>https://cdicloud.insurance.ca.gov/cal/LicenseDetail?SearchType=IND&amp;SearchLicNbr=0L49221&amp;SearchIndvId=1894281</x:v>
      </x:c>
      <x:c r="AO772" s="7" t="str">
        <x:v>2026-10-08</x:v>
      </x:c>
      <x:c r="AP772" s="7" t="str">
        <x:v>bfb44a3956514d0e3fb32be2c28c490104cfd74933f7e62fe18078564fe8ac58</x:v>
      </x:c>
      <x:c r="AQ772" s="7" t="str">
        <x:v>Accident &amp; Health or Sickness / Inactive / 01/12/2017 / 01/31/2025 / 01/31/2025
Life / Inactive / 01/12/2017 / 01/31/2025 / 01/31/2025</x:v>
      </x:c>
      <x:c r="AR772" s="7" t="str">
        <x:v>Inactive</x:v>
      </x:c>
      <x:c r="AS772" s="7" t="str">
        <x:v>Current detail page</x:v>
      </x:c>
    </x:row>
    <x:row r="773" ht="52" customHeight="1">
      <x:c r="A773" s="7" t="str">
        <x:v>AGUILAR LUIS HECTOR JR</x:v>
      </x:c>
      <x:c r="B773" s="14" t="str">
        <x:f>"0F51836"</x:f>
        <x:v>0F51836</x:v>
      </x:c>
      <x:c r="C773" s="7" t="str">
        <x:v>Omitted</x:v>
      </x:c>
      <x:c r="D773" s="7" t="str">
        <x:v>FAIL</x:v>
      </x:c>
      <x:c r="E773" s="13" t="str">
        <x:v>Pending</x:v>
      </x:c>
      <x:c r="F773" s="13" t="str"/>
      <x:c r="G773" s="13" t="str"/>
      <x:c r="H773" s="13" t="str"/>
      <x:c r="I773" s="7" t="str">
        <x:v>Was this person reviewed? If rejected, give the actual rule and evidence. If acceptable, correct the omission. Confirm the Life-qualification gate and any record change since selection.</x:v>
      </x:c>
      <x:c r="J773" s="7" t="str">
        <x:v>L1</x:v>
      </x:c>
      <x:c r="K773" s="7" t="str">
        <x:v>Verified qualifications do not include active general Life. Current target-pool mismatch; actual historical omission reason unknown.</x:v>
      </x:c>
      <x:c r="L773" s="7" t="str">
        <x:v>Not supplied; membership is known, motive is not</x:v>
      </x:c>
      <x:c r="M773" s="7" t="n">
        <x:v>7</x:v>
      </x:c>
      <x:c r="N773" s="7" t="str">
        <x:v>Outside current general-Life recruiting pool</x:v>
      </x:c>
      <x:c r="O773" s="7" t="str">
        <x:v>Not displayed</x:v>
      </x:c>
      <x:c r="P773" s="7" t="str"/>
      <x:c r="Q773" s="7" t="str"/>
      <x:c r="R773" s="7" t="str">
        <x:v>Personal Lines</x:v>
      </x:c>
      <x:c r="S773" s="15" t="str">
        <x:v>760-432-2020 Ext. 204</x:v>
      </x:c>
      <x:c r="T773" s="7" t="str">
        <x:v>Current CDI</x:v>
      </x:c>
      <x:c r="U773" s="7" t="str">
        <x:v>225 W. VALLEY PARKWAY SUITE 101 ESCONDIDO CA, 92025</x:v>
      </x:c>
      <x:c r="V773" s="7" t="str">
        <x:v>Resident</x:v>
      </x:c>
      <x:c r="W773" s="7" t="str">
        <x:v>CA</x:v>
      </x:c>
      <x:c r="X773" s="7" t="str">
        <x:v>B.R.H. ENTERPRISES, INC. / Personal Lines / 08/29/2018</x:v>
      </x:c>
      <x:c r="Y773" s="7" t="str"/>
      <x:c r="Z773" s="7" t="str"/>
      <x:c r="AA773" s="7" t="str"/>
      <x:c r="AB773" s="7" t="str">
        <x:v>SAFE SERVICES, INC. / Casualty / 02/02/2007
SAFE SERVICES, INC. / Property / 02/02/2007</x:v>
      </x:c>
      <x:c r="AC773" s="7" t="str"/>
      <x:c r="AD773" s="7" t="str"/>
      <x:c r="AE773" s="7" t="str">
        <x:v>P&amp;C/Personal Lines authority without displayed core Life appointments; mixed profile requires review | Sponsor relationships displayed: SAFE SERVICES, INC.; inspect line-specific relationship, not a blanket employment inference</x:v>
      </x:c>
      <x:c r="AF773" s="16" t="str"/>
      <x:c r="AG773" s="17" t="str"/>
      <x:c r="AH773" s="7" t="str"/>
      <x:c r="AI773" s="7" t="str">
        <x:v>English, Spanish, Spanish</x:v>
      </x:c>
      <x:c r="AJ773" s="7" t="str"/>
      <x:c r="AK773" s="15" t="str"/>
      <x:c r="AL773" s="7" t="str"/>
      <x:c r="AM773" s="7" t="str">
        <x:v>AGUILAR HECTOR LUIS</x:v>
      </x:c>
      <x:c r="AN773" s="7" t="str">
        <x:v>https://cdicloud.insurance.ca.gov/cal/LicenseDetail?SearchType=IND&amp;SearchLicNbr=0F51836&amp;SearchIndvId=1067128</x:v>
      </x:c>
      <x:c r="AO773" s="7" t="str">
        <x:v>2026-10-08</x:v>
      </x:c>
      <x:c r="AP773" s="7" t="str">
        <x:v>3b515ce01c96e41e637eef90fe19198def157473990d8febb849c9f927f77825</x:v>
      </x:c>
      <x:c r="AQ773" s="7" t="str">
        <x:v>Personal Lines / Active / 02/02/2007 / 02/09/2018 / 12/31/2027</x:v>
      </x:c>
      <x:c r="AR773" s="7" t="str">
        <x:v>Active</x:v>
      </x:c>
      <x:c r="AS773" s="7" t="str">
        <x:v>Current detail page</x:v>
      </x:c>
    </x:row>
    <x:row r="774" ht="52" customHeight="1">
      <x:c r="A774" s="7" t="str">
        <x:v>AGUILAR LUIS JR</x:v>
      </x:c>
      <x:c r="B774" s="14" t="str">
        <x:f>"0D63244"</x:f>
        <x:v>0D63244</x:v>
      </x:c>
      <x:c r="C774" s="7" t="str">
        <x:v>Omitted</x:v>
      </x:c>
      <x:c r="D774" s="7" t="str">
        <x:v>FAIL</x:v>
      </x:c>
      <x:c r="E774" s="13" t="str">
        <x:v>Pending</x:v>
      </x:c>
      <x:c r="F774" s="13" t="str"/>
      <x:c r="G774" s="13" t="str"/>
      <x:c r="H774" s="13" t="str"/>
      <x:c r="I774" s="7" t="str">
        <x:v>Was this person reviewed? If rejected, give the actual rule and evidence. If acceptable, correct the omission. Confirm the Life-qualification gate and any record change since selection.</x:v>
      </x:c>
      <x:c r="J774" s="7" t="str">
        <x:v>L1</x:v>
      </x:c>
      <x:c r="K774" s="7" t="str">
        <x:v>Verified qualifications do not include active general Life. Current target-pool mismatch; actual historical omission reason unknown.</x:v>
      </x:c>
      <x:c r="L774" s="7" t="str">
        <x:v>Not supplied; membership is known, motive is not</x:v>
      </x:c>
      <x:c r="M774" s="7" t="n">
        <x:v>7</x:v>
      </x:c>
      <x:c r="N774" s="7" t="str">
        <x:v>Outside current general-Life recruiting pool</x:v>
      </x:c>
      <x:c r="O774" s="7" t="str">
        <x:v>Not displayed</x:v>
      </x:c>
      <x:c r="P774" s="7" t="str"/>
      <x:c r="Q774" s="7" t="str"/>
      <x:c r="R774" s="7" t="str"/>
      <x:c r="S774" s="15" t="str"/>
      <x:c r="T774" s="7" t="str">
        <x:v>No public business phone in collected record</x:v>
      </x:c>
      <x:c r="U774" s="7" t="str"/>
      <x:c r="V774" s="7" t="str">
        <x:v>Resident</x:v>
      </x:c>
      <x:c r="W774" s="7" t="str">
        <x:v>CA</x:v>
      </x:c>
      <x:c r="X774" s="7" t="str"/>
      <x:c r="Y774" s="7" t="str"/>
      <x:c r="Z774" s="7" t="str"/>
      <x:c r="AA774" s="7" t="str"/>
      <x:c r="AB774" s="7" t="str"/>
      <x:c r="AC774" s="7" t="str"/>
      <x:c r="AD774" s="7" t="str">
        <x:v>No agency or insurer displayed: onboarding opportunity possible; existing business unknown</x:v>
      </x:c>
      <x:c r="AE774" s="7" t="str">
        <x:v>No public business phone: contact enrichment needed, not proof of poor recruiting fit</x:v>
      </x:c>
      <x:c r="AF774" s="16" t="str"/>
      <x:c r="AG774" s="17" t="str"/>
      <x:c r="AH774" s="7" t="str"/>
      <x:c r="AI774" s="7" t="str">
        <x:v>English</x:v>
      </x:c>
      <x:c r="AJ774" s="7" t="str"/>
      <x:c r="AK774" s="15" t="str"/>
      <x:c r="AL774" s="7" t="str"/>
      <x:c r="AM774" s="7" t="str">
        <x:v>AGUILAR  LUIS</x:v>
      </x:c>
      <x:c r="AN774" s="7" t="str">
        <x:v>https://cdicloud.insurance.ca.gov/cal/LicenseDetail?SearchType=IND&amp;SearchLicNbr=0D63244&amp;SearchIndvId=676346</x:v>
      </x:c>
      <x:c r="AO774" s="7" t="str">
        <x:v>2026-10-08</x:v>
      </x:c>
      <x:c r="AP774" s="7" t="str">
        <x:v>9e8574ef7ad366b4da286748a68209463f650c244b58ee1c1e5965cd4cbdf51a</x:v>
      </x:c>
      <x:c r="AQ774" s="7" t="str">
        <x:v>Accident and Health / Inactive / 04/09/2002 / 04/30/2008 / 04/30/2008
Life-Only / Inactive / 04/09/2002 / 03/31/2019 / 03/31/2019</x:v>
      </x:c>
      <x:c r="AR774" s="7" t="str">
        <x:v>Inactive</x:v>
      </x:c>
      <x:c r="AS774" s="7" t="str">
        <x:v>Current detail page</x:v>
      </x:c>
    </x:row>
    <x:row r="775" ht="52" customHeight="1">
      <x:c r="A775" s="7" t="str">
        <x:v>AGUILAR LUIS OCTAVIO</x:v>
      </x:c>
      <x:c r="B775" s="14" t="str">
        <x:f>"0H86347"</x:f>
        <x:v>0H86347</x:v>
      </x:c>
      <x:c r="C775" s="7" t="str">
        <x:v>Omitted</x:v>
      </x:c>
      <x:c r="D775" s="7" t="str">
        <x:v>FAIL</x:v>
      </x:c>
      <x:c r="E775" s="13" t="str">
        <x:v>Pending</x:v>
      </x:c>
      <x:c r="F775" s="13" t="str"/>
      <x:c r="G775" s="13" t="str"/>
      <x:c r="H775" s="13" t="str"/>
      <x:c r="I775" s="7" t="str">
        <x:v>Was this person reviewed? If rejected, give the actual rule and evidence. If acceptable, correct the omission. Confirm the Life-qualification gate and any record change since selection.</x:v>
      </x:c>
      <x:c r="J775" s="7" t="str">
        <x:v>L1</x:v>
      </x:c>
      <x:c r="K775" s="7" t="str">
        <x:v>Verified qualifications do not include active general Life. Current target-pool mismatch; actual historical omission reason unknown.</x:v>
      </x:c>
      <x:c r="L775" s="7" t="str">
        <x:v>Not supplied; membership is known, motive is not</x:v>
      </x:c>
      <x:c r="M775" s="7" t="n">
        <x:v>7</x:v>
      </x:c>
      <x:c r="N775" s="7" t="str">
        <x:v>Outside current general-Life recruiting pool</x:v>
      </x:c>
      <x:c r="O775" s="7" t="str">
        <x:v>Not displayed</x:v>
      </x:c>
      <x:c r="P775" s="7" t="str"/>
      <x:c r="Q775" s="7" t="str"/>
      <x:c r="R775" s="7" t="str"/>
      <x:c r="S775" s="15" t="str"/>
      <x:c r="T775" s="7" t="str">
        <x:v>No public business phone in collected record</x:v>
      </x:c>
      <x:c r="U775" s="7" t="str"/>
      <x:c r="V775" s="7" t="str">
        <x:v>Resident</x:v>
      </x:c>
      <x:c r="W775" s="7" t="str">
        <x:v>CA</x:v>
      </x:c>
      <x:c r="X775" s="7" t="str"/>
      <x:c r="Y775" s="7" t="str"/>
      <x:c r="Z775" s="7" t="str"/>
      <x:c r="AA775" s="7" t="str"/>
      <x:c r="AB775" s="7" t="str"/>
      <x:c r="AC775" s="7" t="str"/>
      <x:c r="AD775" s="7" t="str">
        <x:v>No agency or insurer displayed: onboarding opportunity possible; existing business unknown</x:v>
      </x:c>
      <x:c r="AE775" s="7" t="str">
        <x:v>No public business phone: contact enrichment needed, not proof of poor recruiting fit</x:v>
      </x:c>
      <x:c r="AF775" s="16" t="str"/>
      <x:c r="AG775" s="17" t="str"/>
      <x:c r="AH775" s="7" t="str"/>
      <x:c r="AI775" s="7" t="str"/>
      <x:c r="AJ775" s="7" t="str"/>
      <x:c r="AK775" s="15" t="str"/>
      <x:c r="AL775" s="7" t="str"/>
      <x:c r="AM775" s="7" t="str">
        <x:v>AGUILAR OCTAVIO LUIS</x:v>
      </x:c>
      <x:c r="AN775" s="7" t="str">
        <x:v>https://cdicloud.insurance.ca.gov/cal/LicenseDetail?SearchType=IND&amp;SearchLicNbr=0H86347&amp;SearchIndvId=1510848</x:v>
      </x:c>
      <x:c r="AO775" s="7" t="str">
        <x:v>2026-10-08</x:v>
      </x:c>
      <x:c r="AP775" s="7" t="str">
        <x:v>caa220f7b452a32678b4f989260180b4ac388f27875a651408b8f472870b7edb</x:v>
      </x:c>
      <x:c r="AQ775" s="7" t="str">
        <x:v>Casualty Broker-Agent / Inactive / 05/08/2012 / 05/31/2014 / 05/31/2014
Property Broker-Agent / Inactive / 05/08/2012 / 05/31/2014 / 05/31/2014</x:v>
      </x:c>
      <x:c r="AR775" s="7" t="str">
        <x:v>Inactive</x:v>
      </x:c>
      <x:c r="AS775" s="7" t="str">
        <x:v>Current detail page</x:v>
      </x:c>
    </x:row>
    <x:row r="776" ht="52" customHeight="1">
      <x:c r="A776" s="7" t="str">
        <x:v>AGUILAR LUIS ORTIZ</x:v>
      </x:c>
      <x:c r="B776" s="14" t="str">
        <x:f>"0D20059"</x:f>
        <x:v>0D20059</x:v>
      </x:c>
      <x:c r="C776" s="7" t="str">
        <x:v>Omitted</x:v>
      </x:c>
      <x:c r="D776" s="7" t="str">
        <x:v>FAIL</x:v>
      </x:c>
      <x:c r="E776" s="13" t="str">
        <x:v>Pending</x:v>
      </x:c>
      <x:c r="F776" s="13" t="str"/>
      <x:c r="G776" s="13" t="str"/>
      <x:c r="H776" s="13" t="str"/>
      <x:c r="I776" s="7" t="str">
        <x:v>Was this person reviewed? If rejected, give the actual rule and evidence. If acceptable, correct the omission. Confirm the Life-qualification gate and any record change since selection.</x:v>
      </x:c>
      <x:c r="J776" s="7" t="str">
        <x:v>L1</x:v>
      </x:c>
      <x:c r="K776" s="7" t="str">
        <x:v>Verified qualifications do not include active general Life. Current target-pool mismatch; actual historical omission reason unknown.</x:v>
      </x:c>
      <x:c r="L776" s="7" t="str">
        <x:v>Not supplied; membership is known, motive is not</x:v>
      </x:c>
      <x:c r="M776" s="7" t="n">
        <x:v>7</x:v>
      </x:c>
      <x:c r="N776" s="7" t="str">
        <x:v>Outside current general-Life recruiting pool</x:v>
      </x:c>
      <x:c r="O776" s="7" t="str">
        <x:v>Not displayed</x:v>
      </x:c>
      <x:c r="P776" s="7" t="str"/>
      <x:c r="Q776" s="7" t="str"/>
      <x:c r="R776" s="7" t="str"/>
      <x:c r="S776" s="15" t="str"/>
      <x:c r="T776" s="7" t="str">
        <x:v>No public business phone in collected record</x:v>
      </x:c>
      <x:c r="U776" s="7" t="str"/>
      <x:c r="V776" s="7" t="str">
        <x:v>Resident</x:v>
      </x:c>
      <x:c r="W776" s="7" t="str">
        <x:v>CA</x:v>
      </x:c>
      <x:c r="X776" s="7" t="str"/>
      <x:c r="Y776" s="7" t="str"/>
      <x:c r="Z776" s="7" t="str"/>
      <x:c r="AA776" s="7" t="str"/>
      <x:c r="AB776" s="7" t="str"/>
      <x:c r="AC776" s="7" t="str"/>
      <x:c r="AD776" s="7" t="str">
        <x:v>No agency or insurer displayed: onboarding opportunity possible; existing business unknown</x:v>
      </x:c>
      <x:c r="AE776" s="7" t="str">
        <x:v>No public business phone: contact enrichment needed, not proof of poor recruiting fit</x:v>
      </x:c>
      <x:c r="AF776" s="16" t="str"/>
      <x:c r="AG776" s="17" t="str"/>
      <x:c r="AH776" s="7" t="str"/>
      <x:c r="AI776" s="7" t="str"/>
      <x:c r="AJ776" s="7" t="str"/>
      <x:c r="AK776" s="15" t="str"/>
      <x:c r="AL776" s="7" t="str"/>
      <x:c r="AM776" s="7" t="str">
        <x:v>AGUILAR ORTIZ LUIS</x:v>
      </x:c>
      <x:c r="AN776" s="7" t="str">
        <x:v>https://cdicloud.insurance.ca.gov/cal/LicenseDetail?SearchType=IND&amp;SearchLicNbr=0D20059&amp;SearchIndvId=536852</x:v>
      </x:c>
      <x:c r="AO776" s="7" t="str">
        <x:v>2026-10-08</x:v>
      </x:c>
      <x:c r="AP776" s="7" t="str">
        <x:v>4ef6868ddee899e75f2dcde7e825fc21e23b09bd21fb656ea82b3fc66e279647</x:v>
      </x:c>
      <x:c r="AQ776" s="7" t="str">
        <x:v>Accident and Health / Inactive / 03/12/2001 / 03/31/2011 / 03/31/2011
Casualty Broker-Agent / Inactive / 07/27/2007 / 03/31/2011 / 03/31/2011
Life-Only / Inactive / 03/12/2001 / 03/31/2011 / 03/31/2011
Property Broker-Agent / Inactive / 07/27/2007 / 03/31/2011 / 03/31/2011</x:v>
      </x:c>
      <x:c r="AR776" s="7" t="str">
        <x:v>Inactive</x:v>
      </x:c>
      <x:c r="AS776" s="7" t="str">
        <x:v>Current detail page</x:v>
      </x:c>
    </x:row>
    <x:row r="777" ht="52" customHeight="1">
      <x:c r="A777" s="7" t="str">
        <x:v>AGUILAR LUIS ZAVALA</x:v>
      </x:c>
      <x:c r="B777" s="14" t="str">
        <x:f>"0F96930"</x:f>
        <x:v>0F96930</x:v>
      </x:c>
      <x:c r="C777" s="7" t="str">
        <x:v>Omitted</x:v>
      </x:c>
      <x:c r="D777" s="7" t="str">
        <x:v>FAIL</x:v>
      </x:c>
      <x:c r="E777" s="13" t="str">
        <x:v>Pending</x:v>
      </x:c>
      <x:c r="F777" s="13" t="str"/>
      <x:c r="G777" s="13" t="str"/>
      <x:c r="H777" s="13" t="str"/>
      <x:c r="I777" s="7" t="str">
        <x:v>Was this person reviewed? If rejected, give the actual rule and evidence. If acceptable, correct the omission. Confirm the Life-qualification gate and any record change since selection.</x:v>
      </x:c>
      <x:c r="J777" s="7" t="str">
        <x:v>L1</x:v>
      </x:c>
      <x:c r="K777" s="7" t="str">
        <x:v>Verified qualifications do not include active general Life. Current target-pool mismatch; actual historical omission reason unknown.</x:v>
      </x:c>
      <x:c r="L777" s="7" t="str">
        <x:v>Not supplied; membership is known, motive is not</x:v>
      </x:c>
      <x:c r="M777" s="7" t="n">
        <x:v>7</x:v>
      </x:c>
      <x:c r="N777" s="7" t="str">
        <x:v>Outside current general-Life recruiting pool</x:v>
      </x:c>
      <x:c r="O777" s="7" t="str">
        <x:v>Not displayed</x:v>
      </x:c>
      <x:c r="P777" s="7" t="str"/>
      <x:c r="Q777" s="7" t="str"/>
      <x:c r="R777" s="7" t="str"/>
      <x:c r="S777" s="15" t="str"/>
      <x:c r="T777" s="7" t="str">
        <x:v>No public business phone in collected record</x:v>
      </x:c>
      <x:c r="U777" s="7" t="str"/>
      <x:c r="V777" s="7" t="str">
        <x:v>Non-resident</x:v>
      </x:c>
      <x:c r="W777" s="7" t="str">
        <x:v>TX</x:v>
      </x:c>
      <x:c r="X777" s="7" t="str"/>
      <x:c r="Y777" s="7" t="str"/>
      <x:c r="Z777" s="7" t="str"/>
      <x:c r="AA777" s="7" t="str"/>
      <x:c r="AB777" s="7" t="str"/>
      <x:c r="AC777" s="7" t="str"/>
      <x:c r="AD777" s="7" t="str">
        <x:v>No agency or insurer displayed: onboarding opportunity possible; existing business unknown</x:v>
      </x:c>
      <x:c r="AE777" s="7" t="str">
        <x:v>Nonresident or address state outside CA; confirm geographic recruiting scope | No public business phone: contact enrichment needed, not proof of poor recruiting fit</x:v>
      </x:c>
      <x:c r="AF777" s="16" t="str"/>
      <x:c r="AG777" s="17" t="str"/>
      <x:c r="AH777" s="7" t="str"/>
      <x:c r="AI777" s="7" t="str"/>
      <x:c r="AJ777" s="7" t="str"/>
      <x:c r="AK777" s="15" t="str"/>
      <x:c r="AL777" s="7" t="str"/>
      <x:c r="AM777" s="7" t="str">
        <x:v>AGUILAR ZAVALA LUIS</x:v>
      </x:c>
      <x:c r="AN777" s="7" t="str">
        <x:v>https://cdicloud.insurance.ca.gov/cal/LicenseDetail?SearchType=IND&amp;SearchLicNbr=0F96930&amp;SearchIndvId=1119345</x:v>
      </x:c>
      <x:c r="AO777" s="7" t="str">
        <x:v>2026-10-08</x:v>
      </x:c>
      <x:c r="AP777" s="7" t="str">
        <x:v>53bed7cbf8e53722e97d4a2510059b2d5e4ba5140e8f193f1c4299c180bfeb70</x:v>
      </x:c>
      <x:c r="AQ777" s="7" t="str">
        <x:v>Personal Lines Broker-Agent / Inactive / 01/15/2008 / 11/06/2009 / 11/06/2009</x:v>
      </x:c>
      <x:c r="AR777" s="7" t="str">
        <x:v>Inactive</x:v>
      </x:c>
      <x:c r="AS777" s="7" t="str">
        <x:v>Current detail page</x:v>
      </x:c>
    </x:row>
    <x:row r="778" ht="52" customHeight="1">
      <x:c r="A778" s="7" t="str">
        <x:v>AGUILAR LUISIANA</x:v>
      </x:c>
      <x:c r="B778" s="14" t="str">
        <x:f>"0H30939"</x:f>
        <x:v>0H30939</x:v>
      </x:c>
      <x:c r="C778" s="7" t="str">
        <x:v>Omitted</x:v>
      </x:c>
      <x:c r="D778" s="7" t="str">
        <x:v>FAIL</x:v>
      </x:c>
      <x:c r="E778" s="13" t="str">
        <x:v>Pending</x:v>
      </x:c>
      <x:c r="F778" s="13" t="str"/>
      <x:c r="G778" s="13" t="str"/>
      <x:c r="H778" s="13" t="str"/>
      <x:c r="I778" s="7" t="str">
        <x:v>Was this person reviewed? If rejected, give the actual rule and evidence. If acceptable, correct the omission. Confirm the Life-qualification gate and any record change since selection.</x:v>
      </x:c>
      <x:c r="J778" s="7" t="str">
        <x:v>L1</x:v>
      </x:c>
      <x:c r="K778" s="7" t="str">
        <x:v>Verified qualifications do not include active general Life. Current target-pool mismatch; actual historical omission reason unknown.</x:v>
      </x:c>
      <x:c r="L778" s="7" t="str">
        <x:v>Not supplied; membership is known, motive is not</x:v>
      </x:c>
      <x:c r="M778" s="7" t="n">
        <x:v>7</x:v>
      </x:c>
      <x:c r="N778" s="7" t="str">
        <x:v>Outside current general-Life recruiting pool</x:v>
      </x:c>
      <x:c r="O778" s="7" t="str">
        <x:v>Not displayed</x:v>
      </x:c>
      <x:c r="P778" s="7" t="str"/>
      <x:c r="Q778" s="7" t="str"/>
      <x:c r="R778" s="7" t="str"/>
      <x:c r="S778" s="15" t="str"/>
      <x:c r="T778" s="7" t="str">
        <x:v>No public business phone in collected record</x:v>
      </x:c>
      <x:c r="U778" s="7" t="str"/>
      <x:c r="V778" s="7" t="str">
        <x:v>Resident</x:v>
      </x:c>
      <x:c r="W778" s="7" t="str">
        <x:v>CA</x:v>
      </x:c>
      <x:c r="X778" s="7" t="str"/>
      <x:c r="Y778" s="7" t="str"/>
      <x:c r="Z778" s="7" t="str"/>
      <x:c r="AA778" s="7" t="str"/>
      <x:c r="AB778" s="7" t="str"/>
      <x:c r="AC778" s="7" t="str"/>
      <x:c r="AD778" s="7" t="str">
        <x:v>No agency or insurer displayed: onboarding opportunity possible; existing business unknown</x:v>
      </x:c>
      <x:c r="AE778" s="7" t="str">
        <x:v>No public business phone: contact enrichment needed, not proof of poor recruiting fit</x:v>
      </x:c>
      <x:c r="AF778" s="16" t="str"/>
      <x:c r="AG778" s="17" t="str"/>
      <x:c r="AH778" s="7" t="str"/>
      <x:c r="AI778" s="7" t="str"/>
      <x:c r="AJ778" s="7" t="str"/>
      <x:c r="AK778" s="15" t="str"/>
      <x:c r="AL778" s="7" t="str"/>
      <x:c r="AM778" s="7" t="str">
        <x:v>AGUILAR  LUISIANA</x:v>
      </x:c>
      <x:c r="AN778" s="7" t="str">
        <x:v>https://cdicloud.insurance.ca.gov/cal/LicenseDetail?SearchType=IND&amp;SearchLicNbr=0H30939&amp;SearchIndvId=1388230</x:v>
      </x:c>
      <x:c r="AO778" s="7" t="str">
        <x:v>2026-10-08</x:v>
      </x:c>
      <x:c r="AP778" s="7" t="str">
        <x:v>7dabf09e1d94871690df94ddbd04b3fc8d621bd3e83c9a3c34fbe559fa4bc1d8</x:v>
      </x:c>
      <x:c r="AQ778" s="7" t="str">
        <x:v>Life-Only / Inactive / 01/25/2011 / 01/31/2013 / 01/31/2013</x:v>
      </x:c>
      <x:c r="AR778" s="7" t="str">
        <x:v>Inactive</x:v>
      </x:c>
      <x:c r="AS778" s="7" t="str">
        <x:v>Current detail page</x:v>
      </x:c>
    </x:row>
    <x:row r="779" ht="52" customHeight="1">
      <x:c r="A779" s="7" t="str">
        <x:v>AGUILAR LUNA ANGELICA D</x:v>
      </x:c>
      <x:c r="B779" s="14" t="str">
        <x:f>"4179000"</x:f>
        <x:v>4179000</x:v>
      </x:c>
      <x:c r="C779" s="7" t="str">
        <x:v>Omitted</x:v>
      </x:c>
      <x:c r="D779" s="7" t="str">
        <x:v>FAIL</x:v>
      </x:c>
      <x:c r="E779" s="13" t="str">
        <x:v>Pending</x:v>
      </x:c>
      <x:c r="F779" s="13" t="str"/>
      <x:c r="G779" s="13" t="str"/>
      <x:c r="H779" s="13" t="str"/>
      <x:c r="I779" s="7" t="str">
        <x:v>Was this person reviewed? If rejected, give the actual rule and evidence. If acceptable, correct the omission. Confirm the Life-qualification gate and any record change since selection.</x:v>
      </x:c>
      <x:c r="J779" s="7" t="str">
        <x:v>L1</x:v>
      </x:c>
      <x:c r="K779" s="7" t="str">
        <x:v>Verified qualifications do not include active general Life. Current target-pool mismatch; actual historical omission reason unknown.</x:v>
      </x:c>
      <x:c r="L779" s="7" t="str">
        <x:v>Not supplied; membership is known, motive is not</x:v>
      </x:c>
      <x:c r="M779" s="7" t="n">
        <x:v>7</x:v>
      </x:c>
      <x:c r="N779" s="7" t="str">
        <x:v>Outside current general-Life recruiting pool</x:v>
      </x:c>
      <x:c r="O779" s="7" t="str">
        <x:v>Inactive</x:v>
      </x:c>
      <x:c r="P779" s="7" t="str">
        <x:v>01/12/2022</x:v>
      </x:c>
      <x:c r="Q779" s="7" t="str">
        <x:v>01/31/2024</x:v>
      </x:c>
      <x:c r="R779" s="7" t="str"/>
      <x:c r="S779" s="15" t="str">
        <x:v>661-759-9303</x:v>
      </x:c>
      <x:c r="T779" s="7" t="str">
        <x:v>Current CDI</x:v>
      </x:c>
      <x:c r="U779" s="7" t="str">
        <x:v>1 TRANS AM PLAZA OAKBROOK IL, 60181</x:v>
      </x:c>
      <x:c r="V779" s="7" t="str">
        <x:v>Resident</x:v>
      </x:c>
      <x:c r="W779" s="7" t="str">
        <x:v>IL</x:v>
      </x:c>
      <x:c r="X779" s="7" t="str"/>
      <x:c r="Y779" s="7" t="str"/>
      <x:c r="Z779" s="7" t="str"/>
      <x:c r="AA779" s="7" t="str"/>
      <x:c r="AB779" s="7" t="str"/>
      <x:c r="AC779" s="7" t="str"/>
      <x:c r="AD779" s="7" t="str">
        <x:v>No agency or insurer displayed: onboarding opportunity possible; existing business unknown</x:v>
      </x:c>
      <x:c r="AE779" s="7" t="str">
        <x:v>Nonresident or address state outside CA; confirm geographic recruiting scope</x:v>
      </x:c>
      <x:c r="AF779" s="16" t="str"/>
      <x:c r="AG779" s="17" t="str"/>
      <x:c r="AH779" s="7" t="str"/>
      <x:c r="AI779" s="7" t="str">
        <x:v>English</x:v>
      </x:c>
      <x:c r="AJ779" s="7" t="str"/>
      <x:c r="AK779" s="15" t="str"/>
      <x:c r="AL779" s="7" t="str"/>
      <x:c r="AM779" s="7" t="str">
        <x:v>AGUILAR LUNA D ANGELICA</x:v>
      </x:c>
      <x:c r="AN779" s="7" t="str">
        <x:v>https://cdicloud.insurance.ca.gov/cal/LicenseDetail?SearchType=IND&amp;SearchLicNbr=4179000&amp;SearchIndvId=4179000</x:v>
      </x:c>
      <x:c r="AO779" s="7" t="str">
        <x:v>2026-10-08</x:v>
      </x:c>
      <x:c r="AP779" s="7" t="str">
        <x:v>6976813c43fe930953bc70768595dc72dedab50bb3c63b2a25ae5294d6870a58</x:v>
      </x:c>
      <x:c r="AQ779" s="7" t="str">
        <x:v>Life / Inactive / 01/12/2022 / 01/31/2024 / 01/31/2024</x:v>
      </x:c>
      <x:c r="AR779" s="7" t="str">
        <x:v>Inactive</x:v>
      </x:c>
      <x:c r="AS779" s="7" t="str">
        <x:v>Current detail page</x:v>
      </x:c>
    </x:row>
    <x:row r="780" ht="52" customHeight="1">
      <x:c r="A780" s="7" t="str">
        <x:v>AGUILAR LUZ CLAUDIA</x:v>
      </x:c>
      <x:c r="B780" s="14" t="str">
        <x:f>"0E73671"</x:f>
        <x:v>0E73671</x:v>
      </x:c>
      <x:c r="C780" s="7" t="str">
        <x:v>Omitted</x:v>
      </x:c>
      <x:c r="D780" s="7" t="str">
        <x:v>FAIL</x:v>
      </x:c>
      <x:c r="E780" s="13" t="str">
        <x:v>Pending</x:v>
      </x:c>
      <x:c r="F780" s="13" t="str"/>
      <x:c r="G780" s="13" t="str"/>
      <x:c r="H780" s="13" t="str"/>
      <x:c r="I780" s="7" t="str">
        <x:v>Was this person reviewed? If rejected, give the actual rule and evidence. If acceptable, correct the omission. Confirm the Life-qualification gate and any record change since selection.</x:v>
      </x:c>
      <x:c r="J780" s="7" t="str">
        <x:v>L1</x:v>
      </x:c>
      <x:c r="K780" s="7" t="str">
        <x:v>Verified qualifications do not include active general Life. Current target-pool mismatch; actual historical omission reason unknown.</x:v>
      </x:c>
      <x:c r="L780" s="7" t="str">
        <x:v>Not supplied; membership is known, motive is not</x:v>
      </x:c>
      <x:c r="M780" s="7" t="n">
        <x:v>7</x:v>
      </x:c>
      <x:c r="N780" s="7" t="str">
        <x:v>Outside current general-Life recruiting pool</x:v>
      </x:c>
      <x:c r="O780" s="7" t="str">
        <x:v>Not displayed</x:v>
      </x:c>
      <x:c r="P780" s="7" t="str"/>
      <x:c r="Q780" s="7" t="str"/>
      <x:c r="R780" s="7" t="str"/>
      <x:c r="S780" s="15" t="str"/>
      <x:c r="T780" s="7" t="str">
        <x:v>No public business phone in collected record</x:v>
      </x:c>
      <x:c r="U780" s="7" t="str"/>
      <x:c r="V780" s="7" t="str">
        <x:v>Resident</x:v>
      </x:c>
      <x:c r="W780" s="7" t="str">
        <x:v>CA</x:v>
      </x:c>
      <x:c r="X780" s="7" t="str"/>
      <x:c r="Y780" s="7" t="str"/>
      <x:c r="Z780" s="7" t="str"/>
      <x:c r="AA780" s="7" t="str"/>
      <x:c r="AB780" s="7" t="str"/>
      <x:c r="AC780" s="7" t="str"/>
      <x:c r="AD780" s="7" t="str">
        <x:v>No agency or insurer displayed: onboarding opportunity possible; existing business unknown</x:v>
      </x:c>
      <x:c r="AE780" s="7" t="str">
        <x:v>No public business phone: contact enrichment needed, not proof of poor recruiting fit</x:v>
      </x:c>
      <x:c r="AF780" s="16" t="str"/>
      <x:c r="AG780" s="17" t="str"/>
      <x:c r="AH780" s="7" t="str"/>
      <x:c r="AI780" s="7" t="str"/>
      <x:c r="AJ780" s="7" t="str"/>
      <x:c r="AK780" s="15" t="str"/>
      <x:c r="AL780" s="7" t="str"/>
      <x:c r="AM780" s="7" t="str">
        <x:v>AGUILAR CLAUDIA LUZ</x:v>
      </x:c>
      <x:c r="AN780" s="7" t="str">
        <x:v>https://cdicloud.insurance.ca.gov/cal/LicenseDetail?SearchType=IND&amp;SearchLicNbr=0E73671&amp;SearchIndvId=944411</x:v>
      </x:c>
      <x:c r="AO780" s="7" t="str">
        <x:v>2026-10-08</x:v>
      </x:c>
      <x:c r="AP780" s="7" t="str">
        <x:v>4ca2c2158310ae592e5c28aed2ada2cc34d46c18539983fb49a8966c318bea75</x:v>
      </x:c>
      <x:c r="AQ780" s="7" t="str">
        <x:v>Personal Lines Broker-Agent / Inactive / 03/29/2005 / 04/01/2007 / 04/01/2007</x:v>
      </x:c>
      <x:c r="AR780" s="7" t="str">
        <x:v>Inactive</x:v>
      </x:c>
      <x:c r="AS780" s="7" t="str">
        <x:v>Current detail page</x:v>
      </x:c>
    </x:row>
    <x:row r="781" ht="52" customHeight="1">
      <x:c r="A781" s="7" t="str">
        <x:v>AGUILAR LUZ MARIA</x:v>
      </x:c>
      <x:c r="B781" s="14" t="str">
        <x:f>"0K40319"</x:f>
        <x:v>0K40319</x:v>
      </x:c>
      <x:c r="C781" s="7" t="str">
        <x:v>Omitted</x:v>
      </x:c>
      <x:c r="D781" s="7" t="str">
        <x:v>FAIL</x:v>
      </x:c>
      <x:c r="E781" s="13" t="str">
        <x:v>Pending</x:v>
      </x:c>
      <x:c r="F781" s="13" t="str"/>
      <x:c r="G781" s="13" t="str"/>
      <x:c r="H781" s="13" t="str"/>
      <x:c r="I781" s="7" t="str">
        <x:v>Was this person reviewed? If rejected, give the actual rule and evidence. If acceptable, correct the omission. Confirm the Life-qualification gate and any record change since selection.</x:v>
      </x:c>
      <x:c r="J781" s="7" t="str">
        <x:v>L1</x:v>
      </x:c>
      <x:c r="K781" s="7" t="str">
        <x:v>Verified qualifications do not include active general Life. Current target-pool mismatch; actual historical omission reason unknown.</x:v>
      </x:c>
      <x:c r="L781" s="7" t="str">
        <x:v>Not supplied; membership is known, motive is not</x:v>
      </x:c>
      <x:c r="M781" s="7" t="n">
        <x:v>7</x:v>
      </x:c>
      <x:c r="N781" s="7" t="str">
        <x:v>Outside current general-Life recruiting pool</x:v>
      </x:c>
      <x:c r="O781" s="7" t="str">
        <x:v>Not displayed</x:v>
      </x:c>
      <x:c r="P781" s="7" t="str"/>
      <x:c r="Q781" s="7" t="str"/>
      <x:c r="R781" s="7" t="str"/>
      <x:c r="S781" s="15" t="str"/>
      <x:c r="T781" s="7" t="str">
        <x:v>No public business phone in collected record</x:v>
      </x:c>
      <x:c r="U781" s="7" t="str"/>
      <x:c r="V781" s="7" t="str">
        <x:v>Resident</x:v>
      </x:c>
      <x:c r="W781" s="7" t="str">
        <x:v>CA</x:v>
      </x:c>
      <x:c r="X781" s="7" t="str"/>
      <x:c r="Y781" s="7" t="str"/>
      <x:c r="Z781" s="7" t="str"/>
      <x:c r="AA781" s="7" t="str"/>
      <x:c r="AB781" s="7" t="str"/>
      <x:c r="AC781" s="7" t="str"/>
      <x:c r="AD781" s="7" t="str">
        <x:v>No agency or insurer displayed: onboarding opportunity possible; existing business unknown</x:v>
      </x:c>
      <x:c r="AE781" s="7" t="str">
        <x:v>No public business phone: contact enrichment needed, not proof of poor recruiting fit</x:v>
      </x:c>
      <x:c r="AF781" s="16" t="str"/>
      <x:c r="AG781" s="17" t="str"/>
      <x:c r="AH781" s="7" t="str"/>
      <x:c r="AI781" s="7" t="str"/>
      <x:c r="AJ781" s="7" t="str"/>
      <x:c r="AK781" s="15" t="str"/>
      <x:c r="AL781" s="7" t="str"/>
      <x:c r="AM781" s="7" t="str">
        <x:v>Aguilar M Luz | AGUILAR MARIA LUZ</x:v>
      </x:c>
      <x:c r="AN781" s="7" t="str">
        <x:v>https://cdicloud.insurance.ca.gov/cal/LicenseDetail?SearchType=IND&amp;SearchLicNbr=0K40319&amp;SearchIndvId=1767742</x:v>
      </x:c>
      <x:c r="AO781" s="7" t="str">
        <x:v>2026-10-08</x:v>
      </x:c>
      <x:c r="AP781" s="7" t="str">
        <x:v>c0ee52b9c51cb793f71518ef5b6b659d1b8332d45b30c13b87fd781c46978130</x:v>
      </x:c>
      <x:c r="AQ781" s="7" t="str">
        <x:v>Life-Only / Inactive / 08/07/2015 / 08/31/2017 / 08/31/2017</x:v>
      </x:c>
      <x:c r="AR781" s="7" t="str">
        <x:v>Inactive</x:v>
      </x:c>
      <x:c r="AS781" s="7" t="str">
        <x:v>Current detail page</x:v>
      </x:c>
    </x:row>
    <x:row r="782" ht="52" customHeight="1">
      <x:c r="A782" s="7" t="str">
        <x:v>AGUILAR LUZ MARIA</x:v>
      </x:c>
      <x:c r="B782" s="14" t="str">
        <x:f>"0N05526"</x:f>
        <x:v>0N05526</x:v>
      </x:c>
      <x:c r="C782" s="7" t="str">
        <x:v>Omitted</x:v>
      </x:c>
      <x:c r="D782" s="7" t="str">
        <x:v>FAIL</x:v>
      </x:c>
      <x:c r="E782" s="13" t="str">
        <x:v>Pending</x:v>
      </x:c>
      <x:c r="F782" s="13" t="str"/>
      <x:c r="G782" s="13" t="str"/>
      <x:c r="H782" s="13" t="str"/>
      <x:c r="I782" s="7" t="str">
        <x:v>Was this person reviewed? If rejected, give the actual rule and evidence. If acceptable, correct the omission. Confirm the Life-qualification gate and any record change since selection.</x:v>
      </x:c>
      <x:c r="J782" s="7" t="str">
        <x:v>L1</x:v>
      </x:c>
      <x:c r="K782" s="7" t="str">
        <x:v>Verified qualifications do not include active general Life. Current target-pool mismatch; actual historical omission reason unknown.</x:v>
      </x:c>
      <x:c r="L782" s="7" t="str">
        <x:v>Not supplied; membership is known, motive is not</x:v>
      </x:c>
      <x:c r="M782" s="7" t="n">
        <x:v>7</x:v>
      </x:c>
      <x:c r="N782" s="7" t="str">
        <x:v>Outside current general-Life recruiting pool</x:v>
      </x:c>
      <x:c r="O782" s="7" t="str">
        <x:v>Inactive</x:v>
      </x:c>
      <x:c r="P782" s="7" t="str">
        <x:v>06/28/2019</x:v>
      </x:c>
      <x:c r="Q782" s="7" t="str">
        <x:v>06/30/2025</x:v>
      </x:c>
      <x:c r="R782" s="7" t="str"/>
      <x:c r="S782" s="15" t="str">
        <x:v>559-442-4059</x:v>
      </x:c>
      <x:c r="T782" s="7" t="str">
        <x:v>Current CDI</x:v>
      </x:c>
      <x:c r="U782" s="7" t="str">
        <x:v>2021 N GATEWAY BLVD FRESNO CA, 93727</x:v>
      </x:c>
      <x:c r="V782" s="7" t="str">
        <x:v>Resident</x:v>
      </x:c>
      <x:c r="W782" s="7" t="str">
        <x:v>CA</x:v>
      </x:c>
      <x:c r="X782" s="7" t="str"/>
      <x:c r="Y782" s="7" t="str"/>
      <x:c r="Z782" s="7" t="str"/>
      <x:c r="AA782" s="7" t="str"/>
      <x:c r="AB782" s="7" t="str"/>
      <x:c r="AC782" s="7" t="str"/>
      <x:c r="AD782" s="7" t="str">
        <x:v>No agency or insurer displayed: onboarding opportunity possible; existing business unknown</x:v>
      </x:c>
      <x:c r="AE782" s="7" t="str"/>
      <x:c r="AF782" s="16" t="str"/>
      <x:c r="AG782" s="17" t="str"/>
      <x:c r="AH782" s="7" t="str"/>
      <x:c r="AI782" s="7" t="str">
        <x:v>English</x:v>
      </x:c>
      <x:c r="AJ782" s="7" t="str"/>
      <x:c r="AK782" s="15" t="str"/>
      <x:c r="AL782" s="7" t="str"/>
      <x:c r="AM782" s="7" t="str">
        <x:v>Aguilar M Luz | AGUILAR MARIA LUZ</x:v>
      </x:c>
      <x:c r="AN782" s="7" t="str">
        <x:v>https://cdicloud.insurance.ca.gov/cal/LicenseDetail?SearchType=IND&amp;SearchLicNbr=0N05526&amp;SearchIndvId=2051327</x:v>
      </x:c>
      <x:c r="AO782" s="7" t="str">
        <x:v>2026-10-08</x:v>
      </x:c>
      <x:c r="AP782" s="7" t="str">
        <x:v>600333ac2dbdd3118fb78e74b1938db48fd49c591e92dc53ac0c16711bb62826</x:v>
      </x:c>
      <x:c r="AQ782" s="7" t="str">
        <x:v>Life / Inactive / 06/28/2019 / 06/30/2025 / 06/30/2025</x:v>
      </x:c>
      <x:c r="AR782" s="7" t="str">
        <x:v>Inactive</x:v>
      </x:c>
      <x:c r="AS782" s="7" t="str">
        <x:v>Current detail page</x:v>
      </x:c>
    </x:row>
    <x:row r="783" ht="52" customHeight="1">
      <x:c r="A783" s="7" t="str">
        <x:v>AGUILAR LYDIA</x:v>
      </x:c>
      <x:c r="B783" s="14" t="str">
        <x:f>"0K82628"</x:f>
        <x:v>0K82628</x:v>
      </x:c>
      <x:c r="C783" s="7" t="str">
        <x:v>Omitted</x:v>
      </x:c>
      <x:c r="D783" s="7" t="str">
        <x:v>FAIL</x:v>
      </x:c>
      <x:c r="E783" s="13" t="str">
        <x:v>Pending</x:v>
      </x:c>
      <x:c r="F783" s="13" t="str"/>
      <x:c r="G783" s="13" t="str"/>
      <x:c r="H783" s="13" t="str"/>
      <x:c r="I783" s="7" t="str">
        <x:v>Was this person reviewed? If rejected, give the actual rule and evidence. If acceptable, correct the omission. Confirm the Life-qualification gate and any record change since selection.</x:v>
      </x:c>
      <x:c r="J783" s="7" t="str">
        <x:v>L1</x:v>
      </x:c>
      <x:c r="K783" s="7" t="str">
        <x:v>Verified qualifications do not include active general Life. Current target-pool mismatch; actual historical omission reason unknown.</x:v>
      </x:c>
      <x:c r="L783" s="7" t="str">
        <x:v>Not supplied; membership is known, motive is not</x:v>
      </x:c>
      <x:c r="M783" s="7" t="n">
        <x:v>7</x:v>
      </x:c>
      <x:c r="N783" s="7" t="str">
        <x:v>Outside current general-Life recruiting pool</x:v>
      </x:c>
      <x:c r="O783" s="7" t="str">
        <x:v>Not displayed</x:v>
      </x:c>
      <x:c r="P783" s="7" t="str"/>
      <x:c r="Q783" s="7" t="str"/>
      <x:c r="R783" s="7" t="str"/>
      <x:c r="S783" s="15" t="str"/>
      <x:c r="T783" s="7" t="str">
        <x:v>No public business phone in collected record</x:v>
      </x:c>
      <x:c r="U783" s="7" t="str"/>
      <x:c r="V783" s="7" t="str">
        <x:v>Resident</x:v>
      </x:c>
      <x:c r="W783" s="7" t="str">
        <x:v>CA</x:v>
      </x:c>
      <x:c r="X783" s="7" t="str"/>
      <x:c r="Y783" s="7" t="str"/>
      <x:c r="Z783" s="7" t="str"/>
      <x:c r="AA783" s="7" t="str"/>
      <x:c r="AB783" s="7" t="str"/>
      <x:c r="AC783" s="7" t="str"/>
      <x:c r="AD783" s="7" t="str">
        <x:v>No agency or insurer displayed: onboarding opportunity possible; existing business unknown</x:v>
      </x:c>
      <x:c r="AE783" s="7" t="str">
        <x:v>No public business phone: contact enrichment needed, not proof of poor recruiting fit</x:v>
      </x:c>
      <x:c r="AF783" s="16" t="str"/>
      <x:c r="AG783" s="17" t="str"/>
      <x:c r="AH783" s="7" t="str"/>
      <x:c r="AI783" s="7" t="str"/>
      <x:c r="AJ783" s="7" t="str"/>
      <x:c r="AK783" s="15" t="str"/>
      <x:c r="AL783" s="7" t="str"/>
      <x:c r="AM783" s="7" t="str">
        <x:v>AGUILAR  LYDIA</x:v>
      </x:c>
      <x:c r="AN783" s="7" t="str">
        <x:v>https://cdicloud.insurance.ca.gov/cal/LicenseDetail?SearchType=IND&amp;SearchLicNbr=0K82628&amp;SearchIndvId=1827245</x:v>
      </x:c>
      <x:c r="AO783" s="7" t="str">
        <x:v>2026-10-08</x:v>
      </x:c>
      <x:c r="AP783" s="7" t="str">
        <x:v>d60afb6f3bae887d026e7c7447f4742098fc3b5abc54a21eb71b9697a6ba8afb</x:v>
      </x:c>
      <x:c r="AQ783" s="7" t="str">
        <x:v>Accident and Health / Inactive / 04/01/2016 / 04/30/2018 / 04/30/2018
Life-Only / Inactive / 04/01/2016 / 04/30/2018 / 04/30/2018</x:v>
      </x:c>
      <x:c r="AR783" s="7" t="str">
        <x:v>Inactive</x:v>
      </x:c>
      <x:c r="AS783" s="7" t="str">
        <x:v>Current detail page</x:v>
      </x:c>
    </x:row>
    <x:row r="784" ht="52" customHeight="1">
      <x:c r="A784" s="7" t="str">
        <x:v>AGUILAR MACHUCA MARIA DEL ROSARIO</x:v>
      </x:c>
      <x:c r="B784" s="14" t="str">
        <x:f>"0D16912"</x:f>
        <x:v>0D16912</x:v>
      </x:c>
      <x:c r="C784" s="7" t="str">
        <x:v>Omitted</x:v>
      </x:c>
      <x:c r="D784" s="7" t="str">
        <x:v>FAIL</x:v>
      </x:c>
      <x:c r="E784" s="13" t="str">
        <x:v>Pending</x:v>
      </x:c>
      <x:c r="F784" s="13" t="str"/>
      <x:c r="G784" s="13" t="str"/>
      <x:c r="H784" s="13" t="str"/>
      <x:c r="I784" s="7" t="str">
        <x:v>Was this person reviewed? If rejected, give the actual rule and evidence. If acceptable, correct the omission. Confirm the Life-qualification gate and any record change since selection.</x:v>
      </x:c>
      <x:c r="J784" s="7" t="str">
        <x:v>L1</x:v>
      </x:c>
      <x:c r="K784" s="7" t="str">
        <x:v>Verified qualifications do not include active general Life. Current target-pool mismatch; actual historical omission reason unknown.</x:v>
      </x:c>
      <x:c r="L784" s="7" t="str">
        <x:v>Not supplied; membership is known, motive is not</x:v>
      </x:c>
      <x:c r="M784" s="7" t="n">
        <x:v>7</x:v>
      </x:c>
      <x:c r="N784" s="7" t="str">
        <x:v>Outside current general-Life recruiting pool</x:v>
      </x:c>
      <x:c r="O784" s="7" t="str">
        <x:v>Not displayed</x:v>
      </x:c>
      <x:c r="P784" s="7" t="str"/>
      <x:c r="Q784" s="7" t="str"/>
      <x:c r="R784" s="7" t="str"/>
      <x:c r="S784" s="15" t="str"/>
      <x:c r="T784" s="7" t="str">
        <x:v>No public business phone in collected record</x:v>
      </x:c>
      <x:c r="U784" s="7" t="str"/>
      <x:c r="V784" s="7" t="str">
        <x:v>Resident</x:v>
      </x:c>
      <x:c r="W784" s="7" t="str">
        <x:v>CA</x:v>
      </x:c>
      <x:c r="X784" s="7" t="str"/>
      <x:c r="Y784" s="7" t="str"/>
      <x:c r="Z784" s="7" t="str"/>
      <x:c r="AA784" s="7" t="str"/>
      <x:c r="AB784" s="7" t="str"/>
      <x:c r="AC784" s="7" t="str"/>
      <x:c r="AD784" s="7" t="str">
        <x:v>No agency or insurer displayed: onboarding opportunity possible; existing business unknown</x:v>
      </x:c>
      <x:c r="AE784" s="7" t="str">
        <x:v>No public business phone: contact enrichment needed, not proof of poor recruiting fit</x:v>
      </x:c>
      <x:c r="AF784" s="16" t="str"/>
      <x:c r="AG784" s="17" t="str"/>
      <x:c r="AH784" s="7" t="str"/>
      <x:c r="AI784" s="7" t="str"/>
      <x:c r="AJ784" s="7" t="str"/>
      <x:c r="AK784" s="15" t="str"/>
      <x:c r="AL784" s="7" t="str"/>
      <x:c r="AM784" s="7" t="str">
        <x:v>AGUILAR MACHUCA DEL ROSARIO MARIA</x:v>
      </x:c>
      <x:c r="AN784" s="7" t="str">
        <x:v>https://cdicloud.insurance.ca.gov/cal/LicenseDetail?SearchType=IND&amp;SearchLicNbr=0D16912&amp;SearchIndvId=556583</x:v>
      </x:c>
      <x:c r="AO784" s="7" t="str">
        <x:v>2026-10-08</x:v>
      </x:c>
      <x:c r="AP784" s="7" t="str">
        <x:v>417436faaaa1509c2a21d135358cc9028d6b5a57c145f215bc9a3c92182e8867</x:v>
      </x:c>
      <x:c r="AQ784" s="7" t="str">
        <x:v>Casualty Broker-Agent / Inactive / 05/11/2001 / 05/31/2009 / 05/31/2009
Property Broker-Agent / Inactive / 05/11/2001 / 05/31/2009 / 05/31/2009</x:v>
      </x:c>
      <x:c r="AR784" s="7" t="str">
        <x:v>Inactive</x:v>
      </x:c>
      <x:c r="AS784" s="7" t="str">
        <x:v>Current detail page</x:v>
      </x:c>
    </x:row>
    <x:row r="785" ht="52" customHeight="1">
      <x:c r="A785" s="7" t="str">
        <x:v>AGUILAR MADELYN</x:v>
      </x:c>
      <x:c r="B785" s="14" t="str">
        <x:f>"4501973"</x:f>
        <x:v>4501973</x:v>
      </x:c>
      <x:c r="C785" s="7" t="str">
        <x:v>Omitted</x:v>
      </x:c>
      <x:c r="D785" s="7" t="str">
        <x:v>FAIL</x:v>
      </x:c>
      <x:c r="E785" s="13" t="str">
        <x:v>Pending</x:v>
      </x:c>
      <x:c r="F785" s="13" t="str"/>
      <x:c r="G785" s="13" t="str"/>
      <x:c r="H785" s="13" t="str"/>
      <x:c r="I785" s="7" t="str">
        <x:v>Was this person reviewed? If rejected, give the actual rule and evidence. If acceptable, correct the omission. Confirm the Life-qualification gate and any record change since selection.</x:v>
      </x:c>
      <x:c r="J785" s="7" t="str">
        <x:v>L1</x:v>
      </x:c>
      <x:c r="K785" s="7" t="str">
        <x:v>Verified qualifications do not include active general Life. Current target-pool mismatch; actual historical omission reason unknown.</x:v>
      </x:c>
      <x:c r="L785" s="7" t="str">
        <x:v>Not supplied; membership is known, motive is not</x:v>
      </x:c>
      <x:c r="M785" s="7" t="n">
        <x:v>7</x:v>
      </x:c>
      <x:c r="N785" s="7" t="str">
        <x:v>Outside current general-Life recruiting pool</x:v>
      </x:c>
      <x:c r="O785" s="7" t="str">
        <x:v>Not displayed</x:v>
      </x:c>
      <x:c r="P785" s="7" t="str"/>
      <x:c r="Q785" s="7" t="str"/>
      <x:c r="R785" s="7" t="str">
        <x:v>Accident &amp; Health or Sickness</x:v>
      </x:c>
      <x:c r="S785" s="15" t="str"/>
      <x:c r="T785" s="7" t="str">
        <x:v>No public business phone in collected record</x:v>
      </x:c>
      <x:c r="U785" s="7" t="str">
        <x:v>409 CHAPMAN ST JOHNSON CITY TN, 37604</x:v>
      </x:c>
      <x:c r="V785" s="7" t="str">
        <x:v>Non-resident</x:v>
      </x:c>
      <x:c r="W785" s="7" t="str">
        <x:v>TN</x:v>
      </x:c>
      <x:c r="X785" s="7" t="str">
        <x:v>TTEC HEALTHCARE SOLUTIONS, INC. / Accident &amp; Health or Sickness / 10/27/2025</x:v>
      </x:c>
      <x:c r="Y785" s="7" t="str"/>
      <x:c r="Z785" s="7" t="str"/>
      <x:c r="AA785" s="7" t="str"/>
      <x:c r="AB785" s="7" t="str"/>
      <x:c r="AC785" s="7" t="str"/>
      <x:c r="AD785" s="7" t="str">
        <x:v>Active A&amp;H supports optional cross-selling; not necessary for target products</x:v>
      </x:c>
      <x:c r="AE785" s="7" t="str">
        <x:v>Nonresident or address state outside CA; confirm geographic recruiting scope | No public business phone: contact enrichment needed, not proof of poor recruiting fit</x:v>
      </x:c>
      <x:c r="AF785" s="16" t="str"/>
      <x:c r="AG785" s="17" t="str"/>
      <x:c r="AH785" s="7" t="str"/>
      <x:c r="AI785" s="7" t="str"/>
      <x:c r="AJ785" s="7" t="str"/>
      <x:c r="AK785" s="15" t="str"/>
      <x:c r="AL785" s="7" t="str"/>
      <x:c r="AM785" s="7" t="str">
        <x:v>Aguilar  Madelyn</x:v>
      </x:c>
      <x:c r="AN785" s="7" t="str">
        <x:v>https://cdicloud.insurance.ca.gov/cal/LicenseDetail?SearchType=IND&amp;SearchLicNbr=4501973&amp;SearchIndvId=4501973</x:v>
      </x:c>
      <x:c r="AO785" s="7" t="str">
        <x:v>2026-10-08</x:v>
      </x:c>
      <x:c r="AP785" s="7" t="str">
        <x:v>6ca55d64aac5e3d42075ff1d1597585e3475e884823ea503a186b45d772bd028</x:v>
      </x:c>
      <x:c r="AQ785" s="7" t="str">
        <x:v>Accident &amp; Health or Sickness / Active / 10/21/2025 / 10/21/2025 / 10/31/2027</x:v>
      </x:c>
      <x:c r="AR785" s="7" t="str">
        <x:v>Active</x:v>
      </x:c>
      <x:c r="AS785" s="7" t="str">
        <x:v>Current detail page</x:v>
      </x:c>
    </x:row>
    <x:row r="786" ht="52" customHeight="1">
      <x:c r="A786" s="7" t="str">
        <x:v>AGUILAR MAER GIRALTI</x:v>
      </x:c>
      <x:c r="B786" s="14" t="str">
        <x:f>"0L87162"</x:f>
        <x:v>0L87162</x:v>
      </x:c>
      <x:c r="C786" s="7" t="str">
        <x:v>Omitted</x:v>
      </x:c>
      <x:c r="D786" s="7" t="str">
        <x:v>FAIL</x:v>
      </x:c>
      <x:c r="E786" s="13" t="str">
        <x:v>Pending</x:v>
      </x:c>
      <x:c r="F786" s="13" t="str"/>
      <x:c r="G786" s="13" t="str"/>
      <x:c r="H786" s="13" t="str"/>
      <x:c r="I786" s="7" t="str">
        <x:v>Was this person reviewed? If rejected, give the actual rule and evidence. If acceptable, correct the omission. Confirm the Life-qualification gate and any record change since selection.</x:v>
      </x:c>
      <x:c r="J786" s="7" t="str">
        <x:v>L1</x:v>
      </x:c>
      <x:c r="K786" s="7" t="str">
        <x:v>Verified qualifications do not include active general Life. Current target-pool mismatch; actual historical omission reason unknown.</x:v>
      </x:c>
      <x:c r="L786" s="7" t="str">
        <x:v>Not supplied; membership is known, motive is not</x:v>
      </x:c>
      <x:c r="M786" s="7" t="n">
        <x:v>7</x:v>
      </x:c>
      <x:c r="N786" s="7" t="str">
        <x:v>Outside current general-Life recruiting pool</x:v>
      </x:c>
      <x:c r="O786" s="7" t="str">
        <x:v>Not displayed</x:v>
      </x:c>
      <x:c r="P786" s="7" t="str"/>
      <x:c r="Q786" s="7" t="str"/>
      <x:c r="R786" s="7" t="str"/>
      <x:c r="S786" s="15" t="str"/>
      <x:c r="T786" s="7" t="str">
        <x:v>No public business phone in collected record</x:v>
      </x:c>
      <x:c r="U786" s="7" t="str"/>
      <x:c r="V786" s="7" t="str">
        <x:v>Resident</x:v>
      </x:c>
      <x:c r="W786" s="7" t="str">
        <x:v>CA</x:v>
      </x:c>
      <x:c r="X786" s="7" t="str"/>
      <x:c r="Y786" s="7" t="str"/>
      <x:c r="Z786" s="7" t="str"/>
      <x:c r="AA786" s="7" t="str"/>
      <x:c r="AB786" s="7" t="str"/>
      <x:c r="AC786" s="7" t="str"/>
      <x:c r="AD786" s="7" t="str">
        <x:v>No agency or insurer displayed: onboarding opportunity possible; existing business unknown</x:v>
      </x:c>
      <x:c r="AE786" s="7" t="str">
        <x:v>No public business phone: contact enrichment needed, not proof of poor recruiting fit</x:v>
      </x:c>
      <x:c r="AF786" s="16" t="str"/>
      <x:c r="AG786" s="17" t="str"/>
      <x:c r="AH786" s="7" t="str"/>
      <x:c r="AI786" s="7" t="str"/>
      <x:c r="AJ786" s="7" t="str"/>
      <x:c r="AK786" s="15" t="str"/>
      <x:c r="AL786" s="7" t="str"/>
      <x:c r="AM786" s="7" t="str">
        <x:v>AGUILAR GIRALTI MAER</x:v>
      </x:c>
      <x:c r="AN786" s="7" t="str">
        <x:v>https://cdicloud.insurance.ca.gov/cal/LicenseDetail?SearchType=IND&amp;SearchLicNbr=0L87162&amp;SearchIndvId=1952781</x:v>
      </x:c>
      <x:c r="AO786" s="7" t="str">
        <x:v>2026-10-08</x:v>
      </x:c>
      <x:c r="AP786" s="7" t="str">
        <x:v>f6a294a97f6d0e1943e914335e195028b3f7c4787132b7cac131b4bb731cee99</x:v>
      </x:c>
      <x:c r="AQ786" s="7" t="str">
        <x:v>Life-Only / Inactive / 08/08/2017 / 08/31/2019 / 08/31/2019</x:v>
      </x:c>
      <x:c r="AR786" s="7" t="str">
        <x:v>Inactive</x:v>
      </x:c>
      <x:c r="AS786" s="7" t="str">
        <x:v>Current detail page</x:v>
      </x:c>
    </x:row>
    <x:row r="787" ht="52" customHeight="1">
      <x:c r="A787" s="7" t="str">
        <x:v>AGUILAR MAGDALENA</x:v>
      </x:c>
      <x:c r="B787" s="14" t="str">
        <x:f>"0M42020"</x:f>
        <x:v>0M42020</x:v>
      </x:c>
      <x:c r="C787" s="7" t="str">
        <x:v>Omitted</x:v>
      </x:c>
      <x:c r="D787" s="7" t="str">
        <x:v>FAIL</x:v>
      </x:c>
      <x:c r="E787" s="13" t="str">
        <x:v>Pending</x:v>
      </x:c>
      <x:c r="F787" s="13" t="str"/>
      <x:c r="G787" s="13" t="str"/>
      <x:c r="H787" s="13" t="str"/>
      <x:c r="I787" s="7" t="str">
        <x:v>Was this person reviewed? If rejected, give the actual rule and evidence. If acceptable, correct the omission. Confirm the Life-qualification gate and any record change since selection.</x:v>
      </x:c>
      <x:c r="J787" s="7" t="str">
        <x:v>L1</x:v>
      </x:c>
      <x:c r="K787" s="7" t="str">
        <x:v>Verified qualifications do not include active general Life. Current target-pool mismatch; actual historical omission reason unknown.</x:v>
      </x:c>
      <x:c r="L787" s="7" t="str">
        <x:v>Not supplied; membership is known, motive is not</x:v>
      </x:c>
      <x:c r="M787" s="7" t="n">
        <x:v>7</x:v>
      </x:c>
      <x:c r="N787" s="7" t="str">
        <x:v>Outside current general-Life recruiting pool</x:v>
      </x:c>
      <x:c r="O787" s="7" t="str">
        <x:v>Inactive</x:v>
      </x:c>
      <x:c r="P787" s="7" t="str">
        <x:v>06/26/2018</x:v>
      </x:c>
      <x:c r="Q787" s="7" t="str">
        <x:v>03/24/2026</x:v>
      </x:c>
      <x:c r="R787" s="7" t="str">
        <x:v>Life Limited-Funeral &amp; Burial</x:v>
      </x:c>
      <x:c r="S787" s="15" t="str">
        <x:v>714-893-2421</x:v>
      </x:c>
      <x:c r="T787" s="7" t="str">
        <x:v>Current CDI</x:v>
      </x:c>
      <x:c r="U787" s="7" t="str">
        <x:v>14801 BEACH BLVD. 14801 BEACH BLVD. WESTMINSTER CA, 92683</x:v>
      </x:c>
      <x:c r="V787" s="7" t="str">
        <x:v>Resident</x:v>
      </x:c>
      <x:c r="W787" s="7" t="str">
        <x:v>CA</x:v>
      </x:c>
      <x:c r="X787" s="7" t="str"/>
      <x:c r="Y787" s="7" t="str">
        <x:v>FORETHOUGHT LIFE INSURANCE COMPANY / Life Only (Limited) / 06/18/2026</x:v>
      </x:c>
      <x:c r="Z787" s="7" t="str"/>
      <x:c r="AA787" s="7" t="str"/>
      <x:c r="AB787" s="7" t="str"/>
      <x:c r="AC787" s="7" t="str"/>
      <x:c r="AD787" s="7" t="str"/>
      <x:c r="AE787" s="7" t="str"/>
      <x:c r="AF787" s="16" t="str"/>
      <x:c r="AG787" s="17" t="str"/>
      <x:c r="AH787" s="7" t="str"/>
      <x:c r="AI787" s="7" t="str">
        <x:v>English</x:v>
      </x:c>
      <x:c r="AJ787" s="7" t="str"/>
      <x:c r="AK787" s="15" t="str"/>
      <x:c r="AL787" s="7" t="str"/>
      <x:c r="AM787" s="7" t="str">
        <x:v>AGUILAR  MAGDALENA | Aguilar  Magdalena | AGUILAR  MAGDALENEA</x:v>
      </x:c>
      <x:c r="AN787" s="7" t="str">
        <x:v>https://cdicloud.insurance.ca.gov/cal/LicenseDetail?SearchType=IND&amp;SearchLicNbr=0M42020&amp;SearchIndvId=2031675</x:v>
      </x:c>
      <x:c r="AO787" s="7" t="str">
        <x:v>2026-10-08</x:v>
      </x:c>
      <x:c r="AP787" s="7" t="str">
        <x:v>f7bd030cad121f186ba5858b6ca8e90d0ee97fe6714973670f0a895500aec73c</x:v>
      </x:c>
      <x:c r="AQ787" s="7" t="str">
        <x:v>Life Limited-Funeral &amp; Burial / Active / 03/24/2026 / 03/24/2026 / 06/30/2028
Life / Inactive / 06/26/2018 / 03/24/2026 / 03/24/2026</x:v>
      </x:c>
      <x:c r="AR787" s="7" t="str">
        <x:v>Active</x:v>
      </x:c>
      <x:c r="AS787" s="7" t="str">
        <x:v>Current detail page</x:v>
      </x:c>
    </x:row>
    <x:row r="788" ht="52" customHeight="1">
      <x:c r="A788" s="7" t="str">
        <x:v>AGUILAR MAITE</x:v>
      </x:c>
      <x:c r="B788" s="14" t="str">
        <x:f>"0C55782"</x:f>
        <x:v>0C55782</x:v>
      </x:c>
      <x:c r="C788" s="7" t="str">
        <x:v>Omitted</x:v>
      </x:c>
      <x:c r="D788" s="7" t="str">
        <x:v>FAIL</x:v>
      </x:c>
      <x:c r="E788" s="13" t="str">
        <x:v>Pending</x:v>
      </x:c>
      <x:c r="F788" s="13" t="str"/>
      <x:c r="G788" s="13" t="str"/>
      <x:c r="H788" s="13" t="str"/>
      <x:c r="I788" s="7" t="str">
        <x:v>Was this person reviewed? If rejected, give the actual rule and evidence. If acceptable, correct the omission. Confirm the Life-qualification gate and any record change since selection.</x:v>
      </x:c>
      <x:c r="J788" s="7" t="str">
        <x:v>L1</x:v>
      </x:c>
      <x:c r="K788" s="7" t="str">
        <x:v>Verified qualifications do not include active general Life. Current target-pool mismatch; actual historical omission reason unknown.</x:v>
      </x:c>
      <x:c r="L788" s="7" t="str">
        <x:v>Not supplied; membership is known, motive is not</x:v>
      </x:c>
      <x:c r="M788" s="7" t="n">
        <x:v>7</x:v>
      </x:c>
      <x:c r="N788" s="7" t="str">
        <x:v>Outside current general-Life recruiting pool</x:v>
      </x:c>
      <x:c r="O788" s="7" t="str">
        <x:v>Not displayed</x:v>
      </x:c>
      <x:c r="P788" s="7" t="str"/>
      <x:c r="Q788" s="7" t="str"/>
      <x:c r="R788" s="7" t="str">
        <x:v>Casualty; Property</x:v>
      </x:c>
      <x:c r="S788" s="15" t="str"/>
      <x:c r="T788" s="7" t="str">
        <x:v>No public business phone in collected record</x:v>
      </x:c>
      <x:c r="U788" s="7" t="str">
        <x:v>5538 LONG BEACH BLVD LONG BEACH CA, 90805</x:v>
      </x:c>
      <x:c r="V788" s="7" t="str">
        <x:v>Resident</x:v>
      </x:c>
      <x:c r="W788" s="7" t="str">
        <x:v>CA</x:v>
      </x:c>
      <x:c r="X788" s="7" t="str">
        <x:v>C. DIAMOND INSURANCE AGENCY, INC. / Property / 03/02/2010
C. DIAMOND INSURANCE AGENCY, INC. / Casualty / 03/02/2010</x:v>
      </x:c>
      <x:c r="Y788" s="7" t="str">
        <x:v>FOREMOST INSURANCE COMPANY GRAND RAPIDS, MICHIGAN / Casualty / 04/12/2011
FOREMOST INSURANCE COMPANY GRAND RAPIDS, MICHIGAN / Property / 04/12/2011</x:v>
      </x:c>
      <x:c r="Z788" s="7" t="str"/>
      <x:c r="AA788" s="7" t="str"/>
      <x:c r="AB788" s="7" t="str"/>
      <x:c r="AC788" s="7" t="str"/>
      <x:c r="AD788" s="7" t="str"/>
      <x:c r="AE788" s="7" t="str">
        <x:v>P&amp;C/Personal Lines authority without displayed core Life appointments; mixed profile requires review | No public business phone: contact enrichment needed, not proof of poor recruiting fit</x:v>
      </x:c>
      <x:c r="AF788" s="16" t="str"/>
      <x:c r="AG788" s="17" t="str"/>
      <x:c r="AH788" s="7" t="str"/>
      <x:c r="AI788" s="7" t="str">
        <x:v>English</x:v>
      </x:c>
      <x:c r="AJ788" s="7" t="str"/>
      <x:c r="AK788" s="15" t="str"/>
      <x:c r="AL788" s="7" t="str"/>
      <x:c r="AM788" s="7" t="str">
        <x:v>AGUILAR  MAITE</x:v>
      </x:c>
      <x:c r="AN788" s="7" t="str">
        <x:v>https://cdicloud.insurance.ca.gov/cal/LicenseDetail?SearchType=IND&amp;SearchLicNbr=0C55782&amp;SearchIndvId=426269</x:v>
      </x:c>
      <x:c r="AO788" s="7" t="str">
        <x:v>2026-10-08</x:v>
      </x:c>
      <x:c r="AP788" s="7" t="str">
        <x:v>86ea3e61adad223f44cd25d0a4c901144d476fb14e982492e82cf1ad818b4b05</x:v>
      </x:c>
      <x:c r="AQ788" s="7" t="str">
        <x:v>Casualty / Active / 03/03/1999 / 03/03/1999 / 03/31/2027
Property / Active / 03/03/1999 / 03/03/1999 / 03/31/2027</x:v>
      </x:c>
      <x:c r="AR788" s="7" t="str">
        <x:v>Active</x:v>
      </x:c>
      <x:c r="AS788" s="7" t="str">
        <x:v>Current detail page</x:v>
      </x:c>
    </x:row>
    <x:row r="789" ht="52" customHeight="1">
      <x:c r="A789" s="7" t="str">
        <x:v>AGUILAR MALTEZ CESAR</x:v>
      </x:c>
      <x:c r="B789" s="14" t="str">
        <x:f>"4396872"</x:f>
        <x:v>4396872</x:v>
      </x:c>
      <x:c r="C789" s="7" t="str">
        <x:v>Omitted</x:v>
      </x:c>
      <x:c r="D789" s="7" t="str">
        <x:v>FAIL</x:v>
      </x:c>
      <x:c r="E789" s="13" t="str">
        <x:v>Pending</x:v>
      </x:c>
      <x:c r="F789" s="13" t="str"/>
      <x:c r="G789" s="13" t="str"/>
      <x:c r="H789" s="13" t="str"/>
      <x:c r="I789" s="7" t="str">
        <x:v>Was this person reviewed? If rejected, give the actual rule and evidence. If acceptable, correct the omission. Confirm the Life-qualification gate and any record change since selection.</x:v>
      </x:c>
      <x:c r="J789" s="7" t="str">
        <x:v>L1</x:v>
      </x:c>
      <x:c r="K789" s="7" t="str">
        <x:v>Verified qualifications do not include active general Life. Current target-pool mismatch; actual historical omission reason unknown.</x:v>
      </x:c>
      <x:c r="L789" s="7" t="str">
        <x:v>Not supplied; membership is known, motive is not</x:v>
      </x:c>
      <x:c r="M789" s="7" t="n">
        <x:v>7</x:v>
      </x:c>
      <x:c r="N789" s="7" t="str">
        <x:v>Outside current general-Life recruiting pool</x:v>
      </x:c>
      <x:c r="O789" s="7" t="str">
        <x:v>Not displayed</x:v>
      </x:c>
      <x:c r="P789" s="7" t="str"/>
      <x:c r="Q789" s="7" t="str"/>
      <x:c r="R789" s="7" t="str">
        <x:v>Accident &amp; Health or Sickness</x:v>
      </x:c>
      <x:c r="S789" s="15" t="str"/>
      <x:c r="T789" s="7" t="str">
        <x:v>No public business phone in collected record</x:v>
      </x:c>
      <x:c r="U789" s="7" t="str">
        <x:v>600 N WEST SHORE BLVD STE 500 TAMPA FL, 33609-1110</x:v>
      </x:c>
      <x:c r="V789" s="7" t="str">
        <x:v>Non-resident</x:v>
      </x:c>
      <x:c r="W789" s="7" t="str">
        <x:v>FL</x:v>
      </x:c>
      <x:c r="X789" s="7" t="str"/>
      <x:c r="Y789" s="7" t="str">
        <x:v>AETNA LIFE INSURANCE COMPANY / Accident &amp; Health or Sickness / 10/31/2024
UNITEDHEALTHCARE INSURANCE COMPANY / Accident &amp; Health or Sickness / 07/19/2026</x:v>
      </x:c>
      <x:c r="Z789" s="7" t="str"/>
      <x:c r="AA789" s="7" t="str"/>
      <x:c r="AB789" s="7" t="str"/>
      <x:c r="AC789" s="7" t="str"/>
      <x:c r="AD789" s="7" t="str">
        <x:v>Active A&amp;H supports optional cross-selling; not necessary for target products</x:v>
      </x:c>
      <x:c r="AE789" s="7" t="str">
        <x:v>Displayed insurer appointments are A&amp;H/disability only despite active Life authority | Nonresident or address state outside CA; confirm geographic recruiting scope | No public business phone: contact enrichment needed, not proof of poor recruiting fit</x:v>
      </x:c>
      <x:c r="AF789" s="16" t="str"/>
      <x:c r="AG789" s="17" t="str"/>
      <x:c r="AH789" s="7" t="str"/>
      <x:c r="AI789" s="7" t="str"/>
      <x:c r="AJ789" s="7" t="str"/>
      <x:c r="AK789" s="15" t="str"/>
      <x:c r="AL789" s="7" t="str"/>
      <x:c r="AM789" s="7" t="str">
        <x:v>AGUILAR MALTEZ  CESAR</x:v>
      </x:c>
      <x:c r="AN789" s="7" t="str">
        <x:v>https://cdicloud.insurance.ca.gov/cal/LicenseDetail?SearchType=IND&amp;SearchLicNbr=4396872&amp;SearchIndvId=4396872</x:v>
      </x:c>
      <x:c r="AO789" s="7" t="str">
        <x:v>2026-10-08</x:v>
      </x:c>
      <x:c r="AP789" s="7" t="str">
        <x:v>462cba79e8ce2badcba9aa3f2b8cc0e3a275caf4d32b520cb189b608a382140d</x:v>
      </x:c>
      <x:c r="AQ789" s="7" t="str">
        <x:v>Accident &amp; Health or Sickness / Active / 07/26/2024 / 07/26/2024 / 07/31/2028</x:v>
      </x:c>
      <x:c r="AR789" s="7" t="str">
        <x:v>Active</x:v>
      </x:c>
      <x:c r="AS789" s="7" t="str">
        <x:v>Current detail page</x:v>
      </x:c>
    </x:row>
    <x:row r="790" ht="52" customHeight="1">
      <x:c r="A790" s="7" t="str">
        <x:v>AGUILAR MANUEL ARTURO</x:v>
      </x:c>
      <x:c r="B790" s="14" t="str">
        <x:f>"0I30631"</x:f>
        <x:v>0I30631</x:v>
      </x:c>
      <x:c r="C790" s="7" t="str">
        <x:v>Omitted</x:v>
      </x:c>
      <x:c r="D790" s="7" t="str">
        <x:v>FAIL</x:v>
      </x:c>
      <x:c r="E790" s="13" t="str">
        <x:v>Pending</x:v>
      </x:c>
      <x:c r="F790" s="13" t="str"/>
      <x:c r="G790" s="13" t="str"/>
      <x:c r="H790" s="13" t="str"/>
      <x:c r="I790" s="7" t="str">
        <x:v>Was this person reviewed? If rejected, give the actual rule and evidence. If acceptable, correct the omission. Confirm the Life-qualification gate and any record change since selection.</x:v>
      </x:c>
      <x:c r="J790" s="7" t="str">
        <x:v>L1</x:v>
      </x:c>
      <x:c r="K790" s="7" t="str">
        <x:v>Verified qualifications do not include active general Life. Current target-pool mismatch; actual historical omission reason unknown.</x:v>
      </x:c>
      <x:c r="L790" s="7" t="str">
        <x:v>Not supplied; membership is known, motive is not</x:v>
      </x:c>
      <x:c r="M790" s="7" t="n">
        <x:v>7</x:v>
      </x:c>
      <x:c r="N790" s="7" t="str">
        <x:v>Outside current general-Life recruiting pool</x:v>
      </x:c>
      <x:c r="O790" s="7" t="str">
        <x:v>Not displayed</x:v>
      </x:c>
      <x:c r="P790" s="7" t="str"/>
      <x:c r="Q790" s="7" t="str"/>
      <x:c r="R790" s="7" t="str"/>
      <x:c r="S790" s="15" t="str"/>
      <x:c r="T790" s="7" t="str">
        <x:v>No public business phone in collected record</x:v>
      </x:c>
      <x:c r="U790" s="7" t="str"/>
      <x:c r="V790" s="7" t="str">
        <x:v>Resident</x:v>
      </x:c>
      <x:c r="W790" s="7" t="str">
        <x:v>CA</x:v>
      </x:c>
      <x:c r="X790" s="7" t="str"/>
      <x:c r="Y790" s="7" t="str"/>
      <x:c r="Z790" s="7" t="str"/>
      <x:c r="AA790" s="7" t="str"/>
      <x:c r="AB790" s="7" t="str"/>
      <x:c r="AC790" s="7" t="str"/>
      <x:c r="AD790" s="7" t="str">
        <x:v>No agency or insurer displayed: onboarding opportunity possible; existing business unknown</x:v>
      </x:c>
      <x:c r="AE790" s="7" t="str">
        <x:v>No public business phone: contact enrichment needed, not proof of poor recruiting fit</x:v>
      </x:c>
      <x:c r="AF790" s="16" t="str"/>
      <x:c r="AG790" s="17" t="str"/>
      <x:c r="AH790" s="7" t="str"/>
      <x:c r="AI790" s="7" t="str"/>
      <x:c r="AJ790" s="7" t="str"/>
      <x:c r="AK790" s="15" t="str"/>
      <x:c r="AL790" s="7" t="str"/>
      <x:c r="AM790" s="7" t="str">
        <x:v>AGUILAR ARTURO MANUEL</x:v>
      </x:c>
      <x:c r="AN790" s="7" t="str">
        <x:v>https://cdicloud.insurance.ca.gov/cal/LicenseDetail?SearchType=IND&amp;SearchLicNbr=0I30631&amp;SearchIndvId=1566196</x:v>
      </x:c>
      <x:c r="AO790" s="7" t="str">
        <x:v>2026-10-08</x:v>
      </x:c>
      <x:c r="AP790" s="7" t="str">
        <x:v>8d7b609438c5829f8bb411617db2e2e86a7248fa9d2ea010f71c100ced73b212</x:v>
      </x:c>
      <x:c r="AQ790" s="7" t="str">
        <x:v>Personal Lines Broker-Agent / Inactive / 04/26/2013 / 04/30/2019 / 04/30/2019</x:v>
      </x:c>
      <x:c r="AR790" s="7" t="str">
        <x:v>Inactive</x:v>
      </x:c>
      <x:c r="AS790" s="7" t="str">
        <x:v>Current detail page</x:v>
      </x:c>
    </x:row>
    <x:row r="791" ht="52" customHeight="1">
      <x:c r="A791" s="7" t="str">
        <x:v>AGUILAR MANUEL DE JESUS JR</x:v>
      </x:c>
      <x:c r="B791" s="14" t="str">
        <x:f>"4396481"</x:f>
        <x:v>4396481</x:v>
      </x:c>
      <x:c r="C791" s="7" t="str">
        <x:v>Omitted</x:v>
      </x:c>
      <x:c r="D791" s="7" t="str">
        <x:v>FAIL</x:v>
      </x:c>
      <x:c r="E791" s="13" t="str">
        <x:v>Pending</x:v>
      </x:c>
      <x:c r="F791" s="13" t="str"/>
      <x:c r="G791" s="13" t="str"/>
      <x:c r="H791" s="13" t="str"/>
      <x:c r="I791" s="7" t="str">
        <x:v>Was this person reviewed? If rejected, give the actual rule and evidence. If acceptable, correct the omission. Confirm the Life-qualification gate and any record change since selection.</x:v>
      </x:c>
      <x:c r="J791" s="7" t="str">
        <x:v>L1</x:v>
      </x:c>
      <x:c r="K791" s="7" t="str">
        <x:v>Verified qualifications do not include active general Life. Current target-pool mismatch; actual historical omission reason unknown.</x:v>
      </x:c>
      <x:c r="L791" s="7" t="str">
        <x:v>Not supplied; membership is known, motive is not</x:v>
      </x:c>
      <x:c r="M791" s="7" t="n">
        <x:v>7</x:v>
      </x:c>
      <x:c r="N791" s="7" t="str">
        <x:v>Outside current general-Life recruiting pool</x:v>
      </x:c>
      <x:c r="O791" s="7" t="str"/>
      <x:c r="P791" s="7" t="str">
        <x:v>08/08/2024</x:v>
      </x:c>
      <x:c r="Q791" s="7" t="str">
        <x:v>08/31/2026</x:v>
      </x:c>
      <x:c r="R791" s="7" t="str"/>
      <x:c r="S791" s="15" t="str"/>
      <x:c r="T791" s="7" t="str">
        <x:v>No public business phone in collected record</x:v>
      </x:c>
      <x:c r="U791" s="7" t="str"/>
      <x:c r="V791" s="7" t="str">
        <x:v>Resident</x:v>
      </x:c>
      <x:c r="W791" s="7" t="str">
        <x:v>CA</x:v>
      </x:c>
      <x:c r="X791" s="7" t="str"/>
      <x:c r="Y791" s="7" t="str"/>
      <x:c r="Z791" s="7" t="str"/>
      <x:c r="AA791" s="7" t="str"/>
      <x:c r="AB791" s="7" t="str"/>
      <x:c r="AC791" s="7" t="str"/>
      <x:c r="AD791" s="7" t="str">
        <x:v>No agency or insurer displayed: onboarding opportunity possible; existing business unknown</x:v>
      </x:c>
      <x:c r="AE791" s="7" t="str">
        <x:v>No public business phone: contact enrichment needed, not proof of poor recruiting fit</x:v>
      </x:c>
      <x:c r="AF791" s="16" t="str"/>
      <x:c r="AG791" s="17" t="str"/>
      <x:c r="AH791" s="7" t="str"/>
      <x:c r="AI791" s="7" t="str">
        <x:v>English</x:v>
      </x:c>
      <x:c r="AJ791" s="7" t="str"/>
      <x:c r="AK791" s="15" t="str"/>
      <x:c r="AL791" s="7" t="str"/>
      <x:c r="AM791" s="7" t="str">
        <x:v>AGUILAR DE JESUS MANUEL</x:v>
      </x:c>
      <x:c r="AN791" s="7" t="str">
        <x:v>https://cdicloud.insurance.ca.gov/cal/LicenseDetail?SearchType=IND&amp;SearchLicNbr=4396481&amp;SearchIndvId=4396481</x:v>
      </x:c>
      <x:c r="AO791" s="7" t="str">
        <x:v>2026-10-08</x:v>
      </x:c>
      <x:c r="AP791" s="7" t="str">
        <x:v>72de2d4ff590889e66cdd6f3dd8fa270f24b8ed640c66fdfc1061c7ef7e683b6</x:v>
      </x:c>
      <x:c r="AQ791" s="7" t="str">
        <x:v>Accident &amp; Health or Sickness /  / 08/08/2024 / 08/31/2026 / 08/31/2026
Life /  / 08/08/2024 / 08/31/2026 / 08/31/2026</x:v>
      </x:c>
      <x:c r="AR791" s="7" t="str"/>
      <x:c r="AS791" s="7" t="str">
        <x:v>Current detail page</x:v>
      </x:c>
    </x:row>
    <x:row r="792" ht="52" customHeight="1">
      <x:c r="A792" s="7" t="str">
        <x:v>AGUILAR MANUEL ENRIQUE</x:v>
      </x:c>
      <x:c r="B792" s="14" t="str">
        <x:f>"0D44553"</x:f>
        <x:v>0D44553</x:v>
      </x:c>
      <x:c r="C792" s="7" t="str">
        <x:v>Omitted</x:v>
      </x:c>
      <x:c r="D792" s="7" t="str">
        <x:v>FAIL</x:v>
      </x:c>
      <x:c r="E792" s="13" t="str">
        <x:v>Pending</x:v>
      </x:c>
      <x:c r="F792" s="13" t="str"/>
      <x:c r="G792" s="13" t="str"/>
      <x:c r="H792" s="13" t="str"/>
      <x:c r="I792" s="7" t="str">
        <x:v>Was this person reviewed? If rejected, give the actual rule and evidence. If acceptable, correct the omission. Confirm the Life-qualification gate and any record change since selection.</x:v>
      </x:c>
      <x:c r="J792" s="7" t="str">
        <x:v>L1</x:v>
      </x:c>
      <x:c r="K792" s="7" t="str">
        <x:v>Verified qualifications do not include active general Life. Current target-pool mismatch; actual historical omission reason unknown.</x:v>
      </x:c>
      <x:c r="L792" s="7" t="str">
        <x:v>Not supplied; membership is known, motive is not</x:v>
      </x:c>
      <x:c r="M792" s="7" t="n">
        <x:v>7</x:v>
      </x:c>
      <x:c r="N792" s="7" t="str">
        <x:v>Outside current general-Life recruiting pool</x:v>
      </x:c>
      <x:c r="O792" s="7" t="str">
        <x:v>Not displayed</x:v>
      </x:c>
      <x:c r="P792" s="7" t="str"/>
      <x:c r="Q792" s="7" t="str"/>
      <x:c r="R792" s="7" t="str"/>
      <x:c r="S792" s="15" t="str"/>
      <x:c r="T792" s="7" t="str">
        <x:v>No public business phone in collected record</x:v>
      </x:c>
      <x:c r="U792" s="7" t="str"/>
      <x:c r="V792" s="7" t="str">
        <x:v>Resident</x:v>
      </x:c>
      <x:c r="W792" s="7" t="str">
        <x:v>CA</x:v>
      </x:c>
      <x:c r="X792" s="7" t="str"/>
      <x:c r="Y792" s="7" t="str"/>
      <x:c r="Z792" s="7" t="str"/>
      <x:c r="AA792" s="7" t="str"/>
      <x:c r="AB792" s="7" t="str"/>
      <x:c r="AC792" s="7" t="str"/>
      <x:c r="AD792" s="7" t="str">
        <x:v>No agency or insurer displayed: onboarding opportunity possible; existing business unknown</x:v>
      </x:c>
      <x:c r="AE792" s="7" t="str">
        <x:v>No public business phone: contact enrichment needed, not proof of poor recruiting fit</x:v>
      </x:c>
      <x:c r="AF792" s="16" t="str"/>
      <x:c r="AG792" s="17" t="str"/>
      <x:c r="AH792" s="7" t="str"/>
      <x:c r="AI792" s="7" t="str"/>
      <x:c r="AJ792" s="7" t="str"/>
      <x:c r="AK792" s="15" t="str"/>
      <x:c r="AL792" s="7" t="str"/>
      <x:c r="AM792" s="7" t="str">
        <x:v>AGUILAR ENRIQUE MANUEL</x:v>
      </x:c>
      <x:c r="AN792" s="7" t="str">
        <x:v>https://cdicloud.insurance.ca.gov/cal/LicenseDetail?SearchType=IND&amp;SearchLicNbr=0D44553&amp;SearchIndvId=592156</x:v>
      </x:c>
      <x:c r="AO792" s="7" t="str">
        <x:v>2026-10-08</x:v>
      </x:c>
      <x:c r="AP792" s="7" t="str">
        <x:v>73b6887dea3e83730e2291240ca7fc725414d9632f90ac3635bb843d589ed235</x:v>
      </x:c>
      <x:c r="AQ792" s="7" t="str">
        <x:v>Accident and Health / Inactive / 10/11/2001 / 10/31/2003 / 10/31/2003
Life-Only / Inactive / 10/11/2001 / 10/31/2003 / 10/31/2003</x:v>
      </x:c>
      <x:c r="AR792" s="7" t="str">
        <x:v>Inactive</x:v>
      </x:c>
      <x:c r="AS792" s="7" t="str">
        <x:v>Current detail page</x:v>
      </x:c>
    </x:row>
    <x:row r="793" ht="52" customHeight="1">
      <x:c r="A793" s="7" t="str">
        <x:v>AGUILAR MANUEL ENRIQUE JR</x:v>
      </x:c>
      <x:c r="B793" s="14" t="str">
        <x:f>"0G37844"</x:f>
        <x:v>0G37844</x:v>
      </x:c>
      <x:c r="C793" s="7" t="str">
        <x:v>Omitted</x:v>
      </x:c>
      <x:c r="D793" s="7" t="str">
        <x:v>FAIL</x:v>
      </x:c>
      <x:c r="E793" s="13" t="str">
        <x:v>Pending</x:v>
      </x:c>
      <x:c r="F793" s="13" t="str"/>
      <x:c r="G793" s="13" t="str"/>
      <x:c r="H793" s="13" t="str"/>
      <x:c r="I793" s="7" t="str">
        <x:v>Was this person reviewed? If rejected, give the actual rule and evidence. If acceptable, correct the omission. Confirm the Life-qualification gate and any record change since selection.</x:v>
      </x:c>
      <x:c r="J793" s="7" t="str">
        <x:v>L1</x:v>
      </x:c>
      <x:c r="K793" s="7" t="str">
        <x:v>Verified qualifications do not include active general Life. Current target-pool mismatch; actual historical omission reason unknown.</x:v>
      </x:c>
      <x:c r="L793" s="7" t="str">
        <x:v>Not supplied; membership is known, motive is not</x:v>
      </x:c>
      <x:c r="M793" s="7" t="n">
        <x:v>7</x:v>
      </x:c>
      <x:c r="N793" s="7" t="str">
        <x:v>Outside current general-Life recruiting pool</x:v>
      </x:c>
      <x:c r="O793" s="7" t="str">
        <x:v>Not displayed</x:v>
      </x:c>
      <x:c r="P793" s="7" t="str"/>
      <x:c r="Q793" s="7" t="str"/>
      <x:c r="R793" s="7" t="str"/>
      <x:c r="S793" s="15" t="str"/>
      <x:c r="T793" s="7" t="str">
        <x:v>No public business phone in collected record</x:v>
      </x:c>
      <x:c r="U793" s="7" t="str"/>
      <x:c r="V793" s="7" t="str">
        <x:v>Resident</x:v>
      </x:c>
      <x:c r="W793" s="7" t="str">
        <x:v>CA</x:v>
      </x:c>
      <x:c r="X793" s="7" t="str"/>
      <x:c r="Y793" s="7" t="str"/>
      <x:c r="Z793" s="7" t="str"/>
      <x:c r="AA793" s="7" t="str"/>
      <x:c r="AB793" s="7" t="str"/>
      <x:c r="AC793" s="7" t="str"/>
      <x:c r="AD793" s="7" t="str">
        <x:v>No agency or insurer displayed: onboarding opportunity possible; existing business unknown</x:v>
      </x:c>
      <x:c r="AE793" s="7" t="str">
        <x:v>No public business phone: contact enrichment needed, not proof of poor recruiting fit</x:v>
      </x:c>
      <x:c r="AF793" s="16" t="str"/>
      <x:c r="AG793" s="17" t="str"/>
      <x:c r="AH793" s="7" t="str"/>
      <x:c r="AI793" s="7" t="str"/>
      <x:c r="AJ793" s="7" t="str"/>
      <x:c r="AK793" s="15" t="str"/>
      <x:c r="AL793" s="7" t="str"/>
      <x:c r="AM793" s="7" t="str">
        <x:v>AGUILAR ENRIQUE MANUEL</x:v>
      </x:c>
      <x:c r="AN793" s="7" t="str">
        <x:v>https://cdicloud.insurance.ca.gov/cal/LicenseDetail?SearchType=IND&amp;SearchLicNbr=0G37844&amp;SearchIndvId=1203694</x:v>
      </x:c>
      <x:c r="AO793" s="7" t="str">
        <x:v>2026-10-08</x:v>
      </x:c>
      <x:c r="AP793" s="7" t="str">
        <x:v>c78b57045511d31574870b13c189e6daca9d638e5725b5b0a5e79cae06a14bac</x:v>
      </x:c>
      <x:c r="AQ793" s="7" t="str">
        <x:v>Life-Only / Inactive / 11/12/2008 / 11/30/2010 / 11/30/2010</x:v>
      </x:c>
      <x:c r="AR793" s="7" t="str">
        <x:v>Inactive</x:v>
      </x:c>
      <x:c r="AS793" s="7" t="str">
        <x:v>Current detail page</x:v>
      </x:c>
    </x:row>
    <x:row r="794" ht="52" customHeight="1">
      <x:c r="A794" s="7" t="str">
        <x:v>AGUILAR MANUEL HILARIO</x:v>
      </x:c>
      <x:c r="B794" s="14" t="str">
        <x:f>"0D94319"</x:f>
        <x:v>0D94319</x:v>
      </x:c>
      <x:c r="C794" s="7" t="str">
        <x:v>Omitted</x:v>
      </x:c>
      <x:c r="D794" s="7" t="str">
        <x:v>FAIL</x:v>
      </x:c>
      <x:c r="E794" s="13" t="str">
        <x:v>Pending</x:v>
      </x:c>
      <x:c r="F794" s="13" t="str"/>
      <x:c r="G794" s="13" t="str"/>
      <x:c r="H794" s="13" t="str"/>
      <x:c r="I794" s="7" t="str">
        <x:v>Was this person reviewed? If rejected, give the actual rule and evidence. If acceptable, correct the omission. Confirm the Life-qualification gate and any record change since selection.</x:v>
      </x:c>
      <x:c r="J794" s="7" t="str">
        <x:v>L1</x:v>
      </x:c>
      <x:c r="K794" s="7" t="str">
        <x:v>Verified qualifications do not include active general Life. Current target-pool mismatch; actual historical omission reason unknown.</x:v>
      </x:c>
      <x:c r="L794" s="7" t="str">
        <x:v>Not supplied; membership is known, motive is not</x:v>
      </x:c>
      <x:c r="M794" s="7" t="n">
        <x:v>7</x:v>
      </x:c>
      <x:c r="N794" s="7" t="str">
        <x:v>Outside current general-Life recruiting pool</x:v>
      </x:c>
      <x:c r="O794" s="7" t="str">
        <x:v>Not displayed</x:v>
      </x:c>
      <x:c r="P794" s="7" t="str"/>
      <x:c r="Q794" s="7" t="str"/>
      <x:c r="R794" s="7" t="str"/>
      <x:c r="S794" s="15" t="str"/>
      <x:c r="T794" s="7" t="str">
        <x:v>No public business phone in collected record</x:v>
      </x:c>
      <x:c r="U794" s="7" t="str"/>
      <x:c r="V794" s="7" t="str">
        <x:v>Resident</x:v>
      </x:c>
      <x:c r="W794" s="7" t="str">
        <x:v>CA</x:v>
      </x:c>
      <x:c r="X794" s="7" t="str"/>
      <x:c r="Y794" s="7" t="str"/>
      <x:c r="Z794" s="7" t="str"/>
      <x:c r="AA794" s="7" t="str"/>
      <x:c r="AB794" s="7" t="str"/>
      <x:c r="AC794" s="7" t="str"/>
      <x:c r="AD794" s="7" t="str">
        <x:v>No agency or insurer displayed: onboarding opportunity possible; existing business unknown</x:v>
      </x:c>
      <x:c r="AE794" s="7" t="str">
        <x:v>No public business phone: contact enrichment needed, not proof of poor recruiting fit</x:v>
      </x:c>
      <x:c r="AF794" s="16" t="str"/>
      <x:c r="AG794" s="17" t="str"/>
      <x:c r="AH794" s="7" t="str"/>
      <x:c r="AI794" s="7" t="str"/>
      <x:c r="AJ794" s="7" t="str"/>
      <x:c r="AK794" s="15" t="str"/>
      <x:c r="AL794" s="7" t="str"/>
      <x:c r="AM794" s="7" t="str">
        <x:v>AGUILAR HILARIO MANUEL</x:v>
      </x:c>
      <x:c r="AN794" s="7" t="str">
        <x:v>https://cdicloud.insurance.ca.gov/cal/LicenseDetail?SearchType=IND&amp;SearchLicNbr=0D94319&amp;SearchIndvId=835860</x:v>
      </x:c>
      <x:c r="AO794" s="7" t="str">
        <x:v>2026-10-08</x:v>
      </x:c>
      <x:c r="AP794" s="7" t="str">
        <x:v>693408daa19c3272188c9dda48bed64222ef62c53363c881d19556a9a8f93264</x:v>
      </x:c>
      <x:c r="AQ794" s="7" t="str">
        <x:v>Motor Club Agent / Inactive / 03/26/2003 / 03/31/2005 / 03/31/2005</x:v>
      </x:c>
      <x:c r="AR794" s="7" t="str">
        <x:v>Inactive</x:v>
      </x:c>
      <x:c r="AS794" s="7" t="str">
        <x:v>Current detail page</x:v>
      </x:c>
    </x:row>
    <x:row r="795" ht="52" customHeight="1">
      <x:c r="A795" s="7" t="str">
        <x:v>AGUILAR MANUEL JR</x:v>
      </x:c>
      <x:c r="B795" s="14" t="str">
        <x:f>"0H80573"</x:f>
        <x:v>0H80573</x:v>
      </x:c>
      <x:c r="C795" s="7" t="str">
        <x:v>Omitted</x:v>
      </x:c>
      <x:c r="D795" s="7" t="str">
        <x:v>FAIL</x:v>
      </x:c>
      <x:c r="E795" s="13" t="str">
        <x:v>Pending</x:v>
      </x:c>
      <x:c r="F795" s="13" t="str"/>
      <x:c r="G795" s="13" t="str"/>
      <x:c r="H795" s="13" t="str"/>
      <x:c r="I795" s="7" t="str">
        <x:v>Was this person reviewed? If rejected, give the actual rule and evidence. If acceptable, correct the omission. Confirm the Life-qualification gate and any record change since selection.</x:v>
      </x:c>
      <x:c r="J795" s="7" t="str">
        <x:v>L1</x:v>
      </x:c>
      <x:c r="K795" s="7" t="str">
        <x:v>Verified qualifications do not include active general Life. Current target-pool mismatch; actual historical omission reason unknown.</x:v>
      </x:c>
      <x:c r="L795" s="7" t="str">
        <x:v>Not supplied; membership is known, motive is not</x:v>
      </x:c>
      <x:c r="M795" s="7" t="n">
        <x:v>7</x:v>
      </x:c>
      <x:c r="N795" s="7" t="str">
        <x:v>Outside current general-Life recruiting pool</x:v>
      </x:c>
      <x:c r="O795" s="7" t="str">
        <x:v>Not displayed</x:v>
      </x:c>
      <x:c r="P795" s="7" t="str"/>
      <x:c r="Q795" s="7" t="str"/>
      <x:c r="R795" s="7" t="str"/>
      <x:c r="S795" s="15" t="str"/>
      <x:c r="T795" s="7" t="str">
        <x:v>No public business phone in collected record</x:v>
      </x:c>
      <x:c r="U795" s="7" t="str"/>
      <x:c r="V795" s="7" t="str">
        <x:v>Resident</x:v>
      </x:c>
      <x:c r="W795" s="7" t="str">
        <x:v>CA</x:v>
      </x:c>
      <x:c r="X795" s="7" t="str"/>
      <x:c r="Y795" s="7" t="str"/>
      <x:c r="Z795" s="7" t="str"/>
      <x:c r="AA795" s="7" t="str"/>
      <x:c r="AB795" s="7" t="str"/>
      <x:c r="AC795" s="7" t="str"/>
      <x:c r="AD795" s="7" t="str">
        <x:v>No agency or insurer displayed: onboarding opportunity possible; existing business unknown</x:v>
      </x:c>
      <x:c r="AE795" s="7" t="str">
        <x:v>No public business phone: contact enrichment needed, not proof of poor recruiting fit</x:v>
      </x:c>
      <x:c r="AF795" s="16" t="str"/>
      <x:c r="AG795" s="17" t="str"/>
      <x:c r="AH795" s="7" t="str"/>
      <x:c r="AI795" s="7" t="str"/>
      <x:c r="AJ795" s="7" t="str"/>
      <x:c r="AK795" s="15" t="str"/>
      <x:c r="AL795" s="7" t="str"/>
      <x:c r="AM795" s="7" t="str">
        <x:v>AGUILAR  MANUEL</x:v>
      </x:c>
      <x:c r="AN795" s="7" t="str">
        <x:v>https://cdicloud.insurance.ca.gov/cal/LicenseDetail?SearchType=IND&amp;SearchLicNbr=0H80573&amp;SearchIndvId=1506829</x:v>
      </x:c>
      <x:c r="AO795" s="7" t="str">
        <x:v>2026-10-08</x:v>
      </x:c>
      <x:c r="AP795" s="7" t="str">
        <x:v>ee37375fba012b1a9e84d1a0643014ad3d78f369348a0797e66a16fc3be6164b</x:v>
      </x:c>
      <x:c r="AQ795" s="7" t="str">
        <x:v>Life-Only / Inactive / 04/09/2012 / 04/30/2016 / 04/30/2016</x:v>
      </x:c>
      <x:c r="AR795" s="7" t="str">
        <x:v>Inactive</x:v>
      </x:c>
      <x:c r="AS795" s="7" t="str">
        <x:v>Current detail page</x:v>
      </x:c>
    </x:row>
    <x:row r="796" ht="52" customHeight="1">
      <x:c r="A796" s="7" t="str">
        <x:v>AGUILAR MANUEL MORALES</x:v>
      </x:c>
      <x:c r="B796" s="14" t="str">
        <x:f>"0I14408"</x:f>
        <x:v>0I14408</x:v>
      </x:c>
      <x:c r="C796" s="7" t="str">
        <x:v>Omitted</x:v>
      </x:c>
      <x:c r="D796" s="7" t="str">
        <x:v>FAIL</x:v>
      </x:c>
      <x:c r="E796" s="13" t="str">
        <x:v>Pending</x:v>
      </x:c>
      <x:c r="F796" s="13" t="str"/>
      <x:c r="G796" s="13" t="str"/>
      <x:c r="H796" s="13" t="str"/>
      <x:c r="I796" s="7" t="str">
        <x:v>Was this person reviewed? If rejected, give the actual rule and evidence. If acceptable, correct the omission. Confirm the Life-qualification gate and any record change since selection.</x:v>
      </x:c>
      <x:c r="J796" s="7" t="str">
        <x:v>L1</x:v>
      </x:c>
      <x:c r="K796" s="7" t="str">
        <x:v>Verified qualifications do not include active general Life. Current target-pool mismatch; actual historical omission reason unknown.</x:v>
      </x:c>
      <x:c r="L796" s="7" t="str">
        <x:v>Not supplied; membership is known, motive is not</x:v>
      </x:c>
      <x:c r="M796" s="7" t="n">
        <x:v>7</x:v>
      </x:c>
      <x:c r="N796" s="7" t="str">
        <x:v>Outside current general-Life recruiting pool</x:v>
      </x:c>
      <x:c r="O796" s="7" t="str">
        <x:v>Not displayed</x:v>
      </x:c>
      <x:c r="P796" s="7" t="str"/>
      <x:c r="Q796" s="7" t="str"/>
      <x:c r="R796" s="7" t="str"/>
      <x:c r="S796" s="15" t="str"/>
      <x:c r="T796" s="7" t="str">
        <x:v>No public business phone in collected record</x:v>
      </x:c>
      <x:c r="U796" s="7" t="str"/>
      <x:c r="V796" s="7" t="str">
        <x:v>Resident</x:v>
      </x:c>
      <x:c r="W796" s="7" t="str">
        <x:v>CA</x:v>
      </x:c>
      <x:c r="X796" s="7" t="str"/>
      <x:c r="Y796" s="7" t="str"/>
      <x:c r="Z796" s="7" t="str"/>
      <x:c r="AA796" s="7" t="str"/>
      <x:c r="AB796" s="7" t="str"/>
      <x:c r="AC796" s="7" t="str"/>
      <x:c r="AD796" s="7" t="str">
        <x:v>No agency or insurer displayed: onboarding opportunity possible; existing business unknown</x:v>
      </x:c>
      <x:c r="AE796" s="7" t="str">
        <x:v>No public business phone: contact enrichment needed, not proof of poor recruiting fit</x:v>
      </x:c>
      <x:c r="AF796" s="16" t="str"/>
      <x:c r="AG796" s="17" t="str"/>
      <x:c r="AH796" s="7" t="str"/>
      <x:c r="AI796" s="7" t="str"/>
      <x:c r="AJ796" s="7" t="str"/>
      <x:c r="AK796" s="15" t="str"/>
      <x:c r="AL796" s="7" t="str"/>
      <x:c r="AM796" s="7" t="str">
        <x:v>AGUILAR MORALES MANUEL</x:v>
      </x:c>
      <x:c r="AN796" s="7" t="str">
        <x:v>https://cdicloud.insurance.ca.gov/cal/LicenseDetail?SearchType=IND&amp;SearchLicNbr=0I14408&amp;SearchIndvId=1545842</x:v>
      </x:c>
      <x:c r="AO796" s="7" t="str">
        <x:v>2026-10-08</x:v>
      </x:c>
      <x:c r="AP796" s="7" t="str">
        <x:v>1360a86bb31884759c2b876a2ce1ba9f33ada89a1df933f7bb9938b158f630cf</x:v>
      </x:c>
      <x:c r="AQ796" s="7" t="str">
        <x:v>Life-Only / Inactive / 11/26/2012 / 11/30/2014 / 11/30/2014</x:v>
      </x:c>
      <x:c r="AR796" s="7" t="str">
        <x:v>Inactive</x:v>
      </x:c>
      <x:c r="AS796" s="7" t="str">
        <x:v>Current detail page</x:v>
      </x:c>
    </x:row>
    <x:row r="797" ht="52" customHeight="1">
      <x:c r="A797" s="7" t="str">
        <x:v>AGUILAR MANUEL OSWALDO MR</x:v>
      </x:c>
      <x:c r="B797" s="14" t="str">
        <x:f>"0F12690"</x:f>
        <x:v>0F12690</x:v>
      </x:c>
      <x:c r="C797" s="7" t="str">
        <x:v>Omitted</x:v>
      </x:c>
      <x:c r="D797" s="7" t="str">
        <x:v>FAIL</x:v>
      </x:c>
      <x:c r="E797" s="13" t="str">
        <x:v>Pending</x:v>
      </x:c>
      <x:c r="F797" s="13" t="str"/>
      <x:c r="G797" s="13" t="str"/>
      <x:c r="H797" s="13" t="str"/>
      <x:c r="I797" s="7" t="str">
        <x:v>Was this person reviewed? If rejected, give the actual rule and evidence. If acceptable, correct the omission. Confirm the Life-qualification gate and any record change since selection.</x:v>
      </x:c>
      <x:c r="J797" s="7" t="str">
        <x:v>L1</x:v>
      </x:c>
      <x:c r="K797" s="7" t="str">
        <x:v>Verified qualifications do not include active general Life. Current target-pool mismatch; actual historical omission reason unknown.</x:v>
      </x:c>
      <x:c r="L797" s="7" t="str">
        <x:v>Not supplied; membership is known, motive is not</x:v>
      </x:c>
      <x:c r="M797" s="7" t="n">
        <x:v>7</x:v>
      </x:c>
      <x:c r="N797" s="7" t="str">
        <x:v>Outside current general-Life recruiting pool</x:v>
      </x:c>
      <x:c r="O797" s="7" t="str">
        <x:v>Not displayed</x:v>
      </x:c>
      <x:c r="P797" s="7" t="str"/>
      <x:c r="Q797" s="7" t="str"/>
      <x:c r="R797" s="7" t="str"/>
      <x:c r="S797" s="15" t="str"/>
      <x:c r="T797" s="7" t="str">
        <x:v>No public business phone in collected record</x:v>
      </x:c>
      <x:c r="U797" s="7" t="str"/>
      <x:c r="V797" s="7" t="str">
        <x:v>Resident</x:v>
      </x:c>
      <x:c r="W797" s="7" t="str">
        <x:v>CA</x:v>
      </x:c>
      <x:c r="X797" s="7" t="str"/>
      <x:c r="Y797" s="7" t="str"/>
      <x:c r="Z797" s="7" t="str"/>
      <x:c r="AA797" s="7" t="str"/>
      <x:c r="AB797" s="7" t="str"/>
      <x:c r="AC797" s="7" t="str"/>
      <x:c r="AD797" s="7" t="str">
        <x:v>No agency or insurer displayed: onboarding opportunity possible; existing business unknown</x:v>
      </x:c>
      <x:c r="AE797" s="7" t="str">
        <x:v>No public business phone: contact enrichment needed, not proof of poor recruiting fit</x:v>
      </x:c>
      <x:c r="AF797" s="16" t="str"/>
      <x:c r="AG797" s="17" t="str"/>
      <x:c r="AH797" s="7" t="str"/>
      <x:c r="AI797" s="7" t="str"/>
      <x:c r="AJ797" s="7" t="str"/>
      <x:c r="AK797" s="15" t="str"/>
      <x:c r="AL797" s="7" t="str"/>
      <x:c r="AM797" s="7" t="str">
        <x:v>AGUILAR OSWALDO MANUEL</x:v>
      </x:c>
      <x:c r="AN797" s="7" t="str">
        <x:v>https://cdicloud.insurance.ca.gov/cal/LicenseDetail?SearchType=IND&amp;SearchLicNbr=0F12690&amp;SearchIndvId=1001985</x:v>
      </x:c>
      <x:c r="AO797" s="7" t="str">
        <x:v>2026-10-08</x:v>
      </x:c>
      <x:c r="AP797" s="7" t="str">
        <x:v>756c8fb667b523f035ebb374208ac4fb461e271acee2f16e9eb1c73391f75888</x:v>
      </x:c>
      <x:c r="AQ797" s="7" t="str">
        <x:v>Accident and Health / Inactive / 03/29/2006 / 03/31/2008 / 03/31/2008
Life-Only / Inactive / 03/29/2006 / 03/31/2008 / 03/31/2008</x:v>
      </x:c>
      <x:c r="AR797" s="7" t="str">
        <x:v>Inactive</x:v>
      </x:c>
      <x:c r="AS797" s="7" t="str">
        <x:v>Current detail page</x:v>
      </x:c>
    </x:row>
    <x:row r="798" ht="52" customHeight="1">
      <x:c r="A798" s="7" t="str">
        <x:v>AGUILAR MANUEL RUIZ</x:v>
      </x:c>
      <x:c r="B798" s="14" t="str">
        <x:f>"0G68229"</x:f>
        <x:v>0G68229</x:v>
      </x:c>
      <x:c r="C798" s="7" t="str">
        <x:v>Omitted</x:v>
      </x:c>
      <x:c r="D798" s="7" t="str">
        <x:v>FAIL</x:v>
      </x:c>
      <x:c r="E798" s="13" t="str">
        <x:v>Pending</x:v>
      </x:c>
      <x:c r="F798" s="13" t="str"/>
      <x:c r="G798" s="13" t="str"/>
      <x:c r="H798" s="13" t="str"/>
      <x:c r="I798" s="7" t="str">
        <x:v>Was this person reviewed? If rejected, give the actual rule and evidence. If acceptable, correct the omission. Confirm the Life-qualification gate and any record change since selection.</x:v>
      </x:c>
      <x:c r="J798" s="7" t="str">
        <x:v>L1</x:v>
      </x:c>
      <x:c r="K798" s="7" t="str">
        <x:v>Verified qualifications do not include active general Life. Current target-pool mismatch; actual historical omission reason unknown.</x:v>
      </x:c>
      <x:c r="L798" s="7" t="str">
        <x:v>Not supplied; membership is known, motive is not</x:v>
      </x:c>
      <x:c r="M798" s="7" t="n">
        <x:v>7</x:v>
      </x:c>
      <x:c r="N798" s="7" t="str">
        <x:v>Outside current general-Life recruiting pool</x:v>
      </x:c>
      <x:c r="O798" s="7" t="str">
        <x:v>Not displayed</x:v>
      </x:c>
      <x:c r="P798" s="7" t="str"/>
      <x:c r="Q798" s="7" t="str"/>
      <x:c r="R798" s="7" t="str"/>
      <x:c r="S798" s="15" t="str"/>
      <x:c r="T798" s="7" t="str">
        <x:v>No public business phone in collected record</x:v>
      </x:c>
      <x:c r="U798" s="7" t="str"/>
      <x:c r="V798" s="7" t="str">
        <x:v>Resident</x:v>
      </x:c>
      <x:c r="W798" s="7" t="str">
        <x:v>CA</x:v>
      </x:c>
      <x:c r="X798" s="7" t="str"/>
      <x:c r="Y798" s="7" t="str"/>
      <x:c r="Z798" s="7" t="str"/>
      <x:c r="AA798" s="7" t="str"/>
      <x:c r="AB798" s="7" t="str"/>
      <x:c r="AC798" s="7" t="str"/>
      <x:c r="AD798" s="7" t="str">
        <x:v>No agency or insurer displayed: onboarding opportunity possible; existing business unknown</x:v>
      </x:c>
      <x:c r="AE798" s="7" t="str">
        <x:v>No public business phone: contact enrichment needed, not proof of poor recruiting fit</x:v>
      </x:c>
      <x:c r="AF798" s="16" t="str"/>
      <x:c r="AG798" s="17" t="str"/>
      <x:c r="AH798" s="7" t="str"/>
      <x:c r="AI798" s="7" t="str"/>
      <x:c r="AJ798" s="7" t="str"/>
      <x:c r="AK798" s="15" t="str"/>
      <x:c r="AL798" s="7" t="str"/>
      <x:c r="AM798" s="7" t="str">
        <x:v>AGUILAR RUIZ MANUEL</x:v>
      </x:c>
      <x:c r="AN798" s="7" t="str">
        <x:v>https://cdicloud.insurance.ca.gov/cal/LicenseDetail?SearchType=IND&amp;SearchLicNbr=0G68229&amp;SearchIndvId=1272470</x:v>
      </x:c>
      <x:c r="AO798" s="7" t="str">
        <x:v>2026-10-08</x:v>
      </x:c>
      <x:c r="AP798" s="7" t="str">
        <x:v>f8c136da7410ff33135ba0ac6e02f48fa38b43b92c8d246f759ab8b5c3c3727d</x:v>
      </x:c>
      <x:c r="AQ798" s="7" t="str">
        <x:v>Life-Only / Inactive / 07/13/2009 / 07/31/2011 / 07/31/2011</x:v>
      </x:c>
      <x:c r="AR798" s="7" t="str">
        <x:v>Inactive</x:v>
      </x:c>
      <x:c r="AS798" s="7" t="str">
        <x:v>Current detail page</x:v>
      </x:c>
    </x:row>
    <x:row r="799" ht="52" customHeight="1">
      <x:c r="A799" s="7" t="str">
        <x:v>AGUILAR MANUELA GOMEZ</x:v>
      </x:c>
      <x:c r="B799" s="14" t="str">
        <x:f>"0A75022"</x:f>
        <x:v>0A75022</x:v>
      </x:c>
      <x:c r="C799" s="7" t="str">
        <x:v>Omitted</x:v>
      </x:c>
      <x:c r="D799" s="7" t="str">
        <x:v>FAIL</x:v>
      </x:c>
      <x:c r="E799" s="13" t="str">
        <x:v>Pending</x:v>
      </x:c>
      <x:c r="F799" s="13" t="str"/>
      <x:c r="G799" s="13" t="str"/>
      <x:c r="H799" s="13" t="str"/>
      <x:c r="I799" s="7" t="str">
        <x:v>Was this person reviewed? If rejected, give the actual rule and evidence. If acceptable, correct the omission. Confirm the Life-qualification gate and any record change since selection.</x:v>
      </x:c>
      <x:c r="J799" s="7" t="str">
        <x:v>L1</x:v>
      </x:c>
      <x:c r="K799" s="7" t="str">
        <x:v>Verified qualifications do not include active general Life. Current target-pool mismatch; actual historical omission reason unknown.</x:v>
      </x:c>
      <x:c r="L799" s="7" t="str">
        <x:v>Not supplied; membership is known, motive is not</x:v>
      </x:c>
      <x:c r="M799" s="7" t="n">
        <x:v>7</x:v>
      </x:c>
      <x:c r="N799" s="7" t="str">
        <x:v>Outside current general-Life recruiting pool</x:v>
      </x:c>
      <x:c r="O799" s="7" t="str">
        <x:v>Inactive</x:v>
      </x:c>
      <x:c r="P799" s="7" t="str">
        <x:v>08/03/1989</x:v>
      </x:c>
      <x:c r="Q799" s="7" t="str">
        <x:v>04/30/2023</x:v>
      </x:c>
      <x:c r="R799" s="7" t="str"/>
      <x:c r="S799" s="15" t="str">
        <x:v>562-714-7749</x:v>
      </x:c>
      <x:c r="T799" s="7" t="str">
        <x:v>Current CDI</x:v>
      </x:c>
      <x:c r="U799" s="7" t="str">
        <x:v>8422 TERRADELL ST PICO RIVERA CA, 90660</x:v>
      </x:c>
      <x:c r="V799" s="7" t="str">
        <x:v>Resident</x:v>
      </x:c>
      <x:c r="W799" s="7" t="str">
        <x:v>CA</x:v>
      </x:c>
      <x:c r="X799" s="7" t="str"/>
      <x:c r="Y799" s="7" t="str"/>
      <x:c r="Z799" s="7" t="str"/>
      <x:c r="AA799" s="7" t="str"/>
      <x:c r="AB799" s="7" t="str"/>
      <x:c r="AC799" s="7" t="str"/>
      <x:c r="AD799" s="7" t="str">
        <x:v>No agency or insurer displayed: onboarding opportunity possible; existing business unknown</x:v>
      </x:c>
      <x:c r="AE799" s="7" t="str"/>
      <x:c r="AF799" s="16" t="str"/>
      <x:c r="AG799" s="17" t="str"/>
      <x:c r="AH799" s="7" t="str"/>
      <x:c r="AI799" s="7" t="str">
        <x:v>English</x:v>
      </x:c>
      <x:c r="AJ799" s="7" t="str"/>
      <x:c r="AK799" s="15" t="str"/>
      <x:c r="AL799" s="7" t="str"/>
      <x:c r="AM799" s="7" t="str">
        <x:v>AGUILAR GOMEZ MANUELA</x:v>
      </x:c>
      <x:c r="AN799" s="7" t="str">
        <x:v>https://cdicloud.insurance.ca.gov/cal/LicenseDetail?SearchType=IND&amp;SearchLicNbr=0A75022&amp;SearchIndvId=169728</x:v>
      </x:c>
      <x:c r="AO799" s="7" t="str">
        <x:v>2026-10-08</x:v>
      </x:c>
      <x:c r="AP799" s="7" t="str">
        <x:v>1fd8fca6653f3cef27397ee7f3cad6063fa411b403b03122390a8eeefd58a811</x:v>
      </x:c>
      <x:c r="AQ799" s="7" t="str">
        <x:v>Accident &amp; Health or Sickness / Inactive / 08/03/1989 / 04/30/2023 / 04/30/2023
Casualty / Inactive / 10/01/1998 / 04/30/2023 / 04/30/2023
Life / Inactive / 08/03/1989 / 04/30/2023 / 04/30/2023
Property / Inactive / 10/01/1998 / 04/30/2023 / 04/30/2023</x:v>
      </x:c>
      <x:c r="AR799" s="7" t="str">
        <x:v>Inactive</x:v>
      </x:c>
      <x:c r="AS799" s="7" t="str">
        <x:v>Current detail page</x:v>
      </x:c>
    </x:row>
    <x:row r="800" ht="52" customHeight="1">
      <x:c r="A800" s="7" t="str">
        <x:v>AGUILAR MARC ANTHONY</x:v>
      </x:c>
      <x:c r="B800" s="14" t="str">
        <x:f>"0K96962"</x:f>
        <x:v>0K96962</x:v>
      </x:c>
      <x:c r="C800" s="7" t="str">
        <x:v>Omitted</x:v>
      </x:c>
      <x:c r="D800" s="7" t="str">
        <x:v>FAIL</x:v>
      </x:c>
      <x:c r="E800" s="13" t="str">
        <x:v>Pending</x:v>
      </x:c>
      <x:c r="F800" s="13" t="str"/>
      <x:c r="G800" s="13" t="str"/>
      <x:c r="H800" s="13" t="str"/>
      <x:c r="I800" s="7" t="str">
        <x:v>Was this person reviewed? If rejected, give the actual rule and evidence. If acceptable, correct the omission. Confirm the Life-qualification gate and any record change since selection.</x:v>
      </x:c>
      <x:c r="J800" s="7" t="str">
        <x:v>L1</x:v>
      </x:c>
      <x:c r="K800" s="7" t="str">
        <x:v>Verified qualifications do not include active general Life. Current target-pool mismatch; actual historical omission reason unknown.</x:v>
      </x:c>
      <x:c r="L800" s="7" t="str">
        <x:v>Not supplied; membership is known, motive is not</x:v>
      </x:c>
      <x:c r="M800" s="7" t="n">
        <x:v>7</x:v>
      </x:c>
      <x:c r="N800" s="7" t="str">
        <x:v>Outside current general-Life recruiting pool</x:v>
      </x:c>
      <x:c r="O800" s="7" t="str">
        <x:v>Not displayed</x:v>
      </x:c>
      <x:c r="P800" s="7" t="str"/>
      <x:c r="Q800" s="7" t="str"/>
      <x:c r="R800" s="7" t="str"/>
      <x:c r="S800" s="15" t="str"/>
      <x:c r="T800" s="7" t="str">
        <x:v>No public business phone in collected record</x:v>
      </x:c>
      <x:c r="U800" s="7" t="str"/>
      <x:c r="V800" s="7" t="str">
        <x:v>Resident</x:v>
      </x:c>
      <x:c r="W800" s="7" t="str">
        <x:v>CA</x:v>
      </x:c>
      <x:c r="X800" s="7" t="str"/>
      <x:c r="Y800" s="7" t="str"/>
      <x:c r="Z800" s="7" t="str"/>
      <x:c r="AA800" s="7" t="str"/>
      <x:c r="AB800" s="7" t="str"/>
      <x:c r="AC800" s="7" t="str"/>
      <x:c r="AD800" s="7" t="str">
        <x:v>No agency or insurer displayed: onboarding opportunity possible; existing business unknown</x:v>
      </x:c>
      <x:c r="AE800" s="7" t="str">
        <x:v>No public business phone: contact enrichment needed, not proof of poor recruiting fit</x:v>
      </x:c>
      <x:c r="AF800" s="16" t="str"/>
      <x:c r="AG800" s="17" t="str"/>
      <x:c r="AH800" s="7" t="str"/>
      <x:c r="AI800" s="7" t="str"/>
      <x:c r="AJ800" s="7" t="str"/>
      <x:c r="AK800" s="15" t="str"/>
      <x:c r="AL800" s="7" t="str"/>
      <x:c r="AM800" s="7" t="str">
        <x:v>aguilar a marc | AGUILAR ANTHONY MARC</x:v>
      </x:c>
      <x:c r="AN800" s="7" t="str">
        <x:v>https://cdicloud.insurance.ca.gov/cal/LicenseDetail?SearchType=IND&amp;SearchLicNbr=0K96962&amp;SearchIndvId=1846980</x:v>
      </x:c>
      <x:c r="AO800" s="7" t="str">
        <x:v>2026-10-08</x:v>
      </x:c>
      <x:c r="AP800" s="7" t="str">
        <x:v>98c304789072f651613eb45f4d9b9f83f882d7f2f3e805052b45242d872360c8</x:v>
      </x:c>
      <x:c r="AQ800" s="7" t="str">
        <x:v>Life-Only / Inactive / 06/27/2016 / 06/30/2018 / 06/30/2018</x:v>
      </x:c>
      <x:c r="AR800" s="7" t="str">
        <x:v>Inactive</x:v>
      </x:c>
      <x:c r="AS800" s="7" t="str">
        <x:v>Current detail page</x:v>
      </x:c>
    </x:row>
    <x:row r="801" ht="52" customHeight="1">
      <x:c r="A801" s="7" t="str">
        <x:v>AGUILAR MARCEL</x:v>
      </x:c>
      <x:c r="B801" s="14" t="str">
        <x:f>"0M74480"</x:f>
        <x:v>0M74480</x:v>
      </x:c>
      <x:c r="C801" s="7" t="str">
        <x:v>Omitted</x:v>
      </x:c>
      <x:c r="D801" s="7" t="str">
        <x:v>FAIL</x:v>
      </x:c>
      <x:c r="E801" s="13" t="str">
        <x:v>Pending</x:v>
      </x:c>
      <x:c r="F801" s="13" t="str"/>
      <x:c r="G801" s="13" t="str"/>
      <x:c r="H801" s="13" t="str"/>
      <x:c r="I801" s="7" t="str">
        <x:v>Was this person reviewed? If rejected, give the actual rule and evidence. If acceptable, correct the omission. Confirm the Life-qualification gate and any record change since selection.</x:v>
      </x:c>
      <x:c r="J801" s="7" t="str">
        <x:v>L1</x:v>
      </x:c>
      <x:c r="K801" s="7" t="str">
        <x:v>Verified qualifications do not include active general Life. Current target-pool mismatch; actual historical omission reason unknown.</x:v>
      </x:c>
      <x:c r="L801" s="7" t="str">
        <x:v>Not supplied; membership is known, motive is not</x:v>
      </x:c>
      <x:c r="M801" s="7" t="n">
        <x:v>7</x:v>
      </x:c>
      <x:c r="N801" s="7" t="str">
        <x:v>Outside current general-Life recruiting pool</x:v>
      </x:c>
      <x:c r="O801" s="7" t="str">
        <x:v>Inactive</x:v>
      </x:c>
      <x:c r="P801" s="7" t="str">
        <x:v>12/21/2018</x:v>
      </x:c>
      <x:c r="Q801" s="7" t="str">
        <x:v>12/31/2022</x:v>
      </x:c>
      <x:c r="R801" s="7" t="str"/>
      <x:c r="S801" s="15" t="str"/>
      <x:c r="T801" s="7" t="str">
        <x:v>No public business phone in collected record</x:v>
      </x:c>
      <x:c r="U801" s="7" t="str">
        <x:v>3200 SOUTHWEST FWY STE 1900 HOUSTON TX, 77027</x:v>
      </x:c>
      <x:c r="V801" s="7" t="str">
        <x:v>Non-resident</x:v>
      </x:c>
      <x:c r="W801" s="7" t="str">
        <x:v>TX</x:v>
      </x:c>
      <x:c r="X801" s="7" t="str"/>
      <x:c r="Y801" s="7" t="str"/>
      <x:c r="Z801" s="7" t="str"/>
      <x:c r="AA801" s="7" t="str"/>
      <x:c r="AB801" s="7" t="str"/>
      <x:c r="AC801" s="7" t="str"/>
      <x:c r="AD801" s="7" t="str">
        <x:v>No agency or insurer displayed: onboarding opportunity possible; existing business unknown</x:v>
      </x:c>
      <x:c r="AE801" s="7" t="str">
        <x:v>Nonresident or address state outside CA; confirm geographic recruiting scope | No public business phone: contact enrichment needed, not proof of poor recruiting fit</x:v>
      </x:c>
      <x:c r="AF801" s="16" t="str"/>
      <x:c r="AG801" s="17" t="str"/>
      <x:c r="AH801" s="7" t="str"/>
      <x:c r="AI801" s="7" t="str"/>
      <x:c r="AJ801" s="7" t="str"/>
      <x:c r="AK801" s="15" t="str"/>
      <x:c r="AL801" s="7" t="str"/>
      <x:c r="AM801" s="7" t="str">
        <x:v>AGUILAR  MARCEL</x:v>
      </x:c>
      <x:c r="AN801" s="7" t="str">
        <x:v>https://cdicloud.insurance.ca.gov/cal/LicenseDetail?SearchType=IND&amp;SearchLicNbr=0M74480&amp;SearchIndvId=2079276</x:v>
      </x:c>
      <x:c r="AO801" s="7" t="str">
        <x:v>2026-10-08</x:v>
      </x:c>
      <x:c r="AP801" s="7" t="str">
        <x:v>07a061b79f455b2fc55d5cf4a6935b69f231e7a0f4ab3318007103dd76a0289b</x:v>
      </x:c>
      <x:c r="AQ801" s="7" t="str">
        <x:v>Accident &amp; Health or Sickness / Inactive / 12/21/2018 / 12/31/2022 / 12/31/2022
Life / Inactive / 12/21/2018 / 12/31/2022 / 12/31/2022</x:v>
      </x:c>
      <x:c r="AR801" s="7" t="str">
        <x:v>Inactive</x:v>
      </x:c>
      <x:c r="AS801" s="7" t="str">
        <x:v>Current detail page</x:v>
      </x:c>
    </x:row>
    <x:row r="802" ht="52" customHeight="1">
      <x:c r="A802" s="7" t="str">
        <x:v>AGUILAR MARCELA</x:v>
      </x:c>
      <x:c r="B802" s="14" t="str">
        <x:f>"4106808"</x:f>
        <x:v>4106808</x:v>
      </x:c>
      <x:c r="C802" s="7" t="str">
        <x:v>Omitted</x:v>
      </x:c>
      <x:c r="D802" s="7" t="str">
        <x:v>FAIL</x:v>
      </x:c>
      <x:c r="E802" s="13" t="str">
        <x:v>Pending</x:v>
      </x:c>
      <x:c r="F802" s="13" t="str"/>
      <x:c r="G802" s="13" t="str"/>
      <x:c r="H802" s="13" t="str"/>
      <x:c r="I802" s="7" t="str">
        <x:v>Was this person reviewed? If rejected, give the actual rule and evidence. If acceptable, correct the omission. Confirm the Life-qualification gate and any record change since selection.</x:v>
      </x:c>
      <x:c r="J802" s="7" t="str">
        <x:v>L1</x:v>
      </x:c>
      <x:c r="K802" s="7" t="str">
        <x:v>Verified qualifications do not include active general Life. Current target-pool mismatch; actual historical omission reason unknown.</x:v>
      </x:c>
      <x:c r="L802" s="7" t="str">
        <x:v>Not supplied; membership is known, motive is not</x:v>
      </x:c>
      <x:c r="M802" s="7" t="n">
        <x:v>7</x:v>
      </x:c>
      <x:c r="N802" s="7" t="str">
        <x:v>Outside current general-Life recruiting pool</x:v>
      </x:c>
      <x:c r="O802" s="7" t="str">
        <x:v>Inactive</x:v>
      </x:c>
      <x:c r="P802" s="7" t="str">
        <x:v>03/24/2021</x:v>
      </x:c>
      <x:c r="Q802" s="7" t="str">
        <x:v>11/08/2022</x:v>
      </x:c>
      <x:c r="R802" s="7" t="str"/>
      <x:c r="S802" s="15" t="str">
        <x:v>818-238-0086</x:v>
      </x:c>
      <x:c r="T802" s="7" t="str">
        <x:v>Current CDI</x:v>
      </x:c>
      <x:c r="U802" s="7" t="str">
        <x:v>533 N VICTORY BLVD BURBANK CA, 91502</x:v>
      </x:c>
      <x:c r="V802" s="7" t="str">
        <x:v>Resident</x:v>
      </x:c>
      <x:c r="W802" s="7" t="str">
        <x:v>CA</x:v>
      </x:c>
      <x:c r="X802" s="7" t="str"/>
      <x:c r="Y802" s="7" t="str"/>
      <x:c r="Z802" s="7" t="str"/>
      <x:c r="AA802" s="7" t="str"/>
      <x:c r="AB802" s="7" t="str"/>
      <x:c r="AC802" s="7" t="str"/>
      <x:c r="AD802" s="7" t="str">
        <x:v>No agency or insurer displayed: onboarding opportunity possible; existing business unknown</x:v>
      </x:c>
      <x:c r="AE802" s="7" t="str"/>
      <x:c r="AF802" s="16" t="str"/>
      <x:c r="AG802" s="17" t="str"/>
      <x:c r="AH802" s="7" t="str"/>
      <x:c r="AI802" s="7" t="str">
        <x:v>English</x:v>
      </x:c>
      <x:c r="AJ802" s="7" t="str"/>
      <x:c r="AK802" s="15" t="str"/>
      <x:c r="AL802" s="7" t="str"/>
      <x:c r="AM802" s="7" t="str">
        <x:v>AGUILAR  MARCELA</x:v>
      </x:c>
      <x:c r="AN802" s="7" t="str">
        <x:v>https://cdicloud.insurance.ca.gov/cal/LicenseDetail?SearchType=IND&amp;SearchLicNbr=4106808&amp;SearchIndvId=4106808</x:v>
      </x:c>
      <x:c r="AO802" s="7" t="str">
        <x:v>2026-10-08</x:v>
      </x:c>
      <x:c r="AP802" s="7" t="str">
        <x:v>5bfca0e5ccf1f2bc6d483bdaad25bcaf4f4eb3dc338b05af2110bff274ace3e2</x:v>
      </x:c>
      <x:c r="AQ802" s="7" t="str">
        <x:v>Life / Inactive / 03/24/2021 / 11/08/2022 / 11/08/2022</x:v>
      </x:c>
      <x:c r="AR802" s="7" t="str">
        <x:v>Inactive</x:v>
      </x:c>
      <x:c r="AS802" s="7" t="str">
        <x:v>Current detail page</x:v>
      </x:c>
    </x:row>
    <x:row r="803" ht="52" customHeight="1">
      <x:c r="A803" s="7" t="str">
        <x:v>AGUILAR MARCO ANTONIO</x:v>
      </x:c>
      <x:c r="B803" s="14" t="str">
        <x:f>"0E10032"</x:f>
        <x:v>0E10032</x:v>
      </x:c>
      <x:c r="C803" s="7" t="str">
        <x:v>Omitted</x:v>
      </x:c>
      <x:c r="D803" s="7" t="str">
        <x:v>FAIL</x:v>
      </x:c>
      <x:c r="E803" s="13" t="str">
        <x:v>Pending</x:v>
      </x:c>
      <x:c r="F803" s="13" t="str"/>
      <x:c r="G803" s="13" t="str"/>
      <x:c r="H803" s="13" t="str"/>
      <x:c r="I803" s="7" t="str">
        <x:v>Was this person reviewed? If rejected, give the actual rule and evidence. If acceptable, correct the omission. Confirm the Life-qualification gate and any record change since selection.</x:v>
      </x:c>
      <x:c r="J803" s="7" t="str">
        <x:v>L1</x:v>
      </x:c>
      <x:c r="K803" s="7" t="str">
        <x:v>Verified qualifications do not include active general Life. Current target-pool mismatch; actual historical omission reason unknown.</x:v>
      </x:c>
      <x:c r="L803" s="7" t="str">
        <x:v>Not supplied; membership is known, motive is not</x:v>
      </x:c>
      <x:c r="M803" s="7" t="n">
        <x:v>7</x:v>
      </x:c>
      <x:c r="N803" s="7" t="str">
        <x:v>Outside current general-Life recruiting pool</x:v>
      </x:c>
      <x:c r="O803" s="7" t="str">
        <x:v>Not displayed</x:v>
      </x:c>
      <x:c r="P803" s="7" t="str"/>
      <x:c r="Q803" s="7" t="str"/>
      <x:c r="R803" s="7" t="str"/>
      <x:c r="S803" s="15" t="str"/>
      <x:c r="T803" s="7" t="str">
        <x:v>No public business phone in collected record</x:v>
      </x:c>
      <x:c r="U803" s="7" t="str"/>
      <x:c r="V803" s="7" t="str">
        <x:v>Resident</x:v>
      </x:c>
      <x:c r="W803" s="7" t="str">
        <x:v>CA</x:v>
      </x:c>
      <x:c r="X803" s="7" t="str"/>
      <x:c r="Y803" s="7" t="str"/>
      <x:c r="Z803" s="7" t="str"/>
      <x:c r="AA803" s="7" t="str"/>
      <x:c r="AB803" s="7" t="str"/>
      <x:c r="AC803" s="7" t="str"/>
      <x:c r="AD803" s="7" t="str">
        <x:v>No agency or insurer displayed: onboarding opportunity possible; existing business unknown</x:v>
      </x:c>
      <x:c r="AE803" s="7" t="str">
        <x:v>No public business phone: contact enrichment needed, not proof of poor recruiting fit</x:v>
      </x:c>
      <x:c r="AF803" s="16" t="str"/>
      <x:c r="AG803" s="17" t="str"/>
      <x:c r="AH803" s="7" t="str"/>
      <x:c r="AI803" s="7" t="str"/>
      <x:c r="AJ803" s="7" t="str"/>
      <x:c r="AK803" s="15" t="str"/>
      <x:c r="AL803" s="7" t="str"/>
      <x:c r="AM803" s="7" t="str">
        <x:v>AGUILAR ANTONIO MARCO</x:v>
      </x:c>
      <x:c r="AN803" s="7" t="str">
        <x:v>https://cdicloud.insurance.ca.gov/cal/LicenseDetail?SearchType=IND&amp;SearchLicNbr=0E10032&amp;SearchIndvId=857194</x:v>
      </x:c>
      <x:c r="AO803" s="7" t="str">
        <x:v>2026-10-08</x:v>
      </x:c>
      <x:c r="AP803" s="7" t="str">
        <x:v>ebf5eedd647a865e1bacf125beb3a91c58317de86da2a6d5686c465fb7b96932</x:v>
      </x:c>
      <x:c r="AQ803" s="7" t="str">
        <x:v>Accident and Health / Inactive / 08/07/2003 / 08/31/2013 / 08/31/2013
Life-Only / Inactive / 08/07/2003 / 08/31/2013 / 08/31/2013</x:v>
      </x:c>
      <x:c r="AR803" s="7" t="str">
        <x:v>Inactive</x:v>
      </x:c>
      <x:c r="AS803" s="7" t="str">
        <x:v>Current detail page</x:v>
      </x:c>
    </x:row>
    <x:row r="804" ht="52" customHeight="1">
      <x:c r="A804" s="7" t="str">
        <x:v>AGUILAR MARCO ANTONIO</x:v>
      </x:c>
      <x:c r="B804" s="14" t="str">
        <x:f>"0F29876"</x:f>
        <x:v>0F29876</x:v>
      </x:c>
      <x:c r="C804" s="7" t="str">
        <x:v>Omitted</x:v>
      </x:c>
      <x:c r="D804" s="7" t="str">
        <x:v>FAIL</x:v>
      </x:c>
      <x:c r="E804" s="13" t="str">
        <x:v>Pending</x:v>
      </x:c>
      <x:c r="F804" s="13" t="str"/>
      <x:c r="G804" s="13" t="str"/>
      <x:c r="H804" s="13" t="str"/>
      <x:c r="I804" s="7" t="str">
        <x:v>Was this person reviewed? If rejected, give the actual rule and evidence. If acceptable, correct the omission. Confirm the Life-qualification gate and any record change since selection.</x:v>
      </x:c>
      <x:c r="J804" s="7" t="str">
        <x:v>L1</x:v>
      </x:c>
      <x:c r="K804" s="7" t="str">
        <x:v>Verified qualifications do not include active general Life. Current target-pool mismatch; actual historical omission reason unknown.</x:v>
      </x:c>
      <x:c r="L804" s="7" t="str">
        <x:v>Not supplied; membership is known, motive is not</x:v>
      </x:c>
      <x:c r="M804" s="7" t="n">
        <x:v>7</x:v>
      </x:c>
      <x:c r="N804" s="7" t="str">
        <x:v>Outside current general-Life recruiting pool</x:v>
      </x:c>
      <x:c r="O804" s="7" t="str">
        <x:v>Not displayed</x:v>
      </x:c>
      <x:c r="P804" s="7" t="str"/>
      <x:c r="Q804" s="7" t="str"/>
      <x:c r="R804" s="7" t="str"/>
      <x:c r="S804" s="15" t="str"/>
      <x:c r="T804" s="7" t="str">
        <x:v>No public business phone in collected record</x:v>
      </x:c>
      <x:c r="U804" s="7" t="str"/>
      <x:c r="V804" s="7" t="str">
        <x:v>Resident</x:v>
      </x:c>
      <x:c r="W804" s="7" t="str">
        <x:v>CA</x:v>
      </x:c>
      <x:c r="X804" s="7" t="str"/>
      <x:c r="Y804" s="7" t="str"/>
      <x:c r="Z804" s="7" t="str"/>
      <x:c r="AA804" s="7" t="str"/>
      <x:c r="AB804" s="7" t="str"/>
      <x:c r="AC804" s="7" t="str"/>
      <x:c r="AD804" s="7" t="str">
        <x:v>No agency or insurer displayed: onboarding opportunity possible; existing business unknown</x:v>
      </x:c>
      <x:c r="AE804" s="7" t="str">
        <x:v>No public business phone: contact enrichment needed, not proof of poor recruiting fit</x:v>
      </x:c>
      <x:c r="AF804" s="16" t="str"/>
      <x:c r="AG804" s="17" t="str"/>
      <x:c r="AH804" s="7" t="str"/>
      <x:c r="AI804" s="7" t="str"/>
      <x:c r="AJ804" s="7" t="str"/>
      <x:c r="AK804" s="15" t="str"/>
      <x:c r="AL804" s="7" t="str"/>
      <x:c r="AM804" s="7" t="str">
        <x:v>AGUILAR ANTONIO MARCO</x:v>
      </x:c>
      <x:c r="AN804" s="7" t="str">
        <x:v>https://cdicloud.insurance.ca.gov/cal/LicenseDetail?SearchType=IND&amp;SearchLicNbr=0F29876&amp;SearchIndvId=1040253</x:v>
      </x:c>
      <x:c r="AO804" s="7" t="str">
        <x:v>2026-10-08</x:v>
      </x:c>
      <x:c r="AP804" s="7" t="str">
        <x:v>87a60a473df49c6404fbcf7478ba42455c3297a9ccda6cb29e66c0fcaab60d06</x:v>
      </x:c>
      <x:c r="AQ804" s="7" t="str">
        <x:v>Accident and Health / Inactive / 08/11/2006 / 08/31/2008 / 08/31/2008
Life-Only / Inactive / 08/11/2006 / 08/31/2008 / 08/31/2008</x:v>
      </x:c>
      <x:c r="AR804" s="7" t="str">
        <x:v>Inactive</x:v>
      </x:c>
      <x:c r="AS804" s="7" t="str">
        <x:v>Current detail page</x:v>
      </x:c>
    </x:row>
    <x:row r="805" ht="52" customHeight="1">
      <x:c r="A805" s="7" t="str">
        <x:v>AGUILAR MARCO ANTONIO</x:v>
      </x:c>
      <x:c r="B805" s="14" t="str">
        <x:f>"0G51587"</x:f>
        <x:v>0G51587</x:v>
      </x:c>
      <x:c r="C805" s="7" t="str">
        <x:v>Omitted</x:v>
      </x:c>
      <x:c r="D805" s="7" t="str">
        <x:v>FAIL</x:v>
      </x:c>
      <x:c r="E805" s="13" t="str">
        <x:v>Pending</x:v>
      </x:c>
      <x:c r="F805" s="13" t="str"/>
      <x:c r="G805" s="13" t="str"/>
      <x:c r="H805" s="13" t="str"/>
      <x:c r="I805" s="7" t="str">
        <x:v>Was this person reviewed? If rejected, give the actual rule and evidence. If acceptable, correct the omission. Confirm the Life-qualification gate and any record change since selection.</x:v>
      </x:c>
      <x:c r="J805" s="7" t="str">
        <x:v>L1</x:v>
      </x:c>
      <x:c r="K805" s="7" t="str">
        <x:v>Verified qualifications do not include active general Life. Current target-pool mismatch; actual historical omission reason unknown.</x:v>
      </x:c>
      <x:c r="L805" s="7" t="str">
        <x:v>Not supplied; membership is known, motive is not</x:v>
      </x:c>
      <x:c r="M805" s="7" t="n">
        <x:v>7</x:v>
      </x:c>
      <x:c r="N805" s="7" t="str">
        <x:v>Outside current general-Life recruiting pool</x:v>
      </x:c>
      <x:c r="O805" s="7" t="str">
        <x:v>Not displayed</x:v>
      </x:c>
      <x:c r="P805" s="7" t="str"/>
      <x:c r="Q805" s="7" t="str"/>
      <x:c r="R805" s="7" t="str"/>
      <x:c r="S805" s="15" t="str">
        <x:v>951-785-5111</x:v>
      </x:c>
      <x:c r="T805" s="7" t="str">
        <x:v>Current CDI</x:v>
      </x:c>
      <x:c r="U805" s="7" t="str">
        <x:v>15147 RAWHIDE CT VICTORVILLE CA, 92394-6742</x:v>
      </x:c>
      <x:c r="V805" s="7" t="str">
        <x:v>Resident</x:v>
      </x:c>
      <x:c r="W805" s="7" t="str">
        <x:v>CA</x:v>
      </x:c>
      <x:c r="X805" s="7" t="str"/>
      <x:c r="Y805" s="7" t="str"/>
      <x:c r="Z805" s="7" t="str"/>
      <x:c r="AA805" s="7" t="str"/>
      <x:c r="AB805" s="7" t="str"/>
      <x:c r="AC805" s="7" t="str"/>
      <x:c r="AD805" s="7" t="str">
        <x:v>No agency or insurer displayed: onboarding opportunity possible; existing business unknown</x:v>
      </x:c>
      <x:c r="AE805" s="7" t="str"/>
      <x:c r="AF805" s="16" t="str"/>
      <x:c r="AG805" s="17" t="str"/>
      <x:c r="AH805" s="7" t="str"/>
      <x:c r="AI805" s="7" t="str">
        <x:v>English</x:v>
      </x:c>
      <x:c r="AJ805" s="7" t="str"/>
      <x:c r="AK805" s="15" t="str"/>
      <x:c r="AL805" s="7" t="str"/>
      <x:c r="AM805" s="7" t="str">
        <x:v>AGUILAR ANTONIO MARCO</x:v>
      </x:c>
      <x:c r="AN805" s="7" t="str">
        <x:v>https://cdicloud.insurance.ca.gov/cal/LicenseDetail?SearchType=IND&amp;SearchLicNbr=0G51587&amp;SearchIndvId=1236648</x:v>
      </x:c>
      <x:c r="AO805" s="7" t="str">
        <x:v>2026-10-08</x:v>
      </x:c>
      <x:c r="AP805" s="7" t="str">
        <x:v>e059f67e4c4caee7c38b6156448308ec40617287093f661111fc2e4a09cb798a</x:v>
      </x:c>
      <x:c r="AQ805" s="7" t="str">
        <x:v>Casualty / Inactive / 03/04/2009 / 03/31/2023 / 03/31/2023
Property / Inactive / 03/04/2009 / 03/31/2023 / 03/31/2023</x:v>
      </x:c>
      <x:c r="AR805" s="7" t="str">
        <x:v>Inactive</x:v>
      </x:c>
      <x:c r="AS805" s="7" t="str">
        <x:v>Current detail page</x:v>
      </x:c>
    </x:row>
    <x:row r="806" ht="52" customHeight="1">
      <x:c r="A806" s="7" t="str">
        <x:v>AGUILAR MARCO ANTONIO</x:v>
      </x:c>
      <x:c r="B806" s="14" t="str">
        <x:f>"0H10442"</x:f>
        <x:v>0H10442</x:v>
      </x:c>
      <x:c r="C806" s="7" t="str">
        <x:v>Omitted</x:v>
      </x:c>
      <x:c r="D806" s="7" t="str">
        <x:v>FAIL</x:v>
      </x:c>
      <x:c r="E806" s="13" t="str">
        <x:v>Pending</x:v>
      </x:c>
      <x:c r="F806" s="13" t="str"/>
      <x:c r="G806" s="13" t="str"/>
      <x:c r="H806" s="13" t="str"/>
      <x:c r="I806" s="7" t="str">
        <x:v>Was this person reviewed? If rejected, give the actual rule and evidence. If acceptable, correct the omission. Confirm the Life-qualification gate and any record change since selection.</x:v>
      </x:c>
      <x:c r="J806" s="7" t="str">
        <x:v>L1</x:v>
      </x:c>
      <x:c r="K806" s="7" t="str">
        <x:v>Verified qualifications do not include active general Life. Current target-pool mismatch; actual historical omission reason unknown.</x:v>
      </x:c>
      <x:c r="L806" s="7" t="str">
        <x:v>Not supplied; membership is known, motive is not</x:v>
      </x:c>
      <x:c r="M806" s="7" t="n">
        <x:v>7</x:v>
      </x:c>
      <x:c r="N806" s="7" t="str">
        <x:v>Outside current general-Life recruiting pool</x:v>
      </x:c>
      <x:c r="O806" s="7" t="str">
        <x:v>Not displayed</x:v>
      </x:c>
      <x:c r="P806" s="7" t="str"/>
      <x:c r="Q806" s="7" t="str"/>
      <x:c r="R806" s="7" t="str"/>
      <x:c r="S806" s="15" t="str"/>
      <x:c r="T806" s="7" t="str">
        <x:v>No public business phone in collected record</x:v>
      </x:c>
      <x:c r="U806" s="7" t="str"/>
      <x:c r="V806" s="7" t="str">
        <x:v>Resident</x:v>
      </x:c>
      <x:c r="W806" s="7" t="str">
        <x:v>CA</x:v>
      </x:c>
      <x:c r="X806" s="7" t="str"/>
      <x:c r="Y806" s="7" t="str"/>
      <x:c r="Z806" s="7" t="str">
        <x:v>ORDER ID: &lt;LBB006219&gt; AP APPLICATION FOR LICENSE TO ACT AS A LIFE-ONLY AGENT AND ACCIDENT AND HEALTH AGENT IS HEREBY DENIED; ISSUE IN LIEU THEREOF A RESTRICTED LICENSE. / 09/13/2010</x:v>
      </x:c>
      <x:c r="AA806" s="7" t="str"/>
      <x:c r="AB806" s="7" t="str"/>
      <x:c r="AC806" s="7" t="str"/>
      <x:c r="AD806" s="7" t="str">
        <x:v>No agency or insurer displayed: onboarding opportunity possible; existing business unknown</x:v>
      </x:c>
      <x:c r="AE806" s="7" t="str">
        <x:v>Enforcement order requires direct review; latest displayed order is not a removal order | No public business phone: contact enrichment needed, not proof of poor recruiting fit</x:v>
      </x:c>
      <x:c r="AF806" s="16" t="str"/>
      <x:c r="AG806" s="17" t="str"/>
      <x:c r="AH806" s="7" t="str"/>
      <x:c r="AI806" s="7" t="str"/>
      <x:c r="AJ806" s="7" t="str"/>
      <x:c r="AK806" s="15" t="str"/>
      <x:c r="AL806" s="7" t="str"/>
      <x:c r="AM806" s="7" t="str">
        <x:v>AGUILAR ANTONIO MARCO</x:v>
      </x:c>
      <x:c r="AN806" s="7" t="str">
        <x:v>https://cdicloud.insurance.ca.gov/cal/LicenseDetail?SearchType=IND&amp;SearchLicNbr=0H10442&amp;SearchIndvId=1353010</x:v>
      </x:c>
      <x:c r="AO806" s="7" t="str">
        <x:v>2026-10-08</x:v>
      </x:c>
      <x:c r="AP806" s="7" t="str">
        <x:v>aed36c0a353d3ce0708aaa4f2c3dfde8553776a0c3261de5df2350ce776668e2</x:v>
      </x:c>
      <x:c r="AQ806" s="7" t="str">
        <x:v>Accident and Health / Inactive / 09/13/2010 / 10/11/2013 / 10/11/2013
Life-Only / Inactive / 09/13/2010 / 10/11/2013 / 10/11/2013</x:v>
      </x:c>
      <x:c r="AR806" s="7" t="str">
        <x:v>Inactive</x:v>
      </x:c>
      <x:c r="AS806" s="7" t="str">
        <x:v>Current detail page</x:v>
      </x:c>
    </x:row>
    <x:row r="807" ht="52" customHeight="1">
      <x:c r="A807" s="7" t="str">
        <x:v>AGUILAR MARCOS ENRIQUE</x:v>
      </x:c>
      <x:c r="B807" s="14" t="str">
        <x:f>"0C64635"</x:f>
        <x:v>0C64635</x:v>
      </x:c>
      <x:c r="C807" s="7" t="str">
        <x:v>Omitted</x:v>
      </x:c>
      <x:c r="D807" s="7" t="str">
        <x:v>FAIL</x:v>
      </x:c>
      <x:c r="E807" s="13" t="str">
        <x:v>Pending</x:v>
      </x:c>
      <x:c r="F807" s="13" t="str"/>
      <x:c r="G807" s="13" t="str"/>
      <x:c r="H807" s="13" t="str"/>
      <x:c r="I807" s="7" t="str">
        <x:v>Was this person reviewed? If rejected, give the actual rule and evidence. If acceptable, correct the omission. Confirm the Life-qualification gate and any record change since selection.</x:v>
      </x:c>
      <x:c r="J807" s="7" t="str">
        <x:v>L1</x:v>
      </x:c>
      <x:c r="K807" s="7" t="str">
        <x:v>Verified qualifications do not include active general Life. Current target-pool mismatch; actual historical omission reason unknown.</x:v>
      </x:c>
      <x:c r="L807" s="7" t="str">
        <x:v>Not supplied; membership is known, motive is not</x:v>
      </x:c>
      <x:c r="M807" s="7" t="n">
        <x:v>7</x:v>
      </x:c>
      <x:c r="N807" s="7" t="str">
        <x:v>Outside current general-Life recruiting pool</x:v>
      </x:c>
      <x:c r="O807" s="7" t="str">
        <x:v>Not displayed</x:v>
      </x:c>
      <x:c r="P807" s="7" t="str"/>
      <x:c r="Q807" s="7" t="str"/>
      <x:c r="R807" s="7" t="str"/>
      <x:c r="S807" s="15" t="str"/>
      <x:c r="T807" s="7" t="str">
        <x:v>No public business phone in collected record</x:v>
      </x:c>
      <x:c r="U807" s="7" t="str"/>
      <x:c r="V807" s="7" t="str">
        <x:v>Resident</x:v>
      </x:c>
      <x:c r="W807" s="7" t="str">
        <x:v>CA</x:v>
      </x:c>
      <x:c r="X807" s="7" t="str">
        <x:v>PRIMERICA FINANCIAL SERVICES INSURANCE MARKETING, INC. / Accident and Health / 06/25/1999
PRIMERICA FINANCIAL SERVICES INSURANCE MARKETING, INC. / Life-Only / 06/25/1999</x:v>
      </x:c>
      <x:c r="Y807" s="7" t="str"/>
      <x:c r="Z807" s="7" t="str"/>
      <x:c r="AA807" s="7" t="str"/>
      <x:c r="AB807" s="7" t="str"/>
      <x:c r="AC807" s="7" t="str"/>
      <x:c r="AD807" s="7" t="str">
        <x:v>Primerica relationship: matches an explicitly targeted recruiting segment</x:v>
      </x:c>
      <x:c r="AE807" s="7" t="str">
        <x:v>No public business phone: contact enrichment needed, not proof of poor recruiting fit</x:v>
      </x:c>
      <x:c r="AF807" s="16" t="str"/>
      <x:c r="AG807" s="17" t="str"/>
      <x:c r="AH807" s="7" t="str"/>
      <x:c r="AI807" s="7" t="str"/>
      <x:c r="AJ807" s="7" t="str"/>
      <x:c r="AK807" s="15" t="str"/>
      <x:c r="AL807" s="7" t="str"/>
      <x:c r="AM807" s="7" t="str">
        <x:v>AGUILAR ENRIQUE MARCOS</x:v>
      </x:c>
      <x:c r="AN807" s="7" t="str">
        <x:v>https://cdicloud.insurance.ca.gov/cal/LicenseDetail?SearchType=IND&amp;SearchLicNbr=0C64635&amp;SearchIndvId=443724</x:v>
      </x:c>
      <x:c r="AO807" s="7" t="str">
        <x:v>2026-10-08</x:v>
      </x:c>
      <x:c r="AP807" s="7" t="str">
        <x:v>db1742b8fef17f8d1351e9b2a864d4257043f52940bf7be072e8573efbab57f8</x:v>
      </x:c>
      <x:c r="AQ807" s="7" t="str">
        <x:v>Accident and Health / Inactive / 06/25/1999 / 06/30/2001 / 06/30/2001
Life-Only / Inactive / 06/25/1999 / 06/30/2001 / 06/30/2001</x:v>
      </x:c>
      <x:c r="AR807" s="7" t="str">
        <x:v>Inactive</x:v>
      </x:c>
      <x:c r="AS807" s="7" t="str">
        <x:v>Current detail page</x:v>
      </x:c>
    </x:row>
    <x:row r="808" ht="52" customHeight="1">
      <x:c r="A808" s="7" t="str">
        <x:v>AGUILAR MARGARET</x:v>
      </x:c>
      <x:c r="B808" s="14" t="str">
        <x:f>"0J03849"</x:f>
        <x:v>0J03849</x:v>
      </x:c>
      <x:c r="C808" s="7" t="str">
        <x:v>Omitted</x:v>
      </x:c>
      <x:c r="D808" s="7" t="str">
        <x:v>FAIL</x:v>
      </x:c>
      <x:c r="E808" s="13" t="str">
        <x:v>Pending</x:v>
      </x:c>
      <x:c r="F808" s="13" t="str"/>
      <x:c r="G808" s="13" t="str"/>
      <x:c r="H808" s="13" t="str"/>
      <x:c r="I808" s="7" t="str">
        <x:v>Was this person reviewed? If rejected, give the actual rule and evidence. If acceptable, correct the omission. Confirm the Life-qualification gate and any record change since selection.</x:v>
      </x:c>
      <x:c r="J808" s="7" t="str">
        <x:v>L1</x:v>
      </x:c>
      <x:c r="K808" s="7" t="str">
        <x:v>Verified qualifications do not include active general Life. Current target-pool mismatch; actual historical omission reason unknown.</x:v>
      </x:c>
      <x:c r="L808" s="7" t="str">
        <x:v>Not supplied; membership is known, motive is not</x:v>
      </x:c>
      <x:c r="M808" s="7" t="n">
        <x:v>7</x:v>
      </x:c>
      <x:c r="N808" s="7" t="str">
        <x:v>Outside current general-Life recruiting pool</x:v>
      </x:c>
      <x:c r="O808" s="7" t="str">
        <x:v>Not displayed</x:v>
      </x:c>
      <x:c r="P808" s="7" t="str"/>
      <x:c r="Q808" s="7" t="str"/>
      <x:c r="R808" s="7" t="str">
        <x:v>Casualty; Property</x:v>
      </x:c>
      <x:c r="S808" s="15" t="str"/>
      <x:c r="T808" s="7" t="str">
        <x:v>No public business phone in collected record</x:v>
      </x:c>
      <x:c r="U808" s="7" t="str">
        <x:v>149 TULIP CV KYLE TX, 78640-5725</x:v>
      </x:c>
      <x:c r="V808" s="7" t="str">
        <x:v>Non-resident</x:v>
      </x:c>
      <x:c r="W808" s="7" t="str">
        <x:v>TX</x:v>
      </x:c>
      <x:c r="X808" s="7" t="str">
        <x:v>PROGRESSIVE ADVANTAGE AGENCY INC / Property / 09/10/2014
PROGRESSIVE ADVANTAGE AGENCY INC / Casualty / 09/10/2014</x:v>
      </x:c>
      <x:c r="Y808" s="7" t="str">
        <x:v>FOREMOST INSURANCE COMPANY GRAND RAPIDS, MICHIGAN / Casualty / 09/04/2019
FOREMOST INSURANCE COMPANY GRAND RAPIDS, MICHIGAN / Property / 09/04/2019
HOMESITE INSURANCE COMPANY OF CALIFORNIA / Casualty / 06/05/2019
HOMESITE INSURANCE COMPANY OF CALIFORNIA / Property / 06/05/2019
HOMESITE INSURANCE COMPANY OF THE MIDWEST / Casualty / 10/17/2019
HOMESITE INSURANCE COMPANY OF THE MIDWEST / Property / 10/17/2019</x:v>
      </x:c>
      <x:c r="Z808" s="7" t="str"/>
      <x:c r="AA808" s="7" t="str"/>
      <x:c r="AB808" s="7" t="str"/>
      <x:c r="AC808" s="7" t="str"/>
      <x:c r="AD808" s="7" t="str"/>
      <x:c r="AE808"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808" s="16" t="str"/>
      <x:c r="AG808" s="17" t="str"/>
      <x:c r="AH808" s="7" t="str"/>
      <x:c r="AI808" s="7" t="str"/>
      <x:c r="AJ808" s="7" t="str"/>
      <x:c r="AK808" s="15" t="str"/>
      <x:c r="AL808" s="7" t="str"/>
      <x:c r="AM808" s="7" t="str">
        <x:v>AGUILAR  MARGARET</x:v>
      </x:c>
      <x:c r="AN808" s="7" t="str">
        <x:v>https://cdicloud.insurance.ca.gov/cal/LicenseDetail?SearchType=IND&amp;SearchLicNbr=0J03849&amp;SearchIndvId=1697240</x:v>
      </x:c>
      <x:c r="AO808" s="7" t="str">
        <x:v>2026-10-08</x:v>
      </x:c>
      <x:c r="AP808" s="7" t="str">
        <x:v>32fe163ff5a5e46b4c3d4042af92bf5f892cd43fa6e9ccc9df6d9eeb809d39f7</x:v>
      </x:c>
      <x:c r="AQ808" s="7" t="str">
        <x:v>Casualty / Active / 09/08/2014 / 09/08/2014 / 09/30/2028
Property / Active / 09/08/2014 / 09/08/2014 / 09/30/2028</x:v>
      </x:c>
      <x:c r="AR808" s="7" t="str">
        <x:v>Active</x:v>
      </x:c>
      <x:c r="AS808" s="7" t="str">
        <x:v>Current detail page</x:v>
      </x:c>
    </x:row>
    <x:row r="809" ht="52" customHeight="1">
      <x:c r="A809" s="7" t="str">
        <x:v>AGUILAR MARGARET ANN</x:v>
      </x:c>
      <x:c r="B809" s="14" t="str">
        <x:f>"0A16420"</x:f>
        <x:v>0A16420</x:v>
      </x:c>
      <x:c r="C809" s="7" t="str">
        <x:v>Omitted</x:v>
      </x:c>
      <x:c r="D809" s="7" t="str">
        <x:v>FAIL</x:v>
      </x:c>
      <x:c r="E809" s="13" t="str">
        <x:v>Pending</x:v>
      </x:c>
      <x:c r="F809" s="13" t="str"/>
      <x:c r="G809" s="13" t="str"/>
      <x:c r="H809" s="13" t="str"/>
      <x:c r="I809" s="7" t="str">
        <x:v>Was this person reviewed? If rejected, give the actual rule and evidence. If acceptable, correct the omission. Confirm the Life-qualification gate and any record change since selection.</x:v>
      </x:c>
      <x:c r="J809" s="7" t="str">
        <x:v>L1</x:v>
      </x:c>
      <x:c r="K809" s="7" t="str">
        <x:v>Verified qualifications do not include active general Life. Current target-pool mismatch; actual historical omission reason unknown.</x:v>
      </x:c>
      <x:c r="L809" s="7" t="str">
        <x:v>Not supplied; membership is known, motive is not</x:v>
      </x:c>
      <x:c r="M809" s="7" t="n">
        <x:v>7</x:v>
      </x:c>
      <x:c r="N809" s="7" t="str">
        <x:v>Outside current general-Life recruiting pool</x:v>
      </x:c>
      <x:c r="O809" s="7" t="str">
        <x:v>Inactive</x:v>
      </x:c>
      <x:c r="P809" s="7" t="str">
        <x:v>03/28/1990</x:v>
      </x:c>
      <x:c r="Q809" s="7" t="str">
        <x:v>04/13/2023</x:v>
      </x:c>
      <x:c r="R809" s="7" t="str"/>
      <x:c r="S809" s="15" t="str">
        <x:v>760-583-1833</x:v>
      </x:c>
      <x:c r="T809" s="7" t="str">
        <x:v>Current CDI</x:v>
      </x:c>
      <x:c r="U809" s="7" t="str">
        <x:v>5072 S CENTENNIAL CIR ONTARIO CA, 91762-7207</x:v>
      </x:c>
      <x:c r="V809" s="7" t="str">
        <x:v>Resident</x:v>
      </x:c>
      <x:c r="W809" s="7" t="str">
        <x:v>CA</x:v>
      </x:c>
      <x:c r="X809" s="7" t="str"/>
      <x:c r="Y809" s="7" t="str"/>
      <x:c r="Z809" s="7" t="str"/>
      <x:c r="AA809" s="7" t="str"/>
      <x:c r="AB809" s="7" t="str"/>
      <x:c r="AC809" s="7" t="str"/>
      <x:c r="AD809" s="7" t="str">
        <x:v>No agency or insurer displayed: onboarding opportunity possible; existing business unknown</x:v>
      </x:c>
      <x:c r="AE809" s="7" t="str"/>
      <x:c r="AF809" s="16" t="str"/>
      <x:c r="AG809" s="17" t="str"/>
      <x:c r="AH809" s="7" t="str"/>
      <x:c r="AI809" s="7" t="str">
        <x:v>English</x:v>
      </x:c>
      <x:c r="AJ809" s="7" t="str"/>
      <x:c r="AK809" s="15" t="str"/>
      <x:c r="AL809" s="7" t="str"/>
      <x:c r="AM809" s="7" t="str">
        <x:v>AGUILAR ANN MARGARET</x:v>
      </x:c>
      <x:c r="AN809" s="7" t="str">
        <x:v>https://cdicloud.insurance.ca.gov/cal/LicenseDetail?SearchType=IND&amp;SearchLicNbr=0A16420&amp;SearchIndvId=149195</x:v>
      </x:c>
      <x:c r="AO809" s="7" t="str">
        <x:v>2026-10-08</x:v>
      </x:c>
      <x:c r="AP809" s="7" t="str">
        <x:v>f532a1a71f53facb7426aa38081abc18e04261dcdeea4ab6acedcbda3355886a</x:v>
      </x:c>
      <x:c r="AQ809" s="7" t="str">
        <x:v>Accident &amp; Health or Sickness / Inactive / 03/28/1990 / 04/13/2023 / 04/13/2023
Life / Inactive / 03/28/1990 / 04/13/2023 / 04/13/2023</x:v>
      </x:c>
      <x:c r="AR809" s="7" t="str">
        <x:v>Inactive</x:v>
      </x:c>
      <x:c r="AS809" s="7" t="str">
        <x:v>Current detail page</x:v>
      </x:c>
    </x:row>
    <x:row r="810" ht="52" customHeight="1">
      <x:c r="A810" s="7" t="str">
        <x:v>AGUILAR MARGARET FRANCES</x:v>
      </x:c>
      <x:c r="B810" s="14" t="str">
        <x:f>"0C41226"</x:f>
        <x:v>0C41226</x:v>
      </x:c>
      <x:c r="C810" s="7" t="str">
        <x:v>Omitted</x:v>
      </x:c>
      <x:c r="D810" s="7" t="str">
        <x:v>FAIL</x:v>
      </x:c>
      <x:c r="E810" s="13" t="str">
        <x:v>Pending</x:v>
      </x:c>
      <x:c r="F810" s="13" t="str"/>
      <x:c r="G810" s="13" t="str"/>
      <x:c r="H810" s="13" t="str"/>
      <x:c r="I810" s="7" t="str">
        <x:v>Was this person reviewed? If rejected, give the actual rule and evidence. If acceptable, correct the omission. Confirm the Life-qualification gate and any record change since selection.</x:v>
      </x:c>
      <x:c r="J810" s="7" t="str">
        <x:v>L1</x:v>
      </x:c>
      <x:c r="K810" s="7" t="str">
        <x:v>Verified qualifications do not include active general Life. Current target-pool mismatch; actual historical omission reason unknown.</x:v>
      </x:c>
      <x:c r="L810" s="7" t="str">
        <x:v>Not supplied; membership is known, motive is not</x:v>
      </x:c>
      <x:c r="M810" s="7" t="n">
        <x:v>7</x:v>
      </x:c>
      <x:c r="N810" s="7" t="str">
        <x:v>Outside current general-Life recruiting pool</x:v>
      </x:c>
      <x:c r="O810" s="7" t="str">
        <x:v>Not displayed</x:v>
      </x:c>
      <x:c r="P810" s="7" t="str"/>
      <x:c r="Q810" s="7" t="str"/>
      <x:c r="R810" s="7" t="str"/>
      <x:c r="S810" s="15" t="str"/>
      <x:c r="T810" s="7" t="str">
        <x:v>No public business phone in collected record</x:v>
      </x:c>
      <x:c r="U810" s="7" t="str"/>
      <x:c r="V810" s="7" t="str">
        <x:v>Resident</x:v>
      </x:c>
      <x:c r="W810" s="7" t="str">
        <x:v>CA</x:v>
      </x:c>
      <x:c r="X810" s="7" t="str"/>
      <x:c r="Y810" s="7" t="str"/>
      <x:c r="Z810" s="7" t="str"/>
      <x:c r="AA810" s="7" t="str"/>
      <x:c r="AB810" s="7" t="str"/>
      <x:c r="AC810" s="7" t="str"/>
      <x:c r="AD810" s="7" t="str">
        <x:v>No agency or insurer displayed: onboarding opportunity possible; existing business unknown</x:v>
      </x:c>
      <x:c r="AE810" s="7" t="str">
        <x:v>No public business phone: contact enrichment needed, not proof of poor recruiting fit</x:v>
      </x:c>
      <x:c r="AF810" s="16" t="str"/>
      <x:c r="AG810" s="17" t="str"/>
      <x:c r="AH810" s="7" t="str"/>
      <x:c r="AI810" s="7" t="str">
        <x:v>English</x:v>
      </x:c>
      <x:c r="AJ810" s="7" t="str"/>
      <x:c r="AK810" s="15" t="str"/>
      <x:c r="AL810" s="7" t="str"/>
      <x:c r="AM810" s="7" t="str">
        <x:v>AGUILAR FRANCES MARGARET</x:v>
      </x:c>
      <x:c r="AN810" s="7" t="str">
        <x:v>https://cdicloud.insurance.ca.gov/cal/LicenseDetail?SearchType=IND&amp;SearchLicNbr=0C41226&amp;SearchIndvId=315829</x:v>
      </x:c>
      <x:c r="AO810" s="7" t="str">
        <x:v>2026-10-08</x:v>
      </x:c>
      <x:c r="AP810" s="7" t="str">
        <x:v>b6667bb320c20a905850bd9e49e7395025b54a69c6da5cdd34555b1c50b5a5be</x:v>
      </x:c>
      <x:c r="AQ810" s="7" t="str">
        <x:v>Casualty /  / 08/14/1998 / 08/31/2026 / 08/31/2026
Property /  / 08/14/1998 / 08/31/2026 / 08/31/2026</x:v>
      </x:c>
      <x:c r="AR810" s="7" t="str"/>
      <x:c r="AS810" s="7" t="str">
        <x:v>Current detail page</x:v>
      </x:c>
    </x:row>
    <x:row r="811" ht="52" customHeight="1">
      <x:c r="A811" s="7" t="str">
        <x:v>AGUILAR MARGARITA</x:v>
      </x:c>
      <x:c r="B811" s="14" t="str">
        <x:f>"0H04627"</x:f>
        <x:v>0H04627</x:v>
      </x:c>
      <x:c r="C811" s="7" t="str">
        <x:v>Omitted</x:v>
      </x:c>
      <x:c r="D811" s="7" t="str">
        <x:v>FAIL</x:v>
      </x:c>
      <x:c r="E811" s="13" t="str">
        <x:v>Pending</x:v>
      </x:c>
      <x:c r="F811" s="13" t="str"/>
      <x:c r="G811" s="13" t="str"/>
      <x:c r="H811" s="13" t="str"/>
      <x:c r="I811" s="7" t="str">
        <x:v>Was this person reviewed? If rejected, give the actual rule and evidence. If acceptable, correct the omission. Confirm the Life-qualification gate and any record change since selection.</x:v>
      </x:c>
      <x:c r="J811" s="7" t="str">
        <x:v>L1</x:v>
      </x:c>
      <x:c r="K811" s="7" t="str">
        <x:v>Verified qualifications do not include active general Life. Current target-pool mismatch; actual historical omission reason unknown.</x:v>
      </x:c>
      <x:c r="L811" s="7" t="str">
        <x:v>Not supplied; membership is known, motive is not</x:v>
      </x:c>
      <x:c r="M811" s="7" t="n">
        <x:v>7</x:v>
      </x:c>
      <x:c r="N811" s="7" t="str">
        <x:v>Outside current general-Life recruiting pool</x:v>
      </x:c>
      <x:c r="O811" s="7" t="str">
        <x:v>Not displayed</x:v>
      </x:c>
      <x:c r="P811" s="7" t="str"/>
      <x:c r="Q811" s="7" t="str"/>
      <x:c r="R811" s="7" t="str">
        <x:v>Casualty; Property</x:v>
      </x:c>
      <x:c r="S811" s="15" t="str"/>
      <x:c r="T811" s="7" t="str">
        <x:v>No public business phone in collected record</x:v>
      </x:c>
      <x:c r="U811" s="7" t="str">
        <x:v>1000 N FARRELL DR STE 101 PALM SPRINGS CA, 92262</x:v>
      </x:c>
      <x:c r="V811" s="7" t="str">
        <x:v>Resident</x:v>
      </x:c>
      <x:c r="W811" s="7" t="str">
        <x:v>CA</x:v>
      </x:c>
      <x:c r="X811" s="7" t="str">
        <x:v>INSURANCEBEACON.COM, INC. / Casualty / 06/01/2022
INSURANCEBEACON.COM, INC. / Property / 06/01/2022</x:v>
      </x:c>
      <x:c r="Y811" s="7" t="str">
        <x:v>FOREMOST INSURANCE COMPANY GRAND RAPIDS, MICHIGAN / Casualty / 06/07/2023
FOREMOST INSURANCE COMPANY GRAND RAPIDS, MICHIGAN / Property / 06/07/2023</x:v>
      </x:c>
      <x:c r="Z811" s="7" t="str"/>
      <x:c r="AA811" s="7" t="str"/>
      <x:c r="AB811" s="7" t="str"/>
      <x:c r="AC811" s="7" t="str"/>
      <x:c r="AD811" s="7" t="str"/>
      <x:c r="AE811" s="7" t="str">
        <x:v>P&amp;C/Personal Lines authority without displayed core Life appointments; mixed profile requires review | No public business phone: contact enrichment needed, not proof of poor recruiting fit</x:v>
      </x:c>
      <x:c r="AF811" s="16" t="str"/>
      <x:c r="AG811" s="17" t="str"/>
      <x:c r="AH811" s="7" t="str"/>
      <x:c r="AI811" s="7" t="str">
        <x:v>English</x:v>
      </x:c>
      <x:c r="AJ811" s="7" t="str"/>
      <x:c r="AK811" s="15" t="str"/>
      <x:c r="AL811" s="7" t="str"/>
      <x:c r="AM811" s="7" t="str">
        <x:v>AGUILAR  MARGARITA</x:v>
      </x:c>
      <x:c r="AN811" s="7" t="str">
        <x:v>https://cdicloud.insurance.ca.gov/cal/LicenseDetail?SearchType=IND&amp;SearchLicNbr=0H04627&amp;SearchIndvId=1342270</x:v>
      </x:c>
      <x:c r="AO811" s="7" t="str">
        <x:v>2026-10-08</x:v>
      </x:c>
      <x:c r="AP811" s="7" t="str">
        <x:v>ea4834d1ce385e10afe030440f08d2e73f72e9d93b0eaf9533c97b918021b1c6</x:v>
      </x:c>
      <x:c r="AQ811" s="7" t="str">
        <x:v>Casualty / Active / 07/19/2010 / 07/23/2013 / 07/31/2028
Property / Active / 07/19/2010 / 07/23/2013 / 07/31/2028</x:v>
      </x:c>
      <x:c r="AR811" s="7" t="str">
        <x:v>Active</x:v>
      </x:c>
      <x:c r="AS811" s="7" t="str">
        <x:v>Current detail page</x:v>
      </x:c>
    </x:row>
    <x:row r="812" ht="52" customHeight="1">
      <x:c r="A812" s="7" t="str">
        <x:v>AGUILAR MARGARITA</x:v>
      </x:c>
      <x:c r="B812" s="14" t="str">
        <x:f>"0L73656"</x:f>
        <x:v>0L73656</x:v>
      </x:c>
      <x:c r="C812" s="7" t="str">
        <x:v>Omitted</x:v>
      </x:c>
      <x:c r="D812" s="7" t="str">
        <x:v>FAIL</x:v>
      </x:c>
      <x:c r="E812" s="13" t="str">
        <x:v>Pending</x:v>
      </x:c>
      <x:c r="F812" s="13" t="str"/>
      <x:c r="G812" s="13" t="str"/>
      <x:c r="H812" s="13" t="str"/>
      <x:c r="I812" s="7" t="str">
        <x:v>Was this person reviewed? If rejected, give the actual rule and evidence. If acceptable, correct the omission. Confirm the Life-qualification gate and any record change since selection.</x:v>
      </x:c>
      <x:c r="J812" s="7" t="str">
        <x:v>L1</x:v>
      </x:c>
      <x:c r="K812" s="7" t="str">
        <x:v>Verified qualifications do not include active general Life. Current target-pool mismatch; actual historical omission reason unknown.</x:v>
      </x:c>
      <x:c r="L812" s="7" t="str">
        <x:v>Not supplied; membership is known, motive is not</x:v>
      </x:c>
      <x:c r="M812" s="7" t="n">
        <x:v>7</x:v>
      </x:c>
      <x:c r="N812" s="7" t="str">
        <x:v>Outside current general-Life recruiting pool</x:v>
      </x:c>
      <x:c r="O812" s="7" t="str">
        <x:v>Inactive</x:v>
      </x:c>
      <x:c r="P812" s="7" t="str">
        <x:v>05/08/2017</x:v>
      </x:c>
      <x:c r="Q812" s="7" t="str">
        <x:v>05/31/2023</x:v>
      </x:c>
      <x:c r="R812" s="7" t="str"/>
      <x:c r="S812" s="15" t="str">
        <x:v>408-501-1844</x:v>
      </x:c>
      <x:c r="T812" s="7" t="str">
        <x:v>Current CDI</x:v>
      </x:c>
      <x:c r="U812" s="7" t="str">
        <x:v>1718 RINGWOOD AVENUE SUITE 1000 SAN JOSE CA, 95131</x:v>
      </x:c>
      <x:c r="V812" s="7" t="str">
        <x:v>Resident</x:v>
      </x:c>
      <x:c r="W812" s="7" t="str">
        <x:v>CA</x:v>
      </x:c>
      <x:c r="X812" s="7" t="str"/>
      <x:c r="Y812" s="7" t="str"/>
      <x:c r="Z812" s="7" t="str"/>
      <x:c r="AA812" s="7" t="str"/>
      <x:c r="AB812" s="7" t="str"/>
      <x:c r="AC812" s="7" t="str"/>
      <x:c r="AD812" s="7" t="str">
        <x:v>No agency or insurer displayed: onboarding opportunity possible; existing business unknown</x:v>
      </x:c>
      <x:c r="AE812" s="7" t="str"/>
      <x:c r="AF812" s="16" t="str"/>
      <x:c r="AG812" s="17" t="str"/>
      <x:c r="AH812" s="7" t="str"/>
      <x:c r="AI812" s="7" t="str">
        <x:v>English, Spanish, Spanish</x:v>
      </x:c>
      <x:c r="AJ812" s="7" t="str"/>
      <x:c r="AK812" s="15" t="str"/>
      <x:c r="AL812" s="7" t="str"/>
      <x:c r="AM812" s="7" t="str">
        <x:v>AGUILAR  MARGARITA</x:v>
      </x:c>
      <x:c r="AN812" s="7" t="str">
        <x:v>https://cdicloud.insurance.ca.gov/cal/LicenseDetail?SearchType=IND&amp;SearchLicNbr=0L73656&amp;SearchIndvId=1923341</x:v>
      </x:c>
      <x:c r="AO812" s="7" t="str">
        <x:v>2026-10-08</x:v>
      </x:c>
      <x:c r="AP812" s="7" t="str">
        <x:v>a85a337eb91ac4a667741ff7dd532574cca6bad5d03e67801ced4b130595200e</x:v>
      </x:c>
      <x:c r="AQ812" s="7" t="str">
        <x:v>Life / Inactive / 05/08/2017 / 05/31/2023 / 05/31/2023</x:v>
      </x:c>
      <x:c r="AR812" s="7" t="str">
        <x:v>Inactive</x:v>
      </x:c>
      <x:c r="AS812" s="7" t="str">
        <x:v>Current detail page</x:v>
      </x:c>
    </x:row>
    <x:row r="813" ht="52" customHeight="1">
      <x:c r="A813" s="7" t="str">
        <x:v>AGUILAR MARGARITA</x:v>
      </x:c>
      <x:c r="B813" s="14" t="str">
        <x:f>"0L94456"</x:f>
        <x:v>0L94456</x:v>
      </x:c>
      <x:c r="C813" s="7" t="str">
        <x:v>Omitted</x:v>
      </x:c>
      <x:c r="D813" s="7" t="str">
        <x:v>FAIL</x:v>
      </x:c>
      <x:c r="E813" s="13" t="str">
        <x:v>Pending</x:v>
      </x:c>
      <x:c r="F813" s="13" t="str"/>
      <x:c r="G813" s="13" t="str"/>
      <x:c r="H813" s="13" t="str"/>
      <x:c r="I813" s="7" t="str">
        <x:v>Was this person reviewed? If rejected, give the actual rule and evidence. If acceptable, correct the omission. Confirm the Life-qualification gate and any record change since selection.</x:v>
      </x:c>
      <x:c r="J813" s="7" t="str">
        <x:v>L1</x:v>
      </x:c>
      <x:c r="K813" s="7" t="str">
        <x:v>Verified qualifications do not include active general Life. Current target-pool mismatch; actual historical omission reason unknown.</x:v>
      </x:c>
      <x:c r="L813" s="7" t="str">
        <x:v>Not supplied; membership is known, motive is not</x:v>
      </x:c>
      <x:c r="M813" s="7" t="n">
        <x:v>7</x:v>
      </x:c>
      <x:c r="N813" s="7" t="str">
        <x:v>Outside current general-Life recruiting pool</x:v>
      </x:c>
      <x:c r="O813" s="7" t="str">
        <x:v>Not displayed</x:v>
      </x:c>
      <x:c r="P813" s="7" t="str"/>
      <x:c r="Q813" s="7" t="str"/>
      <x:c r="R813" s="7" t="str"/>
      <x:c r="S813" s="15" t="str"/>
      <x:c r="T813" s="7" t="str">
        <x:v>No public business phone in collected record</x:v>
      </x:c>
      <x:c r="U813" s="7" t="str"/>
      <x:c r="V813" s="7" t="str">
        <x:v>Resident</x:v>
      </x:c>
      <x:c r="W813" s="7" t="str">
        <x:v>CA</x:v>
      </x:c>
      <x:c r="X813" s="7" t="str"/>
      <x:c r="Y813" s="7" t="str"/>
      <x:c r="Z813" s="7" t="str"/>
      <x:c r="AA813" s="7" t="str"/>
      <x:c r="AB813" s="7" t="str"/>
      <x:c r="AC813" s="7" t="str"/>
      <x:c r="AD813" s="7" t="str">
        <x:v>No agency or insurer displayed: onboarding opportunity possible; existing business unknown</x:v>
      </x:c>
      <x:c r="AE813" s="7" t="str">
        <x:v>No public business phone: contact enrichment needed, not proof of poor recruiting fit</x:v>
      </x:c>
      <x:c r="AF813" s="16" t="str"/>
      <x:c r="AG813" s="17" t="str"/>
      <x:c r="AH813" s="7" t="str"/>
      <x:c r="AI813" s="7" t="str"/>
      <x:c r="AJ813" s="7" t="str"/>
      <x:c r="AK813" s="15" t="str"/>
      <x:c r="AL813" s="7" t="str"/>
      <x:c r="AM813" s="7" t="str">
        <x:v>AGUILAR  MARGARITA</x:v>
      </x:c>
      <x:c r="AN813" s="7" t="str">
        <x:v>https://cdicloud.insurance.ca.gov/cal/LicenseDetail?SearchType=IND&amp;SearchLicNbr=0L94456&amp;SearchIndvId=1963171</x:v>
      </x:c>
      <x:c r="AO813" s="7" t="str">
        <x:v>2026-10-08</x:v>
      </x:c>
      <x:c r="AP813" s="7" t="str">
        <x:v>7e35df13030552d2bf4134ccfcf28ef63727bba6c5dd4c321a9f198850d8483d</x:v>
      </x:c>
      <x:c r="AQ813" s="7" t="str">
        <x:v>Life-Only / Inactive / 09/19/2017 / 09/30/2019 / 09/30/2019</x:v>
      </x:c>
      <x:c r="AR813" s="7" t="str">
        <x:v>Inactive</x:v>
      </x:c>
      <x:c r="AS813" s="7" t="str">
        <x:v>Current detail page</x:v>
      </x:c>
    </x:row>
    <x:row r="814" ht="52" customHeight="1">
      <x:c r="A814" s="7" t="str">
        <x:v>AGUILAR MARGARITA ALEJANDRA</x:v>
      </x:c>
      <x:c r="B814" s="14" t="str">
        <x:f>"0K64161"</x:f>
        <x:v>0K64161</x:v>
      </x:c>
      <x:c r="C814" s="7" t="str">
        <x:v>Omitted</x:v>
      </x:c>
      <x:c r="D814" s="7" t="str">
        <x:v>FAIL</x:v>
      </x:c>
      <x:c r="E814" s="13" t="str">
        <x:v>Pending</x:v>
      </x:c>
      <x:c r="F814" s="13" t="str"/>
      <x:c r="G814" s="13" t="str"/>
      <x:c r="H814" s="13" t="str"/>
      <x:c r="I814" s="7" t="str">
        <x:v>Was this person reviewed? If rejected, give the actual rule and evidence. If acceptable, correct the omission. Confirm the Life-qualification gate and any record change since selection.</x:v>
      </x:c>
      <x:c r="J814" s="7" t="str">
        <x:v>L1</x:v>
      </x:c>
      <x:c r="K814" s="7" t="str">
        <x:v>Verified qualifications do not include active general Life. Current target-pool mismatch; actual historical omission reason unknown.</x:v>
      </x:c>
      <x:c r="L814" s="7" t="str">
        <x:v>Not supplied; membership is known, motive is not</x:v>
      </x:c>
      <x:c r="M814" s="7" t="n">
        <x:v>7</x:v>
      </x:c>
      <x:c r="N814" s="7" t="str">
        <x:v>Outside current general-Life recruiting pool</x:v>
      </x:c>
      <x:c r="O814" s="7" t="str">
        <x:v>Not displayed</x:v>
      </x:c>
      <x:c r="P814" s="7" t="str"/>
      <x:c r="Q814" s="7" t="str"/>
      <x:c r="R814" s="7" t="str"/>
      <x:c r="S814" s="15" t="str"/>
      <x:c r="T814" s="7" t="str">
        <x:v>No public business phone in collected record</x:v>
      </x:c>
      <x:c r="U814" s="7" t="str">
        <x:v>2021 P STREET SACRAMENTO CA, 95811</x:v>
      </x:c>
      <x:c r="V814" s="7" t="str">
        <x:v>Resident</x:v>
      </x:c>
      <x:c r="W814" s="7" t="str">
        <x:v>CA</x:v>
      </x:c>
      <x:c r="X814" s="7" t="str"/>
      <x:c r="Y814" s="7" t="str"/>
      <x:c r="Z814" s="7" t="str"/>
      <x:c r="AA814" s="7" t="str"/>
      <x:c r="AB814" s="7" t="str"/>
      <x:c r="AC814" s="7" t="str"/>
      <x:c r="AD814" s="7" t="str">
        <x:v>No agency or insurer displayed: onboarding opportunity possible; existing business unknown</x:v>
      </x:c>
      <x:c r="AE814" s="7" t="str">
        <x:v>No public business phone: contact enrichment needed, not proof of poor recruiting fit</x:v>
      </x:c>
      <x:c r="AF814" s="16" t="str"/>
      <x:c r="AG814" s="17" t="str"/>
      <x:c r="AH814" s="7" t="str"/>
      <x:c r="AI814" s="7" t="str"/>
      <x:c r="AJ814" s="7" t="str"/>
      <x:c r="AK814" s="15" t="str"/>
      <x:c r="AL814" s="7" t="str"/>
      <x:c r="AM814" s="7" t="str">
        <x:v>Aguilar A Margarita | AGUILAR ALEJANDRA MARGARITA</x:v>
      </x:c>
      <x:c r="AN814" s="7" t="str">
        <x:v>https://cdicloud.insurance.ca.gov/cal/LicenseDetail?SearchType=IND&amp;SearchLicNbr=0K64161&amp;SearchIndvId=1808437</x:v>
      </x:c>
      <x:c r="AO814" s="7" t="str">
        <x:v>2026-10-08</x:v>
      </x:c>
      <x:c r="AP814" s="7" t="str">
        <x:v>2d1f98337e2ffac6afdd29a153915e464c3b1e831ebec699c32b824232318c8e</x:v>
      </x:c>
      <x:c r="AQ814" s="7" t="str">
        <x:v>Casualty / Inactive / 12/10/2015 / 12/31/2021 / 12/31/2021
Property / Inactive / 12/10/2015 / 12/31/2021 / 12/31/2021</x:v>
      </x:c>
      <x:c r="AR814" s="7" t="str">
        <x:v>Inactive</x:v>
      </x:c>
      <x:c r="AS814" s="7" t="str">
        <x:v>Current detail page</x:v>
      </x:c>
    </x:row>
    <x:row r="815" ht="52" customHeight="1">
      <x:c r="A815" s="7" t="str">
        <x:v>AGUILAR MARI ANTOLETTE LUCIANO</x:v>
      </x:c>
      <x:c r="B815" s="14" t="str">
        <x:f>"0M26392"</x:f>
        <x:v>0M26392</x:v>
      </x:c>
      <x:c r="C815" s="7" t="str">
        <x:v>Omitted</x:v>
      </x:c>
      <x:c r="D815" s="7" t="str">
        <x:v>FAIL</x:v>
      </x:c>
      <x:c r="E815" s="13" t="str">
        <x:v>Pending</x:v>
      </x:c>
      <x:c r="F815" s="13" t="str"/>
      <x:c r="G815" s="13" t="str"/>
      <x:c r="H815" s="13" t="str"/>
      <x:c r="I815" s="7" t="str">
        <x:v>Was this person reviewed? If rejected, give the actual rule and evidence. If acceptable, correct the omission. Confirm the Life-qualification gate and any record change since selection.</x:v>
      </x:c>
      <x:c r="J815" s="7" t="str">
        <x:v>L1</x:v>
      </x:c>
      <x:c r="K815" s="7" t="str">
        <x:v>Verified qualifications do not include active general Life. Current target-pool mismatch; actual historical omission reason unknown.</x:v>
      </x:c>
      <x:c r="L815" s="7" t="str">
        <x:v>Not supplied; membership is known, motive is not</x:v>
      </x:c>
      <x:c r="M815" s="7" t="n">
        <x:v>7</x:v>
      </x:c>
      <x:c r="N815" s="7" t="str">
        <x:v>Outside current general-Life recruiting pool</x:v>
      </x:c>
      <x:c r="O815" s="7" t="str">
        <x:v>Inactive</x:v>
      </x:c>
      <x:c r="P815" s="7" t="str">
        <x:v>03/27/2018</x:v>
      </x:c>
      <x:c r="Q815" s="7" t="str">
        <x:v>03/31/2024</x:v>
      </x:c>
      <x:c r="R815" s="7" t="str"/>
      <x:c r="S815" s="15" t="str">
        <x:v>858-761-4915</x:v>
      </x:c>
      <x:c r="T815" s="7" t="str">
        <x:v>Current CDI</x:v>
      </x:c>
      <x:c r="U815" s="7" t="str">
        <x:v>1414 S. AZUSA AVE STE B14 WEST COVINA CA, 91791</x:v>
      </x:c>
      <x:c r="V815" s="7" t="str">
        <x:v>Resident</x:v>
      </x:c>
      <x:c r="W815" s="7" t="str">
        <x:v>CA</x:v>
      </x:c>
      <x:c r="X815" s="7" t="str"/>
      <x:c r="Y815" s="7" t="str"/>
      <x:c r="Z815" s="7" t="str"/>
      <x:c r="AA815" s="7" t="str"/>
      <x:c r="AB815" s="7" t="str"/>
      <x:c r="AC815" s="7" t="str"/>
      <x:c r="AD815" s="7" t="str">
        <x:v>No agency or insurer displayed: onboarding opportunity possible; existing business unknown</x:v>
      </x:c>
      <x:c r="AE815" s="7" t="str"/>
      <x:c r="AF815" s="16" t="str"/>
      <x:c r="AG815" s="17" t="str"/>
      <x:c r="AH815" s="7" t="str"/>
      <x:c r="AI815" s="7" t="str">
        <x:v>English</x:v>
      </x:c>
      <x:c r="AJ815" s="7" t="str"/>
      <x:c r="AK815" s="15" t="str"/>
      <x:c r="AL815" s="7" t="str"/>
      <x:c r="AM815" s="7" t="str">
        <x:v>AGUILAR L MARI ANTOLETTE | AGUILAR LUCIANO MARI ANTOLETTE</x:v>
      </x:c>
      <x:c r="AN815" s="7" t="str">
        <x:v>https://cdicloud.insurance.ca.gov/cal/LicenseDetail?SearchType=IND&amp;SearchLicNbr=0M26392&amp;SearchIndvId=2005815</x:v>
      </x:c>
      <x:c r="AO815" s="7" t="str">
        <x:v>2026-10-08</x:v>
      </x:c>
      <x:c r="AP815" s="7" t="str">
        <x:v>5f503288788a35a4d627151fdad5bb6e8e01e6dca11042a6d5d4cab2c9f8da9f</x:v>
      </x:c>
      <x:c r="AQ815" s="7" t="str">
        <x:v>Accident &amp; Health or Sickness / Inactive / 03/27/2018 / 03/31/2024 / 03/31/2024
Life / Inactive / 03/27/2018 / 03/31/2024 / 03/31/2024</x:v>
      </x:c>
      <x:c r="AR815" s="7" t="str">
        <x:v>Inactive</x:v>
      </x:c>
      <x:c r="AS815" s="7" t="str">
        <x:v>Current detail page</x:v>
      </x:c>
    </x:row>
    <x:row r="816" ht="52" customHeight="1">
      <x:c r="A816" s="7" t="str">
        <x:v>AGUILAR MARIA</x:v>
      </x:c>
      <x:c r="B816" s="14" t="str">
        <x:f>"0M60666"</x:f>
        <x:v>0M60666</x:v>
      </x:c>
      <x:c r="C816" s="7" t="str">
        <x:v>Omitted</x:v>
      </x:c>
      <x:c r="D816" s="7" t="str">
        <x:v>FAIL</x:v>
      </x:c>
      <x:c r="E816" s="13" t="str">
        <x:v>Pending</x:v>
      </x:c>
      <x:c r="F816" s="13" t="str"/>
      <x:c r="G816" s="13" t="str"/>
      <x:c r="H816" s="13" t="str"/>
      <x:c r="I816" s="7" t="str">
        <x:v>Was this person reviewed? If rejected, give the actual rule and evidence. If acceptable, correct the omission. Confirm the Life-qualification gate and any record change since selection.</x:v>
      </x:c>
      <x:c r="J816" s="7" t="str">
        <x:v>L1</x:v>
      </x:c>
      <x:c r="K816" s="7" t="str">
        <x:v>Verified qualifications do not include active general Life. Current target-pool mismatch; actual historical omission reason unknown.</x:v>
      </x:c>
      <x:c r="L816" s="7" t="str">
        <x:v>Not supplied; membership is known, motive is not</x:v>
      </x:c>
      <x:c r="M816" s="7" t="n">
        <x:v>7</x:v>
      </x:c>
      <x:c r="N816" s="7" t="str">
        <x:v>Outside current general-Life recruiting pool</x:v>
      </x:c>
      <x:c r="O816" s="7" t="str">
        <x:v>Not displayed</x:v>
      </x:c>
      <x:c r="P816" s="7" t="str"/>
      <x:c r="Q816" s="7" t="str"/>
      <x:c r="R816" s="7" t="str"/>
      <x:c r="S816" s="15" t="str"/>
      <x:c r="T816" s="7" t="str">
        <x:v>No public business phone in collected record</x:v>
      </x:c>
      <x:c r="U816" s="7" t="str"/>
      <x:c r="V816" s="7" t="str">
        <x:v>Resident</x:v>
      </x:c>
      <x:c r="W816" s="7" t="str">
        <x:v>CA</x:v>
      </x:c>
      <x:c r="X816" s="7" t="str"/>
      <x:c r="Y816" s="7" t="str"/>
      <x:c r="Z816" s="7" t="str"/>
      <x:c r="AA816" s="7" t="str"/>
      <x:c r="AB816" s="7" t="str"/>
      <x:c r="AC816" s="7" t="str"/>
      <x:c r="AD816" s="7" t="str">
        <x:v>No agency or insurer displayed: onboarding opportunity possible; existing business unknown</x:v>
      </x:c>
      <x:c r="AE816" s="7" t="str">
        <x:v>No public business phone: contact enrichment needed, not proof of poor recruiting fit</x:v>
      </x:c>
      <x:c r="AF816" s="16" t="str"/>
      <x:c r="AG816" s="17" t="str"/>
      <x:c r="AH816" s="7" t="str"/>
      <x:c r="AI816" s="7" t="str"/>
      <x:c r="AJ816" s="7" t="str"/>
      <x:c r="AK816" s="15" t="str"/>
      <x:c r="AL816" s="7" t="str"/>
      <x:c r="AM816" s="7" t="str">
        <x:v>AGUILAR  MARIA</x:v>
      </x:c>
      <x:c r="AN816" s="7" t="str">
        <x:v>https://cdicloud.insurance.ca.gov/cal/LicenseDetail?SearchType=IND&amp;SearchLicNbr=0M60666&amp;SearchIndvId=2056089</x:v>
      </x:c>
      <x:c r="AO816" s="7" t="str">
        <x:v>2026-10-08</x:v>
      </x:c>
      <x:c r="AP816" s="7" t="str">
        <x:v>afc6eaac090458c9a65b2eb1889fe4f9f72420418e9735bc6f4b2a9069406cfe</x:v>
      </x:c>
      <x:c r="AQ816" s="7" t="str">
        <x:v>Personal Lines Broker-Agent / Inactive / 10/05/2018 / 10/31/2020 / 10/31/2020</x:v>
      </x:c>
      <x:c r="AR816" s="7" t="str">
        <x:v>Inactive</x:v>
      </x:c>
      <x:c r="AS816" s="7" t="str">
        <x:v>Current detail page</x:v>
      </x:c>
    </x:row>
    <x:row r="817" ht="52" customHeight="1">
      <x:c r="A817" s="7" t="str">
        <x:v>AGUILAR MARIA</x:v>
      </x:c>
      <x:c r="B817" s="14" t="str">
        <x:f>"4448356"</x:f>
        <x:v>4448356</x:v>
      </x:c>
      <x:c r="C817" s="7" t="str">
        <x:v>Omitted</x:v>
      </x:c>
      <x:c r="D817" s="7" t="str">
        <x:v>FAIL</x:v>
      </x:c>
      <x:c r="E817" s="13" t="str">
        <x:v>Pending</x:v>
      </x:c>
      <x:c r="F817" s="13" t="str"/>
      <x:c r="G817" s="13" t="str"/>
      <x:c r="H817" s="13" t="str"/>
      <x:c r="I817" s="7" t="str">
        <x:v>Was this person reviewed? If rejected, give the actual rule and evidence. If acceptable, correct the omission. Confirm the Life-qualification gate and any record change since selection.</x:v>
      </x:c>
      <x:c r="J817" s="7" t="str">
        <x:v>L1</x:v>
      </x:c>
      <x:c r="K817" s="7" t="str">
        <x:v>Verified qualifications do not include active general Life. Current target-pool mismatch; actual historical omission reason unknown.</x:v>
      </x:c>
      <x:c r="L817" s="7" t="str">
        <x:v>Not supplied; membership is known, motive is not</x:v>
      </x:c>
      <x:c r="M817" s="7" t="n">
        <x:v>7</x:v>
      </x:c>
      <x:c r="N817" s="7" t="str">
        <x:v>Outside current general-Life recruiting pool</x:v>
      </x:c>
      <x:c r="O817" s="7" t="str">
        <x:v>Not displayed</x:v>
      </x:c>
      <x:c r="P817" s="7" t="str"/>
      <x:c r="Q817" s="7" t="str"/>
      <x:c r="R817" s="7" t="str">
        <x:v>Casualty; Property</x:v>
      </x:c>
      <x:c r="S817" s="15" t="str"/>
      <x:c r="T817" s="7" t="str">
        <x:v>No public business phone in collected record</x:v>
      </x:c>
      <x:c r="U817" s="7" t="str">
        <x:v>1314 DOUGLAS ST STE 1400 OMAHA NE, 68102-1944</x:v>
      </x:c>
      <x:c r="V817" s="7" t="str">
        <x:v>Non-resident</x:v>
      </x:c>
      <x:c r="W817" s="7" t="str">
        <x:v>NE</x:v>
      </x:c>
      <x:c r="X817" s="7" t="str">
        <x:v>BIBERK INSURANCE SERVICES, INC. / Property / 03/17/2025
BIBERK INSURANCE SERVICES, INC. / Casualty / 03/17/2025</x:v>
      </x:c>
      <x:c r="Y817" s="7" t="str">
        <x:v>WELLFLEET INSURANCE COMPANY / Casualty / 05/07/2025
WELLFLEET INSURANCE COMPANY / Property / 05/07/2025
WELLFLEET NEW YORK INSURANCE COMPANY / Casualty / 05/07/2025
WELLFLEET NEW YORK INSURANCE COMPANY / Property / 05/07/2025</x:v>
      </x:c>
      <x:c r="Z817" s="7" t="str"/>
      <x:c r="AA817" s="7" t="str"/>
      <x:c r="AB817" s="7" t="str"/>
      <x:c r="AC817" s="7" t="str"/>
      <x:c r="AD817" s="7" t="str"/>
      <x:c r="AE817"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817" s="16" t="str"/>
      <x:c r="AG817" s="17" t="str"/>
      <x:c r="AH817" s="7" t="str"/>
      <x:c r="AI817" s="7" t="str"/>
      <x:c r="AJ817" s="7" t="str"/>
      <x:c r="AK817" s="15" t="str"/>
      <x:c r="AL817" s="7" t="str"/>
      <x:c r="AM817" s="7" t="str">
        <x:v>AGUILAR  MARIA</x:v>
      </x:c>
      <x:c r="AN817" s="7" t="str">
        <x:v>https://cdicloud.insurance.ca.gov/cal/LicenseDetail?SearchType=IND&amp;SearchLicNbr=4448356&amp;SearchIndvId=4448356</x:v>
      </x:c>
      <x:c r="AO817" s="7" t="str">
        <x:v>2026-10-08</x:v>
      </x:c>
      <x:c r="AP817" s="7" t="str">
        <x:v>6dc62a0087067ff8e83b6d745f352ee8812f1fcf38fc377b4cd47fb0ee6da6c3</x:v>
      </x:c>
      <x:c r="AQ817" s="7" t="str">
        <x:v>Casualty / Active / 03/14/2025 / 03/14/2025 / 03/31/2027
Property / Active / 03/14/2025 / 03/14/2025 / 03/31/2027</x:v>
      </x:c>
      <x:c r="AR817" s="7" t="str">
        <x:v>Active</x:v>
      </x:c>
      <x:c r="AS817" s="7" t="str">
        <x:v>Current detail page</x:v>
      </x:c>
    </x:row>
    <x:row r="818" ht="52" customHeight="1">
      <x:c r="A818" s="7" t="str">
        <x:v>AGUILAR MARIA</x:v>
      </x:c>
      <x:c r="B818" s="14" t="str">
        <x:f>"4492375"</x:f>
        <x:v>4492375</x:v>
      </x:c>
      <x:c r="C818" s="7" t="str">
        <x:v>Omitted</x:v>
      </x:c>
      <x:c r="D818" s="7" t="str">
        <x:v>FAIL</x:v>
      </x:c>
      <x:c r="E818" s="13" t="str">
        <x:v>Pending</x:v>
      </x:c>
      <x:c r="F818" s="13" t="str"/>
      <x:c r="G818" s="13" t="str"/>
      <x:c r="H818" s="13" t="str"/>
      <x:c r="I818" s="7" t="str">
        <x:v>Was this person reviewed? If rejected, give the actual rule and evidence. If acceptable, correct the omission. Confirm the Life-qualification gate and any record change since selection.</x:v>
      </x:c>
      <x:c r="J818" s="7" t="str">
        <x:v>L1</x:v>
      </x:c>
      <x:c r="K818" s="7" t="str">
        <x:v>Verified qualifications do not include active general Life. Current target-pool mismatch; actual historical omission reason unknown.</x:v>
      </x:c>
      <x:c r="L818" s="7" t="str">
        <x:v>Not supplied; membership is known, motive is not</x:v>
      </x:c>
      <x:c r="M818" s="7" t="n">
        <x:v>7</x:v>
      </x:c>
      <x:c r="N818" s="7" t="str">
        <x:v>Outside current general-Life recruiting pool</x:v>
      </x:c>
      <x:c r="O818" s="7" t="str">
        <x:v>Not displayed</x:v>
      </x:c>
      <x:c r="P818" s="7" t="str"/>
      <x:c r="Q818" s="7" t="str"/>
      <x:c r="R818" s="7" t="str">
        <x:v>Accident &amp; Health or Sickness</x:v>
      </x:c>
      <x:c r="S818" s="15" t="str"/>
      <x:c r="T818" s="7" t="str">
        <x:v>No public business phone in collected record</x:v>
      </x:c>
      <x:c r="U818" s="7" t="str">
        <x:v>9800 HEALTHCARE LANE MINNETONKA MN, 55343</x:v>
      </x:c>
      <x:c r="V818" s="7" t="str">
        <x:v>Non-resident</x:v>
      </x:c>
      <x:c r="W818" s="7" t="str">
        <x:v>MN</x:v>
      </x:c>
      <x:c r="X818" s="7" t="str"/>
      <x:c r="Y818" s="7" t="str">
        <x:v>UNITEDHEALTHCARE INSURANCE COMPANY / Accident &amp; Health or Sickness / 10/02/2025</x:v>
      </x:c>
      <x:c r="Z818" s="7" t="str"/>
      <x:c r="AA818" s="7" t="str"/>
      <x:c r="AB818" s="7" t="str"/>
      <x:c r="AC818" s="7" t="str"/>
      <x:c r="AD818" s="7" t="str">
        <x:v>Active A&amp;H supports optional cross-selling; not necessary for target products</x:v>
      </x:c>
      <x:c r="AE818" s="7" t="str">
        <x:v>Displayed insurer appointments are A&amp;H/disability only despite active Life authority | Nonresident or address state outside CA; confirm geographic recruiting scope | No public business phone: contact enrichment needed, not proof of poor recruiting fit</x:v>
      </x:c>
      <x:c r="AF818" s="16" t="str"/>
      <x:c r="AG818" s="17" t="str"/>
      <x:c r="AH818" s="7" t="str"/>
      <x:c r="AI818" s="7" t="str"/>
      <x:c r="AJ818" s="7" t="str"/>
      <x:c r="AK818" s="15" t="str"/>
      <x:c r="AL818" s="7" t="str"/>
      <x:c r="AM818" s="7" t="str">
        <x:v>AGUILAR  MARIA</x:v>
      </x:c>
      <x:c r="AN818" s="7" t="str">
        <x:v>https://cdicloud.insurance.ca.gov/cal/LicenseDetail?SearchType=IND&amp;SearchLicNbr=4492375&amp;SearchIndvId=4492375</x:v>
      </x:c>
      <x:c r="AO818" s="7" t="str">
        <x:v>2026-10-08</x:v>
      </x:c>
      <x:c r="AP818" s="7" t="str">
        <x:v>4f6a3befdb80319ffbd8bd109ebc039ccfbcc04df83920b6be4946992720bc7a</x:v>
      </x:c>
      <x:c r="AQ818" s="7" t="str">
        <x:v>Accident &amp; Health or Sickness / Active / 09/17/2025 / 09/17/2025 / 09/30/2027</x:v>
      </x:c>
      <x:c r="AR818" s="7" t="str">
        <x:v>Active</x:v>
      </x:c>
      <x:c r="AS818" s="7" t="str">
        <x:v>Current detail page</x:v>
      </x:c>
    </x:row>
    <x:row r="819" ht="52" customHeight="1">
      <x:c r="A819" s="7" t="str">
        <x:v>AGUILAR MARIA ALEJANDRA</x:v>
      </x:c>
      <x:c r="B819" s="14" t="str">
        <x:f>"0L84565"</x:f>
        <x:v>0L84565</x:v>
      </x:c>
      <x:c r="C819" s="7" t="str">
        <x:v>Omitted</x:v>
      </x:c>
      <x:c r="D819" s="7" t="str">
        <x:v>FAIL</x:v>
      </x:c>
      <x:c r="E819" s="13" t="str">
        <x:v>Pending</x:v>
      </x:c>
      <x:c r="F819" s="13" t="str"/>
      <x:c r="G819" s="13" t="str"/>
      <x:c r="H819" s="13" t="str"/>
      <x:c r="I819" s="7" t="str">
        <x:v>Was this person reviewed? If rejected, give the actual rule and evidence. If acceptable, correct the omission. Confirm the Life-qualification gate and any record change since selection.</x:v>
      </x:c>
      <x:c r="J819" s="7" t="str">
        <x:v>L1</x:v>
      </x:c>
      <x:c r="K819" s="7" t="str">
        <x:v>Verified qualifications do not include active general Life. Current target-pool mismatch; actual historical omission reason unknown.</x:v>
      </x:c>
      <x:c r="L819" s="7" t="str">
        <x:v>Not supplied; membership is known, motive is not</x:v>
      </x:c>
      <x:c r="M819" s="7" t="n">
        <x:v>7</x:v>
      </x:c>
      <x:c r="N819" s="7" t="str">
        <x:v>Outside current general-Life recruiting pool</x:v>
      </x:c>
      <x:c r="O819" s="7" t="str">
        <x:v>Not displayed</x:v>
      </x:c>
      <x:c r="P819" s="7" t="str"/>
      <x:c r="Q819" s="7" t="str"/>
      <x:c r="R819" s="7" t="str"/>
      <x:c r="S819" s="15" t="str"/>
      <x:c r="T819" s="7" t="str">
        <x:v>No public business phone in collected record</x:v>
      </x:c>
      <x:c r="U819" s="7" t="str"/>
      <x:c r="V819" s="7" t="str">
        <x:v>Resident</x:v>
      </x:c>
      <x:c r="W819" s="7" t="str">
        <x:v>CA</x:v>
      </x:c>
      <x:c r="X819" s="7" t="str"/>
      <x:c r="Y819" s="7" t="str"/>
      <x:c r="Z819" s="7" t="str"/>
      <x:c r="AA819" s="7" t="str"/>
      <x:c r="AB819" s="7" t="str"/>
      <x:c r="AC819" s="7" t="str"/>
      <x:c r="AD819" s="7" t="str">
        <x:v>No agency or insurer displayed: onboarding opportunity possible; existing business unknown</x:v>
      </x:c>
      <x:c r="AE819" s="7" t="str">
        <x:v>No public business phone: contact enrichment needed, not proof of poor recruiting fit</x:v>
      </x:c>
      <x:c r="AF819" s="16" t="str"/>
      <x:c r="AG819" s="17" t="str"/>
      <x:c r="AH819" s="7" t="str"/>
      <x:c r="AI819" s="7" t="str"/>
      <x:c r="AJ819" s="7" t="str"/>
      <x:c r="AK819" s="15" t="str"/>
      <x:c r="AL819" s="7" t="str"/>
      <x:c r="AM819" s="7" t="str">
        <x:v>Aguilar A Maria | AGUILAR ALEJANDRA MARIA</x:v>
      </x:c>
      <x:c r="AN819" s="7" t="str">
        <x:v>https://cdicloud.insurance.ca.gov/cal/LicenseDetail?SearchType=IND&amp;SearchLicNbr=0L84565&amp;SearchIndvId=1944441</x:v>
      </x:c>
      <x:c r="AO819" s="7" t="str">
        <x:v>2026-10-08</x:v>
      </x:c>
      <x:c r="AP819" s="7" t="str">
        <x:v>d812ca0d365d54a0d97ce3e2e999d84709c10f9d456d62ee3e7073b4056226eb</x:v>
      </x:c>
      <x:c r="AQ819" s="7" t="str">
        <x:v>Life-Only / Inactive / 07/24/2017 / 07/31/2019 / 07/31/2019</x:v>
      </x:c>
      <x:c r="AR819" s="7" t="str">
        <x:v>Inactive</x:v>
      </x:c>
      <x:c r="AS819" s="7" t="str">
        <x:v>Current detail page</x:v>
      </x:c>
    </x:row>
    <x:row r="820" ht="52" customHeight="1">
      <x:c r="A820" s="7" t="str">
        <x:v>AGUILAR MARIA AUXILIADORA</x:v>
      </x:c>
      <x:c r="B820" s="14" t="str">
        <x:f>"0D41692"</x:f>
        <x:v>0D41692</x:v>
      </x:c>
      <x:c r="C820" s="7" t="str">
        <x:v>Omitted</x:v>
      </x:c>
      <x:c r="D820" s="7" t="str">
        <x:v>FAIL</x:v>
      </x:c>
      <x:c r="E820" s="13" t="str">
        <x:v>Pending</x:v>
      </x:c>
      <x:c r="F820" s="13" t="str"/>
      <x:c r="G820" s="13" t="str"/>
      <x:c r="H820" s="13" t="str"/>
      <x:c r="I820" s="7" t="str">
        <x:v>Was this person reviewed? If rejected, give the actual rule and evidence. If acceptable, correct the omission. Confirm the Life-qualification gate and any record change since selection.</x:v>
      </x:c>
      <x:c r="J820" s="7" t="str">
        <x:v>L1</x:v>
      </x:c>
      <x:c r="K820" s="7" t="str">
        <x:v>Verified qualifications do not include active general Life. Current target-pool mismatch; actual historical omission reason unknown.</x:v>
      </x:c>
      <x:c r="L820" s="7" t="str">
        <x:v>Not supplied; membership is known, motive is not</x:v>
      </x:c>
      <x:c r="M820" s="7" t="n">
        <x:v>7</x:v>
      </x:c>
      <x:c r="N820" s="7" t="str">
        <x:v>Outside current general-Life recruiting pool</x:v>
      </x:c>
      <x:c r="O820" s="7" t="str">
        <x:v>Not displayed</x:v>
      </x:c>
      <x:c r="P820" s="7" t="str"/>
      <x:c r="Q820" s="7" t="str"/>
      <x:c r="R820" s="7" t="str"/>
      <x:c r="S820" s="15" t="str"/>
      <x:c r="T820" s="7" t="str">
        <x:v>No public business phone in collected record</x:v>
      </x:c>
      <x:c r="U820" s="7" t="str"/>
      <x:c r="V820" s="7" t="str">
        <x:v>Resident</x:v>
      </x:c>
      <x:c r="W820" s="7" t="str">
        <x:v>CA</x:v>
      </x:c>
      <x:c r="X820" s="7" t="str"/>
      <x:c r="Y820" s="7" t="str"/>
      <x:c r="Z820" s="7" t="str"/>
      <x:c r="AA820" s="7" t="str"/>
      <x:c r="AB820" s="7" t="str"/>
      <x:c r="AC820" s="7" t="str"/>
      <x:c r="AD820" s="7" t="str">
        <x:v>No agency or insurer displayed: onboarding opportunity possible; existing business unknown</x:v>
      </x:c>
      <x:c r="AE820" s="7" t="str">
        <x:v>No public business phone: contact enrichment needed, not proof of poor recruiting fit</x:v>
      </x:c>
      <x:c r="AF820" s="16" t="str"/>
      <x:c r="AG820" s="17" t="str"/>
      <x:c r="AH820" s="7" t="str"/>
      <x:c r="AI820" s="7" t="str"/>
      <x:c r="AJ820" s="7" t="str"/>
      <x:c r="AK820" s="15" t="str"/>
      <x:c r="AL820" s="7" t="str"/>
      <x:c r="AM820" s="7" t="str">
        <x:v>AGUILAR AUXILIADORA MARIA</x:v>
      </x:c>
      <x:c r="AN820" s="7" t="str">
        <x:v>https://cdicloud.insurance.ca.gov/cal/LicenseDetail?SearchType=IND&amp;SearchLicNbr=0D41692&amp;SearchIndvId=511513</x:v>
      </x:c>
      <x:c r="AO820" s="7" t="str">
        <x:v>2026-10-08</x:v>
      </x:c>
      <x:c r="AP820" s="7" t="str">
        <x:v>407954e7de04700c56229429fe220c897015bb30609e478535f33aa2e6ff4151</x:v>
      </x:c>
      <x:c r="AQ820" s="7" t="str">
        <x:v>Casualty Broker-Agent / Inactive / 09/06/2001 / 09/30/2005 / 09/30/2005
Property Broker-Agent / Inactive / 09/06/2001 / 09/30/2005 / 09/30/2005</x:v>
      </x:c>
      <x:c r="AR820" s="7" t="str">
        <x:v>Inactive</x:v>
      </x:c>
      <x:c r="AS820" s="7" t="str">
        <x:v>Current detail page</x:v>
      </x:c>
    </x:row>
    <x:row r="821" ht="52" customHeight="1">
      <x:c r="A821" s="7" t="str">
        <x:v>AGUILAR MARIA CELESTE</x:v>
      </x:c>
      <x:c r="B821" s="14" t="str">
        <x:f>"4400742"</x:f>
        <x:v>4400742</x:v>
      </x:c>
      <x:c r="C821" s="7" t="str">
        <x:v>Omitted</x:v>
      </x:c>
      <x:c r="D821" s="7" t="str">
        <x:v>FAIL</x:v>
      </x:c>
      <x:c r="E821" s="13" t="str">
        <x:v>Pending</x:v>
      </x:c>
      <x:c r="F821" s="13" t="str"/>
      <x:c r="G821" s="13" t="str"/>
      <x:c r="H821" s="13" t="str"/>
      <x:c r="I821" s="7" t="str">
        <x:v>Was this person reviewed? If rejected, give the actual rule and evidence. If acceptable, correct the omission. Confirm the Life-qualification gate and any record change since selection.</x:v>
      </x:c>
      <x:c r="J821" s="7" t="str">
        <x:v>L1</x:v>
      </x:c>
      <x:c r="K821" s="7" t="str">
        <x:v>Verified qualifications do not include active general Life. Current target-pool mismatch; actual historical omission reason unknown.</x:v>
      </x:c>
      <x:c r="L821" s="7" t="str">
        <x:v>Not supplied; membership is known, motive is not</x:v>
      </x:c>
      <x:c r="M821" s="7" t="n">
        <x:v>7</x:v>
      </x:c>
      <x:c r="N821" s="7" t="str">
        <x:v>Outside current general-Life recruiting pool</x:v>
      </x:c>
      <x:c r="O821" s="7" t="str">
        <x:v>Not displayed</x:v>
      </x:c>
      <x:c r="P821" s="7" t="str"/>
      <x:c r="Q821" s="7" t="str"/>
      <x:c r="R821" s="7" t="str">
        <x:v>Bail Agent</x:v>
      </x:c>
      <x:c r="S821" s="15" t="str"/>
      <x:c r="T821" s="7" t="str">
        <x:v>No public business phone in collected record</x:v>
      </x:c>
      <x:c r="U821" s="7" t="str"/>
      <x:c r="V821" s="7" t="str">
        <x:v>Resident</x:v>
      </x:c>
      <x:c r="W821" s="7" t="str"/>
      <x:c r="X821" s="7" t="str">
        <x:v>TWO JINN, INC. / Bail Agent / 09/04/2024
TWO JINN, INC. / Bail Agent / 09/04/2024</x:v>
      </x:c>
      <x:c r="Y821" s="7" t="str">
        <x:v>SEAVIEW INSURANCE COMPANY / Bail Agent / 09/18/2024</x:v>
      </x:c>
      <x:c r="Z821" s="7" t="str"/>
      <x:c r="AA821" s="7" t="str"/>
      <x:c r="AB821" s="7" t="str"/>
      <x:c r="AC821" s="7" t="str"/>
      <x:c r="AD821" s="7" t="str"/>
      <x:c r="AE821" s="7" t="str">
        <x:v>Nonresident or address state outside CA; confirm geographic recruiting scope | No public business phone: contact enrichment needed, not proof of poor recruiting fit</x:v>
      </x:c>
      <x:c r="AF821" s="16" t="str"/>
      <x:c r="AG821" s="17" t="str"/>
      <x:c r="AH821" s="7" t="str"/>
      <x:c r="AI821" s="7" t="str">
        <x:v>English</x:v>
      </x:c>
      <x:c r="AJ821" s="7" t="str"/>
      <x:c r="AK821" s="15" t="str"/>
      <x:c r="AL821" s="7" t="str"/>
      <x:c r="AM821" s="7" t="str">
        <x:v>AGUILAR CELESTE MARIA</x:v>
      </x:c>
      <x:c r="AN821" s="7" t="str">
        <x:v>https://cdicloud.insurance.ca.gov/cal/LicenseDetail?SearchType=IND&amp;SearchLicNbr=4400742&amp;SearchIndvId=4400742</x:v>
      </x:c>
      <x:c r="AO821" s="7" t="str">
        <x:v>2026-10-08</x:v>
      </x:c>
      <x:c r="AP821" s="7" t="str">
        <x:v>29bbd0a19e47514ce8814e92abaacca0e69d2315addebee0f732a901e77efa98</x:v>
      </x:c>
      <x:c r="AQ821" s="7" t="str">
        <x:v>Bail Agent / Active / 09/18/2024 / 09/18/2024 / 09/30/2028</x:v>
      </x:c>
      <x:c r="AR821" s="7" t="str">
        <x:v>Active</x:v>
      </x:c>
      <x:c r="AS821" s="7" t="str">
        <x:v>Current detail page</x:v>
      </x:c>
    </x:row>
    <x:row r="822" ht="52" customHeight="1">
      <x:c r="A822" s="7" t="str">
        <x:v>AGUILAR MARIA CHRISTINA</x:v>
      </x:c>
      <x:c r="B822" s="14" t="str">
        <x:f>"0F94575"</x:f>
        <x:v>0F94575</x:v>
      </x:c>
      <x:c r="C822" s="7" t="str">
        <x:v>Omitted</x:v>
      </x:c>
      <x:c r="D822" s="7" t="str">
        <x:v>FAIL</x:v>
      </x:c>
      <x:c r="E822" s="13" t="str">
        <x:v>Pending</x:v>
      </x:c>
      <x:c r="F822" s="13" t="str"/>
      <x:c r="G822" s="13" t="str"/>
      <x:c r="H822" s="13" t="str"/>
      <x:c r="I822" s="7" t="str">
        <x:v>Was this person reviewed? If rejected, give the actual rule and evidence. If acceptable, correct the omission. Confirm the Life-qualification gate and any record change since selection.</x:v>
      </x:c>
      <x:c r="J822" s="7" t="str">
        <x:v>L1</x:v>
      </x:c>
      <x:c r="K822" s="7" t="str">
        <x:v>Verified qualifications do not include active general Life. Current target-pool mismatch; actual historical omission reason unknown.</x:v>
      </x:c>
      <x:c r="L822" s="7" t="str">
        <x:v>Not supplied; membership is known, motive is not</x:v>
      </x:c>
      <x:c r="M822" s="7" t="n">
        <x:v>7</x:v>
      </x:c>
      <x:c r="N822" s="7" t="str">
        <x:v>Outside current general-Life recruiting pool</x:v>
      </x:c>
      <x:c r="O822" s="7" t="str">
        <x:v>Inactive</x:v>
      </x:c>
      <x:c r="P822" s="7" t="str">
        <x:v>01/23/2008</x:v>
      </x:c>
      <x:c r="Q822" s="7" t="str">
        <x:v>01/31/2026</x:v>
      </x:c>
      <x:c r="R822" s="7" t="str"/>
      <x:c r="S822" s="15" t="str">
        <x:v>323-888-2680</x:v>
      </x:c>
      <x:c r="T822" s="7" t="str">
        <x:v>Current CDI</x:v>
      </x:c>
      <x:c r="U822" s="7" t="str">
        <x:v>821 W WHITTIER BLVD MONTEBELLO CA, 90640</x:v>
      </x:c>
      <x:c r="V822" s="7" t="str">
        <x:v>Resident</x:v>
      </x:c>
      <x:c r="W822" s="7" t="str">
        <x:v>CA</x:v>
      </x:c>
      <x:c r="X822" s="7" t="str"/>
      <x:c r="Y822" s="7" t="str"/>
      <x:c r="Z822" s="7" t="str"/>
      <x:c r="AA822" s="7" t="str"/>
      <x:c r="AB822" s="7" t="str"/>
      <x:c r="AC822" s="7" t="str"/>
      <x:c r="AD822" s="7" t="str">
        <x:v>No agency or insurer displayed: onboarding opportunity possible; existing business unknown</x:v>
      </x:c>
      <x:c r="AE822" s="7" t="str"/>
      <x:c r="AF822" s="16" t="str"/>
      <x:c r="AG822" s="17" t="str"/>
      <x:c r="AH822" s="7" t="str"/>
      <x:c r="AI822" s="7" t="str">
        <x:v>English</x:v>
      </x:c>
      <x:c r="AJ822" s="7" t="str"/>
      <x:c r="AK822" s="15" t="str"/>
      <x:c r="AL822" s="7" t="str"/>
      <x:c r="AM822" s="7" t="str">
        <x:v>AGUILAR CHRISTINA MARIA</x:v>
      </x:c>
      <x:c r="AN822" s="7" t="str">
        <x:v>https://cdicloud.insurance.ca.gov/cal/LicenseDetail?SearchType=IND&amp;SearchLicNbr=0F94575&amp;SearchIndvId=1120095</x:v>
      </x:c>
      <x:c r="AO822" s="7" t="str">
        <x:v>2026-10-08</x:v>
      </x:c>
      <x:c r="AP822" s="7" t="str">
        <x:v>2247ce5560c6d6fe7820a7a21bddbe0669671331e94f6e7167262a16cf8cda50</x:v>
      </x:c>
      <x:c r="AQ822" s="7" t="str">
        <x:v>Accident &amp; Health or Sickness / Inactive / 01/23/2008 / 01/31/2026 / 01/31/2026
Life / Inactive / 01/23/2008 / 01/31/2026 / 01/31/2026</x:v>
      </x:c>
      <x:c r="AR822" s="7" t="str">
        <x:v>Inactive</x:v>
      </x:c>
      <x:c r="AS822" s="7" t="str">
        <x:v>Current detail page</x:v>
      </x:c>
    </x:row>
    <x:row r="823" ht="52" customHeight="1">
      <x:c r="A823" s="7" t="str">
        <x:v>AGUILAR MARIA CONCEPCION</x:v>
      </x:c>
      <x:c r="B823" s="14" t="str">
        <x:f>"0D98900"</x:f>
        <x:v>0D98900</x:v>
      </x:c>
      <x:c r="C823" s="7" t="str">
        <x:v>Omitted</x:v>
      </x:c>
      <x:c r="D823" s="7" t="str">
        <x:v>FAIL</x:v>
      </x:c>
      <x:c r="E823" s="13" t="str">
        <x:v>Pending</x:v>
      </x:c>
      <x:c r="F823" s="13" t="str"/>
      <x:c r="G823" s="13" t="str"/>
      <x:c r="H823" s="13" t="str"/>
      <x:c r="I823" s="7" t="str">
        <x:v>Was this person reviewed? If rejected, give the actual rule and evidence. If acceptable, correct the omission. Confirm the Life-qualification gate and any record change since selection.</x:v>
      </x:c>
      <x:c r="J823" s="7" t="str">
        <x:v>L1</x:v>
      </x:c>
      <x:c r="K823" s="7" t="str">
        <x:v>Verified qualifications do not include active general Life. Current target-pool mismatch; actual historical omission reason unknown.</x:v>
      </x:c>
      <x:c r="L823" s="7" t="str">
        <x:v>Not supplied; membership is known, motive is not</x:v>
      </x:c>
      <x:c r="M823" s="7" t="n">
        <x:v>7</x:v>
      </x:c>
      <x:c r="N823" s="7" t="str">
        <x:v>Outside current general-Life recruiting pool</x:v>
      </x:c>
      <x:c r="O823" s="7" t="str">
        <x:v>Not displayed</x:v>
      </x:c>
      <x:c r="P823" s="7" t="str"/>
      <x:c r="Q823" s="7" t="str"/>
      <x:c r="R823" s="7" t="str"/>
      <x:c r="S823" s="15" t="str"/>
      <x:c r="T823" s="7" t="str">
        <x:v>No public business phone in collected record</x:v>
      </x:c>
      <x:c r="U823" s="7" t="str"/>
      <x:c r="V823" s="7" t="str">
        <x:v>Resident</x:v>
      </x:c>
      <x:c r="W823" s="7" t="str">
        <x:v>CA</x:v>
      </x:c>
      <x:c r="X823" s="7" t="str"/>
      <x:c r="Y823" s="7" t="str"/>
      <x:c r="Z823" s="7" t="str"/>
      <x:c r="AA823" s="7" t="str"/>
      <x:c r="AB823" s="7" t="str"/>
      <x:c r="AC823" s="7" t="str"/>
      <x:c r="AD823" s="7" t="str">
        <x:v>No agency or insurer displayed: onboarding opportunity possible; existing business unknown</x:v>
      </x:c>
      <x:c r="AE823" s="7" t="str">
        <x:v>No public business phone: contact enrichment needed, not proof of poor recruiting fit</x:v>
      </x:c>
      <x:c r="AF823" s="16" t="str"/>
      <x:c r="AG823" s="17" t="str"/>
      <x:c r="AH823" s="7" t="str"/>
      <x:c r="AI823" s="7" t="str"/>
      <x:c r="AJ823" s="7" t="str"/>
      <x:c r="AK823" s="15" t="str"/>
      <x:c r="AL823" s="7" t="str"/>
      <x:c r="AM823" s="7" t="str">
        <x:v>AGUILAR CONCEPCION MARIA</x:v>
      </x:c>
      <x:c r="AN823" s="7" t="str">
        <x:v>https://cdicloud.insurance.ca.gov/cal/LicenseDetail?SearchType=IND&amp;SearchLicNbr=0D98900&amp;SearchIndvId=839608</x:v>
      </x:c>
      <x:c r="AO823" s="7" t="str">
        <x:v>2026-10-08</x:v>
      </x:c>
      <x:c r="AP823" s="7" t="str">
        <x:v>3e4ecb127bf1353462821878b49970e0f31e45f3cf8ff84fc82dd47455912a50</x:v>
      </x:c>
      <x:c r="AQ823" s="7" t="str">
        <x:v>Accident and Health / Inactive / 04/19/2003 / 04/30/2005 / 04/30/2005
Life-Only / Inactive / 04/19/2003 / 04/30/2005 / 04/30/2005</x:v>
      </x:c>
      <x:c r="AR823" s="7" t="str">
        <x:v>Inactive</x:v>
      </x:c>
      <x:c r="AS823" s="7" t="str">
        <x:v>Current detail page</x:v>
      </x:c>
    </x:row>
    <x:row r="824" ht="52" customHeight="1">
      <x:c r="A824" s="7" t="str">
        <x:v>AGUILAR MARIA CRISTINA</x:v>
      </x:c>
      <x:c r="B824" s="14" t="str">
        <x:f>"0C67733"</x:f>
        <x:v>0C67733</x:v>
      </x:c>
      <x:c r="C824" s="7" t="str">
        <x:v>Omitted</x:v>
      </x:c>
      <x:c r="D824" s="7" t="str">
        <x:v>FAIL</x:v>
      </x:c>
      <x:c r="E824" s="13" t="str">
        <x:v>Pending</x:v>
      </x:c>
      <x:c r="F824" s="13" t="str"/>
      <x:c r="G824" s="13" t="str"/>
      <x:c r="H824" s="13" t="str"/>
      <x:c r="I824" s="7" t="str">
        <x:v>Was this person reviewed? If rejected, give the actual rule and evidence. If acceptable, correct the omission. Confirm the Life-qualification gate and any record change since selection.</x:v>
      </x:c>
      <x:c r="J824" s="7" t="str">
        <x:v>L1</x:v>
      </x:c>
      <x:c r="K824" s="7" t="str">
        <x:v>Verified qualifications do not include active general Life. Current target-pool mismatch; actual historical omission reason unknown.</x:v>
      </x:c>
      <x:c r="L824" s="7" t="str">
        <x:v>Not supplied; membership is known, motive is not</x:v>
      </x:c>
      <x:c r="M824" s="7" t="n">
        <x:v>7</x:v>
      </x:c>
      <x:c r="N824" s="7" t="str">
        <x:v>Outside current general-Life recruiting pool</x:v>
      </x:c>
      <x:c r="O824" s="7" t="str">
        <x:v>Not displayed</x:v>
      </x:c>
      <x:c r="P824" s="7" t="str"/>
      <x:c r="Q824" s="7" t="str"/>
      <x:c r="R824" s="7" t="str"/>
      <x:c r="S824" s="15" t="str"/>
      <x:c r="T824" s="7" t="str">
        <x:v>No public business phone in collected record</x:v>
      </x:c>
      <x:c r="U824" s="7" t="str"/>
      <x:c r="V824" s="7" t="str">
        <x:v>Non-resident</x:v>
      </x:c>
      <x:c r="W824" s="7" t="str">
        <x:v>TX</x:v>
      </x:c>
      <x:c r="X824" s="7" t="str"/>
      <x:c r="Y824" s="7" t="str"/>
      <x:c r="Z824" s="7" t="str">
        <x:v>ORDER ID: &lt;SA009733&gt; A LICENSES AND LICENSING RIGHTS OF RESPONDENT TO ACT AS MC AGENT IS HEREBY REVOKED. / 10/06/2000</x:v>
      </x:c>
      <x:c r="AA824" s="7" t="str"/>
      <x:c r="AB824" s="7" t="str"/>
      <x:c r="AC824" s="7" t="str"/>
      <x:c r="AD824" s="7" t="str">
        <x:v>No agency or insurer displayed: onboarding opportunity possible; existing business unknown</x:v>
      </x:c>
      <x:c r="AE824" s="7" t="str">
        <x:v>Nonresident or address state outside CA; confirm geographic recruiting scope | Enforcement order requires direct review; latest displayed order is not a removal order | No public business phone: contact enrichment needed, not proof of poor recruiting fit</x:v>
      </x:c>
      <x:c r="AF824" s="16" t="str"/>
      <x:c r="AG824" s="17" t="str"/>
      <x:c r="AH824" s="7" t="str"/>
      <x:c r="AI824" s="7" t="str"/>
      <x:c r="AJ824" s="7" t="str"/>
      <x:c r="AK824" s="15" t="str"/>
      <x:c r="AL824" s="7" t="str"/>
      <x:c r="AM824" s="7" t="str">
        <x:v>AGUILAR CRISTINA MARIA</x:v>
      </x:c>
      <x:c r="AN824" s="7" t="str">
        <x:v>https://cdicloud.insurance.ca.gov/cal/LicenseDetail?SearchType=IND&amp;SearchLicNbr=0C67733&amp;SearchIndvId=450852</x:v>
      </x:c>
      <x:c r="AO824" s="7" t="str">
        <x:v>2026-10-08</x:v>
      </x:c>
      <x:c r="AP824" s="7" t="str">
        <x:v>89a206d390017f7a6255f84a7eca0bac02cb34a4f695235358c6e0cf3a5d30a2</x:v>
      </x:c>
      <x:c r="AQ824" s="7" t="str">
        <x:v>Casualty Broker-Agent / Inactive / 04/22/2016 / 04/30/2020 / 04/30/2020
Property Broker-Agent / Inactive / 04/22/2016 / 04/30/2020 / 04/30/2020
Motor Club Agent / Inactive / 07/21/1999 / 10/06/2000 / 10/06/2000</x:v>
      </x:c>
      <x:c r="AR824" s="7" t="str">
        <x:v>Inactive</x:v>
      </x:c>
      <x:c r="AS824" s="7" t="str">
        <x:v>Current detail page</x:v>
      </x:c>
    </x:row>
    <x:row r="825" ht="52" customHeight="1">
      <x:c r="A825" s="7" t="str">
        <x:v>AGUILAR MARIA D</x:v>
      </x:c>
      <x:c r="B825" s="14" t="str">
        <x:f>"4011487"</x:f>
        <x:v>4011487</x:v>
      </x:c>
      <x:c r="C825" s="7" t="str">
        <x:v>Omitted</x:v>
      </x:c>
      <x:c r="D825" s="7" t="str">
        <x:v>FAIL</x:v>
      </x:c>
      <x:c r="E825" s="13" t="str">
        <x:v>Pending</x:v>
      </x:c>
      <x:c r="F825" s="13" t="str"/>
      <x:c r="G825" s="13" t="str"/>
      <x:c r="H825" s="13" t="str"/>
      <x:c r="I825" s="7" t="str">
        <x:v>Was this person reviewed? If rejected, give the actual rule and evidence. If acceptable, correct the omission. Confirm the Life-qualification gate and any record change since selection.</x:v>
      </x:c>
      <x:c r="J825" s="7" t="str">
        <x:v>L1</x:v>
      </x:c>
      <x:c r="K825" s="7" t="str">
        <x:v>Verified qualifications do not include active general Life. Current target-pool mismatch; actual historical omission reason unknown.</x:v>
      </x:c>
      <x:c r="L825" s="7" t="str">
        <x:v>Not supplied; membership is known, motive is not</x:v>
      </x:c>
      <x:c r="M825" s="7" t="n">
        <x:v>7</x:v>
      </x:c>
      <x:c r="N825" s="7" t="str">
        <x:v>Outside current general-Life recruiting pool</x:v>
      </x:c>
      <x:c r="O825" s="7" t="str">
        <x:v>Not displayed</x:v>
      </x:c>
      <x:c r="P825" s="7" t="str"/>
      <x:c r="Q825" s="7" t="str"/>
      <x:c r="R825" s="7" t="str"/>
      <x:c r="S825" s="15" t="str"/>
      <x:c r="T825" s="7" t="str">
        <x:v>No public business phone in collected record</x:v>
      </x:c>
      <x:c r="U825" s="7" t="str">
        <x:v>4201 DEL RAY BOULEVARD LAS CRUCES NM, 88012</x:v>
      </x:c>
      <x:c r="V825" s="7" t="str">
        <x:v>Non-resident</x:v>
      </x:c>
      <x:c r="W825" s="7" t="str">
        <x:v>NM</x:v>
      </x:c>
      <x:c r="X825" s="7" t="str"/>
      <x:c r="Y825" s="7" t="str"/>
      <x:c r="Z825" s="7" t="str"/>
      <x:c r="AA825" s="7" t="str"/>
      <x:c r="AB825" s="7" t="str"/>
      <x:c r="AC825" s="7" t="str"/>
      <x:c r="AD825" s="7" t="str">
        <x:v>No agency or insurer displayed: onboarding opportunity possible; existing business unknown</x:v>
      </x:c>
      <x:c r="AE825" s="7" t="str">
        <x:v>Nonresident or address state outside CA; confirm geographic recruiting scope | No public business phone: contact enrichment needed, not proof of poor recruiting fit</x:v>
      </x:c>
      <x:c r="AF825" s="16" t="str"/>
      <x:c r="AG825" s="17" t="str"/>
      <x:c r="AH825" s="7" t="str"/>
      <x:c r="AI825" s="7" t="str"/>
      <x:c r="AJ825" s="7" t="str"/>
      <x:c r="AK825" s="15" t="str"/>
      <x:c r="AL825" s="7" t="str"/>
      <x:c r="AM825" s="7" t="str">
        <x:v>AGUILAR D MARIA</x:v>
      </x:c>
      <x:c r="AN825" s="7" t="str">
        <x:v>https://cdicloud.insurance.ca.gov/cal/LicenseDetail?SearchType=IND&amp;SearchLicNbr=4011487&amp;SearchIndvId=4011487</x:v>
      </x:c>
      <x:c r="AO825" s="7" t="str">
        <x:v>2026-10-08</x:v>
      </x:c>
      <x:c r="AP825" s="7" t="str">
        <x:v>d22477747181b96c96c56fe37cc22c2ffceefafe2a474f732b1590d2df83d059</x:v>
      </x:c>
      <x:c r="AQ825" s="7" t="str">
        <x:v>Accident &amp; Health or Sickness / Inactive / 10/12/2019 / 10/31/2021 / 10/31/2021</x:v>
      </x:c>
      <x:c r="AR825" s="7" t="str">
        <x:v>Inactive</x:v>
      </x:c>
      <x:c r="AS825" s="7" t="str">
        <x:v>Current detail page</x:v>
      </x:c>
    </x:row>
    <x:row r="826" ht="52" customHeight="1">
      <x:c r="A826" s="7" t="str">
        <x:v>AGUILAR MARIA DE JESUS</x:v>
      </x:c>
      <x:c r="B826" s="14" t="str">
        <x:f>"0C50976"</x:f>
        <x:v>0C50976</x:v>
      </x:c>
      <x:c r="C826" s="7" t="str">
        <x:v>Omitted</x:v>
      </x:c>
      <x:c r="D826" s="7" t="str">
        <x:v>FAIL</x:v>
      </x:c>
      <x:c r="E826" s="13" t="str">
        <x:v>Pending</x:v>
      </x:c>
      <x:c r="F826" s="13" t="str"/>
      <x:c r="G826" s="13" t="str"/>
      <x:c r="H826" s="13" t="str"/>
      <x:c r="I826" s="7" t="str">
        <x:v>Was this person reviewed? If rejected, give the actual rule and evidence. If acceptable, correct the omission. Confirm the Life-qualification gate and any record change since selection.</x:v>
      </x:c>
      <x:c r="J826" s="7" t="str">
        <x:v>L1</x:v>
      </x:c>
      <x:c r="K826" s="7" t="str">
        <x:v>Verified qualifications do not include active general Life. Current target-pool mismatch; actual historical omission reason unknown.</x:v>
      </x:c>
      <x:c r="L826" s="7" t="str">
        <x:v>Not supplied; membership is known, motive is not</x:v>
      </x:c>
      <x:c r="M826" s="7" t="n">
        <x:v>7</x:v>
      </x:c>
      <x:c r="N826" s="7" t="str">
        <x:v>Outside current general-Life recruiting pool</x:v>
      </x:c>
      <x:c r="O826" s="7" t="str">
        <x:v>Not displayed</x:v>
      </x:c>
      <x:c r="P826" s="7" t="str"/>
      <x:c r="Q826" s="7" t="str"/>
      <x:c r="R826" s="7" t="str"/>
      <x:c r="S826" s="15" t="str"/>
      <x:c r="T826" s="7" t="str">
        <x:v>No public business phone in collected record</x:v>
      </x:c>
      <x:c r="U826" s="7" t="str"/>
      <x:c r="V826" s="7" t="str">
        <x:v>Resident</x:v>
      </x:c>
      <x:c r="W826" s="7" t="str">
        <x:v>CA</x:v>
      </x:c>
      <x:c r="X826" s="7" t="str">
        <x:v>PRIMERICA FINANCIAL SERVICES INSURANCE MARKETING, INC. / Life-Only / 12/12/1998
PRIMERICA FINANCIAL SERVICES INSURANCE MARKETING, INC. / Accident and Health / 12/12/1998</x:v>
      </x:c>
      <x:c r="Y826" s="7" t="str"/>
      <x:c r="Z826" s="7" t="str"/>
      <x:c r="AA826" s="7" t="str"/>
      <x:c r="AB826" s="7" t="str"/>
      <x:c r="AC826" s="7" t="str"/>
      <x:c r="AD826" s="7" t="str">
        <x:v>Primerica relationship: matches an explicitly targeted recruiting segment</x:v>
      </x:c>
      <x:c r="AE826" s="7" t="str">
        <x:v>No public business phone: contact enrichment needed, not proof of poor recruiting fit</x:v>
      </x:c>
      <x:c r="AF826" s="16" t="str"/>
      <x:c r="AG826" s="17" t="str"/>
      <x:c r="AH826" s="7" t="str"/>
      <x:c r="AI826" s="7" t="str"/>
      <x:c r="AJ826" s="7" t="str"/>
      <x:c r="AK826" s="15" t="str"/>
      <x:c r="AL826" s="7" t="str"/>
      <x:c r="AM826" s="7" t="str">
        <x:v>AGUILAR DE JESUS MARIA</x:v>
      </x:c>
      <x:c r="AN826" s="7" t="str">
        <x:v>https://cdicloud.insurance.ca.gov/cal/LicenseDetail?SearchType=IND&amp;SearchLicNbr=0C50976&amp;SearchIndvId=324936</x:v>
      </x:c>
      <x:c r="AO826" s="7" t="str">
        <x:v>2026-10-08</x:v>
      </x:c>
      <x:c r="AP826" s="7" t="str">
        <x:v>76f46fb833bc2abdb9b9657788c58b6396c22ed3336c72498bc3785faef22aeb</x:v>
      </x:c>
      <x:c r="AQ826" s="7" t="str">
        <x:v>Accident and Health / Inactive / 12/12/1998 / 12/31/2000 / 12/31/2000
Life-Only / Inactive / 12/12/1998 / 12/31/2000 / 12/31/2000</x:v>
      </x:c>
      <x:c r="AR826" s="7" t="str">
        <x:v>Inactive</x:v>
      </x:c>
      <x:c r="AS826" s="7" t="str">
        <x:v>Current detail page</x:v>
      </x:c>
    </x:row>
    <x:row r="827" ht="52" customHeight="1">
      <x:c r="A827" s="7" t="str">
        <x:v>AGUILAR MARIA DE LOS ANGELES</x:v>
      </x:c>
      <x:c r="B827" s="14" t="str">
        <x:f>"4389169"</x:f>
        <x:v>4389169</x:v>
      </x:c>
      <x:c r="C827" s="7" t="str">
        <x:v>Omitted</x:v>
      </x:c>
      <x:c r="D827" s="7" t="str">
        <x:v>FAIL</x:v>
      </x:c>
      <x:c r="E827" s="13" t="str">
        <x:v>Pending</x:v>
      </x:c>
      <x:c r="F827" s="13" t="str"/>
      <x:c r="G827" s="13" t="str"/>
      <x:c r="H827" s="13" t="str"/>
      <x:c r="I827" s="7" t="str">
        <x:v>Was this person reviewed? If rejected, give the actual rule and evidence. If acceptable, correct the omission. Confirm the Life-qualification gate and any record change since selection.</x:v>
      </x:c>
      <x:c r="J827" s="7" t="str">
        <x:v>L1</x:v>
      </x:c>
      <x:c r="K827" s="7" t="str">
        <x:v>Verified qualifications do not include active general Life. Current target-pool mismatch; actual historical omission reason unknown.</x:v>
      </x:c>
      <x:c r="L827" s="7" t="str">
        <x:v>Not supplied; membership is known, motive is not</x:v>
      </x:c>
      <x:c r="M827" s="7" t="n">
        <x:v>7</x:v>
      </x:c>
      <x:c r="N827" s="7" t="str">
        <x:v>Outside current general-Life recruiting pool</x:v>
      </x:c>
      <x:c r="O827" s="7" t="str">
        <x:v>Not displayed</x:v>
      </x:c>
      <x:c r="P827" s="7" t="str"/>
      <x:c r="Q827" s="7" t="str"/>
      <x:c r="R827" s="7" t="str">
        <x:v>Personal Lines</x:v>
      </x:c>
      <x:c r="S827" s="15" t="str">
        <x:v>510-860-4939</x:v>
      </x:c>
      <x:c r="T827" s="7" t="str">
        <x:v>Current CDI</x:v>
      </x:c>
      <x:c r="U827" s="7" t="str">
        <x:v>FREEWAY INSURANCE 699 LEWELLING BLVD SAN LEANDRO CA, 94579-1870</x:v>
      </x:c>
      <x:c r="V827" s="7" t="str">
        <x:v>Resident</x:v>
      </x:c>
      <x:c r="W827" s="7" t="str">
        <x:v>CA</x:v>
      </x:c>
      <x:c r="X827" s="7" t="str"/>
      <x:c r="Y827" s="7" t="str"/>
      <x:c r="Z827" s="7" t="str"/>
      <x:c r="AA827" s="7" t="str"/>
      <x:c r="AB827" s="7" t="str"/>
      <x:c r="AC827" s="7" t="str"/>
      <x:c r="AD827" s="7" t="str">
        <x:v>No agency or insurer displayed: onboarding opportunity possible; existing business unknown</x:v>
      </x:c>
      <x:c r="AE827" s="7" t="str">
        <x:v>P&amp;C/Personal Lines authority without displayed core Life appointments; mixed profile requires review</x:v>
      </x:c>
      <x:c r="AF827" s="16" t="str"/>
      <x:c r="AG827" s="17" t="str"/>
      <x:c r="AH827" s="7" t="str"/>
      <x:c r="AI827" s="7" t="str">
        <x:v>English</x:v>
      </x:c>
      <x:c r="AJ827" s="7" t="str"/>
      <x:c r="AK827" s="15" t="str"/>
      <x:c r="AL827" s="7" t="str"/>
      <x:c r="AM827" s="7" t="str">
        <x:v>AGUILAR DE LOS ANGELES MARIA</x:v>
      </x:c>
      <x:c r="AN827" s="7" t="str">
        <x:v>https://cdicloud.insurance.ca.gov/cal/LicenseDetail?SearchType=IND&amp;SearchLicNbr=4389169&amp;SearchIndvId=4389169</x:v>
      </x:c>
      <x:c r="AO827" s="7" t="str">
        <x:v>2026-10-08</x:v>
      </x:c>
      <x:c r="AP827" s="7" t="str">
        <x:v>2441cf7c389a998ee929b2f3903a16af31ac84e3decdb8fb558a0ec3e0e6d110</x:v>
      </x:c>
      <x:c r="AQ827" s="7" t="str">
        <x:v>Personal Lines / Active / 06/20/2024 / 06/20/2024 / 06/30/2028</x:v>
      </x:c>
      <x:c r="AR827" s="7" t="str">
        <x:v>Active</x:v>
      </x:c>
      <x:c r="AS827" s="7" t="str">
        <x:v>Current detail page</x:v>
      </x:c>
    </x:row>
    <x:row r="828" ht="52" customHeight="1">
      <x:c r="A828" s="7" t="str">
        <x:v>AGUILAR MARIA DEJESUS</x:v>
      </x:c>
      <x:c r="B828" s="14" t="str">
        <x:f>"E4364874"</x:f>
        <x:v>E4364874</x:v>
      </x:c>
      <x:c r="C828" s="7" t="str">
        <x:v>Omitted</x:v>
      </x:c>
      <x:c r="D828" s="7" t="str">
        <x:v>REVIEW</x:v>
      </x:c>
      <x:c r="E828" s="13" t="str">
        <x:v>Pending</x:v>
      </x:c>
      <x:c r="F828" s="13" t="str"/>
      <x:c r="G828" s="13" t="str"/>
      <x:c r="H828" s="13" t="str"/>
      <x:c r="I828" s="7" t="str">
        <x:v>Was this record reviewed? The detail page provides no qualifications. Verify the actual license type and Life authority before deciding; do not reject for missing data.</x:v>
      </x:c>
      <x:c r="J828" s="7" t="str">
        <x:v>L1</x:v>
      </x:c>
      <x:c r="K828" s="7" t="str">
        <x:v>Detail page displays no qualification information. Life authority cannot be verified; missing data is not a qualification failure. Historical omission reason unknown.</x:v>
      </x:c>
      <x:c r="L828" s="7" t="str">
        <x:v>Not supplied; membership is known, motive is not</x:v>
      </x:c>
      <x:c r="M828" s="7" t="n">
        <x:v>7</x:v>
      </x:c>
      <x:c r="N828" s="7" t="str">
        <x:v>Outside current general-Life recruiting pool</x:v>
      </x:c>
      <x:c r="O828" s="7" t="str">
        <x:v>Not displayed</x:v>
      </x:c>
      <x:c r="P828" s="7" t="str"/>
      <x:c r="Q828" s="7" t="str"/>
      <x:c r="R828" s="7" t="str"/>
      <x:c r="S828" s="15" t="str"/>
      <x:c r="T828" s="7" t="str">
        <x:v>No public business phone in collected record</x:v>
      </x:c>
      <x:c r="U828" s="7" t="str"/>
      <x:c r="V828" s="7" t="str">
        <x:v>Resident</x:v>
      </x:c>
      <x:c r="W828" s="7" t="str">
        <x:v>CA</x:v>
      </x:c>
      <x:c r="X828" s="7" t="str"/>
      <x:c r="Y828" s="7" t="str"/>
      <x:c r="Z828" s="7" t="str"/>
      <x:c r="AA828" s="7" t="str"/>
      <x:c r="AB828" s="7" t="str"/>
      <x:c r="AC828" s="7" t="str"/>
      <x:c r="AD828" s="7" t="str">
        <x:v>No agency or insurer displayed: onboarding opportunity possible; existing business unknown</x:v>
      </x:c>
      <x:c r="AE828" s="7" t="str">
        <x:v>No public business phone: contact enrichment needed, not proof of poor recruiting fit</x:v>
      </x:c>
      <x:c r="AF828" s="16" t="str"/>
      <x:c r="AG828" s="17" t="str"/>
      <x:c r="AH828" s="7" t="str"/>
      <x:c r="AI828" s="7" t="str">
        <x:v>English</x:v>
      </x:c>
      <x:c r="AJ828" s="7" t="str"/>
      <x:c r="AK828" s="15" t="str"/>
      <x:c r="AL828" s="7" t="str"/>
      <x:c r="AM828" s="7" t="str">
        <x:v>AGUILAR DEJESUS MARIA</x:v>
      </x:c>
      <x:c r="AN828" s="7" t="str">
        <x:v>https://cdicloud.insurance.ca.gov/cal/LicenseDetail?SearchType=IND&amp;SearchLicNbr=E4364874&amp;SearchIndvId=4364874</x:v>
      </x:c>
      <x:c r="AO828" s="7" t="str">
        <x:v>2026-10-08</x:v>
      </x:c>
      <x:c r="AP828" s="7" t="str">
        <x:v>f35e4eba9a8ebb04fedf9f8bba70ac47be916a0ced56bfba991a90fd686cd910</x:v>
      </x:c>
      <x:c r="AQ828" s="7" t="str"/>
      <x:c r="AR828" s="7" t="str">
        <x:v>Active</x:v>
      </x:c>
      <x:c r="AS828" s="7" t="str">
        <x:v>Current detail page</x:v>
      </x:c>
    </x:row>
    <x:row r="829" ht="52" customHeight="1">
      <x:c r="A829" s="7" t="str">
        <x:v>AGUILAR MARIA ELENA</x:v>
      </x:c>
      <x:c r="B829" s="14" t="str">
        <x:f>"0E45193"</x:f>
        <x:v>0E45193</x:v>
      </x:c>
      <x:c r="C829" s="7" t="str">
        <x:v>Omitted</x:v>
      </x:c>
      <x:c r="D829" s="7" t="str">
        <x:v>FAIL</x:v>
      </x:c>
      <x:c r="E829" s="13" t="str">
        <x:v>Pending</x:v>
      </x:c>
      <x:c r="F829" s="13" t="str"/>
      <x:c r="G829" s="13" t="str"/>
      <x:c r="H829" s="13" t="str"/>
      <x:c r="I829" s="7" t="str">
        <x:v>Was this person reviewed? If rejected, give the actual rule and evidence. If acceptable, correct the omission. Confirm the Life-qualification gate and any record change since selection.</x:v>
      </x:c>
      <x:c r="J829" s="7" t="str">
        <x:v>L1</x:v>
      </x:c>
      <x:c r="K829" s="7" t="str">
        <x:v>Verified qualifications do not include active general Life. Current target-pool mismatch; actual historical omission reason unknown.</x:v>
      </x:c>
      <x:c r="L829" s="7" t="str">
        <x:v>Not supplied; membership is known, motive is not</x:v>
      </x:c>
      <x:c r="M829" s="7" t="n">
        <x:v>7</x:v>
      </x:c>
      <x:c r="N829" s="7" t="str">
        <x:v>Outside current general-Life recruiting pool</x:v>
      </x:c>
      <x:c r="O829" s="7" t="str">
        <x:v>Not displayed</x:v>
      </x:c>
      <x:c r="P829" s="7" t="str"/>
      <x:c r="Q829" s="7" t="str"/>
      <x:c r="R829" s="7" t="str"/>
      <x:c r="S829" s="15" t="str"/>
      <x:c r="T829" s="7" t="str">
        <x:v>No public business phone in collected record</x:v>
      </x:c>
      <x:c r="U829" s="7" t="str"/>
      <x:c r="V829" s="7" t="str">
        <x:v>Resident</x:v>
      </x:c>
      <x:c r="W829" s="7" t="str">
        <x:v>CA</x:v>
      </x:c>
      <x:c r="X829" s="7" t="str"/>
      <x:c r="Y829" s="7" t="str"/>
      <x:c r="Z829" s="7" t="str"/>
      <x:c r="AA829" s="7" t="str"/>
      <x:c r="AB829" s="7" t="str"/>
      <x:c r="AC829" s="7" t="str"/>
      <x:c r="AD829" s="7" t="str">
        <x:v>No agency or insurer displayed: onboarding opportunity possible; existing business unknown</x:v>
      </x:c>
      <x:c r="AE829" s="7" t="str">
        <x:v>No public business phone: contact enrichment needed, not proof of poor recruiting fit</x:v>
      </x:c>
      <x:c r="AF829" s="16" t="str"/>
      <x:c r="AG829" s="17" t="str"/>
      <x:c r="AH829" s="7" t="str"/>
      <x:c r="AI829" s="7" t="str"/>
      <x:c r="AJ829" s="7" t="str"/>
      <x:c r="AK829" s="15" t="str"/>
      <x:c r="AL829" s="7" t="str"/>
      <x:c r="AM829" s="7" t="str">
        <x:v>AGUILAR ELENA MARIA</x:v>
      </x:c>
      <x:c r="AN829" s="7" t="str">
        <x:v>https://cdicloud.insurance.ca.gov/cal/LicenseDetail?SearchType=IND&amp;SearchLicNbr=0E45193&amp;SearchIndvId=900806</x:v>
      </x:c>
      <x:c r="AO829" s="7" t="str">
        <x:v>2026-10-08</x:v>
      </x:c>
      <x:c r="AP829" s="7" t="str">
        <x:v>44ec369a4914e9ede0453ac532bed7acd3fc7853c1ea9facb1cfb6ea6fd63edf</x:v>
      </x:c>
      <x:c r="AQ829" s="7" t="str">
        <x:v>Accident and Health / Inactive / 06/08/2004 / 06/30/2006 / 06/30/2006
Life-Only / Inactive / 06/08/2004 / 06/30/2006 / 06/30/2006</x:v>
      </x:c>
      <x:c r="AR829" s="7" t="str">
        <x:v>Inactive</x:v>
      </x:c>
      <x:c r="AS829" s="7" t="str">
        <x:v>Current detail page</x:v>
      </x:c>
    </x:row>
    <x:row r="830" ht="52" customHeight="1">
      <x:c r="A830" s="7" t="str">
        <x:v>AGUILAR MARIA ELENA</x:v>
      </x:c>
      <x:c r="B830" s="14" t="str">
        <x:f>"0H12937"</x:f>
        <x:v>0H12937</x:v>
      </x:c>
      <x:c r="C830" s="7" t="str">
        <x:v>Omitted</x:v>
      </x:c>
      <x:c r="D830" s="7" t="str">
        <x:v>FAIL</x:v>
      </x:c>
      <x:c r="E830" s="13" t="str">
        <x:v>Pending</x:v>
      </x:c>
      <x:c r="F830" s="13" t="str"/>
      <x:c r="G830" s="13" t="str"/>
      <x:c r="H830" s="13" t="str"/>
      <x:c r="I830" s="7" t="str">
        <x:v>Was this person reviewed? If rejected, give the actual rule and evidence. If acceptable, correct the omission. Confirm the Life-qualification gate and any record change since selection.</x:v>
      </x:c>
      <x:c r="J830" s="7" t="str">
        <x:v>L1</x:v>
      </x:c>
      <x:c r="K830" s="7" t="str">
        <x:v>Verified qualifications do not include active general Life. Current target-pool mismatch; actual historical omission reason unknown.</x:v>
      </x:c>
      <x:c r="L830" s="7" t="str">
        <x:v>Not supplied; membership is known, motive is not</x:v>
      </x:c>
      <x:c r="M830" s="7" t="n">
        <x:v>7</x:v>
      </x:c>
      <x:c r="N830" s="7" t="str">
        <x:v>Outside current general-Life recruiting pool</x:v>
      </x:c>
      <x:c r="O830" s="7" t="str">
        <x:v>Not displayed</x:v>
      </x:c>
      <x:c r="P830" s="7" t="str"/>
      <x:c r="Q830" s="7" t="str"/>
      <x:c r="R830" s="7" t="str">
        <x:v>Casualty; Property</x:v>
      </x:c>
      <x:c r="S830" s="15" t="str"/>
      <x:c r="T830" s="7" t="str">
        <x:v>No public business phone in collected record</x:v>
      </x:c>
      <x:c r="U830" s="7" t="str">
        <x:v>9903 NATIONWIDE DRIVE NO SA-A303 SAN ANTONIO TX, 78251</x:v>
      </x:c>
      <x:c r="V830" s="7" t="str">
        <x:v>Non-resident</x:v>
      </x:c>
      <x:c r="W830" s="7" t="str">
        <x:v>TX</x:v>
      </x:c>
      <x:c r="X830" s="7" t="str">
        <x:v>NATIONWIDE SALES SOLUTIONS, INC. / Casualty / 06/22/2022
CLEARCOVER INSURANCE AGENCY, LLC / Personal Lines / 11/22/2021
NATIONWIDE SALES SOLUTIONS, INC. / Property / 06/22/2022</x:v>
      </x:c>
      <x:c r="Y830" s="7" t="str"/>
      <x:c r="Z830" s="7" t="str"/>
      <x:c r="AA830" s="7" t="str"/>
      <x:c r="AB830" s="7" t="str"/>
      <x:c r="AC830" s="7" t="str"/>
      <x:c r="AD830" s="7" t="str"/>
      <x:c r="AE830"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830" s="16" t="str"/>
      <x:c r="AG830" s="17" t="str"/>
      <x:c r="AH830" s="7" t="str"/>
      <x:c r="AI830" s="7" t="str"/>
      <x:c r="AJ830" s="7" t="str"/>
      <x:c r="AK830" s="15" t="str"/>
      <x:c r="AL830" s="7" t="str"/>
      <x:c r="AM830" s="7" t="str">
        <x:v>AGUILAR ELENA MARIA</x:v>
      </x:c>
      <x:c r="AN830" s="7" t="str">
        <x:v>https://cdicloud.insurance.ca.gov/cal/LicenseDetail?SearchType=IND&amp;SearchLicNbr=0H12937&amp;SearchIndvId=1350574</x:v>
      </x:c>
      <x:c r="AO830" s="7" t="str">
        <x:v>2026-10-08</x:v>
      </x:c>
      <x:c r="AP830" s="7" t="str">
        <x:v>6cbbeab71625b3df724c963e327ef4fd15b34d5b0c862669387823dd8d97d03e</x:v>
      </x:c>
      <x:c r="AQ830" s="7" t="str">
        <x:v>Casualty / Active / 06/21/2022 / 06/21/2022 / 08/31/2028
Property / Active / 06/21/2022 / 06/21/2022 / 08/31/2028
Personal Lines / Inactive / 08/30/2010 / 06/21/2022 / 06/21/2022</x:v>
      </x:c>
      <x:c r="AR830" s="7" t="str">
        <x:v>Active</x:v>
      </x:c>
      <x:c r="AS830" s="7" t="str">
        <x:v>Current detail page</x:v>
      </x:c>
    </x:row>
    <x:row r="831" ht="52" customHeight="1">
      <x:c r="A831" s="7" t="str">
        <x:v>AGUILAR MARIA ELISA</x:v>
      </x:c>
      <x:c r="B831" s="14" t="str">
        <x:f>"0782103"</x:f>
        <x:v>0782103</x:v>
      </x:c>
      <x:c r="C831" s="7" t="str">
        <x:v>Omitted</x:v>
      </x:c>
      <x:c r="D831" s="7" t="str">
        <x:v>FAIL</x:v>
      </x:c>
      <x:c r="E831" s="13" t="str">
        <x:v>Pending</x:v>
      </x:c>
      <x:c r="F831" s="13" t="str"/>
      <x:c r="G831" s="13" t="str"/>
      <x:c r="H831" s="13" t="str"/>
      <x:c r="I831" s="7" t="str">
        <x:v>Was this person reviewed? If rejected, give the actual rule and evidence. If acceptable, correct the omission. Confirm the Life-qualification gate and any record change since selection.</x:v>
      </x:c>
      <x:c r="J831" s="7" t="str">
        <x:v>L1</x:v>
      </x:c>
      <x:c r="K831" s="7" t="str">
        <x:v>Verified qualifications do not include active general Life. Current target-pool mismatch; actual historical omission reason unknown.</x:v>
      </x:c>
      <x:c r="L831" s="7" t="str">
        <x:v>Not supplied; membership is known, motive is not</x:v>
      </x:c>
      <x:c r="M831" s="7" t="n">
        <x:v>7</x:v>
      </x:c>
      <x:c r="N831" s="7" t="str">
        <x:v>Outside current general-Life recruiting pool</x:v>
      </x:c>
      <x:c r="O831" s="7" t="str">
        <x:v>Not displayed</x:v>
      </x:c>
      <x:c r="P831" s="7" t="str"/>
      <x:c r="Q831" s="7" t="str"/>
      <x:c r="R831" s="7" t="str"/>
      <x:c r="S831" s="15" t="str"/>
      <x:c r="T831" s="7" t="str">
        <x:v>No public business phone in collected record</x:v>
      </x:c>
      <x:c r="U831" s="7" t="str"/>
      <x:c r="V831" s="7" t="str">
        <x:v>Resident</x:v>
      </x:c>
      <x:c r="W831" s="7" t="str">
        <x:v>CA</x:v>
      </x:c>
      <x:c r="X831" s="7" t="str"/>
      <x:c r="Y831" s="7" t="str"/>
      <x:c r="Z831" s="7" t="str"/>
      <x:c r="AA831" s="7" t="str"/>
      <x:c r="AB831" s="7" t="str"/>
      <x:c r="AC831" s="7" t="str"/>
      <x:c r="AD831" s="7" t="str">
        <x:v>No agency or insurer displayed: onboarding opportunity possible; existing business unknown</x:v>
      </x:c>
      <x:c r="AE831" s="7" t="str">
        <x:v>No public business phone: contact enrichment needed, not proof of poor recruiting fit</x:v>
      </x:c>
      <x:c r="AF831" s="16" t="str"/>
      <x:c r="AG831" s="17" t="str"/>
      <x:c r="AH831" s="7" t="str"/>
      <x:c r="AI831" s="7" t="str"/>
      <x:c r="AJ831" s="7" t="str"/>
      <x:c r="AK831" s="15" t="str"/>
      <x:c r="AL831" s="7" t="str"/>
      <x:c r="AM831" s="7" t="str">
        <x:v>AGUILAR ELISA MARIA</x:v>
      </x:c>
      <x:c r="AN831" s="7" t="str">
        <x:v>https://cdicloud.insurance.ca.gov/cal/LicenseDetail?SearchType=IND&amp;SearchLicNbr=0782103&amp;SearchIndvId=117183</x:v>
      </x:c>
      <x:c r="AO831" s="7" t="str">
        <x:v>2026-10-08</x:v>
      </x:c>
      <x:c r="AP831" s="7" t="str">
        <x:v>458e747a27cc866f4f94661edc2490d6e248309e7330f73523236dab94416e04</x:v>
      </x:c>
      <x:c r="AQ831" s="7" t="str">
        <x:v>Accident and Health / Inactive / 10/12/1989 / 10/31/2001 / 10/31/2001
Life-Only / Inactive / 10/12/1989 / 10/31/2001 / 10/31/2001</x:v>
      </x:c>
      <x:c r="AR831" s="7" t="str">
        <x:v>Inactive</x:v>
      </x:c>
      <x:c r="AS831" s="7" t="str">
        <x:v>Current detail page</x:v>
      </x:c>
    </x:row>
    <x:row r="832" ht="52" customHeight="1">
      <x:c r="A832" s="7" t="str">
        <x:v>AGUILAR MARIA EUGENIA</x:v>
      </x:c>
      <x:c r="B832" s="14" t="str">
        <x:f>"0D77712"</x:f>
        <x:v>0D77712</x:v>
      </x:c>
      <x:c r="C832" s="7" t="str">
        <x:v>Omitted</x:v>
      </x:c>
      <x:c r="D832" s="7" t="str">
        <x:v>FAIL</x:v>
      </x:c>
      <x:c r="E832" s="13" t="str">
        <x:v>Pending</x:v>
      </x:c>
      <x:c r="F832" s="13" t="str"/>
      <x:c r="G832" s="13" t="str"/>
      <x:c r="H832" s="13" t="str"/>
      <x:c r="I832" s="7" t="str">
        <x:v>Was this person reviewed? If rejected, give the actual rule and evidence. If acceptable, correct the omission. Confirm the Life-qualification gate and any record change since selection.</x:v>
      </x:c>
      <x:c r="J832" s="7" t="str">
        <x:v>L1</x:v>
      </x:c>
      <x:c r="K832" s="7" t="str">
        <x:v>Verified qualifications do not include active general Life. Current target-pool mismatch; actual historical omission reason unknown.</x:v>
      </x:c>
      <x:c r="L832" s="7" t="str">
        <x:v>Not supplied; membership is known, motive is not</x:v>
      </x:c>
      <x:c r="M832" s="7" t="n">
        <x:v>7</x:v>
      </x:c>
      <x:c r="N832" s="7" t="str">
        <x:v>Outside current general-Life recruiting pool</x:v>
      </x:c>
      <x:c r="O832" s="7" t="str">
        <x:v>Not displayed</x:v>
      </x:c>
      <x:c r="P832" s="7" t="str"/>
      <x:c r="Q832" s="7" t="str"/>
      <x:c r="R832" s="7" t="str"/>
      <x:c r="S832" s="15" t="str"/>
      <x:c r="T832" s="7" t="str">
        <x:v>No public business phone in collected record</x:v>
      </x:c>
      <x:c r="U832" s="7" t="str"/>
      <x:c r="V832" s="7" t="str">
        <x:v>Resident</x:v>
      </x:c>
      <x:c r="W832" s="7" t="str">
        <x:v>CA</x:v>
      </x:c>
      <x:c r="X832" s="7" t="str"/>
      <x:c r="Y832" s="7" t="str"/>
      <x:c r="Z832" s="7" t="str"/>
      <x:c r="AA832" s="7" t="str"/>
      <x:c r="AB832" s="7" t="str"/>
      <x:c r="AC832" s="7" t="str"/>
      <x:c r="AD832" s="7" t="str">
        <x:v>No agency or insurer displayed: onboarding opportunity possible; existing business unknown</x:v>
      </x:c>
      <x:c r="AE832" s="7" t="str">
        <x:v>No public business phone: contact enrichment needed, not proof of poor recruiting fit</x:v>
      </x:c>
      <x:c r="AF832" s="16" t="str"/>
      <x:c r="AG832" s="17" t="str"/>
      <x:c r="AH832" s="7" t="str"/>
      <x:c r="AI832" s="7" t="str"/>
      <x:c r="AJ832" s="7" t="str"/>
      <x:c r="AK832" s="15" t="str"/>
      <x:c r="AL832" s="7" t="str"/>
      <x:c r="AM832" s="7" t="str">
        <x:v>AGUILAR EUGENIA MARIA</x:v>
      </x:c>
      <x:c r="AN832" s="7" t="str">
        <x:v>https://cdicloud.insurance.ca.gov/cal/LicenseDetail?SearchType=IND&amp;SearchLicNbr=0D77712&amp;SearchIndvId=803996</x:v>
      </x:c>
      <x:c r="AO832" s="7" t="str">
        <x:v>2026-10-08</x:v>
      </x:c>
      <x:c r="AP832" s="7" t="str">
        <x:v>d9f269852caf68054cd8142d545d1739f15293e96a9460715890ccc9b985e050</x:v>
      </x:c>
      <x:c r="AQ832" s="7" t="str">
        <x:v>Accident and Health / Inactive / 09/21/2002 / 09/30/2004 / 09/30/2004
Life-Only / Inactive / 09/21/2002 / 09/30/2004 / 09/30/2004</x:v>
      </x:c>
      <x:c r="AR832" s="7" t="str">
        <x:v>Inactive</x:v>
      </x:c>
      <x:c r="AS832" s="7" t="str">
        <x:v>Current detail page</x:v>
      </x:c>
    </x:row>
    <x:row r="833" ht="52" customHeight="1">
      <x:c r="A833" s="7" t="str">
        <x:v>AGUILAR MARIA FORTUNATA</x:v>
      </x:c>
      <x:c r="B833" s="14" t="str">
        <x:f>"0E14522"</x:f>
        <x:v>0E14522</x:v>
      </x:c>
      <x:c r="C833" s="7" t="str">
        <x:v>Omitted</x:v>
      </x:c>
      <x:c r="D833" s="7" t="str">
        <x:v>FAIL</x:v>
      </x:c>
      <x:c r="E833" s="13" t="str">
        <x:v>Pending</x:v>
      </x:c>
      <x:c r="F833" s="13" t="str"/>
      <x:c r="G833" s="13" t="str"/>
      <x:c r="H833" s="13" t="str"/>
      <x:c r="I833" s="7" t="str">
        <x:v>Was this person reviewed? If rejected, give the actual rule and evidence. If acceptable, correct the omission. Confirm the Life-qualification gate and any record change since selection.</x:v>
      </x:c>
      <x:c r="J833" s="7" t="str">
        <x:v>L1</x:v>
      </x:c>
      <x:c r="K833" s="7" t="str">
        <x:v>Verified qualifications do not include active general Life. Current target-pool mismatch; actual historical omission reason unknown.</x:v>
      </x:c>
      <x:c r="L833" s="7" t="str">
        <x:v>Not supplied; membership is known, motive is not</x:v>
      </x:c>
      <x:c r="M833" s="7" t="n">
        <x:v>7</x:v>
      </x:c>
      <x:c r="N833" s="7" t="str">
        <x:v>Outside current general-Life recruiting pool</x:v>
      </x:c>
      <x:c r="O833" s="7" t="str">
        <x:v>Not displayed</x:v>
      </x:c>
      <x:c r="P833" s="7" t="str"/>
      <x:c r="Q833" s="7" t="str"/>
      <x:c r="R833" s="7" t="str"/>
      <x:c r="S833" s="15" t="str"/>
      <x:c r="T833" s="7" t="str">
        <x:v>No public business phone in collected record</x:v>
      </x:c>
      <x:c r="U833" s="7" t="str"/>
      <x:c r="V833" s="7" t="str">
        <x:v>Resident</x:v>
      </x:c>
      <x:c r="W833" s="7" t="str">
        <x:v>CA</x:v>
      </x:c>
      <x:c r="X833" s="7" t="str"/>
      <x:c r="Y833" s="7" t="str"/>
      <x:c r="Z833" s="7" t="str"/>
      <x:c r="AA833" s="7" t="str"/>
      <x:c r="AB833" s="7" t="str"/>
      <x:c r="AC833" s="7" t="str"/>
      <x:c r="AD833" s="7" t="str">
        <x:v>No agency or insurer displayed: onboarding opportunity possible; existing business unknown</x:v>
      </x:c>
      <x:c r="AE833" s="7" t="str">
        <x:v>No public business phone: contact enrichment needed, not proof of poor recruiting fit</x:v>
      </x:c>
      <x:c r="AF833" s="16" t="str"/>
      <x:c r="AG833" s="17" t="str"/>
      <x:c r="AH833" s="7" t="str"/>
      <x:c r="AI833" s="7" t="str"/>
      <x:c r="AJ833" s="7" t="str"/>
      <x:c r="AK833" s="15" t="str"/>
      <x:c r="AL833" s="7" t="str"/>
      <x:c r="AM833" s="7" t="str">
        <x:v>AGUILAR FORTUNATA MARIA</x:v>
      </x:c>
      <x:c r="AN833" s="7" t="str">
        <x:v>https://cdicloud.insurance.ca.gov/cal/LicenseDetail?SearchType=IND&amp;SearchLicNbr=0E14522&amp;SearchIndvId=859757</x:v>
      </x:c>
      <x:c r="AO833" s="7" t="str">
        <x:v>2026-10-08</x:v>
      </x:c>
      <x:c r="AP833" s="7" t="str">
        <x:v>61179870570c1a1ef3970c3de336657074bce7f2369a7b674fe4aebd5bcc1d3a</x:v>
      </x:c>
      <x:c r="AQ833" s="7" t="str">
        <x:v>Accident and Health / Inactive / 10/24/2003 / 08/31/2013 / 08/31/2013
Casualty Broker-Agent / Inactive / 08/25/2003 / 08/31/2013 / 08/31/2013
Life-Only / Inactive / 10/24/2003 / 08/31/2013 / 08/31/2013
Property Broker-Agent / Inactive / 08/25/2003 / 08/31/2013 / 08/31/2013</x:v>
      </x:c>
      <x:c r="AR833" s="7" t="str">
        <x:v>Inactive</x:v>
      </x:c>
      <x:c r="AS833" s="7" t="str">
        <x:v>Current detail page</x:v>
      </x:c>
    </x:row>
    <x:row r="834" ht="52" customHeight="1">
      <x:c r="A834" s="7" t="str">
        <x:v>AGUILAR MARIA G</x:v>
      </x:c>
      <x:c r="B834" s="14" t="str">
        <x:f>"0M28629"</x:f>
        <x:v>0M28629</x:v>
      </x:c>
      <x:c r="C834" s="7" t="str">
        <x:v>Omitted</x:v>
      </x:c>
      <x:c r="D834" s="7" t="str">
        <x:v>FAIL</x:v>
      </x:c>
      <x:c r="E834" s="13" t="str">
        <x:v>Pending</x:v>
      </x:c>
      <x:c r="F834" s="13" t="str"/>
      <x:c r="G834" s="13" t="str"/>
      <x:c r="H834" s="13" t="str"/>
      <x:c r="I834" s="7" t="str">
        <x:v>Was this person reviewed? If rejected, give the actual rule and evidence. If acceptable, correct the omission. Confirm the Life-qualification gate and any record change since selection.</x:v>
      </x:c>
      <x:c r="J834" s="7" t="str">
        <x:v>L1</x:v>
      </x:c>
      <x:c r="K834" s="7" t="str">
        <x:v>Verified qualifications do not include active general Life. Current target-pool mismatch; actual historical omission reason unknown.</x:v>
      </x:c>
      <x:c r="L834" s="7" t="str">
        <x:v>Not supplied; membership is known, motive is not</x:v>
      </x:c>
      <x:c r="M834" s="7" t="n">
        <x:v>7</x:v>
      </x:c>
      <x:c r="N834" s="7" t="str">
        <x:v>Outside current general-Life recruiting pool</x:v>
      </x:c>
      <x:c r="O834" s="7" t="str">
        <x:v>Not displayed</x:v>
      </x:c>
      <x:c r="P834" s="7" t="str"/>
      <x:c r="Q834" s="7" t="str"/>
      <x:c r="R834" s="7" t="str"/>
      <x:c r="S834" s="15" t="str"/>
      <x:c r="T834" s="7" t="str">
        <x:v>No public business phone in collected record</x:v>
      </x:c>
      <x:c r="U834" s="7" t="str"/>
      <x:c r="V834" s="7" t="str">
        <x:v>Resident</x:v>
      </x:c>
      <x:c r="W834" s="7" t="str">
        <x:v>CA</x:v>
      </x:c>
      <x:c r="X834" s="7" t="str"/>
      <x:c r="Y834" s="7" t="str"/>
      <x:c r="Z834" s="7" t="str"/>
      <x:c r="AA834" s="7" t="str"/>
      <x:c r="AB834" s="7" t="str"/>
      <x:c r="AC834" s="7" t="str"/>
      <x:c r="AD834" s="7" t="str">
        <x:v>No agency or insurer displayed: onboarding opportunity possible; existing business unknown</x:v>
      </x:c>
      <x:c r="AE834" s="7" t="str">
        <x:v>No public business phone: contact enrichment needed, not proof of poor recruiting fit</x:v>
      </x:c>
      <x:c r="AF834" s="16" t="str"/>
      <x:c r="AG834" s="17" t="str"/>
      <x:c r="AH834" s="7" t="str"/>
      <x:c r="AI834" s="7" t="str"/>
      <x:c r="AJ834" s="7" t="str"/>
      <x:c r="AK834" s="15" t="str"/>
      <x:c r="AL834" s="7" t="str"/>
      <x:c r="AM834" s="7" t="str">
        <x:v>AGUILAR G MARIA</x:v>
      </x:c>
      <x:c r="AN834" s="7" t="str">
        <x:v>https://cdicloud.insurance.ca.gov/cal/LicenseDetail?SearchType=IND&amp;SearchLicNbr=0M28629&amp;SearchIndvId=2012486</x:v>
      </x:c>
      <x:c r="AO834" s="7" t="str">
        <x:v>2026-10-08</x:v>
      </x:c>
      <x:c r="AP834" s="7" t="str">
        <x:v>7e00645b1da1878a4d87b625adadfa8fd41f10de1346efdce51ea413276f23f5</x:v>
      </x:c>
      <x:c r="AQ834" s="7" t="str">
        <x:v>Life-Only / Inactive / 04/06/2018 / 04/30/2020 / 04/30/2020</x:v>
      </x:c>
      <x:c r="AR834" s="7" t="str">
        <x:v>Inactive</x:v>
      </x:c>
      <x:c r="AS834" s="7" t="str">
        <x:v>Current detail page</x:v>
      </x:c>
    </x:row>
    <x:row r="835" ht="52" customHeight="1">
      <x:c r="A835" s="7" t="str">
        <x:v>AGUILAR MARIA GUADALUPE</x:v>
      </x:c>
      <x:c r="B835" s="14" t="str">
        <x:f>"0D72242"</x:f>
        <x:v>0D72242</x:v>
      </x:c>
      <x:c r="C835" s="7" t="str">
        <x:v>Omitted</x:v>
      </x:c>
      <x:c r="D835" s="7" t="str">
        <x:v>FAIL</x:v>
      </x:c>
      <x:c r="E835" s="13" t="str">
        <x:v>Pending</x:v>
      </x:c>
      <x:c r="F835" s="13" t="str"/>
      <x:c r="G835" s="13" t="str"/>
      <x:c r="H835" s="13" t="str"/>
      <x:c r="I835" s="7" t="str">
        <x:v>Was this person reviewed? If rejected, give the actual rule and evidence. If acceptable, correct the omission. Confirm the Life-qualification gate and any record change since selection.</x:v>
      </x:c>
      <x:c r="J835" s="7" t="str">
        <x:v>L1</x:v>
      </x:c>
      <x:c r="K835" s="7" t="str">
        <x:v>Verified qualifications do not include active general Life. Current target-pool mismatch; actual historical omission reason unknown.</x:v>
      </x:c>
      <x:c r="L835" s="7" t="str">
        <x:v>Not supplied; membership is known, motive is not</x:v>
      </x:c>
      <x:c r="M835" s="7" t="n">
        <x:v>7</x:v>
      </x:c>
      <x:c r="N835" s="7" t="str">
        <x:v>Outside current general-Life recruiting pool</x:v>
      </x:c>
      <x:c r="O835" s="7" t="str">
        <x:v>Not displayed</x:v>
      </x:c>
      <x:c r="P835" s="7" t="str"/>
      <x:c r="Q835" s="7" t="str"/>
      <x:c r="R835" s="7" t="str"/>
      <x:c r="S835" s="15" t="str"/>
      <x:c r="T835" s="7" t="str">
        <x:v>No public business phone in collected record</x:v>
      </x:c>
      <x:c r="U835" s="7" t="str"/>
      <x:c r="V835" s="7" t="str">
        <x:v>Resident</x:v>
      </x:c>
      <x:c r="W835" s="7" t="str">
        <x:v>CA</x:v>
      </x:c>
      <x:c r="X835" s="7" t="str"/>
      <x:c r="Y835" s="7" t="str"/>
      <x:c r="Z835" s="7" t="str"/>
      <x:c r="AA835" s="7" t="str"/>
      <x:c r="AB835" s="7" t="str"/>
      <x:c r="AC835" s="7" t="str"/>
      <x:c r="AD835" s="7" t="str">
        <x:v>No agency or insurer displayed: onboarding opportunity possible; existing business unknown</x:v>
      </x:c>
      <x:c r="AE835" s="7" t="str">
        <x:v>No public business phone: contact enrichment needed, not proof of poor recruiting fit</x:v>
      </x:c>
      <x:c r="AF835" s="16" t="str"/>
      <x:c r="AG835" s="17" t="str"/>
      <x:c r="AH835" s="7" t="str"/>
      <x:c r="AI835" s="7" t="str"/>
      <x:c r="AJ835" s="7" t="str"/>
      <x:c r="AK835" s="15" t="str"/>
      <x:c r="AL835" s="7" t="str"/>
      <x:c r="AM835" s="7" t="str">
        <x:v>AGUILAR GUADALUPE MARIA</x:v>
      </x:c>
      <x:c r="AN835" s="7" t="str">
        <x:v>https://cdicloud.insurance.ca.gov/cal/LicenseDetail?SearchType=IND&amp;SearchLicNbr=0D72242&amp;SearchIndvId=535709</x:v>
      </x:c>
      <x:c r="AO835" s="7" t="str">
        <x:v>2026-10-08</x:v>
      </x:c>
      <x:c r="AP835" s="7" t="str">
        <x:v>1f88695e412dc909cdba5826e17cfe2f1787367f4dc55bfa0bfb2522da129369</x:v>
      </x:c>
      <x:c r="AQ835" s="7" t="str">
        <x:v>Accident and Health / Inactive / 08/08/2002 / 08/31/2006 / 08/31/2006
Life-Only / Inactive / 08/08/2002 / 08/31/2006 / 08/31/2006</x:v>
      </x:c>
      <x:c r="AR835" s="7" t="str">
        <x:v>Inactive</x:v>
      </x:c>
      <x:c r="AS835" s="7" t="str">
        <x:v>Current detail page</x:v>
      </x:c>
    </x:row>
    <x:row r="836" ht="52" customHeight="1">
      <x:c r="A836" s="7" t="str">
        <x:v>AGUILAR MARIA GUADALUPE</x:v>
      </x:c>
      <x:c r="B836" s="14" t="str">
        <x:f>"0F18422"</x:f>
        <x:v>0F18422</x:v>
      </x:c>
      <x:c r="C836" s="7" t="str">
        <x:v>Omitted</x:v>
      </x:c>
      <x:c r="D836" s="7" t="str">
        <x:v>FAIL</x:v>
      </x:c>
      <x:c r="E836" s="13" t="str">
        <x:v>Pending</x:v>
      </x:c>
      <x:c r="F836" s="13" t="str"/>
      <x:c r="G836" s="13" t="str"/>
      <x:c r="H836" s="13" t="str"/>
      <x:c r="I836" s="7" t="str">
        <x:v>Was this person reviewed? If rejected, give the actual rule and evidence. If acceptable, correct the omission. Confirm the Life-qualification gate and any record change since selection.</x:v>
      </x:c>
      <x:c r="J836" s="7" t="str">
        <x:v>L1</x:v>
      </x:c>
      <x:c r="K836" s="7" t="str">
        <x:v>Verified qualifications do not include active general Life. Current target-pool mismatch; actual historical omission reason unknown.</x:v>
      </x:c>
      <x:c r="L836" s="7" t="str">
        <x:v>Not supplied; membership is known, motive is not</x:v>
      </x:c>
      <x:c r="M836" s="7" t="n">
        <x:v>7</x:v>
      </x:c>
      <x:c r="N836" s="7" t="str">
        <x:v>Outside current general-Life recruiting pool</x:v>
      </x:c>
      <x:c r="O836" s="7" t="str">
        <x:v>Not displayed</x:v>
      </x:c>
      <x:c r="P836" s="7" t="str"/>
      <x:c r="Q836" s="7" t="str"/>
      <x:c r="R836" s="7" t="str"/>
      <x:c r="S836" s="15" t="str"/>
      <x:c r="T836" s="7" t="str">
        <x:v>No public business phone in collected record</x:v>
      </x:c>
      <x:c r="U836" s="7" t="str"/>
      <x:c r="V836" s="7" t="str">
        <x:v>Resident</x:v>
      </x:c>
      <x:c r="W836" s="7" t="str">
        <x:v>CA</x:v>
      </x:c>
      <x:c r="X836" s="7" t="str"/>
      <x:c r="Y836" s="7" t="str"/>
      <x:c r="Z836" s="7" t="str"/>
      <x:c r="AA836" s="7" t="str"/>
      <x:c r="AB836" s="7" t="str"/>
      <x:c r="AC836" s="7" t="str"/>
      <x:c r="AD836" s="7" t="str">
        <x:v>No agency or insurer displayed: onboarding opportunity possible; existing business unknown</x:v>
      </x:c>
      <x:c r="AE836" s="7" t="str">
        <x:v>No public business phone: contact enrichment needed, not proof of poor recruiting fit</x:v>
      </x:c>
      <x:c r="AF836" s="16" t="str"/>
      <x:c r="AG836" s="17" t="str"/>
      <x:c r="AH836" s="7" t="str"/>
      <x:c r="AI836" s="7" t="str"/>
      <x:c r="AJ836" s="7" t="str"/>
      <x:c r="AK836" s="15" t="str"/>
      <x:c r="AL836" s="7" t="str"/>
      <x:c r="AM836" s="7" t="str">
        <x:v>AGUILAR GUADALUPE MARIA</x:v>
      </x:c>
      <x:c r="AN836" s="7" t="str">
        <x:v>https://cdicloud.insurance.ca.gov/cal/LicenseDetail?SearchType=IND&amp;SearchLicNbr=0F18422&amp;SearchIndvId=1007404</x:v>
      </x:c>
      <x:c r="AO836" s="7" t="str">
        <x:v>2026-10-08</x:v>
      </x:c>
      <x:c r="AP836" s="7" t="str">
        <x:v>a3f75aeb067826b9501fa66e6dce7d068bd1cd9dd6d568a18cd1b71f4ca1054d</x:v>
      </x:c>
      <x:c r="AQ836" s="7" t="str">
        <x:v>Accident and Health / Inactive / 05/02/2006 / 05/31/2008 / 05/31/2008
Life-Only / Inactive / 05/02/2006 / 05/31/2008 / 05/31/2008</x:v>
      </x:c>
      <x:c r="AR836" s="7" t="str">
        <x:v>Inactive</x:v>
      </x:c>
      <x:c r="AS836" s="7" t="str">
        <x:v>Current detail page</x:v>
      </x:c>
    </x:row>
    <x:row r="837" ht="52" customHeight="1">
      <x:c r="A837" s="7" t="str">
        <x:v>AGUILAR MARIA ISABEL</x:v>
      </x:c>
      <x:c r="B837" s="14" t="str">
        <x:f>"0D84965"</x:f>
        <x:v>0D84965</x:v>
      </x:c>
      <x:c r="C837" s="7" t="str">
        <x:v>Omitted</x:v>
      </x:c>
      <x:c r="D837" s="7" t="str">
        <x:v>FAIL</x:v>
      </x:c>
      <x:c r="E837" s="13" t="str">
        <x:v>Pending</x:v>
      </x:c>
      <x:c r="F837" s="13" t="str"/>
      <x:c r="G837" s="13" t="str"/>
      <x:c r="H837" s="13" t="str"/>
      <x:c r="I837" s="7" t="str">
        <x:v>Was this person reviewed? If rejected, give the actual rule and evidence. If acceptable, correct the omission. Confirm the Life-qualification gate and any record change since selection.</x:v>
      </x:c>
      <x:c r="J837" s="7" t="str">
        <x:v>L1</x:v>
      </x:c>
      <x:c r="K837" s="7" t="str">
        <x:v>Verified qualifications do not include active general Life. Current target-pool mismatch; actual historical omission reason unknown.</x:v>
      </x:c>
      <x:c r="L837" s="7" t="str">
        <x:v>Not supplied; membership is known, motive is not</x:v>
      </x:c>
      <x:c r="M837" s="7" t="n">
        <x:v>7</x:v>
      </x:c>
      <x:c r="N837" s="7" t="str">
        <x:v>Outside current general-Life recruiting pool</x:v>
      </x:c>
      <x:c r="O837" s="7" t="str">
        <x:v>Not displayed</x:v>
      </x:c>
      <x:c r="P837" s="7" t="str"/>
      <x:c r="Q837" s="7" t="str"/>
      <x:c r="R837" s="7" t="str"/>
      <x:c r="S837" s="15" t="str"/>
      <x:c r="T837" s="7" t="str">
        <x:v>No public business phone in collected record</x:v>
      </x:c>
      <x:c r="U837" s="7" t="str"/>
      <x:c r="V837" s="7" t="str">
        <x:v>Resident</x:v>
      </x:c>
      <x:c r="W837" s="7" t="str">
        <x:v>CA</x:v>
      </x:c>
      <x:c r="X837" s="7" t="str"/>
      <x:c r="Y837" s="7" t="str"/>
      <x:c r="Z837" s="7" t="str"/>
      <x:c r="AA837" s="7" t="str"/>
      <x:c r="AB837" s="7" t="str"/>
      <x:c r="AC837" s="7" t="str"/>
      <x:c r="AD837" s="7" t="str">
        <x:v>No agency or insurer displayed: onboarding opportunity possible; existing business unknown</x:v>
      </x:c>
      <x:c r="AE837" s="7" t="str">
        <x:v>No public business phone: contact enrichment needed, not proof of poor recruiting fit</x:v>
      </x:c>
      <x:c r="AF837" s="16" t="str"/>
      <x:c r="AG837" s="17" t="str"/>
      <x:c r="AH837" s="7" t="str"/>
      <x:c r="AI837" s="7" t="str"/>
      <x:c r="AJ837" s="7" t="str"/>
      <x:c r="AK837" s="15" t="str"/>
      <x:c r="AL837" s="7" t="str"/>
      <x:c r="AM837" s="7" t="str">
        <x:v>AGUILAR ISABEL MARIA</x:v>
      </x:c>
      <x:c r="AN837" s="7" t="str">
        <x:v>https://cdicloud.insurance.ca.gov/cal/LicenseDetail?SearchType=IND&amp;SearchLicNbr=0D84965&amp;SearchIndvId=820669</x:v>
      </x:c>
      <x:c r="AO837" s="7" t="str">
        <x:v>2026-10-08</x:v>
      </x:c>
      <x:c r="AP837" s="7" t="str">
        <x:v>5ebc407c61b534e43da13fc0b5a9ffa702aeb2f597b5079077334aa501a85a0e</x:v>
      </x:c>
      <x:c r="AQ837" s="7" t="str">
        <x:v>Accident and Health / Inactive / 12/05/2002 / 12/31/2006 / 12/31/2006
Life-Only / Inactive / 12/05/2002 / 12/31/2006 / 12/31/2006</x:v>
      </x:c>
      <x:c r="AR837" s="7" t="str">
        <x:v>Inactive</x:v>
      </x:c>
      <x:c r="AS837" s="7" t="str">
        <x:v>Current detail page</x:v>
      </x:c>
    </x:row>
    <x:row r="838" ht="52" customHeight="1">
      <x:c r="A838" s="7" t="str">
        <x:v>AGUILAR MARIA LETICIA</x:v>
      </x:c>
      <x:c r="B838" s="14" t="str">
        <x:f>"0F32711"</x:f>
        <x:v>0F32711</x:v>
      </x:c>
      <x:c r="C838" s="7" t="str">
        <x:v>Omitted</x:v>
      </x:c>
      <x:c r="D838" s="7" t="str">
        <x:v>FAIL</x:v>
      </x:c>
      <x:c r="E838" s="13" t="str">
        <x:v>Pending</x:v>
      </x:c>
      <x:c r="F838" s="13" t="str"/>
      <x:c r="G838" s="13" t="str"/>
      <x:c r="H838" s="13" t="str"/>
      <x:c r="I838" s="7" t="str">
        <x:v>Was this person reviewed? If rejected, give the actual rule and evidence. If acceptable, correct the omission. Confirm the Life-qualification gate and any record change since selection.</x:v>
      </x:c>
      <x:c r="J838" s="7" t="str">
        <x:v>L1</x:v>
      </x:c>
      <x:c r="K838" s="7" t="str">
        <x:v>Verified qualifications do not include active general Life. Current target-pool mismatch; actual historical omission reason unknown.</x:v>
      </x:c>
      <x:c r="L838" s="7" t="str">
        <x:v>Not supplied; membership is known, motive is not</x:v>
      </x:c>
      <x:c r="M838" s="7" t="n">
        <x:v>7</x:v>
      </x:c>
      <x:c r="N838" s="7" t="str">
        <x:v>Outside current general-Life recruiting pool</x:v>
      </x:c>
      <x:c r="O838" s="7" t="str">
        <x:v>Not displayed</x:v>
      </x:c>
      <x:c r="P838" s="7" t="str"/>
      <x:c r="Q838" s="7" t="str"/>
      <x:c r="R838" s="7" t="str"/>
      <x:c r="S838" s="15" t="str"/>
      <x:c r="T838" s="7" t="str">
        <x:v>No public business phone in collected record</x:v>
      </x:c>
      <x:c r="U838" s="7" t="str"/>
      <x:c r="V838" s="7" t="str">
        <x:v>Resident</x:v>
      </x:c>
      <x:c r="W838" s="7" t="str">
        <x:v>CA</x:v>
      </x:c>
      <x:c r="X838" s="7" t="str"/>
      <x:c r="Y838" s="7" t="str"/>
      <x:c r="Z838" s="7" t="str"/>
      <x:c r="AA838" s="7" t="str"/>
      <x:c r="AB838" s="7" t="str"/>
      <x:c r="AC838" s="7" t="str"/>
      <x:c r="AD838" s="7" t="str">
        <x:v>No agency or insurer displayed: onboarding opportunity possible; existing business unknown</x:v>
      </x:c>
      <x:c r="AE838" s="7" t="str">
        <x:v>No public business phone: contact enrichment needed, not proof of poor recruiting fit</x:v>
      </x:c>
      <x:c r="AF838" s="16" t="str"/>
      <x:c r="AG838" s="17" t="str"/>
      <x:c r="AH838" s="7" t="str"/>
      <x:c r="AI838" s="7" t="str"/>
      <x:c r="AJ838" s="7" t="str"/>
      <x:c r="AK838" s="15" t="str"/>
      <x:c r="AL838" s="7" t="str"/>
      <x:c r="AM838" s="7" t="str">
        <x:v>AGUILAR LETICIA MARIA</x:v>
      </x:c>
      <x:c r="AN838" s="7" t="str">
        <x:v>https://cdicloud.insurance.ca.gov/cal/LicenseDetail?SearchType=IND&amp;SearchLicNbr=0F32711&amp;SearchIndvId=1041909</x:v>
      </x:c>
      <x:c r="AO838" s="7" t="str">
        <x:v>2026-10-08</x:v>
      </x:c>
      <x:c r="AP838" s="7" t="str">
        <x:v>5fe14c058f53f18854ceb0da064abd419f115a625e85ace3bfaf0fe5f6bdebc1</x:v>
      </x:c>
      <x:c r="AQ838" s="7" t="str">
        <x:v>Accident and Health / Inactive / 08/23/2006 / 08/31/2008 / 08/31/2008
Life-Only / Inactive / 08/23/2006 / 08/31/2008 / 08/31/2008</x:v>
      </x:c>
      <x:c r="AR838" s="7" t="str">
        <x:v>Inactive</x:v>
      </x:c>
      <x:c r="AS838" s="7" t="str">
        <x:v>Current detail page</x:v>
      </x:c>
    </x:row>
    <x:row r="839" ht="52" customHeight="1">
      <x:c r="A839" s="7" t="str">
        <x:v>AGUILAR MARIA LIBORIA</x:v>
      </x:c>
      <x:c r="B839" s="14" t="str">
        <x:f>"0G59163"</x:f>
        <x:v>0G59163</x:v>
      </x:c>
      <x:c r="C839" s="7" t="str">
        <x:v>Omitted</x:v>
      </x:c>
      <x:c r="D839" s="7" t="str">
        <x:v>FAIL</x:v>
      </x:c>
      <x:c r="E839" s="13" t="str">
        <x:v>Pending</x:v>
      </x:c>
      <x:c r="F839" s="13" t="str"/>
      <x:c r="G839" s="13" t="str"/>
      <x:c r="H839" s="13" t="str"/>
      <x:c r="I839" s="7" t="str">
        <x:v>Was this person reviewed? If rejected, give the actual rule and evidence. If acceptable, correct the omission. Confirm the Life-qualification gate and any record change since selection.</x:v>
      </x:c>
      <x:c r="J839" s="7" t="str">
        <x:v>L1</x:v>
      </x:c>
      <x:c r="K839" s="7" t="str">
        <x:v>Verified qualifications do not include active general Life. Current target-pool mismatch; actual historical omission reason unknown.</x:v>
      </x:c>
      <x:c r="L839" s="7" t="str">
        <x:v>Not supplied; membership is known, motive is not</x:v>
      </x:c>
      <x:c r="M839" s="7" t="n">
        <x:v>7</x:v>
      </x:c>
      <x:c r="N839" s="7" t="str">
        <x:v>Outside current general-Life recruiting pool</x:v>
      </x:c>
      <x:c r="O839" s="7" t="str">
        <x:v>Not displayed</x:v>
      </x:c>
      <x:c r="P839" s="7" t="str"/>
      <x:c r="Q839" s="7" t="str"/>
      <x:c r="R839" s="7" t="str"/>
      <x:c r="S839" s="15" t="str"/>
      <x:c r="T839" s="7" t="str">
        <x:v>No public business phone in collected record</x:v>
      </x:c>
      <x:c r="U839" s="7" t="str"/>
      <x:c r="V839" s="7" t="str">
        <x:v>Resident</x:v>
      </x:c>
      <x:c r="W839" s="7" t="str">
        <x:v>CA</x:v>
      </x:c>
      <x:c r="X839" s="7" t="str"/>
      <x:c r="Y839" s="7" t="str"/>
      <x:c r="Z839" s="7" t="str"/>
      <x:c r="AA839" s="7" t="str"/>
      <x:c r="AB839" s="7" t="str"/>
      <x:c r="AC839" s="7" t="str"/>
      <x:c r="AD839" s="7" t="str">
        <x:v>No agency or insurer displayed: onboarding opportunity possible; existing business unknown</x:v>
      </x:c>
      <x:c r="AE839" s="7" t="str">
        <x:v>No public business phone: contact enrichment needed, not proof of poor recruiting fit</x:v>
      </x:c>
      <x:c r="AF839" s="16" t="str"/>
      <x:c r="AG839" s="17" t="str"/>
      <x:c r="AH839" s="7" t="str"/>
      <x:c r="AI839" s="7" t="str"/>
      <x:c r="AJ839" s="7" t="str"/>
      <x:c r="AK839" s="15" t="str"/>
      <x:c r="AL839" s="7" t="str"/>
      <x:c r="AM839" s="7" t="str">
        <x:v>AGUILAR LIBORIA MARIA</x:v>
      </x:c>
      <x:c r="AN839" s="7" t="str">
        <x:v>https://cdicloud.insurance.ca.gov/cal/LicenseDetail?SearchType=IND&amp;SearchLicNbr=0G59163&amp;SearchIndvId=1248015</x:v>
      </x:c>
      <x:c r="AO839" s="7" t="str">
        <x:v>2026-10-08</x:v>
      </x:c>
      <x:c r="AP839" s="7" t="str">
        <x:v>f5fea4956c5d7e870c29c976a6098b1deef3a8a78711ea4f9c11cbccf16b25e5</x:v>
      </x:c>
      <x:c r="AQ839" s="7" t="str">
        <x:v>Accident and Health / Inactive / 04/29/2009 / 04/30/2011 / 04/30/2011
Life-Only / Inactive / 04/29/2009 / 04/30/2011 / 04/30/2011</x:v>
      </x:c>
      <x:c r="AR839" s="7" t="str">
        <x:v>Inactive</x:v>
      </x:c>
      <x:c r="AS839" s="7" t="str">
        <x:v>Current detail page</x:v>
      </x:c>
    </x:row>
    <x:row r="840" ht="52" customHeight="1">
      <x:c r="A840" s="7" t="str">
        <x:v>AGUILAR MARIA MERILIDA</x:v>
      </x:c>
      <x:c r="B840" s="14" t="str">
        <x:f>"0I38912"</x:f>
        <x:v>0I38912</x:v>
      </x:c>
      <x:c r="C840" s="7" t="str">
        <x:v>Omitted</x:v>
      </x:c>
      <x:c r="D840" s="7" t="str">
        <x:v>FAIL</x:v>
      </x:c>
      <x:c r="E840" s="13" t="str">
        <x:v>Pending</x:v>
      </x:c>
      <x:c r="F840" s="13" t="str"/>
      <x:c r="G840" s="13" t="str"/>
      <x:c r="H840" s="13" t="str"/>
      <x:c r="I840" s="7" t="str">
        <x:v>Was this person reviewed? If rejected, give the actual rule and evidence. If acceptable, correct the omission. Confirm the Life-qualification gate and any record change since selection.</x:v>
      </x:c>
      <x:c r="J840" s="7" t="str">
        <x:v>L1</x:v>
      </x:c>
      <x:c r="K840" s="7" t="str">
        <x:v>Verified qualifications do not include active general Life. Current target-pool mismatch; actual historical omission reason unknown.</x:v>
      </x:c>
      <x:c r="L840" s="7" t="str">
        <x:v>Not supplied; membership is known, motive is not</x:v>
      </x:c>
      <x:c r="M840" s="7" t="n">
        <x:v>7</x:v>
      </x:c>
      <x:c r="N840" s="7" t="str">
        <x:v>Outside current general-Life recruiting pool</x:v>
      </x:c>
      <x:c r="O840" s="7" t="str">
        <x:v>Inactive</x:v>
      </x:c>
      <x:c r="P840" s="7" t="str">
        <x:v>07/11/2013</x:v>
      </x:c>
      <x:c r="Q840" s="7" t="str">
        <x:v>07/31/2021</x:v>
      </x:c>
      <x:c r="R840" s="7" t="str"/>
      <x:c r="S840" s="15" t="str"/>
      <x:c r="T840" s="7" t="str">
        <x:v>No public business phone in collected record</x:v>
      </x:c>
      <x:c r="U840" s="7" t="str"/>
      <x:c r="V840" s="7" t="str">
        <x:v>Resident</x:v>
      </x:c>
      <x:c r="W840" s="7" t="str">
        <x:v>CA</x:v>
      </x:c>
      <x:c r="X840" s="7" t="str"/>
      <x:c r="Y840" s="7" t="str"/>
      <x:c r="Z840" s="7" t="str"/>
      <x:c r="AA840" s="7" t="str"/>
      <x:c r="AB840" s="7" t="str"/>
      <x:c r="AC840" s="7" t="str"/>
      <x:c r="AD840" s="7" t="str">
        <x:v>No agency or insurer displayed: onboarding opportunity possible; existing business unknown</x:v>
      </x:c>
      <x:c r="AE840" s="7" t="str">
        <x:v>No public business phone: contact enrichment needed, not proof of poor recruiting fit</x:v>
      </x:c>
      <x:c r="AF840" s="16" t="str"/>
      <x:c r="AG840" s="17" t="str"/>
      <x:c r="AH840" s="7" t="str"/>
      <x:c r="AI840" s="7" t="str">
        <x:v>English</x:v>
      </x:c>
      <x:c r="AJ840" s="7" t="str"/>
      <x:c r="AK840" s="15" t="str"/>
      <x:c r="AL840" s="7" t="str"/>
      <x:c r="AM840" s="7" t="str">
        <x:v>aguilar m maria | AGUILAR MERILIDA MARIA</x:v>
      </x:c>
      <x:c r="AN840" s="7" t="str">
        <x:v>https://cdicloud.insurance.ca.gov/cal/LicenseDetail?SearchType=IND&amp;SearchLicNbr=0I38912&amp;SearchIndvId=1584737</x:v>
      </x:c>
      <x:c r="AO840" s="7" t="str">
        <x:v>2026-10-08</x:v>
      </x:c>
      <x:c r="AP840" s="7" t="str">
        <x:v>1c3b0215249149bde76c2dbc3fed9d585bd2c51b97b8c88957664a66fb435e1a</x:v>
      </x:c>
      <x:c r="AQ840" s="7" t="str">
        <x:v>Life / Inactive / 07/11/2013 / 07/31/2021 / 07/31/2021</x:v>
      </x:c>
      <x:c r="AR840" s="7" t="str">
        <x:v>Inactive</x:v>
      </x:c>
      <x:c r="AS840" s="7" t="str">
        <x:v>Current detail page</x:v>
      </x:c>
    </x:row>
    <x:row r="841" ht="52" customHeight="1">
      <x:c r="A841" s="7" t="str">
        <x:v>AGUILAR MARIA OFELIA</x:v>
      </x:c>
      <x:c r="B841" s="14" t="str">
        <x:f>"0F77337"</x:f>
        <x:v>0F77337</x:v>
      </x:c>
      <x:c r="C841" s="7" t="str">
        <x:v>Omitted</x:v>
      </x:c>
      <x:c r="D841" s="7" t="str">
        <x:v>FAIL</x:v>
      </x:c>
      <x:c r="E841" s="13" t="str">
        <x:v>Pending</x:v>
      </x:c>
      <x:c r="F841" s="13" t="str"/>
      <x:c r="G841" s="13" t="str"/>
      <x:c r="H841" s="13" t="str"/>
      <x:c r="I841" s="7" t="str">
        <x:v>Was this person reviewed? If rejected, give the actual rule and evidence. If acceptable, correct the omission. Confirm the Life-qualification gate and any record change since selection.</x:v>
      </x:c>
      <x:c r="J841" s="7" t="str">
        <x:v>L1</x:v>
      </x:c>
      <x:c r="K841" s="7" t="str">
        <x:v>Verified qualifications do not include active general Life. Current target-pool mismatch; actual historical omission reason unknown.</x:v>
      </x:c>
      <x:c r="L841" s="7" t="str">
        <x:v>Not supplied; membership is known, motive is not</x:v>
      </x:c>
      <x:c r="M841" s="7" t="n">
        <x:v>7</x:v>
      </x:c>
      <x:c r="N841" s="7" t="str">
        <x:v>Outside current general-Life recruiting pool</x:v>
      </x:c>
      <x:c r="O841" s="7" t="str">
        <x:v>Not displayed</x:v>
      </x:c>
      <x:c r="P841" s="7" t="str"/>
      <x:c r="Q841" s="7" t="str"/>
      <x:c r="R841" s="7" t="str"/>
      <x:c r="S841" s="15" t="str"/>
      <x:c r="T841" s="7" t="str">
        <x:v>No public business phone in collected record</x:v>
      </x:c>
      <x:c r="U841" s="7" t="str"/>
      <x:c r="V841" s="7" t="str">
        <x:v>Resident</x:v>
      </x:c>
      <x:c r="W841" s="7" t="str">
        <x:v>CA</x:v>
      </x:c>
      <x:c r="X841" s="7" t="str"/>
      <x:c r="Y841" s="7" t="str"/>
      <x:c r="Z841" s="7" t="str"/>
      <x:c r="AA841" s="7" t="str"/>
      <x:c r="AB841" s="7" t="str"/>
      <x:c r="AC841" s="7" t="str"/>
      <x:c r="AD841" s="7" t="str">
        <x:v>No agency or insurer displayed: onboarding opportunity possible; existing business unknown</x:v>
      </x:c>
      <x:c r="AE841" s="7" t="str">
        <x:v>No public business phone: contact enrichment needed, not proof of poor recruiting fit</x:v>
      </x:c>
      <x:c r="AF841" s="16" t="str"/>
      <x:c r="AG841" s="17" t="str"/>
      <x:c r="AH841" s="7" t="str"/>
      <x:c r="AI841" s="7" t="str"/>
      <x:c r="AJ841" s="7" t="str"/>
      <x:c r="AK841" s="15" t="str"/>
      <x:c r="AL841" s="7" t="str"/>
      <x:c r="AM841" s="7" t="str">
        <x:v>AGUILAR OFELIA MARIA</x:v>
      </x:c>
      <x:c r="AN841" s="7" t="str">
        <x:v>https://cdicloud.insurance.ca.gov/cal/LicenseDetail?SearchType=IND&amp;SearchLicNbr=0F77337&amp;SearchIndvId=1097312</x:v>
      </x:c>
      <x:c r="AO841" s="7" t="str">
        <x:v>2026-10-08</x:v>
      </x:c>
      <x:c r="AP841" s="7" t="str">
        <x:v>888029c0eccfb22d9d354346601733b054fcd6ec569ba0a7796822a987aa4829</x:v>
      </x:c>
      <x:c r="AQ841" s="7" t="str">
        <x:v>Accident and Health / Inactive / 08/17/2007 / 08/31/2009 / 08/31/2009
Life-Only / Inactive / 08/17/2007 / 08/31/2009 / 08/31/2009</x:v>
      </x:c>
      <x:c r="AR841" s="7" t="str">
        <x:v>Inactive</x:v>
      </x:c>
      <x:c r="AS841" s="7" t="str">
        <x:v>Current detail page</x:v>
      </x:c>
    </x:row>
    <x:row r="842" ht="52" customHeight="1">
      <x:c r="A842" s="7" t="str">
        <x:v>AGUILAR MARIA YANET</x:v>
      </x:c>
      <x:c r="B842" s="14" t="str">
        <x:f>"0F58568"</x:f>
        <x:v>0F58568</x:v>
      </x:c>
      <x:c r="C842" s="7" t="str">
        <x:v>Omitted</x:v>
      </x:c>
      <x:c r="D842" s="7" t="str">
        <x:v>FAIL</x:v>
      </x:c>
      <x:c r="E842" s="13" t="str">
        <x:v>Pending</x:v>
      </x:c>
      <x:c r="F842" s="13" t="str"/>
      <x:c r="G842" s="13" t="str"/>
      <x:c r="H842" s="13" t="str"/>
      <x:c r="I842" s="7" t="str">
        <x:v>Was this person reviewed? If rejected, give the actual rule and evidence. If acceptable, correct the omission. Confirm the Life-qualification gate and any record change since selection.</x:v>
      </x:c>
      <x:c r="J842" s="7" t="str">
        <x:v>L1</x:v>
      </x:c>
      <x:c r="K842" s="7" t="str">
        <x:v>Verified qualifications do not include active general Life. Current target-pool mismatch; actual historical omission reason unknown.</x:v>
      </x:c>
      <x:c r="L842" s="7" t="str">
        <x:v>Not supplied; membership is known, motive is not</x:v>
      </x:c>
      <x:c r="M842" s="7" t="n">
        <x:v>7</x:v>
      </x:c>
      <x:c r="N842" s="7" t="str">
        <x:v>Outside current general-Life recruiting pool</x:v>
      </x:c>
      <x:c r="O842" s="7" t="str">
        <x:v>Not displayed</x:v>
      </x:c>
      <x:c r="P842" s="7" t="str"/>
      <x:c r="Q842" s="7" t="str"/>
      <x:c r="R842" s="7" t="str"/>
      <x:c r="S842" s="15" t="str"/>
      <x:c r="T842" s="7" t="str">
        <x:v>No public business phone in collected record</x:v>
      </x:c>
      <x:c r="U842" s="7" t="str"/>
      <x:c r="V842" s="7" t="str">
        <x:v>Resident</x:v>
      </x:c>
      <x:c r="W842" s="7" t="str">
        <x:v>CA</x:v>
      </x:c>
      <x:c r="X842" s="7" t="str"/>
      <x:c r="Y842" s="7" t="str"/>
      <x:c r="Z842" s="7" t="str"/>
      <x:c r="AA842" s="7" t="str"/>
      <x:c r="AB842" s="7" t="str"/>
      <x:c r="AC842" s="7" t="str"/>
      <x:c r="AD842" s="7" t="str">
        <x:v>No agency or insurer displayed: onboarding opportunity possible; existing business unknown</x:v>
      </x:c>
      <x:c r="AE842" s="7" t="str">
        <x:v>No public business phone: contact enrichment needed, not proof of poor recruiting fit</x:v>
      </x:c>
      <x:c r="AF842" s="16" t="str"/>
      <x:c r="AG842" s="17" t="str"/>
      <x:c r="AH842" s="7" t="str"/>
      <x:c r="AI842" s="7" t="str"/>
      <x:c r="AJ842" s="7" t="str"/>
      <x:c r="AK842" s="15" t="str"/>
      <x:c r="AL842" s="7" t="str"/>
      <x:c r="AM842" s="7" t="str">
        <x:v>AGUILAR YANET MARIA</x:v>
      </x:c>
      <x:c r="AN842" s="7" t="str">
        <x:v>https://cdicloud.insurance.ca.gov/cal/LicenseDetail?SearchType=IND&amp;SearchLicNbr=0F58568&amp;SearchIndvId=1073394</x:v>
      </x:c>
      <x:c r="AO842" s="7" t="str">
        <x:v>2026-10-08</x:v>
      </x:c>
      <x:c r="AP842" s="7" t="str">
        <x:v>1d77568c409496b18b8fe7a80e86d48cd45eb8d82601a46a65338be32f63c42c</x:v>
      </x:c>
      <x:c r="AQ842" s="7" t="str">
        <x:v>Personal Lines Broker-Agent / Inactive / 03/17/2007 / 12/31/2009 / 12/31/2009</x:v>
      </x:c>
      <x:c r="AR842" s="7" t="str">
        <x:v>Inactive</x:v>
      </x:c>
      <x:c r="AS842" s="7" t="str">
        <x:v>Current detail page</x:v>
      </x:c>
    </x:row>
    <x:row r="843" ht="52" customHeight="1">
      <x:c r="A843" s="7" t="str">
        <x:v>AGUILAR MARIBEL GILLEN</x:v>
      </x:c>
      <x:c r="B843" s="14" t="str">
        <x:f>"0M86681"</x:f>
        <x:v>0M86681</x:v>
      </x:c>
      <x:c r="C843" s="7" t="str">
        <x:v>Omitted</x:v>
      </x:c>
      <x:c r="D843" s="7" t="str">
        <x:v>FAIL</x:v>
      </x:c>
      <x:c r="E843" s="13" t="str">
        <x:v>Pending</x:v>
      </x:c>
      <x:c r="F843" s="13" t="str"/>
      <x:c r="G843" s="13" t="str"/>
      <x:c r="H843" s="13" t="str"/>
      <x:c r="I843" s="7" t="str">
        <x:v>Was this person reviewed? If rejected, give the actual rule and evidence. If acceptable, correct the omission. Confirm the Life-qualification gate and any record change since selection.</x:v>
      </x:c>
      <x:c r="J843" s="7" t="str">
        <x:v>L1</x:v>
      </x:c>
      <x:c r="K843" s="7" t="str">
        <x:v>Verified qualifications do not include active general Life. Current target-pool mismatch; actual historical omission reason unknown.</x:v>
      </x:c>
      <x:c r="L843" s="7" t="str">
        <x:v>Not supplied; membership is known, motive is not</x:v>
      </x:c>
      <x:c r="M843" s="7" t="n">
        <x:v>7</x:v>
      </x:c>
      <x:c r="N843" s="7" t="str">
        <x:v>Outside current general-Life recruiting pool</x:v>
      </x:c>
      <x:c r="O843" s="7" t="str">
        <x:v>Not displayed</x:v>
      </x:c>
      <x:c r="P843" s="7" t="str"/>
      <x:c r="Q843" s="7" t="str"/>
      <x:c r="R843" s="7" t="str">
        <x:v>Limited Lines Automobile</x:v>
      </x:c>
      <x:c r="S843" s="15" t="str">
        <x:v>209-643-6010</x:v>
      </x:c>
      <x:c r="T843" s="7" t="str">
        <x:v>Current CDI</x:v>
      </x:c>
      <x:c r="U843" s="7" t="str">
        <x:v>1329 COMMERCE AVE ATWATER CA, 95301</x:v>
      </x:c>
      <x:c r="V843" s="7" t="str">
        <x:v>Resident</x:v>
      </x:c>
      <x:c r="W843" s="7" t="str">
        <x:v>CA</x:v>
      </x:c>
      <x:c r="X843" s="7" t="str">
        <x:v>FRED LOYA INSURANCE AGENCY, INC. / Limited Lines Automobile / 03/14/2019</x:v>
      </x:c>
      <x:c r="Y843" s="7" t="str">
        <x:v>NATION MOTOR CLUB, LLC / Motor Club / 06/08/2023</x:v>
      </x:c>
      <x:c r="Z843" s="7" t="str"/>
      <x:c r="AA843" s="7" t="str"/>
      <x:c r="AB843" s="7" t="str"/>
      <x:c r="AC843" s="7" t="str"/>
      <x:c r="AD843" s="7" t="str"/>
      <x:c r="AE843" s="7" t="str"/>
      <x:c r="AF843" s="16" t="str"/>
      <x:c r="AG843" s="17" t="str"/>
      <x:c r="AH843" s="7" t="str"/>
      <x:c r="AI843" s="7" t="str">
        <x:v>English</x:v>
      </x:c>
      <x:c r="AJ843" s="7" t="str"/>
      <x:c r="AK843" s="15" t="str"/>
      <x:c r="AL843" s="7" t="str"/>
      <x:c r="AM843" s="7" t="str">
        <x:v>aguilar g maribel | AGUILAR GILLEN MARIBEL</x:v>
      </x:c>
      <x:c r="AN843" s="7" t="str">
        <x:v>https://cdicloud.insurance.ca.gov/cal/LicenseDetail?SearchType=IND&amp;SearchLicNbr=0M86681&amp;SearchIndvId=2092435</x:v>
      </x:c>
      <x:c r="AO843" s="7" t="str">
        <x:v>2026-10-08</x:v>
      </x:c>
      <x:c r="AP843" s="7" t="str">
        <x:v>9fc89e18230b72de52318de1f2e7860ecaab9f151076b1ea61a51f12d70566cf</x:v>
      </x:c>
      <x:c r="AQ843" s="7" t="str">
        <x:v>Limited Lines Automobile / Active / 03/12/2019 / 03/12/2019 / 03/31/2027</x:v>
      </x:c>
      <x:c r="AR843" s="7" t="str">
        <x:v>Active</x:v>
      </x:c>
      <x:c r="AS843" s="7" t="str">
        <x:v>Current detail page</x:v>
      </x:c>
    </x:row>
    <x:row r="844" ht="52" customHeight="1">
      <x:c r="A844" s="7" t="str">
        <x:v>AGUILAR MARICELA CARMEN</x:v>
      </x:c>
      <x:c r="B844" s="14" t="str">
        <x:f>"0I78133"</x:f>
        <x:v>0I78133</x:v>
      </x:c>
      <x:c r="C844" s="7" t="str">
        <x:v>Omitted</x:v>
      </x:c>
      <x:c r="D844" s="7" t="str">
        <x:v>FAIL</x:v>
      </x:c>
      <x:c r="E844" s="13" t="str">
        <x:v>Pending</x:v>
      </x:c>
      <x:c r="F844" s="13" t="str"/>
      <x:c r="G844" s="13" t="str"/>
      <x:c r="H844" s="13" t="str"/>
      <x:c r="I844" s="7" t="str">
        <x:v>Was this person reviewed? If rejected, give the actual rule and evidence. If acceptable, correct the omission. Confirm the Life-qualification gate and any record change since selection.</x:v>
      </x:c>
      <x:c r="J844" s="7" t="str">
        <x:v>L1</x:v>
      </x:c>
      <x:c r="K844" s="7" t="str">
        <x:v>Verified qualifications do not include active general Life. Current target-pool mismatch; actual historical omission reason unknown.</x:v>
      </x:c>
      <x:c r="L844" s="7" t="str">
        <x:v>Not supplied; membership is known, motive is not</x:v>
      </x:c>
      <x:c r="M844" s="7" t="n">
        <x:v>7</x:v>
      </x:c>
      <x:c r="N844" s="7" t="str">
        <x:v>Outside current general-Life recruiting pool</x:v>
      </x:c>
      <x:c r="O844" s="7" t="str">
        <x:v>Not displayed</x:v>
      </x:c>
      <x:c r="P844" s="7" t="str"/>
      <x:c r="Q844" s="7" t="str"/>
      <x:c r="R844" s="7" t="str"/>
      <x:c r="S844" s="15" t="str"/>
      <x:c r="T844" s="7" t="str">
        <x:v>No public business phone in collected record</x:v>
      </x:c>
      <x:c r="U844" s="7" t="str"/>
      <x:c r="V844" s="7" t="str">
        <x:v>Resident</x:v>
      </x:c>
      <x:c r="W844" s="7" t="str">
        <x:v>CA</x:v>
      </x:c>
      <x:c r="X844" s="7" t="str"/>
      <x:c r="Y844" s="7" t="str"/>
      <x:c r="Z844" s="7" t="str"/>
      <x:c r="AA844" s="7" t="str"/>
      <x:c r="AB844" s="7" t="str"/>
      <x:c r="AC844" s="7" t="str"/>
      <x:c r="AD844" s="7" t="str">
        <x:v>No agency or insurer displayed: onboarding opportunity possible; existing business unknown</x:v>
      </x:c>
      <x:c r="AE844" s="7" t="str">
        <x:v>No public business phone: contact enrichment needed, not proof of poor recruiting fit</x:v>
      </x:c>
      <x:c r="AF844" s="16" t="str"/>
      <x:c r="AG844" s="17" t="str"/>
      <x:c r="AH844" s="7" t="str"/>
      <x:c r="AI844" s="7" t="str"/>
      <x:c r="AJ844" s="7" t="str"/>
      <x:c r="AK844" s="15" t="str"/>
      <x:c r="AL844" s="7" t="str"/>
      <x:c r="AM844" s="7" t="str">
        <x:v>AGUILAR CARMEN MARICELA</x:v>
      </x:c>
      <x:c r="AN844" s="7" t="str">
        <x:v>https://cdicloud.insurance.ca.gov/cal/LicenseDetail?SearchType=IND&amp;SearchLicNbr=0I78133&amp;SearchIndvId=1626478</x:v>
      </x:c>
      <x:c r="AO844" s="7" t="str">
        <x:v>2026-10-08</x:v>
      </x:c>
      <x:c r="AP844" s="7" t="str">
        <x:v>581458052f3db111a03d4f92a36eeba83b4ca00d7feb2b7158f61ffd2a4ea6a6</x:v>
      </x:c>
      <x:c r="AQ844" s="7" t="str">
        <x:v>Personal Lines Broker-Agent / Inactive / 02/27/2014 / 02/28/2018 / 02/28/2018
Life-Only / Inactive / 06/19/2017 / 06/30/2019 / 06/30/2019</x:v>
      </x:c>
      <x:c r="AR844" s="7" t="str">
        <x:v>Inactive</x:v>
      </x:c>
      <x:c r="AS844" s="7" t="str">
        <x:v>Current detail page</x:v>
      </x:c>
    </x:row>
    <x:row r="845" ht="52" customHeight="1">
      <x:c r="A845" s="7" t="str">
        <x:v>AGUILAR MARICELA P</x:v>
      </x:c>
      <x:c r="B845" s="14" t="str">
        <x:f>"4081450"</x:f>
        <x:v>4081450</x:v>
      </x:c>
      <x:c r="C845" s="7" t="str">
        <x:v>Omitted</x:v>
      </x:c>
      <x:c r="D845" s="7" t="str">
        <x:v>FAIL</x:v>
      </x:c>
      <x:c r="E845" s="13" t="str">
        <x:v>Pending</x:v>
      </x:c>
      <x:c r="F845" s="13" t="str"/>
      <x:c r="G845" s="13" t="str"/>
      <x:c r="H845" s="13" t="str"/>
      <x:c r="I845" s="7" t="str">
        <x:v>Was this person reviewed? If rejected, give the actual rule and evidence. If acceptable, correct the omission. Confirm the Life-qualification gate and any record change since selection.</x:v>
      </x:c>
      <x:c r="J845" s="7" t="str">
        <x:v>L1</x:v>
      </x:c>
      <x:c r="K845" s="7" t="str">
        <x:v>Verified qualifications do not include active general Life. Current target-pool mismatch; actual historical omission reason unknown.</x:v>
      </x:c>
      <x:c r="L845" s="7" t="str">
        <x:v>Not supplied; membership is known, motive is not</x:v>
      </x:c>
      <x:c r="M845" s="7" t="n">
        <x:v>7</x:v>
      </x:c>
      <x:c r="N845" s="7" t="str">
        <x:v>Outside current general-Life recruiting pool</x:v>
      </x:c>
      <x:c r="O845" s="7" t="str">
        <x:v>Not displayed</x:v>
      </x:c>
      <x:c r="P845" s="7" t="str"/>
      <x:c r="Q845" s="7" t="str"/>
      <x:c r="R845" s="7" t="str"/>
      <x:c r="S845" s="15" t="str">
        <x:v>818-287-1846</x:v>
      </x:c>
      <x:c r="T845" s="7" t="str">
        <x:v>Current CDI</x:v>
      </x:c>
      <x:c r="U845" s="7" t="str">
        <x:v>9969 SEPULVEDA BL APT213 MISSION HILLS CA, 91345</x:v>
      </x:c>
      <x:c r="V845" s="7" t="str">
        <x:v>Resident</x:v>
      </x:c>
      <x:c r="W845" s="7" t="str">
        <x:v>CA</x:v>
      </x:c>
      <x:c r="X845" s="7" t="str"/>
      <x:c r="Y845" s="7" t="str"/>
      <x:c r="Z845" s="7" t="str"/>
      <x:c r="AA845" s="7" t="str"/>
      <x:c r="AB845" s="7" t="str"/>
      <x:c r="AC845" s="7" t="str"/>
      <x:c r="AD845" s="7" t="str">
        <x:v>No agency or insurer displayed: onboarding opportunity possible; existing business unknown</x:v>
      </x:c>
      <x:c r="AE845" s="7" t="str"/>
      <x:c r="AF845" s="16" t="str"/>
      <x:c r="AG845" s="17" t="str"/>
      <x:c r="AH845" s="7" t="str"/>
      <x:c r="AI845" s="7" t="str">
        <x:v>English</x:v>
      </x:c>
      <x:c r="AJ845" s="7" t="str"/>
      <x:c r="AK845" s="15" t="str"/>
      <x:c r="AL845" s="7" t="str"/>
      <x:c r="AM845" s="7" t="str">
        <x:v>AGUILAR P MARICELA</x:v>
      </x:c>
      <x:c r="AN845" s="7" t="str">
        <x:v>https://cdicloud.insurance.ca.gov/cal/LicenseDetail?SearchType=IND&amp;SearchLicNbr=4081450&amp;SearchIndvId=4081450</x:v>
      </x:c>
      <x:c r="AO845" s="7" t="str">
        <x:v>2026-10-08</x:v>
      </x:c>
      <x:c r="AP845" s="7" t="str">
        <x:v>dfd33e85f4148852be719304512a48a278d6bf2aa0d2013becab4ce8d6024749</x:v>
      </x:c>
      <x:c r="AQ845" s="7" t="str">
        <x:v>Personal Lines / Inactive / 12/17/2020 / 12/31/2022 / 12/31/2022</x:v>
      </x:c>
      <x:c r="AR845" s="7" t="str">
        <x:v>Inactive</x:v>
      </x:c>
      <x:c r="AS845" s="7" t="str">
        <x:v>Current detail page</x:v>
      </x:c>
    </x:row>
    <x:row r="846" ht="52" customHeight="1">
      <x:c r="A846" s="7" t="str">
        <x:v>AGUILAR MARIE</x:v>
      </x:c>
      <x:c r="B846" s="14" t="str">
        <x:f>"0609230"</x:f>
        <x:v>0609230</x:v>
      </x:c>
      <x:c r="C846" s="7" t="str">
        <x:v>Omitted</x:v>
      </x:c>
      <x:c r="D846" s="7" t="str">
        <x:v>FAIL</x:v>
      </x:c>
      <x:c r="E846" s="13" t="str">
        <x:v>Pending</x:v>
      </x:c>
      <x:c r="F846" s="13" t="str"/>
      <x:c r="G846" s="13" t="str"/>
      <x:c r="H846" s="13" t="str"/>
      <x:c r="I846" s="7" t="str">
        <x:v>Was this person reviewed? If rejected, give the actual rule and evidence. If acceptable, correct the omission. Confirm the Life-qualification gate and any record change since selection.</x:v>
      </x:c>
      <x:c r="J846" s="7" t="str">
        <x:v>L1</x:v>
      </x:c>
      <x:c r="K846" s="7" t="str">
        <x:v>Verified qualifications do not include active general Life. Current target-pool mismatch; actual historical omission reason unknown.</x:v>
      </x:c>
      <x:c r="L846" s="7" t="str">
        <x:v>Not supplied; membership is known, motive is not</x:v>
      </x:c>
      <x:c r="M846" s="7" t="n">
        <x:v>7</x:v>
      </x:c>
      <x:c r="N846" s="7" t="str">
        <x:v>Outside current general-Life recruiting pool</x:v>
      </x:c>
      <x:c r="O846" s="7" t="str">
        <x:v>Not displayed</x:v>
      </x:c>
      <x:c r="P846" s="7" t="str"/>
      <x:c r="Q846" s="7" t="str"/>
      <x:c r="R846" s="7" t="str"/>
      <x:c r="S846" s="15" t="str"/>
      <x:c r="T846" s="7" t="str">
        <x:v>No public business phone in collected record</x:v>
      </x:c>
      <x:c r="U846" s="7" t="str"/>
      <x:c r="V846" s="7" t="str">
        <x:v>Resident</x:v>
      </x:c>
      <x:c r="W846" s="7" t="str">
        <x:v>CA</x:v>
      </x:c>
      <x:c r="X846" s="7" t="str"/>
      <x:c r="Y846" s="7" t="str"/>
      <x:c r="Z846" s="7" t="str">
        <x:v>ORDER ID:&lt;LA0014763&gt; MONETARY PENALTY IN THE AMOUNT OF FIVE THOUSAND (5,000) DOLLARS. / 12/19/2001</x:v>
      </x:c>
      <x:c r="AA846" s="7" t="str"/>
      <x:c r="AB846" s="7" t="str"/>
      <x:c r="AC846" s="7" t="str"/>
      <x:c r="AD846" s="7" t="str">
        <x:v>No agency or insurer displayed: onboarding opportunity possible; existing business unknown</x:v>
      </x:c>
      <x:c r="AE846" s="7" t="str">
        <x:v>Enforcement order requires direct review; latest displayed order is not a removal order | No public business phone: contact enrichment needed, not proof of poor recruiting fit</x:v>
      </x:c>
      <x:c r="AF846" s="16" t="str"/>
      <x:c r="AG846" s="17" t="str"/>
      <x:c r="AH846" s="7" t="str"/>
      <x:c r="AI846" s="7" t="str"/>
      <x:c r="AJ846" s="7" t="str"/>
      <x:c r="AK846" s="15" t="str"/>
      <x:c r="AL846" s="7" t="str"/>
      <x:c r="AM846" s="7" t="str">
        <x:v>AGUILAR  MARIE</x:v>
      </x:c>
      <x:c r="AN846" s="7" t="str">
        <x:v>https://cdicloud.insurance.ca.gov/cal/LicenseDetail?SearchType=IND&amp;SearchLicNbr=0609230&amp;SearchIndvId=391382</x:v>
      </x:c>
      <x:c r="AO846" s="7" t="str">
        <x:v>2026-10-08</x:v>
      </x:c>
      <x:c r="AP846" s="7" t="str">
        <x:v>77cfb8440ca2e5872e68ee8d4f78f4abe14e18912896c611ca439cae55aed2e2</x:v>
      </x:c>
      <x:c r="AQ846" s="7" t="str">
        <x:v>Accident and Health / Inactive / 07/01/1981 / 07/01/1983 / 07/01/1983
Casualty Broker-Agent / Inactive / 09/08/1989 / 07/31/2011 / 07/31/2011
Life-Only / Inactive / 07/01/1981 / 07/01/1983 / 07/01/1983
Property Broker-Agent / Inactive / 09/08/1989 / 07/31/2011 / 07/31/2011</x:v>
      </x:c>
      <x:c r="AR846" s="7" t="str">
        <x:v>Inactive</x:v>
      </x:c>
      <x:c r="AS846" s="7" t="str">
        <x:v>Current detail page</x:v>
      </x:c>
    </x:row>
    <x:row r="847" ht="52" customHeight="1">
      <x:c r="A847" s="7" t="str">
        <x:v>AGUILAR MARIELENA</x:v>
      </x:c>
      <x:c r="B847" s="14" t="str">
        <x:f>"0C63722"</x:f>
        <x:v>0C63722</x:v>
      </x:c>
      <x:c r="C847" s="7" t="str">
        <x:v>Omitted</x:v>
      </x:c>
      <x:c r="D847" s="7" t="str">
        <x:v>FAIL</x:v>
      </x:c>
      <x:c r="E847" s="13" t="str">
        <x:v>Pending</x:v>
      </x:c>
      <x:c r="F847" s="13" t="str"/>
      <x:c r="G847" s="13" t="str"/>
      <x:c r="H847" s="13" t="str"/>
      <x:c r="I847" s="7" t="str">
        <x:v>Was this person reviewed? If rejected, give the actual rule and evidence. If acceptable, correct the omission. Confirm the Life-qualification gate and any record change since selection.</x:v>
      </x:c>
      <x:c r="J847" s="7" t="str">
        <x:v>L1</x:v>
      </x:c>
      <x:c r="K847" s="7" t="str">
        <x:v>Verified qualifications do not include active general Life. Current target-pool mismatch; actual historical omission reason unknown.</x:v>
      </x:c>
      <x:c r="L847" s="7" t="str">
        <x:v>Not supplied; membership is known, motive is not</x:v>
      </x:c>
      <x:c r="M847" s="7" t="n">
        <x:v>7</x:v>
      </x:c>
      <x:c r="N847" s="7" t="str">
        <x:v>Outside current general-Life recruiting pool</x:v>
      </x:c>
      <x:c r="O847" s="7" t="str">
        <x:v>Inactive</x:v>
      </x:c>
      <x:c r="P847" s="7" t="str">
        <x:v>03/25/2022</x:v>
      </x:c>
      <x:c r="Q847" s="7" t="str">
        <x:v>10/31/2023</x:v>
      </x:c>
      <x:c r="R847" s="7" t="str"/>
      <x:c r="S847" s="15" t="str">
        <x:v>909-483-3838</x:v>
      </x:c>
      <x:c r="T847" s="7" t="str">
        <x:v>Current CDI</x:v>
      </x:c>
      <x:c r="U847" s="7" t="str">
        <x:v>9681 BUSINESS CENTER DRIVE A RANCHO CUCAMONGA CA, 91730</x:v>
      </x:c>
      <x:c r="V847" s="7" t="str">
        <x:v>Non-resident</x:v>
      </x:c>
      <x:c r="W847" s="7" t="str">
        <x:v>CA</x:v>
      </x:c>
      <x:c r="X847" s="7" t="str"/>
      <x:c r="Y847" s="7" t="str"/>
      <x:c r="Z847" s="7" t="str"/>
      <x:c r="AA847" s="7" t="str"/>
      <x:c r="AB847" s="7" t="str"/>
      <x:c r="AC847" s="7" t="str"/>
      <x:c r="AD847" s="7" t="str">
        <x:v>No agency or insurer displayed: onboarding opportunity possible; existing business unknown</x:v>
      </x:c>
      <x:c r="AE847" s="7" t="str">
        <x:v>Nonresident or address state outside CA; confirm geographic recruiting scope</x:v>
      </x:c>
      <x:c r="AF847" s="16" t="str"/>
      <x:c r="AG847" s="17" t="str"/>
      <x:c r="AH847" s="7" t="str"/>
      <x:c r="AI847" s="7" t="str">
        <x:v>English, Farsi, Spanish, Spanish</x:v>
      </x:c>
      <x:c r="AJ847" s="7" t="str"/>
      <x:c r="AK847" s="15" t="str"/>
      <x:c r="AL847" s="7" t="str"/>
      <x:c r="AM847" s="7" t="str">
        <x:v>AGUILAR  MARIELENA</x:v>
      </x:c>
      <x:c r="AN847" s="7" t="str">
        <x:v>https://cdicloud.insurance.ca.gov/cal/LicenseDetail?SearchType=IND&amp;SearchLicNbr=0C63722&amp;SearchIndvId=433367</x:v>
      </x:c>
      <x:c r="AO847" s="7" t="str">
        <x:v>2026-10-08</x:v>
      </x:c>
      <x:c r="AP847" s="7" t="str">
        <x:v>c45d0848383a9e4717a7601f7ced4357b87a1301deb4d011883b51393ced09a6</x:v>
      </x:c>
      <x:c r="AQ847" s="7" t="str">
        <x:v>Accident &amp; Health or Sickness / Inactive / 03/25/2022 / 10/31/2023 / 10/31/2023
Life / Inactive / 03/25/2022 / 10/31/2023 / 10/31/2023</x:v>
      </x:c>
      <x:c r="AR847" s="7" t="str">
        <x:v>Inactive</x:v>
      </x:c>
      <x:c r="AS847" s="7" t="str">
        <x:v>Current detail page</x:v>
      </x:c>
    </x:row>
    <x:row r="848" ht="52" customHeight="1">
      <x:c r="A848" s="7" t="str">
        <x:v>AGUILAR MARILOU ALFARO</x:v>
      </x:c>
      <x:c r="B848" s="14" t="str">
        <x:f>"0B06547"</x:f>
        <x:v>0B06547</x:v>
      </x:c>
      <x:c r="C848" s="7" t="str">
        <x:v>Omitted</x:v>
      </x:c>
      <x:c r="D848" s="7" t="str">
        <x:v>FAIL</x:v>
      </x:c>
      <x:c r="E848" s="13" t="str">
        <x:v>Pending</x:v>
      </x:c>
      <x:c r="F848" s="13" t="str"/>
      <x:c r="G848" s="13" t="str"/>
      <x:c r="H848" s="13" t="str"/>
      <x:c r="I848" s="7" t="str">
        <x:v>Was this person reviewed? If rejected, give the actual rule and evidence. If acceptable, correct the omission. Confirm the Life-qualification gate and any record change since selection.</x:v>
      </x:c>
      <x:c r="J848" s="7" t="str">
        <x:v>L1</x:v>
      </x:c>
      <x:c r="K848" s="7" t="str">
        <x:v>Verified qualifications do not include active general Life. Current target-pool mismatch; actual historical omission reason unknown.</x:v>
      </x:c>
      <x:c r="L848" s="7" t="str">
        <x:v>Not supplied; membership is known, motive is not</x:v>
      </x:c>
      <x:c r="M848" s="7" t="n">
        <x:v>7</x:v>
      </x:c>
      <x:c r="N848" s="7" t="str">
        <x:v>Outside current general-Life recruiting pool</x:v>
      </x:c>
      <x:c r="O848" s="7" t="str">
        <x:v>Not displayed</x:v>
      </x:c>
      <x:c r="P848" s="7" t="str"/>
      <x:c r="Q848" s="7" t="str"/>
      <x:c r="R848" s="7" t="str"/>
      <x:c r="S848" s="15" t="str"/>
      <x:c r="T848" s="7" t="str">
        <x:v>No public business phone in collected record</x:v>
      </x:c>
      <x:c r="U848" s="7" t="str"/>
      <x:c r="V848" s="7" t="str">
        <x:v>Resident</x:v>
      </x:c>
      <x:c r="W848" s="7" t="str">
        <x:v>CA</x:v>
      </x:c>
      <x:c r="X848" s="7" t="str"/>
      <x:c r="Y848" s="7" t="str"/>
      <x:c r="Z848" s="7" t="str"/>
      <x:c r="AA848" s="7" t="str"/>
      <x:c r="AB848" s="7" t="str"/>
      <x:c r="AC848" s="7" t="str"/>
      <x:c r="AD848" s="7" t="str">
        <x:v>No agency or insurer displayed: onboarding opportunity possible; existing business unknown</x:v>
      </x:c>
      <x:c r="AE848" s="7" t="str">
        <x:v>No public business phone: contact enrichment needed, not proof of poor recruiting fit</x:v>
      </x:c>
      <x:c r="AF848" s="16" t="str"/>
      <x:c r="AG848" s="17" t="str"/>
      <x:c r="AH848" s="7" t="str"/>
      <x:c r="AI848" s="7" t="str"/>
      <x:c r="AJ848" s="7" t="str"/>
      <x:c r="AK848" s="15" t="str"/>
      <x:c r="AL848" s="7" t="str"/>
      <x:c r="AM848" s="7" t="str">
        <x:v>AGUILAR ALFARO MARILOU</x:v>
      </x:c>
      <x:c r="AN848" s="7" t="str">
        <x:v>https://cdicloud.insurance.ca.gov/cal/LicenseDetail?SearchType=IND&amp;SearchLicNbr=0B06547&amp;SearchIndvId=188467</x:v>
      </x:c>
      <x:c r="AO848" s="7" t="str">
        <x:v>2026-10-08</x:v>
      </x:c>
      <x:c r="AP848" s="7" t="str">
        <x:v>7ae40f17cab201212b43896ea4e7dd3d2ded8c78d8fe8a0bea2fc866b0d7587d</x:v>
      </x:c>
      <x:c r="AQ848" s="7" t="str">
        <x:v>Accident and Health / Inactive / 10/29/1992 / 10/31/1996 / 10/31/1996
Life-Only / Inactive / 10/29/1992 / 10/31/1996 / 10/31/1996</x:v>
      </x:c>
      <x:c r="AR848" s="7" t="str">
        <x:v>Inactive</x:v>
      </x:c>
      <x:c r="AS848" s="7" t="str">
        <x:v>Current detail page</x:v>
      </x:c>
    </x:row>
    <x:row r="849" ht="52" customHeight="1">
      <x:c r="A849" s="7" t="str">
        <x:v>AGUILAR MARIO</x:v>
      </x:c>
      <x:c r="B849" s="14" t="str">
        <x:f>"4126745"</x:f>
        <x:v>4126745</x:v>
      </x:c>
      <x:c r="C849" s="7" t="str">
        <x:v>Omitted</x:v>
      </x:c>
      <x:c r="D849" s="7" t="str">
        <x:v>FAIL</x:v>
      </x:c>
      <x:c r="E849" s="13" t="str">
        <x:v>Pending</x:v>
      </x:c>
      <x:c r="F849" s="13" t="str"/>
      <x:c r="G849" s="13" t="str"/>
      <x:c r="H849" s="13" t="str"/>
      <x:c r="I849" s="7" t="str">
        <x:v>Was this person reviewed? If rejected, give the actual rule and evidence. If acceptable, correct the omission. Confirm the Life-qualification gate and any record change since selection.</x:v>
      </x:c>
      <x:c r="J849" s="7" t="str">
        <x:v>L1</x:v>
      </x:c>
      <x:c r="K849" s="7" t="str">
        <x:v>Verified qualifications do not include active general Life. Current target-pool mismatch; actual historical omission reason unknown.</x:v>
      </x:c>
      <x:c r="L849" s="7" t="str">
        <x:v>Not supplied; membership is known, motive is not</x:v>
      </x:c>
      <x:c r="M849" s="7" t="n">
        <x:v>7</x:v>
      </x:c>
      <x:c r="N849" s="7" t="str">
        <x:v>Outside current general-Life recruiting pool</x:v>
      </x:c>
      <x:c r="O849" s="7" t="str">
        <x:v>Not displayed</x:v>
      </x:c>
      <x:c r="P849" s="7" t="str"/>
      <x:c r="Q849" s="7" t="str"/>
      <x:c r="R849" s="7" t="str"/>
      <x:c r="S849" s="15" t="str">
        <x:v>949-268-6740</x:v>
      </x:c>
      <x:c r="T849" s="7" t="str">
        <x:v>Current CDI</x:v>
      </x:c>
      <x:c r="U849" s="7" t="str">
        <x:v>27261 LA PAZ RD SUITE J LACUNA NIGUEL CA, 92677</x:v>
      </x:c>
      <x:c r="V849" s="7" t="str">
        <x:v>Resident</x:v>
      </x:c>
      <x:c r="W849" s="7" t="str">
        <x:v>CA</x:v>
      </x:c>
      <x:c r="X849" s="7" t="str"/>
      <x:c r="Y849" s="7" t="str"/>
      <x:c r="Z849" s="7" t="str"/>
      <x:c r="AA849" s="7" t="str"/>
      <x:c r="AB849" s="7" t="str"/>
      <x:c r="AC849" s="7" t="str"/>
      <x:c r="AD849" s="7" t="str">
        <x:v>No agency or insurer displayed: onboarding opportunity possible; existing business unknown</x:v>
      </x:c>
      <x:c r="AE849" s="7" t="str"/>
      <x:c r="AF849" s="16" t="str"/>
      <x:c r="AG849" s="17" t="str"/>
      <x:c r="AH849" s="7" t="str"/>
      <x:c r="AI849" s="7" t="str">
        <x:v>English</x:v>
      </x:c>
      <x:c r="AJ849" s="7" t="str"/>
      <x:c r="AK849" s="15" t="str"/>
      <x:c r="AL849" s="7" t="str"/>
      <x:c r="AM849" s="7" t="str">
        <x:v>AGUILAR  MARIO | AGUILAR RIVAS  MARIO</x:v>
      </x:c>
      <x:c r="AN849" s="7" t="str">
        <x:v>https://cdicloud.insurance.ca.gov/cal/LicenseDetail?SearchType=IND&amp;SearchLicNbr=4126745&amp;SearchIndvId=4126745</x:v>
      </x:c>
      <x:c r="AO849" s="7" t="str">
        <x:v>2026-10-08</x:v>
      </x:c>
      <x:c r="AP849" s="7" t="str">
        <x:v>c4a768ff58d5da6e37131a5ade92fff89f86e3587709ae0a5429da07904cff38</x:v>
      </x:c>
      <x:c r="AQ849" s="7" t="str">
        <x:v>Casualty / Inactive / 05/20/2021 / 05/31/2023 / 05/31/2023
Property / Inactive / 05/20/2021 / 05/31/2023 / 05/31/2023</x:v>
      </x:c>
      <x:c r="AR849" s="7" t="str">
        <x:v>Inactive</x:v>
      </x:c>
      <x:c r="AS849" s="7" t="str">
        <x:v>Current detail page</x:v>
      </x:c>
    </x:row>
    <x:row r="850" ht="52" customHeight="1">
      <x:c r="A850" s="7" t="str">
        <x:v>AGUILAR MARIO ALBERT</x:v>
      </x:c>
      <x:c r="B850" s="14" t="str">
        <x:f>"0E98825"</x:f>
        <x:v>0E98825</x:v>
      </x:c>
      <x:c r="C850" s="7" t="str">
        <x:v>Omitted</x:v>
      </x:c>
      <x:c r="D850" s="7" t="str">
        <x:v>FAIL</x:v>
      </x:c>
      <x:c r="E850" s="13" t="str">
        <x:v>Pending</x:v>
      </x:c>
      <x:c r="F850" s="13" t="str"/>
      <x:c r="G850" s="13" t="str"/>
      <x:c r="H850" s="13" t="str"/>
      <x:c r="I850" s="7" t="str">
        <x:v>Was this person reviewed? If rejected, give the actual rule and evidence. If acceptable, correct the omission. Confirm the Life-qualification gate and any record change since selection.</x:v>
      </x:c>
      <x:c r="J850" s="7" t="str">
        <x:v>L1</x:v>
      </x:c>
      <x:c r="K850" s="7" t="str">
        <x:v>Verified qualifications do not include active general Life. Current target-pool mismatch; actual historical omission reason unknown.</x:v>
      </x:c>
      <x:c r="L850" s="7" t="str">
        <x:v>Not supplied; membership is known, motive is not</x:v>
      </x:c>
      <x:c r="M850" s="7" t="n">
        <x:v>7</x:v>
      </x:c>
      <x:c r="N850" s="7" t="str">
        <x:v>Outside current general-Life recruiting pool</x:v>
      </x:c>
      <x:c r="O850" s="7" t="str">
        <x:v>Not displayed</x:v>
      </x:c>
      <x:c r="P850" s="7" t="str"/>
      <x:c r="Q850" s="7" t="str"/>
      <x:c r="R850" s="7" t="str"/>
      <x:c r="S850" s="15" t="str"/>
      <x:c r="T850" s="7" t="str">
        <x:v>No public business phone in collected record</x:v>
      </x:c>
      <x:c r="U850" s="7" t="str"/>
      <x:c r="V850" s="7" t="str">
        <x:v>Resident</x:v>
      </x:c>
      <x:c r="W850" s="7" t="str">
        <x:v>CA</x:v>
      </x:c>
      <x:c r="X850" s="7" t="str"/>
      <x:c r="Y850" s="7" t="str"/>
      <x:c r="Z850" s="7" t="str"/>
      <x:c r="AA850" s="7" t="str"/>
      <x:c r="AB850" s="7" t="str"/>
      <x:c r="AC850" s="7" t="str"/>
      <x:c r="AD850" s="7" t="str">
        <x:v>No agency or insurer displayed: onboarding opportunity possible; existing business unknown</x:v>
      </x:c>
      <x:c r="AE850" s="7" t="str">
        <x:v>No public business phone: contact enrichment needed, not proof of poor recruiting fit</x:v>
      </x:c>
      <x:c r="AF850" s="16" t="str"/>
      <x:c r="AG850" s="17" t="str"/>
      <x:c r="AH850" s="7" t="str"/>
      <x:c r="AI850" s="7" t="str"/>
      <x:c r="AJ850" s="7" t="str"/>
      <x:c r="AK850" s="15" t="str"/>
      <x:c r="AL850" s="7" t="str"/>
      <x:c r="AM850" s="7" t="str">
        <x:v>AGUILAR ALBERT MARIO</x:v>
      </x:c>
      <x:c r="AN850" s="7" t="str">
        <x:v>https://cdicloud.insurance.ca.gov/cal/LicenseDetail?SearchType=IND&amp;SearchLicNbr=0E98825&amp;SearchIndvId=979674</x:v>
      </x:c>
      <x:c r="AO850" s="7" t="str">
        <x:v>2026-10-08</x:v>
      </x:c>
      <x:c r="AP850" s="7" t="str">
        <x:v>cee0c7cb5a3a2a650d3dce35b3625e7177a440f737dd5afe0688520de19b9606</x:v>
      </x:c>
      <x:c r="AQ850" s="7" t="str">
        <x:v>Accident and Health / Inactive / 11/14/2005 / 11/30/2007 / 11/30/2007
Life-Only / Inactive / 11/14/2005 / 11/30/2007 / 11/30/2007</x:v>
      </x:c>
      <x:c r="AR850" s="7" t="str">
        <x:v>Inactive</x:v>
      </x:c>
      <x:c r="AS850" s="7" t="str">
        <x:v>Current detail page</x:v>
      </x:c>
    </x:row>
    <x:row r="851" ht="52" customHeight="1">
      <x:c r="A851" s="7" t="str">
        <x:v>AGUILAR MARIO EMERICK</x:v>
      </x:c>
      <x:c r="B851" s="14" t="str">
        <x:f>"0F27432"</x:f>
        <x:v>0F27432</x:v>
      </x:c>
      <x:c r="C851" s="7" t="str">
        <x:v>Omitted</x:v>
      </x:c>
      <x:c r="D851" s="7" t="str">
        <x:v>FAIL</x:v>
      </x:c>
      <x:c r="E851" s="13" t="str">
        <x:v>Pending</x:v>
      </x:c>
      <x:c r="F851" s="13" t="str"/>
      <x:c r="G851" s="13" t="str"/>
      <x:c r="H851" s="13" t="str"/>
      <x:c r="I851" s="7" t="str">
        <x:v>Was this person reviewed? If rejected, give the actual rule and evidence. If acceptable, correct the omission. Confirm the Life-qualification gate and any record change since selection.</x:v>
      </x:c>
      <x:c r="J851" s="7" t="str">
        <x:v>L1</x:v>
      </x:c>
      <x:c r="K851" s="7" t="str">
        <x:v>Verified qualifications do not include active general Life. Current target-pool mismatch; actual historical omission reason unknown.</x:v>
      </x:c>
      <x:c r="L851" s="7" t="str">
        <x:v>Not supplied; membership is known, motive is not</x:v>
      </x:c>
      <x:c r="M851" s="7" t="n">
        <x:v>7</x:v>
      </x:c>
      <x:c r="N851" s="7" t="str">
        <x:v>Outside current general-Life recruiting pool</x:v>
      </x:c>
      <x:c r="O851" s="7" t="str">
        <x:v>Not displayed</x:v>
      </x:c>
      <x:c r="P851" s="7" t="str"/>
      <x:c r="Q851" s="7" t="str"/>
      <x:c r="R851" s="7" t="str"/>
      <x:c r="S851" s="15" t="str"/>
      <x:c r="T851" s="7" t="str">
        <x:v>No public business phone in collected record</x:v>
      </x:c>
      <x:c r="U851" s="7" t="str"/>
      <x:c r="V851" s="7" t="str">
        <x:v>Resident</x:v>
      </x:c>
      <x:c r="W851" s="7" t="str">
        <x:v>CA</x:v>
      </x:c>
      <x:c r="X851" s="7" t="str"/>
      <x:c r="Y851" s="7" t="str"/>
      <x:c r="Z851" s="7" t="str"/>
      <x:c r="AA851" s="7" t="str"/>
      <x:c r="AB851" s="7" t="str"/>
      <x:c r="AC851" s="7" t="str"/>
      <x:c r="AD851" s="7" t="str">
        <x:v>No agency or insurer displayed: onboarding opportunity possible; existing business unknown</x:v>
      </x:c>
      <x:c r="AE851" s="7" t="str">
        <x:v>No public business phone: contact enrichment needed, not proof of poor recruiting fit</x:v>
      </x:c>
      <x:c r="AF851" s="16" t="str"/>
      <x:c r="AG851" s="17" t="str"/>
      <x:c r="AH851" s="7" t="str"/>
      <x:c r="AI851" s="7" t="str"/>
      <x:c r="AJ851" s="7" t="str"/>
      <x:c r="AK851" s="15" t="str"/>
      <x:c r="AL851" s="7" t="str"/>
      <x:c r="AM851" s="7" t="str">
        <x:v>AGUILAR EMERICK MARIO</x:v>
      </x:c>
      <x:c r="AN851" s="7" t="str">
        <x:v>https://cdicloud.insurance.ca.gov/cal/LicenseDetail?SearchType=IND&amp;SearchLicNbr=0F27432&amp;SearchIndvId=1036393</x:v>
      </x:c>
      <x:c r="AO851" s="7" t="str">
        <x:v>2026-10-08</x:v>
      </x:c>
      <x:c r="AP851" s="7" t="str">
        <x:v>19cc4b1c9130878fbab3cb1ed3f814fef33a1a916cd8a39f1bb8329a989f400e</x:v>
      </x:c>
      <x:c r="AQ851" s="7" t="str">
        <x:v>Accident and Health / Inactive / 07/20/2006 / 07/31/2014 / 07/31/2014
Life-Only / Inactive / 07/20/2006 / 07/31/2014 / 07/31/2014
Variable Contracts / Inactive / 07/30/2009 / 07/31/2014 / 07/31/2014</x:v>
      </x:c>
      <x:c r="AR851" s="7" t="str">
        <x:v>Inactive</x:v>
      </x:c>
      <x:c r="AS851" s="7" t="str">
        <x:v>Current detail page</x:v>
      </x:c>
    </x:row>
    <x:row r="852" ht="52" customHeight="1">
      <x:c r="A852" s="7" t="str">
        <x:v>AGUILAR MARIO GONZALEZ</x:v>
      </x:c>
      <x:c r="B852" s="14" t="str">
        <x:f>"0G58117"</x:f>
        <x:v>0G58117</x:v>
      </x:c>
      <x:c r="C852" s="7" t="str">
        <x:v>Omitted</x:v>
      </x:c>
      <x:c r="D852" s="7" t="str">
        <x:v>FAIL</x:v>
      </x:c>
      <x:c r="E852" s="13" t="str">
        <x:v>Pending</x:v>
      </x:c>
      <x:c r="F852" s="13" t="str"/>
      <x:c r="G852" s="13" t="str"/>
      <x:c r="H852" s="13" t="str"/>
      <x:c r="I852" s="7" t="str">
        <x:v>Was this person reviewed? If rejected, give the actual rule and evidence. If acceptable, correct the omission. Confirm the Life-qualification gate and any record change since selection.</x:v>
      </x:c>
      <x:c r="J852" s="7" t="str">
        <x:v>L1</x:v>
      </x:c>
      <x:c r="K852" s="7" t="str">
        <x:v>Verified qualifications do not include active general Life. Current target-pool mismatch; actual historical omission reason unknown.</x:v>
      </x:c>
      <x:c r="L852" s="7" t="str">
        <x:v>Not supplied; membership is known, motive is not</x:v>
      </x:c>
      <x:c r="M852" s="7" t="n">
        <x:v>7</x:v>
      </x:c>
      <x:c r="N852" s="7" t="str">
        <x:v>Outside current general-Life recruiting pool</x:v>
      </x:c>
      <x:c r="O852" s="7" t="str">
        <x:v>Not displayed</x:v>
      </x:c>
      <x:c r="P852" s="7" t="str"/>
      <x:c r="Q852" s="7" t="str"/>
      <x:c r="R852" s="7" t="str"/>
      <x:c r="S852" s="15" t="str"/>
      <x:c r="T852" s="7" t="str">
        <x:v>No public business phone in collected record</x:v>
      </x:c>
      <x:c r="U852" s="7" t="str"/>
      <x:c r="V852" s="7" t="str">
        <x:v>Resident</x:v>
      </x:c>
      <x:c r="W852" s="7" t="str">
        <x:v>CA</x:v>
      </x:c>
      <x:c r="X852" s="7" t="str"/>
      <x:c r="Y852" s="7" t="str"/>
      <x:c r="Z852" s="7" t="str"/>
      <x:c r="AA852" s="7" t="str"/>
      <x:c r="AB852" s="7" t="str"/>
      <x:c r="AC852" s="7" t="str"/>
      <x:c r="AD852" s="7" t="str">
        <x:v>No agency or insurer displayed: onboarding opportunity possible; existing business unknown</x:v>
      </x:c>
      <x:c r="AE852" s="7" t="str">
        <x:v>No public business phone: contact enrichment needed, not proof of poor recruiting fit</x:v>
      </x:c>
      <x:c r="AF852" s="16" t="str"/>
      <x:c r="AG852" s="17" t="str"/>
      <x:c r="AH852" s="7" t="str"/>
      <x:c r="AI852" s="7" t="str"/>
      <x:c r="AJ852" s="7" t="str"/>
      <x:c r="AK852" s="15" t="str"/>
      <x:c r="AL852" s="7" t="str"/>
      <x:c r="AM852" s="7" t="str">
        <x:v>AGUILAR GONZALEZ MARIO</x:v>
      </x:c>
      <x:c r="AN852" s="7" t="str">
        <x:v>https://cdicloud.insurance.ca.gov/cal/LicenseDetail?SearchType=IND&amp;SearchLicNbr=0G58117&amp;SearchIndvId=1246367</x:v>
      </x:c>
      <x:c r="AO852" s="7" t="str">
        <x:v>2026-10-08</x:v>
      </x:c>
      <x:c r="AP852" s="7" t="str">
        <x:v>77a71a861dc5d8d49c42ad38f42eb575f10746dd32a13db29c9d226190bbbb73</x:v>
      </x:c>
      <x:c r="AQ852" s="7" t="str">
        <x:v>Life-Only / Inactive / 04/20/2009 / 04/30/2015 / 04/30/2015</x:v>
      </x:c>
      <x:c r="AR852" s="7" t="str">
        <x:v>Inactive</x:v>
      </x:c>
      <x:c r="AS852" s="7" t="str">
        <x:v>Current detail page</x:v>
      </x:c>
    </x:row>
    <x:row r="853" ht="52" customHeight="1">
      <x:c r="A853" s="7" t="str">
        <x:v>AGUILAR MARIO HEMMIR</x:v>
      </x:c>
      <x:c r="B853" s="14" t="str">
        <x:f>"0H00245"</x:f>
        <x:v>0H00245</x:v>
      </x:c>
      <x:c r="C853" s="7" t="str">
        <x:v>Omitted</x:v>
      </x:c>
      <x:c r="D853" s="7" t="str">
        <x:v>FAIL</x:v>
      </x:c>
      <x:c r="E853" s="13" t="str">
        <x:v>Pending</x:v>
      </x:c>
      <x:c r="F853" s="13" t="str"/>
      <x:c r="G853" s="13" t="str"/>
      <x:c r="H853" s="13" t="str"/>
      <x:c r="I853" s="7" t="str">
        <x:v>Was this person reviewed? If rejected, give the actual rule and evidence. If acceptable, correct the omission. Confirm the Life-qualification gate and any record change since selection.</x:v>
      </x:c>
      <x:c r="J853" s="7" t="str">
        <x:v>L1</x:v>
      </x:c>
      <x:c r="K853" s="7" t="str">
        <x:v>Verified qualifications do not include active general Life. Current target-pool mismatch; actual historical omission reason unknown.</x:v>
      </x:c>
      <x:c r="L853" s="7" t="str">
        <x:v>Not supplied; membership is known, motive is not</x:v>
      </x:c>
      <x:c r="M853" s="7" t="n">
        <x:v>7</x:v>
      </x:c>
      <x:c r="N853" s="7" t="str">
        <x:v>Outside current general-Life recruiting pool</x:v>
      </x:c>
      <x:c r="O853" s="7" t="str">
        <x:v>Not displayed</x:v>
      </x:c>
      <x:c r="P853" s="7" t="str"/>
      <x:c r="Q853" s="7" t="str"/>
      <x:c r="R853" s="7" t="str"/>
      <x:c r="S853" s="15" t="str"/>
      <x:c r="T853" s="7" t="str">
        <x:v>No public business phone in collected record</x:v>
      </x:c>
      <x:c r="U853" s="7" t="str"/>
      <x:c r="V853" s="7" t="str">
        <x:v>Resident</x:v>
      </x:c>
      <x:c r="W853" s="7" t="str">
        <x:v>CA</x:v>
      </x:c>
      <x:c r="X853" s="7" t="str"/>
      <x:c r="Y853" s="7" t="str"/>
      <x:c r="Z853" s="7" t="str"/>
      <x:c r="AA853" s="7" t="str"/>
      <x:c r="AB853" s="7" t="str"/>
      <x:c r="AC853" s="7" t="str"/>
      <x:c r="AD853" s="7" t="str">
        <x:v>No agency or insurer displayed: onboarding opportunity possible; existing business unknown</x:v>
      </x:c>
      <x:c r="AE853" s="7" t="str">
        <x:v>No public business phone: contact enrichment needed, not proof of poor recruiting fit</x:v>
      </x:c>
      <x:c r="AF853" s="16" t="str"/>
      <x:c r="AG853" s="17" t="str"/>
      <x:c r="AH853" s="7" t="str"/>
      <x:c r="AI853" s="7" t="str"/>
      <x:c r="AJ853" s="7" t="str"/>
      <x:c r="AK853" s="15" t="str"/>
      <x:c r="AL853" s="7" t="str"/>
      <x:c r="AM853" s="7" t="str">
        <x:v>AGUILAR HEMMIR MARIO</x:v>
      </x:c>
      <x:c r="AN853" s="7" t="str">
        <x:v>https://cdicloud.insurance.ca.gov/cal/LicenseDetail?SearchType=IND&amp;SearchLicNbr=0H00245&amp;SearchIndvId=1332672</x:v>
      </x:c>
      <x:c r="AO853" s="7" t="str">
        <x:v>2026-10-08</x:v>
      </x:c>
      <x:c r="AP853" s="7" t="str">
        <x:v>311b68f30aef75d2987a6b2cca8c3d3cb0b32b4548b95643ad2cd62873f5750b</x:v>
      </x:c>
      <x:c r="AQ853" s="7" t="str">
        <x:v>Life-Only / Inactive / 05/13/2010 / 05/31/2012 / 05/31/2012
Variable Contracts / Inactive / 05/13/2010 / 05/31/2012 / 05/31/2012</x:v>
      </x:c>
      <x:c r="AR853" s="7" t="str">
        <x:v>Inactive</x:v>
      </x:c>
      <x:c r="AS853" s="7" t="str">
        <x:v>Current detail page</x:v>
      </x:c>
    </x:row>
    <x:row r="854" ht="52" customHeight="1">
      <x:c r="A854" s="7" t="str">
        <x:v>AGUILAR MARIO JULIO</x:v>
      </x:c>
      <x:c r="B854" s="14" t="str">
        <x:f>"4089066"</x:f>
        <x:v>4089066</x:v>
      </x:c>
      <x:c r="C854" s="7" t="str">
        <x:v>Omitted</x:v>
      </x:c>
      <x:c r="D854" s="7" t="str">
        <x:v>FAIL</x:v>
      </x:c>
      <x:c r="E854" s="13" t="str">
        <x:v>Pending</x:v>
      </x:c>
      <x:c r="F854" s="13" t="str"/>
      <x:c r="G854" s="13" t="str"/>
      <x:c r="H854" s="13" t="str"/>
      <x:c r="I854" s="7" t="str">
        <x:v>Was this person reviewed? If rejected, give the actual rule and evidence. If acceptable, correct the omission. Confirm the Life-qualification gate and any record change since selection.</x:v>
      </x:c>
      <x:c r="J854" s="7" t="str">
        <x:v>L1</x:v>
      </x:c>
      <x:c r="K854" s="7" t="str">
        <x:v>Verified qualifications do not include active general Life. Current target-pool mismatch; actual historical omission reason unknown.</x:v>
      </x:c>
      <x:c r="L854" s="7" t="str">
        <x:v>Not supplied; membership is known, motive is not</x:v>
      </x:c>
      <x:c r="M854" s="7" t="n">
        <x:v>7</x:v>
      </x:c>
      <x:c r="N854" s="7" t="str">
        <x:v>Outside current general-Life recruiting pool</x:v>
      </x:c>
      <x:c r="O854" s="7" t="str">
        <x:v>Inactive</x:v>
      </x:c>
      <x:c r="P854" s="7" t="str">
        <x:v>01/19/2021</x:v>
      </x:c>
      <x:c r="Q854" s="7" t="str">
        <x:v>01/31/2025</x:v>
      </x:c>
      <x:c r="R854" s="7" t="str"/>
      <x:c r="S854" s="15" t="str">
        <x:v>818-441-6801</x:v>
      </x:c>
      <x:c r="T854" s="7" t="str">
        <x:v>Current CDI</x:v>
      </x:c>
      <x:c r="U854" s="7" t="str">
        <x:v>801 N. BRAND BLVD SUITE PENTHOUSE GLENDALE CA, 91203</x:v>
      </x:c>
      <x:c r="V854" s="7" t="str">
        <x:v>Resident</x:v>
      </x:c>
      <x:c r="W854" s="7" t="str">
        <x:v>CA</x:v>
      </x:c>
      <x:c r="X854" s="7" t="str"/>
      <x:c r="Y854" s="7" t="str"/>
      <x:c r="Z854" s="7" t="str"/>
      <x:c r="AA854" s="7" t="str"/>
      <x:c r="AB854" s="7" t="str"/>
      <x:c r="AC854" s="7" t="str"/>
      <x:c r="AD854" s="7" t="str">
        <x:v>No agency or insurer displayed: onboarding opportunity possible; existing business unknown</x:v>
      </x:c>
      <x:c r="AE854" s="7" t="str"/>
      <x:c r="AF854" s="16" t="str"/>
      <x:c r="AG854" s="17" t="str"/>
      <x:c r="AH854" s="7" t="str"/>
      <x:c r="AI854" s="7" t="str">
        <x:v>English</x:v>
      </x:c>
      <x:c r="AJ854" s="7" t="str"/>
      <x:c r="AK854" s="15" t="str"/>
      <x:c r="AL854" s="7" t="str"/>
      <x:c r="AM854" s="7" t="str">
        <x:v>AGUILAR JULIO MARIO</x:v>
      </x:c>
      <x:c r="AN854" s="7" t="str">
        <x:v>https://cdicloud.insurance.ca.gov/cal/LicenseDetail?SearchType=IND&amp;SearchLicNbr=4089066&amp;SearchIndvId=4089066</x:v>
      </x:c>
      <x:c r="AO854" s="7" t="str">
        <x:v>2026-10-08</x:v>
      </x:c>
      <x:c r="AP854" s="7" t="str">
        <x:v>ccd694ed6c774175864463817e2717d5b99030dcb32cb45ee3c8c057d4b87f5b</x:v>
      </x:c>
      <x:c r="AQ854" s="7" t="str">
        <x:v>Accident &amp; Health or Sickness / Inactive / 01/19/2021 / 01/31/2025 / 01/31/2025
Life / Inactive / 01/19/2021 / 01/31/2025 / 01/31/2025
Var Life and Var Annuity / Inactive / 11/04/2021 / 01/31/2025 / 01/31/2025</x:v>
      </x:c>
      <x:c r="AR854" s="7" t="str">
        <x:v>Inactive</x:v>
      </x:c>
      <x:c r="AS854" s="7" t="str">
        <x:v>Current detail page</x:v>
      </x:c>
    </x:row>
    <x:row r="855" ht="52" customHeight="1">
      <x:c r="A855" s="7" t="str">
        <x:v>AGUILAR MARIO REYES JR</x:v>
      </x:c>
      <x:c r="B855" s="14" t="str">
        <x:f>"0D50635"</x:f>
        <x:v>0D50635</x:v>
      </x:c>
      <x:c r="C855" s="7" t="str">
        <x:v>Omitted</x:v>
      </x:c>
      <x:c r="D855" s="7" t="str">
        <x:v>FAIL</x:v>
      </x:c>
      <x:c r="E855" s="13" t="str">
        <x:v>Pending</x:v>
      </x:c>
      <x:c r="F855" s="13" t="str"/>
      <x:c r="G855" s="13" t="str"/>
      <x:c r="H855" s="13" t="str"/>
      <x:c r="I855" s="7" t="str">
        <x:v>Was this person reviewed? If rejected, give the actual rule and evidence. If acceptable, correct the omission. Confirm the Life-qualification gate and any record change since selection.</x:v>
      </x:c>
      <x:c r="J855" s="7" t="str">
        <x:v>L1</x:v>
      </x:c>
      <x:c r="K855" s="7" t="str">
        <x:v>Verified qualifications do not include active general Life. Current target-pool mismatch; actual historical omission reason unknown.</x:v>
      </x:c>
      <x:c r="L855" s="7" t="str">
        <x:v>Not supplied; membership is known, motive is not</x:v>
      </x:c>
      <x:c r="M855" s="7" t="n">
        <x:v>7</x:v>
      </x:c>
      <x:c r="N855" s="7" t="str">
        <x:v>Outside current general-Life recruiting pool</x:v>
      </x:c>
      <x:c r="O855" s="7" t="str">
        <x:v>Not displayed</x:v>
      </x:c>
      <x:c r="P855" s="7" t="str"/>
      <x:c r="Q855" s="7" t="str"/>
      <x:c r="R855" s="7" t="str"/>
      <x:c r="S855" s="15" t="str"/>
      <x:c r="T855" s="7" t="str">
        <x:v>No public business phone in collected record</x:v>
      </x:c>
      <x:c r="U855" s="7" t="str"/>
      <x:c r="V855" s="7" t="str">
        <x:v>Resident</x:v>
      </x:c>
      <x:c r="W855" s="7" t="str">
        <x:v>CA</x:v>
      </x:c>
      <x:c r="X855" s="7" t="str"/>
      <x:c r="Y855" s="7" t="str"/>
      <x:c r="Z855" s="7" t="str"/>
      <x:c r="AA855" s="7" t="str"/>
      <x:c r="AB855" s="7" t="str"/>
      <x:c r="AC855" s="7" t="str"/>
      <x:c r="AD855" s="7" t="str">
        <x:v>No agency or insurer displayed: onboarding opportunity possible; existing business unknown</x:v>
      </x:c>
      <x:c r="AE855" s="7" t="str">
        <x:v>No public business phone: contact enrichment needed, not proof of poor recruiting fit</x:v>
      </x:c>
      <x:c r="AF855" s="16" t="str"/>
      <x:c r="AG855" s="17" t="str"/>
      <x:c r="AH855" s="7" t="str"/>
      <x:c r="AI855" s="7" t="str"/>
      <x:c r="AJ855" s="7" t="str"/>
      <x:c r="AK855" s="15" t="str"/>
      <x:c r="AL855" s="7" t="str"/>
      <x:c r="AM855" s="7" t="str">
        <x:v>AGUILAR REYES MARIO</x:v>
      </x:c>
      <x:c r="AN855" s="7" t="str">
        <x:v>https://cdicloud.insurance.ca.gov/cal/LicenseDetail?SearchType=IND&amp;SearchLicNbr=0D50635&amp;SearchIndvId=609305</x:v>
      </x:c>
      <x:c r="AO855" s="7" t="str">
        <x:v>2026-10-08</x:v>
      </x:c>
      <x:c r="AP855" s="7" t="str">
        <x:v>8caacb96b96b1a6b203c0151a78a6889e59f8ecf428543b334d1c9737742acb0</x:v>
      </x:c>
      <x:c r="AQ855" s="7" t="str">
        <x:v>Accident and Health / Inactive / 12/12/2001 / 12/31/2003 / 12/31/2003
Life-Only / Inactive / 12/12/2001 / 12/31/2003 / 12/31/2003
Variable Contracts / Inactive / 12/12/2001 / 12/31/2003 / 12/31/2003</x:v>
      </x:c>
      <x:c r="AR855" s="7" t="str">
        <x:v>Inactive</x:v>
      </x:c>
      <x:c r="AS855" s="7" t="str">
        <x:v>Current detail page</x:v>
      </x:c>
    </x:row>
    <x:row r="856" ht="52" customHeight="1">
      <x:c r="A856" s="7" t="str">
        <x:v>AGUILAR MARISELA</x:v>
      </x:c>
      <x:c r="B856" s="14" t="str">
        <x:f>"0L32920"</x:f>
        <x:v>0L32920</x:v>
      </x:c>
      <x:c r="C856" s="7" t="str">
        <x:v>Omitted</x:v>
      </x:c>
      <x:c r="D856" s="7" t="str">
        <x:v>FAIL</x:v>
      </x:c>
      <x:c r="E856" s="13" t="str">
        <x:v>Pending</x:v>
      </x:c>
      <x:c r="F856" s="13" t="str"/>
      <x:c r="G856" s="13" t="str"/>
      <x:c r="H856" s="13" t="str"/>
      <x:c r="I856" s="7" t="str">
        <x:v>Was this person reviewed? If rejected, give the actual rule and evidence. If acceptable, correct the omission. Confirm the Life-qualification gate and any record change since selection.</x:v>
      </x:c>
      <x:c r="J856" s="7" t="str">
        <x:v>L1</x:v>
      </x:c>
      <x:c r="K856" s="7" t="str">
        <x:v>Verified qualifications do not include active general Life. Current target-pool mismatch; actual historical omission reason unknown.</x:v>
      </x:c>
      <x:c r="L856" s="7" t="str">
        <x:v>Not supplied; membership is known, motive is not</x:v>
      </x:c>
      <x:c r="M856" s="7" t="n">
        <x:v>7</x:v>
      </x:c>
      <x:c r="N856" s="7" t="str">
        <x:v>Outside current general-Life recruiting pool</x:v>
      </x:c>
      <x:c r="O856" s="7" t="str">
        <x:v>Not displayed</x:v>
      </x:c>
      <x:c r="P856" s="7" t="str"/>
      <x:c r="Q856" s="7" t="str"/>
      <x:c r="R856" s="7" t="str"/>
      <x:c r="S856" s="15" t="str"/>
      <x:c r="T856" s="7" t="str">
        <x:v>No public business phone in collected record</x:v>
      </x:c>
      <x:c r="U856" s="7" t="str"/>
      <x:c r="V856" s="7" t="str">
        <x:v>Resident</x:v>
      </x:c>
      <x:c r="W856" s="7" t="str">
        <x:v>CA</x:v>
      </x:c>
      <x:c r="X856" s="7" t="str"/>
      <x:c r="Y856" s="7" t="str"/>
      <x:c r="Z856" s="7" t="str"/>
      <x:c r="AA856" s="7" t="str"/>
      <x:c r="AB856" s="7" t="str"/>
      <x:c r="AC856" s="7" t="str"/>
      <x:c r="AD856" s="7" t="str">
        <x:v>No agency or insurer displayed: onboarding opportunity possible; existing business unknown</x:v>
      </x:c>
      <x:c r="AE856" s="7" t="str">
        <x:v>No public business phone: contact enrichment needed, not proof of poor recruiting fit</x:v>
      </x:c>
      <x:c r="AF856" s="16" t="str"/>
      <x:c r="AG856" s="17" t="str"/>
      <x:c r="AH856" s="7" t="str"/>
      <x:c r="AI856" s="7" t="str"/>
      <x:c r="AJ856" s="7" t="str"/>
      <x:c r="AK856" s="15" t="str"/>
      <x:c r="AL856" s="7" t="str"/>
      <x:c r="AM856" s="7" t="str">
        <x:v>AGUILAR  MARISELA</x:v>
      </x:c>
      <x:c r="AN856" s="7" t="str">
        <x:v>https://cdicloud.insurance.ca.gov/cal/LicenseDetail?SearchType=IND&amp;SearchLicNbr=0L32920&amp;SearchIndvId=1881982</x:v>
      </x:c>
      <x:c r="AO856" s="7" t="str">
        <x:v>2026-10-08</x:v>
      </x:c>
      <x:c r="AP856" s="7" t="str">
        <x:v>b1b96cd8ebced1df273f3cc4b606f723110658d7c16651f9f3f2584f46fdfb90</x:v>
      </x:c>
      <x:c r="AQ856" s="7" t="str">
        <x:v>Personal Lines Broker-Agent / Inactive / 11/07/2016 / 11/30/2018 / 11/30/2018</x:v>
      </x:c>
      <x:c r="AR856" s="7" t="str">
        <x:v>Inactive</x:v>
      </x:c>
      <x:c r="AS856" s="7" t="str">
        <x:v>Current detail page</x:v>
      </x:c>
    </x:row>
    <x:row r="857" ht="52" customHeight="1">
      <x:c r="A857" s="7" t="str">
        <x:v>AGUILAR MARISSA</x:v>
      </x:c>
      <x:c r="B857" s="14" t="str">
        <x:f>"4142302"</x:f>
        <x:v>4142302</x:v>
      </x:c>
      <x:c r="C857" s="7" t="str">
        <x:v>Omitted</x:v>
      </x:c>
      <x:c r="D857" s="7" t="str">
        <x:v>FAIL</x:v>
      </x:c>
      <x:c r="E857" s="13" t="str">
        <x:v>Pending</x:v>
      </x:c>
      <x:c r="F857" s="13" t="str"/>
      <x:c r="G857" s="13" t="str"/>
      <x:c r="H857" s="13" t="str"/>
      <x:c r="I857" s="7" t="str">
        <x:v>Was this person reviewed? If rejected, give the actual rule and evidence. If acceptable, correct the omission. Confirm the Life-qualification gate and any record change since selection.</x:v>
      </x:c>
      <x:c r="J857" s="7" t="str">
        <x:v>L1</x:v>
      </x:c>
      <x:c r="K857" s="7" t="str">
        <x:v>Verified qualifications do not include active general Life. Current target-pool mismatch; actual historical omission reason unknown.</x:v>
      </x:c>
      <x:c r="L857" s="7" t="str">
        <x:v>Not supplied; membership is known, motive is not</x:v>
      </x:c>
      <x:c r="M857" s="7" t="n">
        <x:v>7</x:v>
      </x:c>
      <x:c r="N857" s="7" t="str">
        <x:v>Outside current general-Life recruiting pool</x:v>
      </x:c>
      <x:c r="O857" s="7" t="str">
        <x:v>Not displayed</x:v>
      </x:c>
      <x:c r="P857" s="7" t="str"/>
      <x:c r="Q857" s="7" t="str"/>
      <x:c r="R857" s="7" t="str"/>
      <x:c r="S857" s="15" t="str"/>
      <x:c r="T857" s="7" t="str">
        <x:v>No public business phone in collected record</x:v>
      </x:c>
      <x:c r="U857" s="7" t="str">
        <x:v>9800 FREDERICKSBURG RD SAN ANTONIO TX, 78288</x:v>
      </x:c>
      <x:c r="V857" s="7" t="str">
        <x:v>Non-resident</x:v>
      </x:c>
      <x:c r="W857" s="7" t="str">
        <x:v>TX</x:v>
      </x:c>
      <x:c r="X857" s="7" t="str"/>
      <x:c r="Y857" s="7" t="str"/>
      <x:c r="Z857" s="7" t="str"/>
      <x:c r="AA857" s="7" t="str"/>
      <x:c r="AB857" s="7" t="str"/>
      <x:c r="AC857" s="7" t="str"/>
      <x:c r="AD857" s="7" t="str">
        <x:v>No agency or insurer displayed: onboarding opportunity possible; existing business unknown</x:v>
      </x:c>
      <x:c r="AE857" s="7" t="str">
        <x:v>Nonresident or address state outside CA; confirm geographic recruiting scope | No public business phone: contact enrichment needed, not proof of poor recruiting fit</x:v>
      </x:c>
      <x:c r="AF857" s="16" t="str"/>
      <x:c r="AG857" s="17" t="str"/>
      <x:c r="AH857" s="7" t="str"/>
      <x:c r="AI857" s="7" t="str"/>
      <x:c r="AJ857" s="7" t="str"/>
      <x:c r="AK857" s="15" t="str"/>
      <x:c r="AL857" s="7" t="str"/>
      <x:c r="AM857" s="7" t="str">
        <x:v>AGUILAR  MARISSA</x:v>
      </x:c>
      <x:c r="AN857" s="7" t="str">
        <x:v>https://cdicloud.insurance.ca.gov/cal/LicenseDetail?SearchType=IND&amp;SearchLicNbr=4142302&amp;SearchIndvId=4142302</x:v>
      </x:c>
      <x:c r="AO857" s="7" t="str">
        <x:v>2026-10-08</x:v>
      </x:c>
      <x:c r="AP857" s="7" t="str">
        <x:v>40dfb5dbe315786ab5e5c4fc9fc4c83b90fe9534aa1f15b86514ea63162284a9</x:v>
      </x:c>
      <x:c r="AQ857" s="7" t="str">
        <x:v>Personal Lines / Inactive / 07/28/2021 / 07/31/2025 / 07/31/2025</x:v>
      </x:c>
      <x:c r="AR857" s="7" t="str">
        <x:v>Inactive</x:v>
      </x:c>
      <x:c r="AS857" s="7" t="str">
        <x:v>Current detail page</x:v>
      </x:c>
    </x:row>
    <x:row r="858" ht="52" customHeight="1">
      <x:c r="A858" s="7" t="str">
        <x:v>AGUILAR MARITA LOUISE</x:v>
      </x:c>
      <x:c r="B858" s="14" t="str">
        <x:f>"0D43204"</x:f>
        <x:v>0D43204</x:v>
      </x:c>
      <x:c r="C858" s="7" t="str">
        <x:v>Omitted</x:v>
      </x:c>
      <x:c r="D858" s="7" t="str">
        <x:v>FAIL</x:v>
      </x:c>
      <x:c r="E858" s="13" t="str">
        <x:v>Pending</x:v>
      </x:c>
      <x:c r="F858" s="13" t="str"/>
      <x:c r="G858" s="13" t="str"/>
      <x:c r="H858" s="13" t="str"/>
      <x:c r="I858" s="7" t="str">
        <x:v>Was this person reviewed? If rejected, give the actual rule and evidence. If acceptable, correct the omission. Confirm the Life-qualification gate and any record change since selection.</x:v>
      </x:c>
      <x:c r="J858" s="7" t="str">
        <x:v>L1</x:v>
      </x:c>
      <x:c r="K858" s="7" t="str">
        <x:v>Verified qualifications do not include active general Life. Current target-pool mismatch; actual historical omission reason unknown.</x:v>
      </x:c>
      <x:c r="L858" s="7" t="str">
        <x:v>Not supplied; membership is known, motive is not</x:v>
      </x:c>
      <x:c r="M858" s="7" t="n">
        <x:v>7</x:v>
      </x:c>
      <x:c r="N858" s="7" t="str">
        <x:v>Outside current general-Life recruiting pool</x:v>
      </x:c>
      <x:c r="O858" s="7" t="str">
        <x:v>Not displayed</x:v>
      </x:c>
      <x:c r="P858" s="7" t="str"/>
      <x:c r="Q858" s="7" t="str"/>
      <x:c r="R858" s="7" t="str">
        <x:v>Casualty; Property</x:v>
      </x:c>
      <x:c r="S858" s="15" t="str"/>
      <x:c r="T858" s="7" t="str">
        <x:v>No public business phone in collected record</x:v>
      </x:c>
      <x:c r="U858" s="7" t="str">
        <x:v>4075 BENNETT AVE CORONA CA, 92883</x:v>
      </x:c>
      <x:c r="V858" s="7" t="str">
        <x:v>Resident</x:v>
      </x:c>
      <x:c r="W858" s="7" t="str">
        <x:v>CA</x:v>
      </x:c>
      <x:c r="X858" s="7" t="str"/>
      <x:c r="Y858" s="7" t="str"/>
      <x:c r="Z858" s="7" t="str"/>
      <x:c r="AA858" s="7" t="str"/>
      <x:c r="AB858" s="7" t="str"/>
      <x:c r="AC858" s="7" t="str"/>
      <x:c r="AD858" s="7" t="str">
        <x:v>No agency or insurer displayed: onboarding opportunity possible; existing business unknown</x:v>
      </x:c>
      <x:c r="AE858" s="7" t="str">
        <x:v>P&amp;C/Personal Lines authority without displayed core Life appointments; mixed profile requires review | No public business phone: contact enrichment needed, not proof of poor recruiting fit</x:v>
      </x:c>
      <x:c r="AF858" s="16" t="str"/>
      <x:c r="AG858" s="17" t="str"/>
      <x:c r="AH858" s="7" t="str"/>
      <x:c r="AI858" s="7" t="str">
        <x:v>English</x:v>
      </x:c>
      <x:c r="AJ858" s="7" t="str"/>
      <x:c r="AK858" s="15" t="str"/>
      <x:c r="AL858" s="7" t="str"/>
      <x:c r="AM858" s="7" t="str">
        <x:v>AGUILAR LOUISE MARITA</x:v>
      </x:c>
      <x:c r="AN858" s="7" t="str">
        <x:v>https://cdicloud.insurance.ca.gov/cal/LicenseDetail?SearchType=IND&amp;SearchLicNbr=0D43204&amp;SearchIndvId=586397</x:v>
      </x:c>
      <x:c r="AO858" s="7" t="str">
        <x:v>2026-10-08</x:v>
      </x:c>
      <x:c r="AP858" s="7" t="str">
        <x:v>cc2d835e3469009f0791a4ffd3b6c513e53600ec9855f267e4db5cf67781453e</x:v>
      </x:c>
      <x:c r="AQ858" s="7" t="str">
        <x:v>Casualty / Active / 09/19/2013 / 10/10/2019 / 09/30/2027
Property / Active / 09/19/2013 / 10/10/2019 / 09/30/2027</x:v>
      </x:c>
      <x:c r="AR858" s="7" t="str">
        <x:v>Active</x:v>
      </x:c>
      <x:c r="AS858" s="7" t="str">
        <x:v>Current detail page</x:v>
      </x:c>
    </x:row>
    <x:row r="859" ht="52" customHeight="1">
      <x:c r="A859" s="7" t="str">
        <x:v>AGUILAR MARITZA</x:v>
      </x:c>
      <x:c r="B859" s="14" t="str">
        <x:f>"4390986"</x:f>
        <x:v>4390986</x:v>
      </x:c>
      <x:c r="C859" s="7" t="str">
        <x:v>Omitted</x:v>
      </x:c>
      <x:c r="D859" s="7" t="str">
        <x:v>FAIL</x:v>
      </x:c>
      <x:c r="E859" s="13" t="str">
        <x:v>Pending</x:v>
      </x:c>
      <x:c r="F859" s="13" t="str"/>
      <x:c r="G859" s="13" t="str"/>
      <x:c r="H859" s="13" t="str"/>
      <x:c r="I859" s="7" t="str">
        <x:v>Was this person reviewed? If rejected, give the actual rule and evidence. If acceptable, correct the omission. Confirm the Life-qualification gate and any record change since selection.</x:v>
      </x:c>
      <x:c r="J859" s="7" t="str">
        <x:v>L1</x:v>
      </x:c>
      <x:c r="K859" s="7" t="str">
        <x:v>Verified qualifications do not include active general Life. Current target-pool mismatch; actual historical omission reason unknown.</x:v>
      </x:c>
      <x:c r="L859" s="7" t="str">
        <x:v>Not supplied; membership is known, motive is not</x:v>
      </x:c>
      <x:c r="M859" s="7" t="n">
        <x:v>7</x:v>
      </x:c>
      <x:c r="N859" s="7" t="str">
        <x:v>Outside current general-Life recruiting pool</x:v>
      </x:c>
      <x:c r="O859" s="7" t="str">
        <x:v>Inactive</x:v>
      </x:c>
      <x:c r="P859" s="7" t="str">
        <x:v>06/27/2024</x:v>
      </x:c>
      <x:c r="Q859" s="7" t="str">
        <x:v>06/30/2026</x:v>
      </x:c>
      <x:c r="R859" s="7" t="str"/>
      <x:c r="S859" s="15" t="str">
        <x:v>661-864-7774</x:v>
      </x:c>
      <x:c r="T859" s="7" t="str">
        <x:v>Current CDI</x:v>
      </x:c>
      <x:c r="U859" s="7" t="str">
        <x:v>1101 SYLVAN AVE UNIT A25A MODESTO CA, 95350</x:v>
      </x:c>
      <x:c r="V859" s="7" t="str">
        <x:v>Resident</x:v>
      </x:c>
      <x:c r="W859" s="7" t="str">
        <x:v>CA</x:v>
      </x:c>
      <x:c r="X859" s="7" t="str"/>
      <x:c r="Y859" s="7" t="str"/>
      <x:c r="Z859" s="7" t="str"/>
      <x:c r="AA859" s="7" t="str"/>
      <x:c r="AB859" s="7" t="str"/>
      <x:c r="AC859" s="7" t="str"/>
      <x:c r="AD859" s="7" t="str">
        <x:v>No agency or insurer displayed: onboarding opportunity possible; existing business unknown</x:v>
      </x:c>
      <x:c r="AE859" s="7" t="str"/>
      <x:c r="AF859" s="16" t="str"/>
      <x:c r="AG859" s="17" t="str"/>
      <x:c r="AH859" s="7" t="str"/>
      <x:c r="AI859" s="7" t="str">
        <x:v>English</x:v>
      </x:c>
      <x:c r="AJ859" s="7" t="str"/>
      <x:c r="AK859" s="15" t="str"/>
      <x:c r="AL859" s="7" t="str"/>
      <x:c r="AM859" s="7" t="str">
        <x:v>AGUILAR  MARITZA</x:v>
      </x:c>
      <x:c r="AN859" s="7" t="str">
        <x:v>https://cdicloud.insurance.ca.gov/cal/LicenseDetail?SearchType=IND&amp;SearchLicNbr=4390986&amp;SearchIndvId=4390986</x:v>
      </x:c>
      <x:c r="AO859" s="7" t="str">
        <x:v>2026-10-08</x:v>
      </x:c>
      <x:c r="AP859" s="7" t="str">
        <x:v>9d0e502ab9d435f4453c9c705c82b813b83ecfe9c9c272d2add4ca4a996f7907</x:v>
      </x:c>
      <x:c r="AQ859" s="7" t="str">
        <x:v>Life / Inactive / 06/27/2024 / 06/30/2026 / 06/30/2026</x:v>
      </x:c>
      <x:c r="AR859" s="7" t="str">
        <x:v>Inactive</x:v>
      </x:c>
      <x:c r="AS859" s="7" t="str">
        <x:v>Current detail page</x:v>
      </x:c>
    </x:row>
    <x:row r="860" ht="52" customHeight="1">
      <x:c r="A860" s="7" t="str">
        <x:v>AGUILAR MARK ANTHONY</x:v>
      </x:c>
      <x:c r="B860" s="14" t="str">
        <x:f>"0F30025"</x:f>
        <x:v>0F30025</x:v>
      </x:c>
      <x:c r="C860" s="7" t="str">
        <x:v>Omitted</x:v>
      </x:c>
      <x:c r="D860" s="7" t="str">
        <x:v>FAIL</x:v>
      </x:c>
      <x:c r="E860" s="13" t="str">
        <x:v>Pending</x:v>
      </x:c>
      <x:c r="F860" s="13" t="str"/>
      <x:c r="G860" s="13" t="str"/>
      <x:c r="H860" s="13" t="str"/>
      <x:c r="I860" s="7" t="str">
        <x:v>Was this person reviewed? If rejected, give the actual rule and evidence. If acceptable, correct the omission. Confirm the Life-qualification gate and any record change since selection.</x:v>
      </x:c>
      <x:c r="J860" s="7" t="str">
        <x:v>L1</x:v>
      </x:c>
      <x:c r="K860" s="7" t="str">
        <x:v>Verified qualifications do not include active general Life. Current target-pool mismatch; actual historical omission reason unknown.</x:v>
      </x:c>
      <x:c r="L860" s="7" t="str">
        <x:v>Not supplied; membership is known, motive is not</x:v>
      </x:c>
      <x:c r="M860" s="7" t="n">
        <x:v>7</x:v>
      </x:c>
      <x:c r="N860" s="7" t="str">
        <x:v>Outside current general-Life recruiting pool</x:v>
      </x:c>
      <x:c r="O860" s="7" t="str">
        <x:v>Not displayed</x:v>
      </x:c>
      <x:c r="P860" s="7" t="str"/>
      <x:c r="Q860" s="7" t="str"/>
      <x:c r="R860" s="7" t="str"/>
      <x:c r="S860" s="15" t="str"/>
      <x:c r="T860" s="7" t="str">
        <x:v>No public business phone in collected record</x:v>
      </x:c>
      <x:c r="U860" s="7" t="str"/>
      <x:c r="V860" s="7" t="str">
        <x:v>Resident</x:v>
      </x:c>
      <x:c r="W860" s="7" t="str">
        <x:v>CA</x:v>
      </x:c>
      <x:c r="X860" s="7" t="str"/>
      <x:c r="Y860" s="7" t="str"/>
      <x:c r="Z860" s="7" t="str"/>
      <x:c r="AA860" s="7" t="str"/>
      <x:c r="AB860" s="7" t="str"/>
      <x:c r="AC860" s="7" t="str"/>
      <x:c r="AD860" s="7" t="str">
        <x:v>No agency or insurer displayed: onboarding opportunity possible; existing business unknown</x:v>
      </x:c>
      <x:c r="AE860" s="7" t="str">
        <x:v>No public business phone: contact enrichment needed, not proof of poor recruiting fit</x:v>
      </x:c>
      <x:c r="AF860" s="16" t="str"/>
      <x:c r="AG860" s="17" t="str"/>
      <x:c r="AH860" s="7" t="str"/>
      <x:c r="AI860" s="7" t="str"/>
      <x:c r="AJ860" s="7" t="str"/>
      <x:c r="AK860" s="15" t="str"/>
      <x:c r="AL860" s="7" t="str"/>
      <x:c r="AM860" s="7" t="str">
        <x:v>AGUILAR ANTHONY MARK</x:v>
      </x:c>
      <x:c r="AN860" s="7" t="str">
        <x:v>https://cdicloud.insurance.ca.gov/cal/LicenseDetail?SearchType=IND&amp;SearchLicNbr=0F30025&amp;SearchIndvId=1038731</x:v>
      </x:c>
      <x:c r="AO860" s="7" t="str">
        <x:v>2026-10-08</x:v>
      </x:c>
      <x:c r="AP860" s="7" t="str">
        <x:v>083f2fc8c68c36c147af681500a0c0c1d7d5925cdef6719c8189dc0996b57c24</x:v>
      </x:c>
      <x:c r="AQ860" s="7" t="str">
        <x:v>Accident and Health / Inactive / 08/03/2006 / 05/31/2019 / 05/31/2019
Life-Only / Inactive / 08/03/2006 / 05/31/2019 / 05/31/2019</x:v>
      </x:c>
      <x:c r="AR860" s="7" t="str">
        <x:v>Inactive</x:v>
      </x:c>
      <x:c r="AS860" s="7" t="str">
        <x:v>Current detail page</x:v>
      </x:c>
    </x:row>
    <x:row r="861" ht="52" customHeight="1">
      <x:c r="A861" s="7" t="str">
        <x:v>AGUILAR MARLON OBETH</x:v>
      </x:c>
      <x:c r="B861" s="14" t="str">
        <x:f>"0K28081"</x:f>
        <x:v>0K28081</x:v>
      </x:c>
      <x:c r="C861" s="7" t="str">
        <x:v>Omitted</x:v>
      </x:c>
      <x:c r="D861" s="7" t="str">
        <x:v>FAIL</x:v>
      </x:c>
      <x:c r="E861" s="13" t="str">
        <x:v>Pending</x:v>
      </x:c>
      <x:c r="F861" s="13" t="str"/>
      <x:c r="G861" s="13" t="str"/>
      <x:c r="H861" s="13" t="str"/>
      <x:c r="I861" s="7" t="str">
        <x:v>Was this person reviewed? If rejected, give the actual rule and evidence. If acceptable, correct the omission. Confirm the Life-qualification gate and any record change since selection.</x:v>
      </x:c>
      <x:c r="J861" s="7" t="str">
        <x:v>L1</x:v>
      </x:c>
      <x:c r="K861" s="7" t="str">
        <x:v>Verified qualifications do not include active general Life. Current target-pool mismatch; actual historical omission reason unknown.</x:v>
      </x:c>
      <x:c r="L861" s="7" t="str">
        <x:v>Not supplied; membership is known, motive is not</x:v>
      </x:c>
      <x:c r="M861" s="7" t="n">
        <x:v>7</x:v>
      </x:c>
      <x:c r="N861" s="7" t="str">
        <x:v>Outside current general-Life recruiting pool</x:v>
      </x:c>
      <x:c r="O861" s="7" t="str">
        <x:v>Not displayed</x:v>
      </x:c>
      <x:c r="P861" s="7" t="str"/>
      <x:c r="Q861" s="7" t="str"/>
      <x:c r="R861" s="7" t="str"/>
      <x:c r="S861" s="15" t="str"/>
      <x:c r="T861" s="7" t="str">
        <x:v>No public business phone in collected record</x:v>
      </x:c>
      <x:c r="U861" s="7" t="str"/>
      <x:c r="V861" s="7" t="str">
        <x:v>Resident</x:v>
      </x:c>
      <x:c r="W861" s="7" t="str">
        <x:v>CA</x:v>
      </x:c>
      <x:c r="X861" s="7" t="str"/>
      <x:c r="Y861" s="7" t="str"/>
      <x:c r="Z861" s="7" t="str"/>
      <x:c r="AA861" s="7" t="str"/>
      <x:c r="AB861" s="7" t="str"/>
      <x:c r="AC861" s="7" t="str"/>
      <x:c r="AD861" s="7" t="str">
        <x:v>No agency or insurer displayed: onboarding opportunity possible; existing business unknown</x:v>
      </x:c>
      <x:c r="AE861" s="7" t="str">
        <x:v>No public business phone: contact enrichment needed, not proof of poor recruiting fit</x:v>
      </x:c>
      <x:c r="AF861" s="16" t="str"/>
      <x:c r="AG861" s="17" t="str"/>
      <x:c r="AH861" s="7" t="str"/>
      <x:c r="AI861" s="7" t="str"/>
      <x:c r="AJ861" s="7" t="str"/>
      <x:c r="AK861" s="15" t="str"/>
      <x:c r="AL861" s="7" t="str"/>
      <x:c r="AM861" s="7" t="str">
        <x:v>aguilar o marlon | AGUILAR OBETH MARLON</x:v>
      </x:c>
      <x:c r="AN861" s="7" t="str">
        <x:v>https://cdicloud.insurance.ca.gov/cal/LicenseDetail?SearchType=IND&amp;SearchLicNbr=0K28081&amp;SearchIndvId=1760163</x:v>
      </x:c>
      <x:c r="AO861" s="7" t="str">
        <x:v>2026-10-08</x:v>
      </x:c>
      <x:c r="AP861" s="7" t="str">
        <x:v>1052489b6fe72ab575013b32ac055003ca35a1d2baa84a5b6f4f7e27d32d58dd</x:v>
      </x:c>
      <x:c r="AQ861" s="7" t="str">
        <x:v>Accident and Health / Inactive / 06/03/2015 / 06/30/2017 / 06/30/2017
Life-Only / Inactive / 06/03/2015 / 06/30/2017 / 06/30/2017</x:v>
      </x:c>
      <x:c r="AR861" s="7" t="str">
        <x:v>Inactive</x:v>
      </x:c>
      <x:c r="AS861" s="7" t="str">
        <x:v>Current detail page</x:v>
      </x:c>
    </x:row>
    <x:row r="862" ht="52" customHeight="1">
      <x:c r="A862" s="7" t="str">
        <x:v>AGUILAR MARQUEZ KARINA</x:v>
      </x:c>
      <x:c r="B862" s="14" t="str">
        <x:f>"0L50785"</x:f>
        <x:v>0L50785</x:v>
      </x:c>
      <x:c r="C862" s="7" t="str">
        <x:v>Omitted</x:v>
      </x:c>
      <x:c r="D862" s="7" t="str">
        <x:v>FAIL</x:v>
      </x:c>
      <x:c r="E862" s="13" t="str">
        <x:v>Pending</x:v>
      </x:c>
      <x:c r="F862" s="13" t="str"/>
      <x:c r="G862" s="13" t="str"/>
      <x:c r="H862" s="13" t="str"/>
      <x:c r="I862" s="7" t="str">
        <x:v>Was this person reviewed? If rejected, give the actual rule and evidence. If acceptable, correct the omission. Confirm the Life-qualification gate and any record change since selection.</x:v>
      </x:c>
      <x:c r="J862" s="7" t="str">
        <x:v>L1</x:v>
      </x:c>
      <x:c r="K862" s="7" t="str">
        <x:v>Verified qualifications do not include active general Life. Current target-pool mismatch; actual historical omission reason unknown.</x:v>
      </x:c>
      <x:c r="L862" s="7" t="str">
        <x:v>Not supplied; membership is known, motive is not</x:v>
      </x:c>
      <x:c r="M862" s="7" t="n">
        <x:v>7</x:v>
      </x:c>
      <x:c r="N862" s="7" t="str">
        <x:v>Outside current general-Life recruiting pool</x:v>
      </x:c>
      <x:c r="O862" s="7" t="str">
        <x:v>Not displayed</x:v>
      </x:c>
      <x:c r="P862" s="7" t="str"/>
      <x:c r="Q862" s="7" t="str"/>
      <x:c r="R862" s="7" t="str"/>
      <x:c r="S862" s="15" t="str"/>
      <x:c r="T862" s="7" t="str">
        <x:v>No public business phone in collected record</x:v>
      </x:c>
      <x:c r="U862" s="7" t="str">
        <x:v>709 BO RUN DR OAKBORO NC, 28129-7786</x:v>
      </x:c>
      <x:c r="V862" s="7" t="str">
        <x:v>Non-resident</x:v>
      </x:c>
      <x:c r="W862" s="7" t="str">
        <x:v>NC</x:v>
      </x:c>
      <x:c r="X862" s="7" t="str"/>
      <x:c r="Y862" s="7" t="str"/>
      <x:c r="Z862" s="7" t="str"/>
      <x:c r="AA862" s="7" t="str"/>
      <x:c r="AB862" s="7" t="str"/>
      <x:c r="AC862" s="7" t="str"/>
      <x:c r="AD862" s="7" t="str">
        <x:v>No agency or insurer displayed: onboarding opportunity possible; existing business unknown</x:v>
      </x:c>
      <x:c r="AE862" s="7" t="str">
        <x:v>Nonresident or address state outside CA; confirm geographic recruiting scope | No public business phone: contact enrichment needed, not proof of poor recruiting fit</x:v>
      </x:c>
      <x:c r="AF862" s="16" t="str"/>
      <x:c r="AG862" s="17" t="str"/>
      <x:c r="AH862" s="7" t="str"/>
      <x:c r="AI862" s="7" t="str"/>
      <x:c r="AJ862" s="7" t="str"/>
      <x:c r="AK862" s="15" t="str"/>
      <x:c r="AL862" s="7" t="str"/>
      <x:c r="AM862" s="7" t="str">
        <x:v>AGUILAR MARQUEZ  KARINA</x:v>
      </x:c>
      <x:c r="AN862" s="7" t="str">
        <x:v>https://cdicloud.insurance.ca.gov/cal/LicenseDetail?SearchType=IND&amp;SearchLicNbr=0L50785&amp;SearchIndvId=1902858</x:v>
      </x:c>
      <x:c r="AO862" s="7" t="str">
        <x:v>2026-10-08</x:v>
      </x:c>
      <x:c r="AP862" s="7" t="str">
        <x:v>38fc486005063bbbba8d226b0e42217c262d549466672d8a4bcebab400664e35</x:v>
      </x:c>
      <x:c r="AQ862" s="7" t="str">
        <x:v>Casualty / Inactive / 01/20/2017 / 01/31/2023 / 01/31/2023
Property / Inactive / 01/20/2017 / 01/31/2023 / 01/31/2023</x:v>
      </x:c>
      <x:c r="AR862" s="7" t="str">
        <x:v>Inactive</x:v>
      </x:c>
      <x:c r="AS862" s="7" t="str">
        <x:v>Current detail page</x:v>
      </x:c>
    </x:row>
    <x:row r="863" ht="52" customHeight="1">
      <x:c r="A863" s="7" t="str">
        <x:v>AGUILAR MARQUEZ NATALIA</x:v>
      </x:c>
      <x:c r="B863" s="14" t="str">
        <x:f>"4308561"</x:f>
        <x:v>4308561</x:v>
      </x:c>
      <x:c r="C863" s="7" t="str">
        <x:v>Omitted</x:v>
      </x:c>
      <x:c r="D863" s="7" t="str">
        <x:v>FAIL</x:v>
      </x:c>
      <x:c r="E863" s="13" t="str">
        <x:v>Pending</x:v>
      </x:c>
      <x:c r="F863" s="13" t="str"/>
      <x:c r="G863" s="13" t="str"/>
      <x:c r="H863" s="13" t="str"/>
      <x:c r="I863" s="7" t="str">
        <x:v>Was this person reviewed? If rejected, give the actual rule and evidence. If acceptable, correct the omission. Confirm the Life-qualification gate and any record change since selection.</x:v>
      </x:c>
      <x:c r="J863" s="7" t="str">
        <x:v>L1</x:v>
      </x:c>
      <x:c r="K863" s="7" t="str">
        <x:v>Verified qualifications do not include active general Life. Current target-pool mismatch; actual historical omission reason unknown.</x:v>
      </x:c>
      <x:c r="L863" s="7" t="str">
        <x:v>Not supplied; membership is known, motive is not</x:v>
      </x:c>
      <x:c r="M863" s="7" t="n">
        <x:v>7</x:v>
      </x:c>
      <x:c r="N863" s="7" t="str">
        <x:v>Outside current general-Life recruiting pool</x:v>
      </x:c>
      <x:c r="O863" s="7" t="str">
        <x:v>Inactive</x:v>
      </x:c>
      <x:c r="P863" s="7" t="str">
        <x:v>08/14/2023</x:v>
      </x:c>
      <x:c r="Q863" s="7" t="str">
        <x:v>08/31/2025</x:v>
      </x:c>
      <x:c r="R863" s="7" t="str"/>
      <x:c r="S863" s="15" t="str">
        <x:v>323-536-5002</x:v>
      </x:c>
      <x:c r="T863" s="7" t="str">
        <x:v>Current CDI</x:v>
      </x:c>
      <x:c r="U863" s="7" t="str">
        <x:v>5220 CLARK AVE STE 202 LAKEWOOD CA, 90712</x:v>
      </x:c>
      <x:c r="V863" s="7" t="str">
        <x:v>Resident</x:v>
      </x:c>
      <x:c r="W863" s="7" t="str">
        <x:v>CA</x:v>
      </x:c>
      <x:c r="X863" s="7" t="str"/>
      <x:c r="Y863" s="7" t="str"/>
      <x:c r="Z863" s="7" t="str"/>
      <x:c r="AA863" s="7" t="str"/>
      <x:c r="AB863" s="7" t="str"/>
      <x:c r="AC863" s="7" t="str"/>
      <x:c r="AD863" s="7" t="str">
        <x:v>No agency or insurer displayed: onboarding opportunity possible; existing business unknown</x:v>
      </x:c>
      <x:c r="AE863" s="7" t="str"/>
      <x:c r="AF863" s="16" t="str"/>
      <x:c r="AG863" s="17" t="str"/>
      <x:c r="AH863" s="7" t="str"/>
      <x:c r="AI863" s="7" t="str">
        <x:v>English</x:v>
      </x:c>
      <x:c r="AJ863" s="7" t="str"/>
      <x:c r="AK863" s="15" t="str"/>
      <x:c r="AL863" s="7" t="str"/>
      <x:c r="AM863" s="7" t="str">
        <x:v>AGUILAR MARQUEZ  NATALIA</x:v>
      </x:c>
      <x:c r="AN863" s="7" t="str">
        <x:v>https://cdicloud.insurance.ca.gov/cal/LicenseDetail?SearchType=IND&amp;SearchLicNbr=4308561&amp;SearchIndvId=4308561</x:v>
      </x:c>
      <x:c r="AO863" s="7" t="str">
        <x:v>2026-10-08</x:v>
      </x:c>
      <x:c r="AP863" s="7" t="str">
        <x:v>0e1e32cd9f88ed3233556790806e16f50693eeec500ccb4ea7935935809a45ef</x:v>
      </x:c>
      <x:c r="AQ863" s="7" t="str">
        <x:v>Life / Inactive / 08/14/2023 / 08/31/2025 / 08/31/2025</x:v>
      </x:c>
      <x:c r="AR863" s="7" t="str">
        <x:v>Inactive</x:v>
      </x:c>
      <x:c r="AS863" s="7" t="str">
        <x:v>Current detail page</x:v>
      </x:c>
    </x:row>
    <x:row r="864" ht="52" customHeight="1">
      <x:c r="A864" s="7" t="str">
        <x:v>AGUILAR MARSHA JAMILA</x:v>
      </x:c>
      <x:c r="B864" s="14" t="str">
        <x:f>"0D78477"</x:f>
        <x:v>0D78477</x:v>
      </x:c>
      <x:c r="C864" s="7" t="str">
        <x:v>Omitted</x:v>
      </x:c>
      <x:c r="D864" s="7" t="str">
        <x:v>FAIL</x:v>
      </x:c>
      <x:c r="E864" s="13" t="str">
        <x:v>Pending</x:v>
      </x:c>
      <x:c r="F864" s="13" t="str"/>
      <x:c r="G864" s="13" t="str"/>
      <x:c r="H864" s="13" t="str"/>
      <x:c r="I864" s="7" t="str">
        <x:v>Was this person reviewed? If rejected, give the actual rule and evidence. If acceptable, correct the omission. Confirm the Life-qualification gate and any record change since selection.</x:v>
      </x:c>
      <x:c r="J864" s="7" t="str">
        <x:v>L1</x:v>
      </x:c>
      <x:c r="K864" s="7" t="str">
        <x:v>Verified qualifications do not include active general Life. Current target-pool mismatch; actual historical omission reason unknown.</x:v>
      </x:c>
      <x:c r="L864" s="7" t="str">
        <x:v>Not supplied; membership is known, motive is not</x:v>
      </x:c>
      <x:c r="M864" s="7" t="n">
        <x:v>7</x:v>
      </x:c>
      <x:c r="N864" s="7" t="str">
        <x:v>Outside current general-Life recruiting pool</x:v>
      </x:c>
      <x:c r="O864" s="7" t="str">
        <x:v>Not displayed</x:v>
      </x:c>
      <x:c r="P864" s="7" t="str"/>
      <x:c r="Q864" s="7" t="str"/>
      <x:c r="R864" s="7" t="str"/>
      <x:c r="S864" s="15" t="str"/>
      <x:c r="T864" s="7" t="str">
        <x:v>No public business phone in collected record</x:v>
      </x:c>
      <x:c r="U864" s="7" t="str"/>
      <x:c r="V864" s="7" t="str">
        <x:v>Non-resident</x:v>
      </x:c>
      <x:c r="W864" s="7" t="str">
        <x:v>TX</x:v>
      </x:c>
      <x:c r="X864" s="7" t="str"/>
      <x:c r="Y864" s="7" t="str"/>
      <x:c r="Z864" s="7" t="str"/>
      <x:c r="AA864" s="7" t="str"/>
      <x:c r="AB864" s="7" t="str"/>
      <x:c r="AC864" s="7" t="str"/>
      <x:c r="AD864" s="7" t="str">
        <x:v>No agency or insurer displayed: onboarding opportunity possible; existing business unknown</x:v>
      </x:c>
      <x:c r="AE864" s="7" t="str">
        <x:v>Nonresident or address state outside CA; confirm geographic recruiting scope | No public business phone: contact enrichment needed, not proof of poor recruiting fit</x:v>
      </x:c>
      <x:c r="AF864" s="16" t="str"/>
      <x:c r="AG864" s="17" t="str"/>
      <x:c r="AH864" s="7" t="str"/>
      <x:c r="AI864" s="7" t="str"/>
      <x:c r="AJ864" s="7" t="str"/>
      <x:c r="AK864" s="15" t="str"/>
      <x:c r="AL864" s="7" t="str"/>
      <x:c r="AM864" s="7" t="str">
        <x:v>AGUILAR JAMILA MARSHA</x:v>
      </x:c>
      <x:c r="AN864" s="7" t="str">
        <x:v>https://cdicloud.insurance.ca.gov/cal/LicenseDetail?SearchType=IND&amp;SearchLicNbr=0D78477&amp;SearchIndvId=807221</x:v>
      </x:c>
      <x:c r="AO864" s="7" t="str">
        <x:v>2026-10-08</x:v>
      </x:c>
      <x:c r="AP864" s="7" t="str">
        <x:v>1b2e547aba31a5edd92b553359aab3a1ba2b4b8f8419cd73a92903a7d399c1e8</x:v>
      </x:c>
      <x:c r="AQ864" s="7" t="str">
        <x:v>Casualty Broker-Agent / Voluntary Surrender / 10/05/2002 / 12/29/2008 / 12/29/2008
Property Broker-Agent / Voluntary Surrender / 10/05/2002 / 12/29/2008 / 12/29/2008</x:v>
      </x:c>
      <x:c r="AR864" s="7" t="str">
        <x:v>Voluntary Surrender</x:v>
      </x:c>
      <x:c r="AS864" s="7" t="str">
        <x:v>Current detail page</x:v>
      </x:c>
    </x:row>
    <x:row r="865" ht="52" customHeight="1">
      <x:c r="A865" s="7" t="str">
        <x:v>AGUILAR MARTHA</x:v>
      </x:c>
      <x:c r="B865" s="14" t="str">
        <x:f>"0791362"</x:f>
        <x:v>0791362</x:v>
      </x:c>
      <x:c r="C865" s="7" t="str">
        <x:v>Omitted</x:v>
      </x:c>
      <x:c r="D865" s="7" t="str">
        <x:v>FAIL</x:v>
      </x:c>
      <x:c r="E865" s="13" t="str">
        <x:v>Pending</x:v>
      </x:c>
      <x:c r="F865" s="13" t="str"/>
      <x:c r="G865" s="13" t="str"/>
      <x:c r="H865" s="13" t="str"/>
      <x:c r="I865" s="7" t="str">
        <x:v>Was this person reviewed? If rejected, give the actual rule and evidence. If acceptable, correct the omission. Confirm the Life-qualification gate and any record change since selection.</x:v>
      </x:c>
      <x:c r="J865" s="7" t="str">
        <x:v>L1</x:v>
      </x:c>
      <x:c r="K865" s="7" t="str">
        <x:v>Verified qualifications do not include active general Life. Current target-pool mismatch; actual historical omission reason unknown.</x:v>
      </x:c>
      <x:c r="L865" s="7" t="str">
        <x:v>Not supplied; membership is known, motive is not</x:v>
      </x:c>
      <x:c r="M865" s="7" t="n">
        <x:v>7</x:v>
      </x:c>
      <x:c r="N865" s="7" t="str">
        <x:v>Outside current general-Life recruiting pool</x:v>
      </x:c>
      <x:c r="O865" s="7" t="str">
        <x:v>Not displayed</x:v>
      </x:c>
      <x:c r="P865" s="7" t="str"/>
      <x:c r="Q865" s="7" t="str"/>
      <x:c r="R865" s="7" t="str"/>
      <x:c r="S865" s="15" t="str"/>
      <x:c r="T865" s="7" t="str">
        <x:v>No public business phone in collected record</x:v>
      </x:c>
      <x:c r="U865" s="7" t="str"/>
      <x:c r="V865" s="7" t="str">
        <x:v>Resident</x:v>
      </x:c>
      <x:c r="W865" s="7" t="str">
        <x:v>CA</x:v>
      </x:c>
      <x:c r="X865" s="7" t="str"/>
      <x:c r="Y865" s="7" t="str"/>
      <x:c r="Z865" s="7" t="str"/>
      <x:c r="AA865" s="7" t="str"/>
      <x:c r="AB865" s="7" t="str"/>
      <x:c r="AC865" s="7" t="str"/>
      <x:c r="AD865" s="7" t="str">
        <x:v>No agency or insurer displayed: onboarding opportunity possible; existing business unknown</x:v>
      </x:c>
      <x:c r="AE865" s="7" t="str">
        <x:v>No public business phone: contact enrichment needed, not proof of poor recruiting fit</x:v>
      </x:c>
      <x:c r="AF865" s="16" t="str"/>
      <x:c r="AG865" s="17" t="str"/>
      <x:c r="AH865" s="7" t="str"/>
      <x:c r="AI865" s="7" t="str"/>
      <x:c r="AJ865" s="7" t="str"/>
      <x:c r="AK865" s="15" t="str"/>
      <x:c r="AL865" s="7" t="str"/>
      <x:c r="AM865" s="7" t="str">
        <x:v>AGUILAR  MARTHA</x:v>
      </x:c>
      <x:c r="AN865" s="7" t="str">
        <x:v>https://cdicloud.insurance.ca.gov/cal/LicenseDetail?SearchType=IND&amp;SearchLicNbr=0791362&amp;SearchIndvId=121193</x:v>
      </x:c>
      <x:c r="AO865" s="7" t="str">
        <x:v>2026-10-08</x:v>
      </x:c>
      <x:c r="AP865" s="7" t="str">
        <x:v>269cc26ca15265993c6040c3aa81269a9e2fed0ac3742024f09fb4cd000c8afc</x:v>
      </x:c>
      <x:c r="AQ865" s="7" t="str">
        <x:v>Accident and Health / Inactive / 03/22/1990 / 03/31/2000 / 03/31/2000
Life-Only / Inactive / 03/22/1990 / 03/31/2000 / 03/31/2000</x:v>
      </x:c>
      <x:c r="AR865" s="7" t="str">
        <x:v>Inactive</x:v>
      </x:c>
      <x:c r="AS865" s="7" t="str">
        <x:v>Current detail page</x:v>
      </x:c>
    </x:row>
    <x:row r="866" ht="52" customHeight="1">
      <x:c r="A866" s="7" t="str">
        <x:v>AGUILAR MARTHA</x:v>
      </x:c>
      <x:c r="B866" s="14" t="str">
        <x:f>"0K62831"</x:f>
        <x:v>0K62831</x:v>
      </x:c>
      <x:c r="C866" s="7" t="str">
        <x:v>Omitted</x:v>
      </x:c>
      <x:c r="D866" s="7" t="str">
        <x:v>FAIL</x:v>
      </x:c>
      <x:c r="E866" s="13" t="str">
        <x:v>Pending</x:v>
      </x:c>
      <x:c r="F866" s="13" t="str"/>
      <x:c r="G866" s="13" t="str"/>
      <x:c r="H866" s="13" t="str"/>
      <x:c r="I866" s="7" t="str">
        <x:v>Was this person reviewed? If rejected, give the actual rule and evidence. If acceptable, correct the omission. Confirm the Life-qualification gate and any record change since selection.</x:v>
      </x:c>
      <x:c r="J866" s="7" t="str">
        <x:v>L1</x:v>
      </x:c>
      <x:c r="K866" s="7" t="str">
        <x:v>Verified qualifications do not include active general Life. Current target-pool mismatch; actual historical omission reason unknown.</x:v>
      </x:c>
      <x:c r="L866" s="7" t="str">
        <x:v>Not supplied; membership is known, motive is not</x:v>
      </x:c>
      <x:c r="M866" s="7" t="n">
        <x:v>7</x:v>
      </x:c>
      <x:c r="N866" s="7" t="str">
        <x:v>Outside current general-Life recruiting pool</x:v>
      </x:c>
      <x:c r="O866" s="7" t="str">
        <x:v>Not displayed</x:v>
      </x:c>
      <x:c r="P866" s="7" t="str"/>
      <x:c r="Q866" s="7" t="str"/>
      <x:c r="R866" s="7" t="str">
        <x:v>Accident &amp; Health or Sickness</x:v>
      </x:c>
      <x:c r="S866" s="15" t="str"/>
      <x:c r="T866" s="7" t="str">
        <x:v>No public business phone in collected record</x:v>
      </x:c>
      <x:c r="U866" s="7" t="str">
        <x:v>8060 FLORENCE AVE. #205 DOWNEY CA, 90240</x:v>
      </x:c>
      <x:c r="V866" s="7" t="str">
        <x:v>Resident</x:v>
      </x:c>
      <x:c r="W866" s="7" t="str">
        <x:v>CA</x:v>
      </x:c>
      <x:c r="X866" s="7" t="str"/>
      <x:c r="Y866" s="7" t="str">
        <x:v>HEALTH NET LIFE INSURANCE COMPANY / Accident &amp; Health or Sickness / 04/13/2022</x:v>
      </x:c>
      <x:c r="Z866" s="7" t="str"/>
      <x:c r="AA866" s="7" t="str"/>
      <x:c r="AB866" s="7" t="str"/>
      <x:c r="AC866" s="7" t="str"/>
      <x:c r="AD866" s="7" t="str">
        <x:v>Active A&amp;H supports optional cross-selling; not necessary for target products</x:v>
      </x:c>
      <x:c r="AE866" s="7" t="str">
        <x:v>Displayed insurer appointments are A&amp;H/disability only despite active Life authority | No public business phone: contact enrichment needed, not proof of poor recruiting fit</x:v>
      </x:c>
      <x:c r="AF866" s="16" t="str"/>
      <x:c r="AG866" s="17" t="str"/>
      <x:c r="AH866" s="7" t="str"/>
      <x:c r="AI866" s="7" t="str">
        <x:v>English</x:v>
      </x:c>
      <x:c r="AJ866" s="7" t="str"/>
      <x:c r="AK866" s="15" t="str"/>
      <x:c r="AL866" s="7" t="str"/>
      <x:c r="AM866" s="7" t="str">
        <x:v>AGUILAR  MARTHA</x:v>
      </x:c>
      <x:c r="AN866" s="7" t="str">
        <x:v>https://cdicloud.insurance.ca.gov/cal/LicenseDetail?SearchType=IND&amp;SearchLicNbr=0K62831&amp;SearchIndvId=1806714</x:v>
      </x:c>
      <x:c r="AO866" s="7" t="str">
        <x:v>2026-10-08</x:v>
      </x:c>
      <x:c r="AP866" s="7" t="str">
        <x:v>9d836a17a46d14dd627f8e9699c1d70b36073c9cf05dc7fdd266f95e6980798d</x:v>
      </x:c>
      <x:c r="AQ866" s="7" t="str">
        <x:v>Accident &amp; Health or Sickness / Active / 12/03/2015 / 01/06/2022 / 12/31/2027</x:v>
      </x:c>
      <x:c r="AR866" s="7" t="str">
        <x:v>Active</x:v>
      </x:c>
      <x:c r="AS866" s="7" t="str">
        <x:v>Current detail page</x:v>
      </x:c>
    </x:row>
    <x:row r="867" ht="52" customHeight="1">
      <x:c r="A867" s="7" t="str">
        <x:v>AGUILAR MARTHA A</x:v>
      </x:c>
      <x:c r="B867" s="14" t="str">
        <x:f>"0N02413"</x:f>
        <x:v>0N02413</x:v>
      </x:c>
      <x:c r="C867" s="7" t="str">
        <x:v>Omitted</x:v>
      </x:c>
      <x:c r="D867" s="7" t="str">
        <x:v>FAIL</x:v>
      </x:c>
      <x:c r="E867" s="13" t="str">
        <x:v>Pending</x:v>
      </x:c>
      <x:c r="F867" s="13" t="str"/>
      <x:c r="G867" s="13" t="str"/>
      <x:c r="H867" s="13" t="str"/>
      <x:c r="I867" s="7" t="str">
        <x:v>Was this person reviewed? If rejected, give the actual rule and evidence. If acceptable, correct the omission. Confirm the Life-qualification gate and any record change since selection.</x:v>
      </x:c>
      <x:c r="J867" s="7" t="str">
        <x:v>L1</x:v>
      </x:c>
      <x:c r="K867" s="7" t="str">
        <x:v>Verified qualifications do not include active general Life. Current target-pool mismatch; actual historical omission reason unknown.</x:v>
      </x:c>
      <x:c r="L867" s="7" t="str">
        <x:v>Not supplied; membership is known, motive is not</x:v>
      </x:c>
      <x:c r="M867" s="7" t="n">
        <x:v>7</x:v>
      </x:c>
      <x:c r="N867" s="7" t="str">
        <x:v>Outside current general-Life recruiting pool</x:v>
      </x:c>
      <x:c r="O867" s="7" t="str">
        <x:v>Inactive</x:v>
      </x:c>
      <x:c r="P867" s="7" t="str">
        <x:v>06/11/2019</x:v>
      </x:c>
      <x:c r="Q867" s="7" t="str">
        <x:v>06/30/2023</x:v>
      </x:c>
      <x:c r="R867" s="7" t="str"/>
      <x:c r="S867" s="15" t="str">
        <x:v>714-767-9443</x:v>
      </x:c>
      <x:c r="T867" s="7" t="str">
        <x:v>Current CDI</x:v>
      </x:c>
      <x:c r="U867" s="7" t="str">
        <x:v>8232 BRUSH DRIVE HUNTINGTON BEACH CA, 92647</x:v>
      </x:c>
      <x:c r="V867" s="7" t="str">
        <x:v>Resident</x:v>
      </x:c>
      <x:c r="W867" s="7" t="str">
        <x:v>CA</x:v>
      </x:c>
      <x:c r="X867" s="7" t="str"/>
      <x:c r="Y867" s="7" t="str"/>
      <x:c r="Z867" s="7" t="str"/>
      <x:c r="AA867" s="7" t="str"/>
      <x:c r="AB867" s="7" t="str"/>
      <x:c r="AC867" s="7" t="str"/>
      <x:c r="AD867" s="7" t="str">
        <x:v>No agency or insurer displayed: onboarding opportunity possible; existing business unknown</x:v>
      </x:c>
      <x:c r="AE867" s="7" t="str"/>
      <x:c r="AF867" s="16" t="str"/>
      <x:c r="AG867" s="17" t="str"/>
      <x:c r="AH867" s="7" t="str"/>
      <x:c r="AI867" s="7" t="str">
        <x:v>English</x:v>
      </x:c>
      <x:c r="AJ867" s="7" t="str"/>
      <x:c r="AK867" s="15" t="str"/>
      <x:c r="AL867" s="7" t="str"/>
      <x:c r="AM867" s="7" t="str">
        <x:v>AGUILAR A MARTHA</x:v>
      </x:c>
      <x:c r="AN867" s="7" t="str">
        <x:v>https://cdicloud.insurance.ca.gov/cal/LicenseDetail?SearchType=IND&amp;SearchLicNbr=0N02413&amp;SearchIndvId=2023946</x:v>
      </x:c>
      <x:c r="AO867" s="7" t="str">
        <x:v>2026-10-08</x:v>
      </x:c>
      <x:c r="AP867" s="7" t="str">
        <x:v>bc521252a14c4a60ced711eb84b241fc92a6d6b0fe24ab62231844728d975410</x:v>
      </x:c>
      <x:c r="AQ867" s="7" t="str">
        <x:v>Accident &amp; Health or Sickness / Inactive / 06/11/2019 / 06/30/2023 / 06/30/2023
Life / Inactive / 06/11/2019 / 06/30/2023 / 06/30/2023</x:v>
      </x:c>
      <x:c r="AR867" s="7" t="str">
        <x:v>Inactive</x:v>
      </x:c>
      <x:c r="AS867" s="7" t="str">
        <x:v>Current detail page</x:v>
      </x:c>
    </x:row>
    <x:row r="868" ht="52" customHeight="1">
      <x:c r="A868" s="7" t="str">
        <x:v>AGUILAR MARTHA JULIA</x:v>
      </x:c>
      <x:c r="B868" s="14" t="str">
        <x:f>"0B28889"</x:f>
        <x:v>0B28889</x:v>
      </x:c>
      <x:c r="C868" s="7" t="str">
        <x:v>Omitted</x:v>
      </x:c>
      <x:c r="D868" s="7" t="str">
        <x:v>FAIL</x:v>
      </x:c>
      <x:c r="E868" s="13" t="str">
        <x:v>Pending</x:v>
      </x:c>
      <x:c r="F868" s="13" t="str"/>
      <x:c r="G868" s="13" t="str"/>
      <x:c r="H868" s="13" t="str"/>
      <x:c r="I868" s="7" t="str">
        <x:v>Was this person reviewed? If rejected, give the actual rule and evidence. If acceptable, correct the omission. Confirm the Life-qualification gate and any record change since selection.</x:v>
      </x:c>
      <x:c r="J868" s="7" t="str">
        <x:v>L1</x:v>
      </x:c>
      <x:c r="K868" s="7" t="str">
        <x:v>Verified qualifications do not include active general Life. Current target-pool mismatch; actual historical omission reason unknown.</x:v>
      </x:c>
      <x:c r="L868" s="7" t="str">
        <x:v>Not supplied; membership is known, motive is not</x:v>
      </x:c>
      <x:c r="M868" s="7" t="n">
        <x:v>7</x:v>
      </x:c>
      <x:c r="N868" s="7" t="str">
        <x:v>Outside current general-Life recruiting pool</x:v>
      </x:c>
      <x:c r="O868" s="7" t="str">
        <x:v>Not displayed</x:v>
      </x:c>
      <x:c r="P868" s="7" t="str"/>
      <x:c r="Q868" s="7" t="str"/>
      <x:c r="R868" s="7" t="str"/>
      <x:c r="S868" s="15" t="str"/>
      <x:c r="T868" s="7" t="str">
        <x:v>No public business phone in collected record</x:v>
      </x:c>
      <x:c r="U868" s="7" t="str"/>
      <x:c r="V868" s="7" t="str">
        <x:v>Resident</x:v>
      </x:c>
      <x:c r="W868" s="7" t="str">
        <x:v>CA</x:v>
      </x:c>
      <x:c r="X868" s="7" t="str"/>
      <x:c r="Y868" s="7" t="str"/>
      <x:c r="Z868" s="7" t="str"/>
      <x:c r="AA868" s="7" t="str"/>
      <x:c r="AB868" s="7" t="str"/>
      <x:c r="AC868" s="7" t="str"/>
      <x:c r="AD868" s="7" t="str">
        <x:v>No agency or insurer displayed: onboarding opportunity possible; existing business unknown</x:v>
      </x:c>
      <x:c r="AE868" s="7" t="str">
        <x:v>No public business phone: contact enrichment needed, not proof of poor recruiting fit</x:v>
      </x:c>
      <x:c r="AF868" s="16" t="str"/>
      <x:c r="AG868" s="17" t="str"/>
      <x:c r="AH868" s="7" t="str"/>
      <x:c r="AI868" s="7" t="str"/>
      <x:c r="AJ868" s="7" t="str"/>
      <x:c r="AK868" s="15" t="str"/>
      <x:c r="AL868" s="7" t="str"/>
      <x:c r="AM868" s="7" t="str">
        <x:v>AGUILAR JULIA MARTHA</x:v>
      </x:c>
      <x:c r="AN868" s="7" t="str">
        <x:v>https://cdicloud.insurance.ca.gov/cal/LicenseDetail?SearchType=IND&amp;SearchLicNbr=0B28889&amp;SearchIndvId=209395</x:v>
      </x:c>
      <x:c r="AO868" s="7" t="str">
        <x:v>2026-10-08</x:v>
      </x:c>
      <x:c r="AP868" s="7" t="str">
        <x:v>a6b56f7762805ed96a211b1c3020553ea6aebcc5b5bdaf8464581ab5f943a5ce</x:v>
      </x:c>
      <x:c r="AQ868" s="7" t="str">
        <x:v>Accident and Health / Inactive / 12/07/1993 / 12/31/1995 / 12/31/1995
Life-Only / Inactive / 12/07/1993 / 12/31/1995 / 12/31/1995</x:v>
      </x:c>
      <x:c r="AR868" s="7" t="str">
        <x:v>Inactive</x:v>
      </x:c>
      <x:c r="AS868" s="7" t="str">
        <x:v>Current detail page</x:v>
      </x:c>
    </x:row>
    <x:row r="869" ht="52" customHeight="1">
      <x:c r="A869" s="7" t="str">
        <x:v>AGUILAR MARTHA MAGDALENA</x:v>
      </x:c>
      <x:c r="B869" s="14" t="str">
        <x:f>"0D27715"</x:f>
        <x:v>0D27715</x:v>
      </x:c>
      <x:c r="C869" s="7" t="str">
        <x:v>Omitted</x:v>
      </x:c>
      <x:c r="D869" s="7" t="str">
        <x:v>FAIL</x:v>
      </x:c>
      <x:c r="E869" s="13" t="str">
        <x:v>Pending</x:v>
      </x:c>
      <x:c r="F869" s="13" t="str"/>
      <x:c r="G869" s="13" t="str"/>
      <x:c r="H869" s="13" t="str"/>
      <x:c r="I869" s="7" t="str">
        <x:v>Was this person reviewed? If rejected, give the actual rule and evidence. If acceptable, correct the omission. Confirm the Life-qualification gate and any record change since selection.</x:v>
      </x:c>
      <x:c r="J869" s="7" t="str">
        <x:v>L1</x:v>
      </x:c>
      <x:c r="K869" s="7" t="str">
        <x:v>Verified qualifications do not include active general Life. Current target-pool mismatch; actual historical omission reason unknown.</x:v>
      </x:c>
      <x:c r="L869" s="7" t="str">
        <x:v>Not supplied; membership is known, motive is not</x:v>
      </x:c>
      <x:c r="M869" s="7" t="n">
        <x:v>7</x:v>
      </x:c>
      <x:c r="N869" s="7" t="str">
        <x:v>Outside current general-Life recruiting pool</x:v>
      </x:c>
      <x:c r="O869" s="7" t="str">
        <x:v>Not displayed</x:v>
      </x:c>
      <x:c r="P869" s="7" t="str"/>
      <x:c r="Q869" s="7" t="str"/>
      <x:c r="R869" s="7" t="str"/>
      <x:c r="S869" s="15" t="str"/>
      <x:c r="T869" s="7" t="str">
        <x:v>No public business phone in collected record</x:v>
      </x:c>
      <x:c r="U869" s="7" t="str"/>
      <x:c r="V869" s="7" t="str">
        <x:v>Resident</x:v>
      </x:c>
      <x:c r="W869" s="7" t="str">
        <x:v>CA</x:v>
      </x:c>
      <x:c r="X869" s="7" t="str"/>
      <x:c r="Y869" s="7" t="str"/>
      <x:c r="Z869" s="7" t="str"/>
      <x:c r="AA869" s="7" t="str"/>
      <x:c r="AB869" s="7" t="str"/>
      <x:c r="AC869" s="7" t="str"/>
      <x:c r="AD869" s="7" t="str">
        <x:v>No agency or insurer displayed: onboarding opportunity possible; existing business unknown</x:v>
      </x:c>
      <x:c r="AE869" s="7" t="str">
        <x:v>No public business phone: contact enrichment needed, not proof of poor recruiting fit</x:v>
      </x:c>
      <x:c r="AF869" s="16" t="str"/>
      <x:c r="AG869" s="17" t="str"/>
      <x:c r="AH869" s="7" t="str"/>
      <x:c r="AI869" s="7" t="str"/>
      <x:c r="AJ869" s="7" t="str"/>
      <x:c r="AK869" s="15" t="str"/>
      <x:c r="AL869" s="7" t="str"/>
      <x:c r="AM869" s="7" t="str">
        <x:v>AGUILAR MAGDALENA MARTHA</x:v>
      </x:c>
      <x:c r="AN869" s="7" t="str">
        <x:v>https://cdicloud.insurance.ca.gov/cal/LicenseDetail?SearchType=IND&amp;SearchLicNbr=0D27715&amp;SearchIndvId=551417</x:v>
      </x:c>
      <x:c r="AO869" s="7" t="str">
        <x:v>2026-10-08</x:v>
      </x:c>
      <x:c r="AP869" s="7" t="str">
        <x:v>3451913fb243553125ba5046df7fbe1405351b367b00a0879cf3550819e12f1c</x:v>
      </x:c>
      <x:c r="AQ869" s="7" t="str">
        <x:v>Accident and Health / Inactive / 04/19/2001 / 04/30/2013 / 04/30/2013
Life-Only / Inactive / 04/19/2001 / 04/30/2013 / 04/30/2013
Variable Contracts / Inactive / 10/01/2002 / 04/30/2013 / 04/30/2013</x:v>
      </x:c>
      <x:c r="AR869" s="7" t="str">
        <x:v>Inactive</x:v>
      </x:c>
      <x:c r="AS869" s="7" t="str">
        <x:v>Current detail page</x:v>
      </x:c>
    </x:row>
    <x:row r="870" ht="52" customHeight="1">
      <x:c r="A870" s="7" t="str">
        <x:v>AGUILAR MARTIN ROBERTO</x:v>
      </x:c>
      <x:c r="B870" s="14" t="str">
        <x:f>"0G25018"</x:f>
        <x:v>0G25018</x:v>
      </x:c>
      <x:c r="C870" s="7" t="str">
        <x:v>Omitted</x:v>
      </x:c>
      <x:c r="D870" s="7" t="str">
        <x:v>FAIL</x:v>
      </x:c>
      <x:c r="E870" s="13" t="str">
        <x:v>Pending</x:v>
      </x:c>
      <x:c r="F870" s="13" t="str"/>
      <x:c r="G870" s="13" t="str"/>
      <x:c r="H870" s="13" t="str"/>
      <x:c r="I870" s="7" t="str">
        <x:v>Was this person reviewed? If rejected, give the actual rule and evidence. If acceptable, correct the omission. Confirm the Life-qualification gate and any record change since selection.</x:v>
      </x:c>
      <x:c r="J870" s="7" t="str">
        <x:v>L1</x:v>
      </x:c>
      <x:c r="K870" s="7" t="str">
        <x:v>Verified qualifications do not include active general Life. Current target-pool mismatch; actual historical omission reason unknown.</x:v>
      </x:c>
      <x:c r="L870" s="7" t="str">
        <x:v>Not supplied; membership is known, motive is not</x:v>
      </x:c>
      <x:c r="M870" s="7" t="n">
        <x:v>7</x:v>
      </x:c>
      <x:c r="N870" s="7" t="str">
        <x:v>Outside current general-Life recruiting pool</x:v>
      </x:c>
      <x:c r="O870" s="7" t="str">
        <x:v>Not displayed</x:v>
      </x:c>
      <x:c r="P870" s="7" t="str"/>
      <x:c r="Q870" s="7" t="str"/>
      <x:c r="R870" s="7" t="str"/>
      <x:c r="S870" s="15" t="str"/>
      <x:c r="T870" s="7" t="str">
        <x:v>No public business phone in collected record</x:v>
      </x:c>
      <x:c r="U870" s="7" t="str"/>
      <x:c r="V870" s="7" t="str">
        <x:v>Resident</x:v>
      </x:c>
      <x:c r="W870" s="7" t="str">
        <x:v>CA</x:v>
      </x:c>
      <x:c r="X870" s="7" t="str"/>
      <x:c r="Y870" s="7" t="str"/>
      <x:c r="Z870" s="7" t="str">
        <x:v>ORDER ID: &lt;LCB000259&gt; AP LICENSE AND LICENSING RIGHTS OF RESPONDENT ARE HEREBY REVOKED. / 03/31/2010</x:v>
      </x:c>
      <x:c r="AA870" s="7" t="str"/>
      <x:c r="AB870" s="7" t="str"/>
      <x:c r="AC870" s="7" t="str"/>
      <x:c r="AD870" s="7" t="str">
        <x:v>No agency or insurer displayed: onboarding opportunity possible; existing business unknown</x:v>
      </x:c>
      <x:c r="AE870" s="7" t="str">
        <x:v>Enforcement order requires direct review; latest displayed order is not a removal order | No public business phone: contact enrichment needed, not proof of poor recruiting fit</x:v>
      </x:c>
      <x:c r="AF870" s="16" t="str"/>
      <x:c r="AG870" s="17" t="str"/>
      <x:c r="AH870" s="7" t="str"/>
      <x:c r="AI870" s="7" t="str"/>
      <x:c r="AJ870" s="7" t="str"/>
      <x:c r="AK870" s="15" t="str"/>
      <x:c r="AL870" s="7" t="str"/>
      <x:c r="AM870" s="7" t="str">
        <x:v>AGUILAR ROBERTO MARTIN</x:v>
      </x:c>
      <x:c r="AN870" s="7" t="str">
        <x:v>https://cdicloud.insurance.ca.gov/cal/LicenseDetail?SearchType=IND&amp;SearchLicNbr=0G25018&amp;SearchIndvId=1171803</x:v>
      </x:c>
      <x:c r="AO870" s="7" t="str">
        <x:v>2026-10-08</x:v>
      </x:c>
      <x:c r="AP870" s="7" t="str">
        <x:v>6cae6706bd4226adc30830bed27d54ec5b99102a531437c8cae59818717f473b</x:v>
      </x:c>
      <x:c r="AQ870" s="7" t="str">
        <x:v>Life-Only / Inactive / 07/31/2008 / 03/31/2010 / 03/31/2010</x:v>
      </x:c>
      <x:c r="AR870" s="7" t="str">
        <x:v>Inactive</x:v>
      </x:c>
      <x:c r="AS870" s="7" t="str">
        <x:v>Current detail page</x:v>
      </x:c>
    </x:row>
    <x:row r="871" ht="52" customHeight="1">
      <x:c r="A871" s="7" t="str">
        <x:v>AGUILAR MARTINA NIETO</x:v>
      </x:c>
      <x:c r="B871" s="14" t="str">
        <x:f>"0H84656"</x:f>
        <x:v>0H84656</x:v>
      </x:c>
      <x:c r="C871" s="7" t="str">
        <x:v>Omitted</x:v>
      </x:c>
      <x:c r="D871" s="7" t="str">
        <x:v>FAIL</x:v>
      </x:c>
      <x:c r="E871" s="13" t="str">
        <x:v>Pending</x:v>
      </x:c>
      <x:c r="F871" s="13" t="str"/>
      <x:c r="G871" s="13" t="str"/>
      <x:c r="H871" s="13" t="str"/>
      <x:c r="I871" s="7" t="str">
        <x:v>Was this person reviewed? If rejected, give the actual rule and evidence. If acceptable, correct the omission. Confirm the Life-qualification gate and any record change since selection.</x:v>
      </x:c>
      <x:c r="J871" s="7" t="str">
        <x:v>L1</x:v>
      </x:c>
      <x:c r="K871" s="7" t="str">
        <x:v>Verified qualifications do not include active general Life. Current target-pool mismatch; actual historical omission reason unknown.</x:v>
      </x:c>
      <x:c r="L871" s="7" t="str">
        <x:v>Not supplied; membership is known, motive is not</x:v>
      </x:c>
      <x:c r="M871" s="7" t="n">
        <x:v>7</x:v>
      </x:c>
      <x:c r="N871" s="7" t="str">
        <x:v>Outside current general-Life recruiting pool</x:v>
      </x:c>
      <x:c r="O871" s="7" t="str">
        <x:v>Not displayed</x:v>
      </x:c>
      <x:c r="P871" s="7" t="str"/>
      <x:c r="Q871" s="7" t="str"/>
      <x:c r="R871" s="7" t="str"/>
      <x:c r="S871" s="15" t="str"/>
      <x:c r="T871" s="7" t="str">
        <x:v>No public business phone in collected record</x:v>
      </x:c>
      <x:c r="U871" s="7" t="str"/>
      <x:c r="V871" s="7" t="str">
        <x:v>Resident</x:v>
      </x:c>
      <x:c r="W871" s="7" t="str">
        <x:v>CA</x:v>
      </x:c>
      <x:c r="X871" s="7" t="str"/>
      <x:c r="Y871" s="7" t="str"/>
      <x:c r="Z871" s="7" t="str"/>
      <x:c r="AA871" s="7" t="str"/>
      <x:c r="AB871" s="7" t="str"/>
      <x:c r="AC871" s="7" t="str"/>
      <x:c r="AD871" s="7" t="str">
        <x:v>No agency or insurer displayed: onboarding opportunity possible; existing business unknown</x:v>
      </x:c>
      <x:c r="AE871" s="7" t="str">
        <x:v>No public business phone: contact enrichment needed, not proof of poor recruiting fit</x:v>
      </x:c>
      <x:c r="AF871" s="16" t="str"/>
      <x:c r="AG871" s="17" t="str"/>
      <x:c r="AH871" s="7" t="str"/>
      <x:c r="AI871" s="7" t="str"/>
      <x:c r="AJ871" s="7" t="str"/>
      <x:c r="AK871" s="15" t="str"/>
      <x:c r="AL871" s="7" t="str"/>
      <x:c r="AM871" s="7" t="str">
        <x:v>AGUILAR NIETO MARTINA</x:v>
      </x:c>
      <x:c r="AN871" s="7" t="str">
        <x:v>https://cdicloud.insurance.ca.gov/cal/LicenseDetail?SearchType=IND&amp;SearchLicNbr=0H84656&amp;SearchIndvId=1509197</x:v>
      </x:c>
      <x:c r="AO871" s="7" t="str">
        <x:v>2026-10-08</x:v>
      </x:c>
      <x:c r="AP871" s="7" t="str">
        <x:v>f233ecc957ab7325c9321d58fdb717f5308bd4602c4a83bca51b916a90de8189</x:v>
      </x:c>
      <x:c r="AQ871" s="7" t="str">
        <x:v>Accident and Health / Inactive / 04/25/2012 / 04/30/2014 / 04/30/2014
Life-Only / Inactive / 04/25/2012 / 04/30/2014 / 04/30/2014</x:v>
      </x:c>
      <x:c r="AR871" s="7" t="str">
        <x:v>Inactive</x:v>
      </x:c>
      <x:c r="AS871" s="7" t="str">
        <x:v>Current detail page</x:v>
      </x:c>
    </x:row>
    <x:row r="872" ht="52" customHeight="1">
      <x:c r="A872" s="7" t="str">
        <x:v>AGUILAR MARY HELEN</x:v>
      </x:c>
      <x:c r="B872" s="14" t="str">
        <x:f>"0J03936"</x:f>
        <x:v>0J03936</x:v>
      </x:c>
      <x:c r="C872" s="7" t="str">
        <x:v>Omitted</x:v>
      </x:c>
      <x:c r="D872" s="7" t="str">
        <x:v>FAIL</x:v>
      </x:c>
      <x:c r="E872" s="13" t="str">
        <x:v>Pending</x:v>
      </x:c>
      <x:c r="F872" s="13" t="str"/>
      <x:c r="G872" s="13" t="str"/>
      <x:c r="H872" s="13" t="str"/>
      <x:c r="I872" s="7" t="str">
        <x:v>Was this person reviewed? If rejected, give the actual rule and evidence. If acceptable, correct the omission. Confirm the Life-qualification gate and any record change since selection.</x:v>
      </x:c>
      <x:c r="J872" s="7" t="str">
        <x:v>L1</x:v>
      </x:c>
      <x:c r="K872" s="7" t="str">
        <x:v>Verified qualifications do not include active general Life. Current target-pool mismatch; actual historical omission reason unknown.</x:v>
      </x:c>
      <x:c r="L872" s="7" t="str">
        <x:v>Not supplied; membership is known, motive is not</x:v>
      </x:c>
      <x:c r="M872" s="7" t="n">
        <x:v>7</x:v>
      </x:c>
      <x:c r="N872" s="7" t="str">
        <x:v>Outside current general-Life recruiting pool</x:v>
      </x:c>
      <x:c r="O872" s="7" t="str">
        <x:v>Not displayed</x:v>
      </x:c>
      <x:c r="P872" s="7" t="str"/>
      <x:c r="Q872" s="7" t="str"/>
      <x:c r="R872" s="7" t="str"/>
      <x:c r="S872" s="15" t="str"/>
      <x:c r="T872" s="7" t="str">
        <x:v>No public business phone in collected record</x:v>
      </x:c>
      <x:c r="U872" s="7" t="str"/>
      <x:c r="V872" s="7" t="str">
        <x:v>Resident</x:v>
      </x:c>
      <x:c r="W872" s="7" t="str">
        <x:v>CA</x:v>
      </x:c>
      <x:c r="X872" s="7" t="str"/>
      <x:c r="Y872" s="7" t="str"/>
      <x:c r="Z872" s="7" t="str"/>
      <x:c r="AA872" s="7" t="str"/>
      <x:c r="AB872" s="7" t="str"/>
      <x:c r="AC872" s="7" t="str"/>
      <x:c r="AD872" s="7" t="str">
        <x:v>No agency or insurer displayed: onboarding opportunity possible; existing business unknown</x:v>
      </x:c>
      <x:c r="AE872" s="7" t="str">
        <x:v>No public business phone: contact enrichment needed, not proof of poor recruiting fit</x:v>
      </x:c>
      <x:c r="AF872" s="16" t="str"/>
      <x:c r="AG872" s="17" t="str"/>
      <x:c r="AH872" s="7" t="str"/>
      <x:c r="AI872" s="7" t="str"/>
      <x:c r="AJ872" s="7" t="str"/>
      <x:c r="AK872" s="15" t="str"/>
      <x:c r="AL872" s="7" t="str"/>
      <x:c r="AM872" s="7" t="str">
        <x:v>AGUILAR HELEN MARY</x:v>
      </x:c>
      <x:c r="AN872" s="7" t="str">
        <x:v>https://cdicloud.insurance.ca.gov/cal/LicenseDetail?SearchType=IND&amp;SearchLicNbr=0J03936&amp;SearchIndvId=1688238</x:v>
      </x:c>
      <x:c r="AO872" s="7" t="str">
        <x:v>2026-10-08</x:v>
      </x:c>
      <x:c r="AP872" s="7" t="str">
        <x:v>e8fc830352016fe82226060d3484b0f49ec593a87a5ee1f4296951b46675708e</x:v>
      </x:c>
      <x:c r="AQ872" s="7" t="str">
        <x:v>Life-Only / Inactive / 08/27/2014 / 08/31/2018 / 08/31/2018</x:v>
      </x:c>
      <x:c r="AR872" s="7" t="str">
        <x:v>Inactive</x:v>
      </x:c>
      <x:c r="AS872" s="7" t="str">
        <x:v>Current detail page</x:v>
      </x:c>
    </x:row>
    <x:row r="873" ht="52" customHeight="1">
      <x:c r="A873" s="7" t="str">
        <x:v>AGUILAR MARY MOYA</x:v>
      </x:c>
      <x:c r="B873" s="14" t="str">
        <x:f>"0H75276"</x:f>
        <x:v>0H75276</x:v>
      </x:c>
      <x:c r="C873" s="7" t="str">
        <x:v>Omitted</x:v>
      </x:c>
      <x:c r="D873" s="7" t="str">
        <x:v>FAIL</x:v>
      </x:c>
      <x:c r="E873" s="13" t="str">
        <x:v>Pending</x:v>
      </x:c>
      <x:c r="F873" s="13" t="str"/>
      <x:c r="G873" s="13" t="str"/>
      <x:c r="H873" s="13" t="str"/>
      <x:c r="I873" s="7" t="str">
        <x:v>Was this person reviewed? If rejected, give the actual rule and evidence. If acceptable, correct the omission. Confirm the Life-qualification gate and any record change since selection.</x:v>
      </x:c>
      <x:c r="J873" s="7" t="str">
        <x:v>L1</x:v>
      </x:c>
      <x:c r="K873" s="7" t="str">
        <x:v>Verified qualifications do not include active general Life. Current target-pool mismatch; actual historical omission reason unknown.</x:v>
      </x:c>
      <x:c r="L873" s="7" t="str">
        <x:v>Not supplied; membership is known, motive is not</x:v>
      </x:c>
      <x:c r="M873" s="7" t="n">
        <x:v>7</x:v>
      </x:c>
      <x:c r="N873" s="7" t="str">
        <x:v>Outside current general-Life recruiting pool</x:v>
      </x:c>
      <x:c r="O873" s="7" t="str">
        <x:v>Not displayed</x:v>
      </x:c>
      <x:c r="P873" s="7" t="str"/>
      <x:c r="Q873" s="7" t="str"/>
      <x:c r="R873" s="7" t="str"/>
      <x:c r="S873" s="15" t="str"/>
      <x:c r="T873" s="7" t="str">
        <x:v>No public business phone in collected record</x:v>
      </x:c>
      <x:c r="U873" s="7" t="str">
        <x:v>CRC INSURANCE SERVICES, INC. 13737 NOEL RD FL 10 DALLAS TX, 75240-1331</x:v>
      </x:c>
      <x:c r="V873" s="7" t="str">
        <x:v>Non-resident</x:v>
      </x:c>
      <x:c r="W873" s="7" t="str">
        <x:v>TX</x:v>
      </x:c>
      <x:c r="X873" s="7" t="str"/>
      <x:c r="Y873" s="7" t="str"/>
      <x:c r="Z873" s="7" t="str"/>
      <x:c r="AA873" s="7" t="str"/>
      <x:c r="AB873" s="7" t="str"/>
      <x:c r="AC873" s="7" t="str"/>
      <x:c r="AD873" s="7" t="str">
        <x:v>No agency or insurer displayed: onboarding opportunity possible; existing business unknown</x:v>
      </x:c>
      <x:c r="AE873" s="7" t="str">
        <x:v>Nonresident or address state outside CA; confirm geographic recruiting scope | No public business phone: contact enrichment needed, not proof of poor recruiting fit</x:v>
      </x:c>
      <x:c r="AF873" s="16" t="str"/>
      <x:c r="AG873" s="17" t="str"/>
      <x:c r="AH873" s="7" t="str"/>
      <x:c r="AI873" s="7" t="str"/>
      <x:c r="AJ873" s="7" t="str"/>
      <x:c r="AK873" s="15" t="str"/>
      <x:c r="AL873" s="7" t="str"/>
      <x:c r="AM873" s="7" t="str">
        <x:v>AGUILAR MOYA MARY</x:v>
      </x:c>
      <x:c r="AN873" s="7" t="str">
        <x:v>https://cdicloud.insurance.ca.gov/cal/LicenseDetail?SearchType=IND&amp;SearchLicNbr=0H75276&amp;SearchIndvId=1497932</x:v>
      </x:c>
      <x:c r="AO873" s="7" t="str">
        <x:v>2026-10-08</x:v>
      </x:c>
      <x:c r="AP873" s="7" t="str">
        <x:v>09df0f551aef4010a7f972bf9338b4583e4a40a46564e1179826cc3c9b5f3d64</x:v>
      </x:c>
      <x:c r="AQ873" s="7" t="str">
        <x:v>Casualty / Inactive / 01/26/2012 / 01/31/2022 / 01/31/2022
Property / Inactive / 01/26/2012 / 01/31/2022 / 01/31/2022
Surplus Lines Broker / Inactive / 07/18/2012 / 01/31/2022 / 01/31/2022</x:v>
      </x:c>
      <x:c r="AR873" s="7" t="str">
        <x:v>Inactive</x:v>
      </x:c>
      <x:c r="AS873" s="7" t="str">
        <x:v>Current detail page</x:v>
      </x:c>
    </x:row>
    <x:row r="874" ht="52" customHeight="1">
      <x:c r="A874" s="7" t="str">
        <x:v>AGUILAR MASCOTE VERONICA</x:v>
      </x:c>
      <x:c r="B874" s="14" t="str">
        <x:f>"4200112"</x:f>
        <x:v>4200112</x:v>
      </x:c>
      <x:c r="C874" s="7" t="str">
        <x:v>Omitted</x:v>
      </x:c>
      <x:c r="D874" s="7" t="str">
        <x:v>FAIL</x:v>
      </x:c>
      <x:c r="E874" s="13" t="str">
        <x:v>Pending</x:v>
      </x:c>
      <x:c r="F874" s="13" t="str"/>
      <x:c r="G874" s="13" t="str"/>
      <x:c r="H874" s="13" t="str"/>
      <x:c r="I874" s="7" t="str">
        <x:v>Was this person reviewed? If rejected, give the actual rule and evidence. If acceptable, correct the omission. Confirm the Life-qualification gate and any record change since selection.</x:v>
      </x:c>
      <x:c r="J874" s="7" t="str">
        <x:v>L1</x:v>
      </x:c>
      <x:c r="K874" s="7" t="str">
        <x:v>Verified qualifications do not include active general Life. Current target-pool mismatch; actual historical omission reason unknown.</x:v>
      </x:c>
      <x:c r="L874" s="7" t="str">
        <x:v>Not supplied; membership is known, motive is not</x:v>
      </x:c>
      <x:c r="M874" s="7" t="n">
        <x:v>7</x:v>
      </x:c>
      <x:c r="N874" s="7" t="str">
        <x:v>Outside current general-Life recruiting pool</x:v>
      </x:c>
      <x:c r="O874" s="7" t="str">
        <x:v>Inactive</x:v>
      </x:c>
      <x:c r="P874" s="7" t="str">
        <x:v>03/24/2022</x:v>
      </x:c>
      <x:c r="Q874" s="7" t="str">
        <x:v>03/31/2024</x:v>
      </x:c>
      <x:c r="R874" s="7" t="str"/>
      <x:c r="S874" s="15" t="str"/>
      <x:c r="T874" s="7" t="str">
        <x:v>No public business phone in collected record</x:v>
      </x:c>
      <x:c r="U874" s="7" t="str">
        <x:v>1594 EDGEWATER ST NW STE 170 SALEM OR, 97304-4656</x:v>
      </x:c>
      <x:c r="V874" s="7" t="str">
        <x:v>Non-resident</x:v>
      </x:c>
      <x:c r="W874" s="7" t="str">
        <x:v>OR</x:v>
      </x:c>
      <x:c r="X874" s="7" t="str"/>
      <x:c r="Y874" s="7" t="str"/>
      <x:c r="Z874" s="7" t="str"/>
      <x:c r="AA874" s="7" t="str"/>
      <x:c r="AB874" s="7" t="str"/>
      <x:c r="AC874" s="7" t="str"/>
      <x:c r="AD874" s="7" t="str">
        <x:v>No agency or insurer displayed: onboarding opportunity possible; existing business unknown</x:v>
      </x:c>
      <x:c r="AE874" s="7" t="str">
        <x:v>Nonresident or address state outside CA; confirm geographic recruiting scope | No public business phone: contact enrichment needed, not proof of poor recruiting fit</x:v>
      </x:c>
      <x:c r="AF874" s="16" t="str"/>
      <x:c r="AG874" s="17" t="str"/>
      <x:c r="AH874" s="7" t="str"/>
      <x:c r="AI874" s="7" t="str"/>
      <x:c r="AJ874" s="7" t="str"/>
      <x:c r="AK874" s="15" t="str"/>
      <x:c r="AL874" s="7" t="str"/>
      <x:c r="AM874" s="7" t="str">
        <x:v>AGUILAR MASCOTE  VERONICA</x:v>
      </x:c>
      <x:c r="AN874" s="7" t="str">
        <x:v>https://cdicloud.insurance.ca.gov/cal/LicenseDetail?SearchType=IND&amp;SearchLicNbr=4200112&amp;SearchIndvId=4200112</x:v>
      </x:c>
      <x:c r="AO874" s="7" t="str">
        <x:v>2026-10-08</x:v>
      </x:c>
      <x:c r="AP874" s="7" t="str">
        <x:v>933b9284e1972a6fb80ddd1b01bf22cf476130ad2ae3d528304127d47fc35ddd</x:v>
      </x:c>
      <x:c r="AQ874" s="7" t="str">
        <x:v>Accident &amp; Health or Sickness / Inactive / 03/24/2022 / 03/31/2024 / 03/31/2024
Casualty / Inactive / 03/24/2022 / 03/31/2024 / 03/31/2024
Life / Inactive / 03/24/2022 / 03/31/2024 / 03/31/2024
Property / Inactive / 03/24/2022 / 03/31/2024 / 03/31/2024</x:v>
      </x:c>
      <x:c r="AR874" s="7" t="str">
        <x:v>Inactive</x:v>
      </x:c>
      <x:c r="AS874" s="7" t="str">
        <x:v>Current detail page</x:v>
      </x:c>
    </x:row>
    <x:row r="875" ht="52" customHeight="1">
      <x:c r="A875" s="7" t="str">
        <x:v>AGUILAR MATIAS</x:v>
      </x:c>
      <x:c r="B875" s="14" t="str">
        <x:f>"0G74339"</x:f>
        <x:v>0G74339</x:v>
      </x:c>
      <x:c r="C875" s="7" t="str">
        <x:v>Omitted</x:v>
      </x:c>
      <x:c r="D875" s="7" t="str">
        <x:v>FAIL</x:v>
      </x:c>
      <x:c r="E875" s="13" t="str">
        <x:v>Pending</x:v>
      </x:c>
      <x:c r="F875" s="13" t="str"/>
      <x:c r="G875" s="13" t="str"/>
      <x:c r="H875" s="13" t="str"/>
      <x:c r="I875" s="7" t="str">
        <x:v>Was this person reviewed? If rejected, give the actual rule and evidence. If acceptable, correct the omission. Confirm the Life-qualification gate and any record change since selection.</x:v>
      </x:c>
      <x:c r="J875" s="7" t="str">
        <x:v>L1</x:v>
      </x:c>
      <x:c r="K875" s="7" t="str">
        <x:v>Verified qualifications do not include active general Life. Current target-pool mismatch; actual historical omission reason unknown.</x:v>
      </x:c>
      <x:c r="L875" s="7" t="str">
        <x:v>Not supplied; membership is known, motive is not</x:v>
      </x:c>
      <x:c r="M875" s="7" t="n">
        <x:v>7</x:v>
      </x:c>
      <x:c r="N875" s="7" t="str">
        <x:v>Outside current general-Life recruiting pool</x:v>
      </x:c>
      <x:c r="O875" s="7" t="str">
        <x:v>Not displayed</x:v>
      </x:c>
      <x:c r="P875" s="7" t="str"/>
      <x:c r="Q875" s="7" t="str"/>
      <x:c r="R875" s="7" t="str"/>
      <x:c r="S875" s="15" t="str"/>
      <x:c r="T875" s="7" t="str">
        <x:v>No public business phone in collected record</x:v>
      </x:c>
      <x:c r="U875" s="7" t="str"/>
      <x:c r="V875" s="7" t="str">
        <x:v>Resident</x:v>
      </x:c>
      <x:c r="W875" s="7" t="str">
        <x:v>CA</x:v>
      </x:c>
      <x:c r="X875" s="7" t="str"/>
      <x:c r="Y875" s="7" t="str"/>
      <x:c r="Z875" s="7" t="str"/>
      <x:c r="AA875" s="7" t="str"/>
      <x:c r="AB875" s="7" t="str"/>
      <x:c r="AC875" s="7" t="str"/>
      <x:c r="AD875" s="7" t="str">
        <x:v>No agency or insurer displayed: onboarding opportunity possible; existing business unknown</x:v>
      </x:c>
      <x:c r="AE875" s="7" t="str">
        <x:v>No public business phone: contact enrichment needed, not proof of poor recruiting fit</x:v>
      </x:c>
      <x:c r="AF875" s="16" t="str"/>
      <x:c r="AG875" s="17" t="str"/>
      <x:c r="AH875" s="7" t="str"/>
      <x:c r="AI875" s="7" t="str"/>
      <x:c r="AJ875" s="7" t="str"/>
      <x:c r="AK875" s="15" t="str"/>
      <x:c r="AL875" s="7" t="str"/>
      <x:c r="AM875" s="7" t="str">
        <x:v>AGUILAR  MATIAS</x:v>
      </x:c>
      <x:c r="AN875" s="7" t="str">
        <x:v>https://cdicloud.insurance.ca.gov/cal/LicenseDetail?SearchType=IND&amp;SearchLicNbr=0G74339&amp;SearchIndvId=1291392</x:v>
      </x:c>
      <x:c r="AO875" s="7" t="str">
        <x:v>2026-10-08</x:v>
      </x:c>
      <x:c r="AP875" s="7" t="str">
        <x:v>960a088735a140dfe601d7376550259a7724c88cf948c8accdc2721dabb148ed</x:v>
      </x:c>
      <x:c r="AQ875" s="7" t="str">
        <x:v>Life-Only / Inactive / 09/03/2009 / 09/30/2011 / 09/30/2011</x:v>
      </x:c>
      <x:c r="AR875" s="7" t="str">
        <x:v>Inactive</x:v>
      </x:c>
      <x:c r="AS875" s="7" t="str">
        <x:v>Current detail page</x:v>
      </x:c>
    </x:row>
    <x:row r="876" ht="52" customHeight="1">
      <x:c r="A876" s="7" t="str">
        <x:v>AGUILAR MATTHEW RUBEN</x:v>
      </x:c>
      <x:c r="B876" s="14" t="str">
        <x:f>"0I45347"</x:f>
        <x:v>0I45347</x:v>
      </x:c>
      <x:c r="C876" s="7" t="str">
        <x:v>Omitted</x:v>
      </x:c>
      <x:c r="D876" s="7" t="str">
        <x:v>FAIL</x:v>
      </x:c>
      <x:c r="E876" s="13" t="str">
        <x:v>Pending</x:v>
      </x:c>
      <x:c r="F876" s="13" t="str"/>
      <x:c r="G876" s="13" t="str"/>
      <x:c r="H876" s="13" t="str"/>
      <x:c r="I876" s="7" t="str">
        <x:v>Was this person reviewed? If rejected, give the actual rule and evidence. If acceptable, correct the omission. Confirm the Life-qualification gate and any record change since selection.</x:v>
      </x:c>
      <x:c r="J876" s="7" t="str">
        <x:v>L1</x:v>
      </x:c>
      <x:c r="K876" s="7" t="str">
        <x:v>Verified qualifications do not include active general Life. Current target-pool mismatch; actual historical omission reason unknown.</x:v>
      </x:c>
      <x:c r="L876" s="7" t="str">
        <x:v>Not supplied; membership is known, motive is not</x:v>
      </x:c>
      <x:c r="M876" s="7" t="n">
        <x:v>7</x:v>
      </x:c>
      <x:c r="N876" s="7" t="str">
        <x:v>Outside current general-Life recruiting pool</x:v>
      </x:c>
      <x:c r="O876" s="7" t="str">
        <x:v>Not displayed</x:v>
      </x:c>
      <x:c r="P876" s="7" t="str"/>
      <x:c r="Q876" s="7" t="str"/>
      <x:c r="R876" s="7" t="str"/>
      <x:c r="S876" s="15" t="str"/>
      <x:c r="T876" s="7" t="str">
        <x:v>No public business phone in collected record</x:v>
      </x:c>
      <x:c r="U876" s="7" t="str"/>
      <x:c r="V876" s="7" t="str">
        <x:v>Resident</x:v>
      </x:c>
      <x:c r="W876" s="7" t="str">
        <x:v>CA</x:v>
      </x:c>
      <x:c r="X876" s="7" t="str"/>
      <x:c r="Y876" s="7" t="str"/>
      <x:c r="Z876" s="7" t="str"/>
      <x:c r="AA876" s="7" t="str"/>
      <x:c r="AB876" s="7" t="str"/>
      <x:c r="AC876" s="7" t="str"/>
      <x:c r="AD876" s="7" t="str">
        <x:v>No agency or insurer displayed: onboarding opportunity possible; existing business unknown</x:v>
      </x:c>
      <x:c r="AE876" s="7" t="str">
        <x:v>No public business phone: contact enrichment needed, not proof of poor recruiting fit</x:v>
      </x:c>
      <x:c r="AF876" s="16" t="str"/>
      <x:c r="AG876" s="17" t="str"/>
      <x:c r="AH876" s="7" t="str"/>
      <x:c r="AI876" s="7" t="str"/>
      <x:c r="AJ876" s="7" t="str"/>
      <x:c r="AK876" s="15" t="str"/>
      <x:c r="AL876" s="7" t="str"/>
      <x:c r="AM876" s="7" t="str">
        <x:v>Aguilar R Matthew | AGUILAR RUBEN MATTHEW</x:v>
      </x:c>
      <x:c r="AN876" s="7" t="str">
        <x:v>https://cdicloud.insurance.ca.gov/cal/LicenseDetail?SearchType=IND&amp;SearchLicNbr=0I45347&amp;SearchIndvId=1596520</x:v>
      </x:c>
      <x:c r="AO876" s="7" t="str">
        <x:v>2026-10-08</x:v>
      </x:c>
      <x:c r="AP876" s="7" t="str">
        <x:v>3439353d2fee3c4c2c53125c0a19c7d2896d6c4a5b80389d96d502294ea5dd9d</x:v>
      </x:c>
      <x:c r="AQ876" s="7" t="str">
        <x:v>Life-Only / Inactive / 07/18/2013 / 07/31/2015 / 07/31/2015</x:v>
      </x:c>
      <x:c r="AR876" s="7" t="str">
        <x:v>Inactive</x:v>
      </x:c>
      <x:c r="AS876" s="7" t="str">
        <x:v>Current detail page</x:v>
      </x:c>
    </x:row>
    <x:row r="877" ht="52" customHeight="1">
      <x:c r="A877" s="7" t="str">
        <x:v>AGUILAR MAURA ALEJANDRA</x:v>
      </x:c>
      <x:c r="B877" s="14" t="str">
        <x:f>"0L77865"</x:f>
        <x:v>0L77865</x:v>
      </x:c>
      <x:c r="C877" s="7" t="str">
        <x:v>Omitted</x:v>
      </x:c>
      <x:c r="D877" s="7" t="str">
        <x:v>FAIL</x:v>
      </x:c>
      <x:c r="E877" s="13" t="str">
        <x:v>Pending</x:v>
      </x:c>
      <x:c r="F877" s="13" t="str"/>
      <x:c r="G877" s="13" t="str"/>
      <x:c r="H877" s="13" t="str"/>
      <x:c r="I877" s="7" t="str">
        <x:v>Was this person reviewed? If rejected, give the actual rule and evidence. If acceptable, correct the omission. Confirm the Life-qualification gate and any record change since selection.</x:v>
      </x:c>
      <x:c r="J877" s="7" t="str">
        <x:v>L1</x:v>
      </x:c>
      <x:c r="K877" s="7" t="str">
        <x:v>Verified qualifications do not include active general Life. Current target-pool mismatch; actual historical omission reason unknown.</x:v>
      </x:c>
      <x:c r="L877" s="7" t="str">
        <x:v>Not supplied; membership is known, motive is not</x:v>
      </x:c>
      <x:c r="M877" s="7" t="n">
        <x:v>7</x:v>
      </x:c>
      <x:c r="N877" s="7" t="str">
        <x:v>Outside current general-Life recruiting pool</x:v>
      </x:c>
      <x:c r="O877" s="7" t="str">
        <x:v>Not displayed</x:v>
      </x:c>
      <x:c r="P877" s="7" t="str"/>
      <x:c r="Q877" s="7" t="str"/>
      <x:c r="R877" s="7" t="str"/>
      <x:c r="S877" s="15" t="str"/>
      <x:c r="T877" s="7" t="str">
        <x:v>No public business phone in collected record</x:v>
      </x:c>
      <x:c r="U877" s="7" t="str"/>
      <x:c r="V877" s="7" t="str">
        <x:v>Resident</x:v>
      </x:c>
      <x:c r="W877" s="7" t="str">
        <x:v>CA</x:v>
      </x:c>
      <x:c r="X877" s="7" t="str"/>
      <x:c r="Y877" s="7" t="str"/>
      <x:c r="Z877" s="7" t="str"/>
      <x:c r="AA877" s="7" t="str"/>
      <x:c r="AB877" s="7" t="str"/>
      <x:c r="AC877" s="7" t="str"/>
      <x:c r="AD877" s="7" t="str">
        <x:v>No agency or insurer displayed: onboarding opportunity possible; existing business unknown</x:v>
      </x:c>
      <x:c r="AE877" s="7" t="str">
        <x:v>No public business phone: contact enrichment needed, not proof of poor recruiting fit</x:v>
      </x:c>
      <x:c r="AF877" s="16" t="str"/>
      <x:c r="AG877" s="17" t="str"/>
      <x:c r="AH877" s="7" t="str"/>
      <x:c r="AI877" s="7" t="str"/>
      <x:c r="AJ877" s="7" t="str"/>
      <x:c r="AK877" s="15" t="str"/>
      <x:c r="AL877" s="7" t="str"/>
      <x:c r="AM877" s="7" t="str">
        <x:v>Aguilar A Maura | AGUILAR ALEJANDRA MAURA</x:v>
      </x:c>
      <x:c r="AN877" s="7" t="str">
        <x:v>https://cdicloud.insurance.ca.gov/cal/LicenseDetail?SearchType=IND&amp;SearchLicNbr=0L77865&amp;SearchIndvId=1941506</x:v>
      </x:c>
      <x:c r="AO877" s="7" t="str">
        <x:v>2026-10-08</x:v>
      </x:c>
      <x:c r="AP877" s="7" t="str">
        <x:v>7524201933bf4569877590ae6063a684fd120297d00b8e9df9231691bb1fdebf</x:v>
      </x:c>
      <x:c r="AQ877" s="7" t="str">
        <x:v>Life-Only / Inactive / 06/05/2017 / 06/30/2019 / 06/30/2019</x:v>
      </x:c>
      <x:c r="AR877" s="7" t="str">
        <x:v>Inactive</x:v>
      </x:c>
      <x:c r="AS877" s="7" t="str">
        <x:v>Current detail page</x:v>
      </x:c>
    </x:row>
    <x:row r="878" ht="52" customHeight="1">
      <x:c r="A878" s="7" t="str">
        <x:v>AGUILAR MAURICE</x:v>
      </x:c>
      <x:c r="B878" s="14" t="str">
        <x:f>"0N04483"</x:f>
        <x:v>0N04483</x:v>
      </x:c>
      <x:c r="C878" s="7" t="str">
        <x:v>Omitted</x:v>
      </x:c>
      <x:c r="D878" s="7" t="str">
        <x:v>FAIL</x:v>
      </x:c>
      <x:c r="E878" s="13" t="str">
        <x:v>Pending</x:v>
      </x:c>
      <x:c r="F878" s="13" t="str"/>
      <x:c r="G878" s="13" t="str"/>
      <x:c r="H878" s="13" t="str"/>
      <x:c r="I878" s="7" t="str">
        <x:v>Was this person reviewed? If rejected, give the actual rule and evidence. If acceptable, correct the omission. Confirm the Life-qualification gate and any record change since selection.</x:v>
      </x:c>
      <x:c r="J878" s="7" t="str">
        <x:v>L1</x:v>
      </x:c>
      <x:c r="K878" s="7" t="str">
        <x:v>Verified qualifications do not include active general Life. Current target-pool mismatch; actual historical omission reason unknown.</x:v>
      </x:c>
      <x:c r="L878" s="7" t="str">
        <x:v>Not supplied; membership is known, motive is not</x:v>
      </x:c>
      <x:c r="M878" s="7" t="n">
        <x:v>7</x:v>
      </x:c>
      <x:c r="N878" s="7" t="str">
        <x:v>Outside current general-Life recruiting pool</x:v>
      </x:c>
      <x:c r="O878" s="7" t="str">
        <x:v>Not displayed</x:v>
      </x:c>
      <x:c r="P878" s="7" t="str"/>
      <x:c r="Q878" s="7" t="str"/>
      <x:c r="R878" s="7" t="str">
        <x:v>Casualty; Property</x:v>
      </x:c>
      <x:c r="S878" s="15" t="str">
        <x:v>909-962-0102</x:v>
      </x:c>
      <x:c r="T878" s="7" t="str">
        <x:v>Current CDI</x:v>
      </x:c>
      <x:c r="U878" s="7" t="str">
        <x:v>1968 S COAST HWY STE 467 LAGUNA BEACH CA, 92651</x:v>
      </x:c>
      <x:c r="V878" s="7" t="str">
        <x:v>Resident</x:v>
      </x:c>
      <x:c r="W878" s="7" t="str">
        <x:v>CA</x:v>
      </x:c>
      <x:c r="X878" s="7" t="str">
        <x:v>POLICYCOACH INSURANCE SERVICES, LLC / Property / 01/28/2021
POLICYCOACH INSURANCE SERVICES, LLC / Casualty / 01/28/2021
METROMILE INSURANCE SERVICES LLC / Casualty / 06/07/2021
METROMILE INSURANCE SERVICES LLC / Property / 06/07/2021</x:v>
      </x:c>
      <x:c r="Y878" s="7" t="str">
        <x:v>FOREMOST INSURANCE COMPANY GRAND RAPIDS, MICHIGAN / Casualty / 06/15/2020
FOREMOST INSURANCE COMPANY GRAND RAPIDS, MICHIGAN / Property / 06/15/2020
SPINNAKER INSURANCE COMPANY / Property / 07/06/2021</x:v>
      </x:c>
      <x:c r="Z878" s="7" t="str"/>
      <x:c r="AA878" s="7" t="str"/>
      <x:c r="AB878" s="7" t="str"/>
      <x:c r="AC878" s="7" t="str"/>
      <x:c r="AD878" s="7" t="str"/>
      <x:c r="AE878" s="7" t="str">
        <x:v>P&amp;C/Personal Lines authority without displayed core Life appointments; mixed profile requires review</x:v>
      </x:c>
      <x:c r="AF878" s="16" t="str"/>
      <x:c r="AG878" s="17" t="str"/>
      <x:c r="AH878" s="7" t="str"/>
      <x:c r="AI878" s="7" t="str">
        <x:v>English</x:v>
      </x:c>
      <x:c r="AJ878" s="7" t="str"/>
      <x:c r="AK878" s="15" t="str"/>
      <x:c r="AL878" s="7" t="str"/>
      <x:c r="AM878" s="7" t="str">
        <x:v>AGUILAR  MAURICE</x:v>
      </x:c>
      <x:c r="AN878" s="7" t="str">
        <x:v>https://cdicloud.insurance.ca.gov/cal/LicenseDetail?SearchType=IND&amp;SearchLicNbr=0N04483&amp;SearchIndvId=2111807</x:v>
      </x:c>
      <x:c r="AO878" s="7" t="str">
        <x:v>2026-10-08</x:v>
      </x:c>
      <x:c r="AP878" s="7" t="str">
        <x:v>320ad9c664bd42346d032ff251c9c462d867c6553313458f2eea20dfccec8671</x:v>
      </x:c>
      <x:c r="AQ878" s="7" t="str">
        <x:v>Casualty / Active / 06/24/2019 / 06/24/2019 / 06/30/2027
Property / Active / 06/24/2019 / 06/24/2019 / 06/30/2027</x:v>
      </x:c>
      <x:c r="AR878" s="7" t="str">
        <x:v>Active</x:v>
      </x:c>
      <x:c r="AS878" s="7" t="str">
        <x:v>Current detail page</x:v>
      </x:c>
    </x:row>
    <x:row r="879" ht="52" customHeight="1">
      <x:c r="A879" s="7" t="str">
        <x:v>AGUILAR MAURICE</x:v>
      </x:c>
      <x:c r="B879" s="14" t="str">
        <x:f>"4134215"</x:f>
        <x:v>4134215</x:v>
      </x:c>
      <x:c r="C879" s="7" t="str">
        <x:v>Omitted</x:v>
      </x:c>
      <x:c r="D879" s="7" t="str">
        <x:v>FAIL</x:v>
      </x:c>
      <x:c r="E879" s="13" t="str">
        <x:v>Pending</x:v>
      </x:c>
      <x:c r="F879" s="13" t="str"/>
      <x:c r="G879" s="13" t="str"/>
      <x:c r="H879" s="13" t="str"/>
      <x:c r="I879" s="7" t="str">
        <x:v>Was this person reviewed? If rejected, give the actual rule and evidence. If acceptable, correct the omission. Confirm the Life-qualification gate and any record change since selection.</x:v>
      </x:c>
      <x:c r="J879" s="7" t="str">
        <x:v>L1</x:v>
      </x:c>
      <x:c r="K879" s="7" t="str">
        <x:v>Verified qualifications do not include active general Life. Current target-pool mismatch; actual historical omission reason unknown.</x:v>
      </x:c>
      <x:c r="L879" s="7" t="str">
        <x:v>Not supplied; membership is known, motive is not</x:v>
      </x:c>
      <x:c r="M879" s="7" t="n">
        <x:v>7</x:v>
      </x:c>
      <x:c r="N879" s="7" t="str">
        <x:v>Outside current general-Life recruiting pool</x:v>
      </x:c>
      <x:c r="O879" s="7" t="str">
        <x:v>Not displayed</x:v>
      </x:c>
      <x:c r="P879" s="7" t="str"/>
      <x:c r="Q879" s="7" t="str"/>
      <x:c r="R879" s="7" t="str">
        <x:v>Personal Lines</x:v>
      </x:c>
      <x:c r="S879" s="15" t="str"/>
      <x:c r="T879" s="7" t="str">
        <x:v>No public business phone in collected record</x:v>
      </x:c>
      <x:c r="U879" s="7" t="str">
        <x:v>1660 SOLDIERS FIELD RD STE 7 BRIGHTON MA, 02135-1108</x:v>
      </x:c>
      <x:c r="V879" s="7" t="str">
        <x:v>Non-resident</x:v>
      </x:c>
      <x:c r="W879" s="7" t="str">
        <x:v>MA</x:v>
      </x:c>
      <x:c r="X879" s="7" t="str">
        <x:v>SAVVY INSURANCE AGENCY, LLC / Personal Lines / 10/21/2025
SAVVY INSURANCE SOLUTIONS, LLC / Personal Lines / 10/21/2025
VIU BY HUB LLC / Personal Lines / 01/15/2026</x:v>
      </x:c>
      <x:c r="Y879" s="7" t="str">
        <x:v>FOREMOST INSURANCE COMPANY GRAND RAPIDS, MICHIGAN / Personal Lines / 07/30/2026
ROOT INSURANCE COMPANY / Personal Lines / 12/22/2025</x:v>
      </x:c>
      <x:c r="Z879" s="7" t="str"/>
      <x:c r="AA879" s="7" t="str"/>
      <x:c r="AB879" s="7" t="str"/>
      <x:c r="AC879" s="7" t="str"/>
      <x:c r="AD879" s="7" t="str"/>
      <x:c r="AE879"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879" s="16" t="str"/>
      <x:c r="AG879" s="17" t="str"/>
      <x:c r="AH879" s="7" t="str"/>
      <x:c r="AI879" s="7" t="str"/>
      <x:c r="AJ879" s="7" t="str"/>
      <x:c r="AK879" s="15" t="str"/>
      <x:c r="AL879" s="7" t="str"/>
      <x:c r="AM879" s="7" t="str">
        <x:v>AGUILAR  MAURICE</x:v>
      </x:c>
      <x:c r="AN879" s="7" t="str">
        <x:v>https://cdicloud.insurance.ca.gov/cal/LicenseDetail?SearchType=IND&amp;SearchLicNbr=4134215&amp;SearchIndvId=4134215</x:v>
      </x:c>
      <x:c r="AO879" s="7" t="str">
        <x:v>2026-10-08</x:v>
      </x:c>
      <x:c r="AP879" s="7" t="str">
        <x:v>f958986c3664ee4d291f052421549569b02ac31a027dd47d3487f74bae42c242</x:v>
      </x:c>
      <x:c r="AQ879" s="7" t="str">
        <x:v>Personal Lines / Active / 06/25/2021 / 07/15/2025 / 06/30/2027</x:v>
      </x:c>
      <x:c r="AR879" s="7" t="str">
        <x:v>Active</x:v>
      </x:c>
      <x:c r="AS879" s="7" t="str">
        <x:v>Current detail page</x:v>
      </x:c>
    </x:row>
    <x:row r="880" ht="52" customHeight="1">
      <x:c r="A880" s="7" t="str">
        <x:v>AGUILAR MAXINE</x:v>
      </x:c>
      <x:c r="B880" s="14" t="str">
        <x:f>"0G28412"</x:f>
        <x:v>0G28412</x:v>
      </x:c>
      <x:c r="C880" s="7" t="str">
        <x:v>Omitted</x:v>
      </x:c>
      <x:c r="D880" s="7" t="str">
        <x:v>FAIL</x:v>
      </x:c>
      <x:c r="E880" s="13" t="str">
        <x:v>Pending</x:v>
      </x:c>
      <x:c r="F880" s="13" t="str"/>
      <x:c r="G880" s="13" t="str"/>
      <x:c r="H880" s="13" t="str"/>
      <x:c r="I880" s="7" t="str">
        <x:v>Was this person reviewed? If rejected, give the actual rule and evidence. If acceptable, correct the omission. Confirm the Life-qualification gate and any record change since selection.</x:v>
      </x:c>
      <x:c r="J880" s="7" t="str">
        <x:v>L1</x:v>
      </x:c>
      <x:c r="K880" s="7" t="str">
        <x:v>Verified qualifications do not include active general Life. Current target-pool mismatch; actual historical omission reason unknown.</x:v>
      </x:c>
      <x:c r="L880" s="7" t="str">
        <x:v>Not supplied; membership is known, motive is not</x:v>
      </x:c>
      <x:c r="M880" s="7" t="n">
        <x:v>7</x:v>
      </x:c>
      <x:c r="N880" s="7" t="str">
        <x:v>Outside current general-Life recruiting pool</x:v>
      </x:c>
      <x:c r="O880" s="7" t="str">
        <x:v>Not displayed</x:v>
      </x:c>
      <x:c r="P880" s="7" t="str"/>
      <x:c r="Q880" s="7" t="str"/>
      <x:c r="R880" s="7" t="str"/>
      <x:c r="S880" s="15" t="str">
        <x:v>510-685-4156</x:v>
      </x:c>
      <x:c r="T880" s="7" t="str">
        <x:v>Current CDI</x:v>
      </x:c>
      <x:c r="U880" s="7" t="str">
        <x:v>777 S FIGUEROA ST. LOS ANGELES CA, 90017</x:v>
      </x:c>
      <x:c r="V880" s="7" t="str">
        <x:v>Resident</x:v>
      </x:c>
      <x:c r="W880" s="7" t="str">
        <x:v>CA</x:v>
      </x:c>
      <x:c r="X880" s="7" t="str"/>
      <x:c r="Y880" s="7" t="str"/>
      <x:c r="Z880" s="7" t="str">
        <x:v>ORDER ID: &lt;LIC2400309&gt; A: LICENSE AND LICENSING RIGHTS OF RESPONDENT ARE HEREBY REVOKED. / 08/09/2024</x:v>
      </x:c>
      <x:c r="AA880" s="7" t="str"/>
      <x:c r="AB880" s="7" t="str"/>
      <x:c r="AC880" s="7" t="str"/>
      <x:c r="AD880" s="7" t="str">
        <x:v>No agency or insurer displayed: onboarding opportunity possible; existing business unknown</x:v>
      </x:c>
      <x:c r="AE880" s="7" t="str">
        <x:v>Enforcement order requires direct review; latest displayed order is not a removal order</x:v>
      </x:c>
      <x:c r="AF880" s="16" t="str"/>
      <x:c r="AG880" s="17" t="str"/>
      <x:c r="AH880" s="7" t="str"/>
      <x:c r="AI880" s="7" t="str">
        <x:v>English</x:v>
      </x:c>
      <x:c r="AJ880" s="7" t="str"/>
      <x:c r="AK880" s="15" t="str"/>
      <x:c r="AL880" s="7" t="str"/>
      <x:c r="AM880" s="7" t="str">
        <x:v>AGUILAR  MAXINE</x:v>
      </x:c>
      <x:c r="AN880" s="7" t="str">
        <x:v>https://cdicloud.insurance.ca.gov/cal/LicenseDetail?SearchType=IND&amp;SearchLicNbr=0G28412&amp;SearchIndvId=1176191</x:v>
      </x:c>
      <x:c r="AO880" s="7" t="str">
        <x:v>2026-10-08</x:v>
      </x:c>
      <x:c r="AP880" s="7" t="str">
        <x:v>10175c8d915bf45f2d34294b50ee4645cc58af7719f24249aec7255f489c69f3</x:v>
      </x:c>
      <x:c r="AQ880" s="7" t="str">
        <x:v>Casualty / Inactive / 03/07/2013 / 08/09/2024 / 08/09/2024
Property / Inactive / 03/07/2013 / 08/09/2024 / 08/09/2024</x:v>
      </x:c>
      <x:c r="AR880" s="7" t="str">
        <x:v>Inactive</x:v>
      </x:c>
      <x:c r="AS880" s="7" t="str">
        <x:v>Current detail page</x:v>
      </x:c>
    </x:row>
    <x:row r="881" ht="52" customHeight="1">
      <x:c r="A881" s="7" t="str">
        <x:v>AGUILAR MAYRA E</x:v>
      </x:c>
      <x:c r="B881" s="14" t="str">
        <x:f>"4507852"</x:f>
        <x:v>4507852</x:v>
      </x:c>
      <x:c r="C881" s="7" t="str">
        <x:v>Omitted</x:v>
      </x:c>
      <x:c r="D881" s="7" t="str">
        <x:v>FAIL</x:v>
      </x:c>
      <x:c r="E881" s="13" t="str">
        <x:v>Pending</x:v>
      </x:c>
      <x:c r="F881" s="13" t="str"/>
      <x:c r="G881" s="13" t="str"/>
      <x:c r="H881" s="13" t="str"/>
      <x:c r="I881" s="7" t="str">
        <x:v>Was this person reviewed? If rejected, give the actual rule and evidence. If acceptable, correct the omission. Confirm the Life-qualification gate and any record change since selection.</x:v>
      </x:c>
      <x:c r="J881" s="7" t="str">
        <x:v>L1</x:v>
      </x:c>
      <x:c r="K881" s="7" t="str">
        <x:v>Verified qualifications do not include active general Life. Current target-pool mismatch; actual historical omission reason unknown.</x:v>
      </x:c>
      <x:c r="L881" s="7" t="str">
        <x:v>Not supplied; membership is known, motive is not</x:v>
      </x:c>
      <x:c r="M881" s="7" t="n">
        <x:v>7</x:v>
      </x:c>
      <x:c r="N881" s="7" t="str">
        <x:v>Outside current general-Life recruiting pool</x:v>
      </x:c>
      <x:c r="O881" s="7" t="str">
        <x:v>Not displayed</x:v>
      </x:c>
      <x:c r="P881" s="7" t="str"/>
      <x:c r="Q881" s="7" t="str"/>
      <x:c r="R881" s="7" t="str">
        <x:v>Life Limited-Funeral &amp; Burial</x:v>
      </x:c>
      <x:c r="S881" s="15" t="str">
        <x:v>559-268-7823</x:v>
      </x:c>
      <x:c r="T881" s="7" t="str">
        <x:v>Current CDI</x:v>
      </x:c>
      <x:c r="U881" s="7" t="str">
        <x:v>175 SOUTH CORNELIA AVE FRESNO CA, 93706</x:v>
      </x:c>
      <x:c r="V881" s="7" t="str">
        <x:v>Resident</x:v>
      </x:c>
      <x:c r="W881" s="7" t="str">
        <x:v>CA</x:v>
      </x:c>
      <x:c r="X881" s="7" t="str"/>
      <x:c r="Y881" s="7" t="str">
        <x:v>FORETHOUGHT LIFE INSURANCE COMPANY / Life Only (Limited) / 11/14/2025</x:v>
      </x:c>
      <x:c r="Z881" s="7" t="str"/>
      <x:c r="AA881" s="7" t="str"/>
      <x:c r="AB881" s="7" t="str"/>
      <x:c r="AC881" s="7" t="str"/>
      <x:c r="AD881" s="7" t="str"/>
      <x:c r="AE881" s="7" t="str"/>
      <x:c r="AF881" s="16" t="str"/>
      <x:c r="AG881" s="17" t="str"/>
      <x:c r="AH881" s="7" t="str"/>
      <x:c r="AI881" s="7" t="str">
        <x:v>English</x:v>
      </x:c>
      <x:c r="AJ881" s="7" t="str"/>
      <x:c r="AK881" s="15" t="str"/>
      <x:c r="AL881" s="7" t="str"/>
      <x:c r="AM881" s="7" t="str">
        <x:v>AGUILAR E MAYRA</x:v>
      </x:c>
      <x:c r="AN881" s="7" t="str">
        <x:v>https://cdicloud.insurance.ca.gov/cal/LicenseDetail?SearchType=IND&amp;SearchLicNbr=4507852&amp;SearchIndvId=4507852</x:v>
      </x:c>
      <x:c r="AO881" s="7" t="str">
        <x:v>2026-10-08</x:v>
      </x:c>
      <x:c r="AP881" s="7" t="str">
        <x:v>3012b78db990a15afbe96541fcdd70c3195360e9823319c874824f33190fe17d</x:v>
      </x:c>
      <x:c r="AQ881" s="7" t="str">
        <x:v>Life Limited-Funeral &amp; Burial / Active / 11/07/2025 / 11/07/2025 / 11/30/2027</x:v>
      </x:c>
      <x:c r="AR881" s="7" t="str">
        <x:v>Active</x:v>
      </x:c>
      <x:c r="AS881" s="7" t="str">
        <x:v>Current detail page</x:v>
      </x:c>
    </x:row>
    <x:row r="882" ht="52" customHeight="1">
      <x:c r="A882" s="7" t="str">
        <x:v>AGUILAR MAYRA ELIZABETH</x:v>
      </x:c>
      <x:c r="B882" s="14" t="str">
        <x:f>"0G29797"</x:f>
        <x:v>0G29797</x:v>
      </x:c>
      <x:c r="C882" s="7" t="str">
        <x:v>Omitted</x:v>
      </x:c>
      <x:c r="D882" s="7" t="str">
        <x:v>FAIL</x:v>
      </x:c>
      <x:c r="E882" s="13" t="str">
        <x:v>Pending</x:v>
      </x:c>
      <x:c r="F882" s="13" t="str"/>
      <x:c r="G882" s="13" t="str"/>
      <x:c r="H882" s="13" t="str"/>
      <x:c r="I882" s="7" t="str">
        <x:v>Was this person reviewed? If rejected, give the actual rule and evidence. If acceptable, correct the omission. Confirm the Life-qualification gate and any record change since selection.</x:v>
      </x:c>
      <x:c r="J882" s="7" t="str">
        <x:v>L1</x:v>
      </x:c>
      <x:c r="K882" s="7" t="str">
        <x:v>Verified qualifications do not include active general Life. Current target-pool mismatch; actual historical omission reason unknown.</x:v>
      </x:c>
      <x:c r="L882" s="7" t="str">
        <x:v>Not supplied; membership is known, motive is not</x:v>
      </x:c>
      <x:c r="M882" s="7" t="n">
        <x:v>7</x:v>
      </x:c>
      <x:c r="N882" s="7" t="str">
        <x:v>Outside current general-Life recruiting pool</x:v>
      </x:c>
      <x:c r="O882" s="7" t="str">
        <x:v>Inactive</x:v>
      </x:c>
      <x:c r="P882" s="7" t="str">
        <x:v>09/22/2008</x:v>
      </x:c>
      <x:c r="Q882" s="7" t="str">
        <x:v>09/30/2024</x:v>
      </x:c>
      <x:c r="R882" s="7" t="str"/>
      <x:c r="S882" s="15" t="str">
        <x:v>909-825-3024</x:v>
      </x:c>
      <x:c r="T882" s="7" t="str">
        <x:v>Current CDI</x:v>
      </x:c>
      <x:c r="U882" s="7" t="str">
        <x:v>3520 EAST WASHINGTON ST. COLTON CA, 92324</x:v>
      </x:c>
      <x:c r="V882" s="7" t="str">
        <x:v>Resident</x:v>
      </x:c>
      <x:c r="W882" s="7" t="str">
        <x:v>CA</x:v>
      </x:c>
      <x:c r="X882" s="7" t="str"/>
      <x:c r="Y882" s="7" t="str"/>
      <x:c r="Z882" s="7" t="str"/>
      <x:c r="AA882" s="7" t="str"/>
      <x:c r="AB882" s="7" t="str"/>
      <x:c r="AC882" s="7" t="str"/>
      <x:c r="AD882" s="7" t="str">
        <x:v>No agency or insurer displayed: onboarding opportunity possible; existing business unknown</x:v>
      </x:c>
      <x:c r="AE882" s="7" t="str"/>
      <x:c r="AF882" s="16" t="str"/>
      <x:c r="AG882" s="17" t="str"/>
      <x:c r="AH882" s="7" t="str"/>
      <x:c r="AI882" s="7" t="str">
        <x:v>English</x:v>
      </x:c>
      <x:c r="AJ882" s="7" t="str"/>
      <x:c r="AK882" s="15" t="str"/>
      <x:c r="AL882" s="7" t="str"/>
      <x:c r="AM882" s="7" t="str">
        <x:v>AGUILAR ELIZABETH MAYRA</x:v>
      </x:c>
      <x:c r="AN882" s="7" t="str">
        <x:v>https://cdicloud.insurance.ca.gov/cal/LicenseDetail?SearchType=IND&amp;SearchLicNbr=0G29797&amp;SearchIndvId=1179554</x:v>
      </x:c>
      <x:c r="AO882" s="7" t="str">
        <x:v>2026-10-08</x:v>
      </x:c>
      <x:c r="AP882" s="7" t="str">
        <x:v>56d8379c4a4194005ec032dc68e215fddcf90e55325c1f2d7e5dc242f625264f</x:v>
      </x:c>
      <x:c r="AQ882" s="7" t="str">
        <x:v>Life / Inactive / 09/22/2008 / 09/30/2024 / 09/30/2024</x:v>
      </x:c>
      <x:c r="AR882" s="7" t="str">
        <x:v>Inactive</x:v>
      </x:c>
      <x:c r="AS882" s="7" t="str">
        <x:v>Current detail page</x:v>
      </x:c>
    </x:row>
    <x:row r="883" ht="52" customHeight="1">
      <x:c r="A883" s="7" t="str">
        <x:v>AGUILAR MAYRA Y</x:v>
      </x:c>
      <x:c r="B883" s="14" t="str">
        <x:f>"0I32041"</x:f>
        <x:v>0I32041</x:v>
      </x:c>
      <x:c r="C883" s="7" t="str">
        <x:v>Omitted</x:v>
      </x:c>
      <x:c r="D883" s="7" t="str">
        <x:v>FAIL</x:v>
      </x:c>
      <x:c r="E883" s="13" t="str">
        <x:v>Pending</x:v>
      </x:c>
      <x:c r="F883" s="13" t="str"/>
      <x:c r="G883" s="13" t="str"/>
      <x:c r="H883" s="13" t="str"/>
      <x:c r="I883" s="7" t="str">
        <x:v>Was this person reviewed? If rejected, give the actual rule and evidence. If acceptable, correct the omission. Confirm the Life-qualification gate and any record change since selection.</x:v>
      </x:c>
      <x:c r="J883" s="7" t="str">
        <x:v>L1</x:v>
      </x:c>
      <x:c r="K883" s="7" t="str">
        <x:v>Verified qualifications do not include active general Life. Current target-pool mismatch; actual historical omission reason unknown.</x:v>
      </x:c>
      <x:c r="L883" s="7" t="str">
        <x:v>Not supplied; membership is known, motive is not</x:v>
      </x:c>
      <x:c r="M883" s="7" t="n">
        <x:v>7</x:v>
      </x:c>
      <x:c r="N883" s="7" t="str">
        <x:v>Outside current general-Life recruiting pool</x:v>
      </x:c>
      <x:c r="O883" s="7" t="str">
        <x:v>Not displayed</x:v>
      </x:c>
      <x:c r="P883" s="7" t="str"/>
      <x:c r="Q883" s="7" t="str"/>
      <x:c r="R883" s="7" t="str"/>
      <x:c r="S883" s="15" t="str"/>
      <x:c r="T883" s="7" t="str">
        <x:v>No public business phone in collected record</x:v>
      </x:c>
      <x:c r="U883" s="7" t="str"/>
      <x:c r="V883" s="7" t="str">
        <x:v>Non-resident</x:v>
      </x:c>
      <x:c r="W883" s="7" t="str">
        <x:v>TX</x:v>
      </x:c>
      <x:c r="X883" s="7" t="str"/>
      <x:c r="Y883" s="7" t="str"/>
      <x:c r="Z883" s="7" t="str"/>
      <x:c r="AA883" s="7" t="str"/>
      <x:c r="AB883" s="7" t="str"/>
      <x:c r="AC883" s="7" t="str"/>
      <x:c r="AD883" s="7" t="str">
        <x:v>No agency or insurer displayed: onboarding opportunity possible; existing business unknown</x:v>
      </x:c>
      <x:c r="AE883" s="7" t="str">
        <x:v>Nonresident or address state outside CA; confirm geographic recruiting scope | No public business phone: contact enrichment needed, not proof of poor recruiting fit</x:v>
      </x:c>
      <x:c r="AF883" s="16" t="str"/>
      <x:c r="AG883" s="17" t="str"/>
      <x:c r="AH883" s="7" t="str"/>
      <x:c r="AI883" s="7" t="str"/>
      <x:c r="AJ883" s="7" t="str"/>
      <x:c r="AK883" s="15" t="str"/>
      <x:c r="AL883" s="7" t="str"/>
      <x:c r="AM883" s="7" t="str">
        <x:v>AGUILAR Y MAYRA</x:v>
      </x:c>
      <x:c r="AN883" s="7" t="str">
        <x:v>https://cdicloud.insurance.ca.gov/cal/LicenseDetail?SearchType=IND&amp;SearchLicNbr=0I32041&amp;SearchIndvId=1575125</x:v>
      </x:c>
      <x:c r="AO883" s="7" t="str">
        <x:v>2026-10-08</x:v>
      </x:c>
      <x:c r="AP883" s="7" t="str">
        <x:v>185fdaf75bd6a82f8078ae1ee1adf1c17ca4298e2188bf759b4025d75e1cc6aa</x:v>
      </x:c>
      <x:c r="AQ883" s="7" t="str">
        <x:v>Casualty Broker-Agent / Inactive / 04/30/2013 / 04/30/2021 / 04/30/2021
Property Broker-Agent / Inactive / 04/30/2013 / 04/30/2021 / 04/30/2021</x:v>
      </x:c>
      <x:c r="AR883" s="7" t="str">
        <x:v>Inactive</x:v>
      </x:c>
      <x:c r="AS883" s="7" t="str">
        <x:v>Current detail page</x:v>
      </x:c>
    </x:row>
    <x:row r="884" ht="52" customHeight="1">
      <x:c r="A884" s="7" t="str">
        <x:v>AGUILAR MEJIA ZENAIDA ROSALIA</x:v>
      </x:c>
      <x:c r="B884" s="14" t="str">
        <x:f>"4000094"</x:f>
        <x:v>4000094</x:v>
      </x:c>
      <x:c r="C884" s="7" t="str">
        <x:v>Omitted</x:v>
      </x:c>
      <x:c r="D884" s="7" t="str">
        <x:v>FAIL</x:v>
      </x:c>
      <x:c r="E884" s="13" t="str">
        <x:v>Pending</x:v>
      </x:c>
      <x:c r="F884" s="13" t="str"/>
      <x:c r="G884" s="13" t="str"/>
      <x:c r="H884" s="13" t="str"/>
      <x:c r="I884" s="7" t="str">
        <x:v>Was this person reviewed? If rejected, give the actual rule and evidence. If acceptable, correct the omission. Confirm the Life-qualification gate and any record change since selection.</x:v>
      </x:c>
      <x:c r="J884" s="7" t="str">
        <x:v>L1</x:v>
      </x:c>
      <x:c r="K884" s="7" t="str">
        <x:v>Verified qualifications do not include active general Life. Current target-pool mismatch; actual historical omission reason unknown.</x:v>
      </x:c>
      <x:c r="L884" s="7" t="str">
        <x:v>Not supplied; membership is known, motive is not</x:v>
      </x:c>
      <x:c r="M884" s="7" t="n">
        <x:v>7</x:v>
      </x:c>
      <x:c r="N884" s="7" t="str">
        <x:v>Outside current general-Life recruiting pool</x:v>
      </x:c>
      <x:c r="O884" s="7" t="str">
        <x:v>Not displayed</x:v>
      </x:c>
      <x:c r="P884" s="7" t="str"/>
      <x:c r="Q884" s="7" t="str"/>
      <x:c r="R884" s="7" t="str">
        <x:v>Personal Lines</x:v>
      </x:c>
      <x:c r="S884" s="15" t="str">
        <x:v>323-274-2230</x:v>
      </x:c>
      <x:c r="T884" s="7" t="str">
        <x:v>Current CDI</x:v>
      </x:c>
      <x:c r="U884" s="7" t="str">
        <x:v>3922 W ROSECRANS AVE HAWTHORNE CA, 90250</x:v>
      </x:c>
      <x:c r="V884" s="7" t="str">
        <x:v>Resident</x:v>
      </x:c>
      <x:c r="W884" s="7" t="str">
        <x:v>CA</x:v>
      </x:c>
      <x:c r="X884" s="7" t="str">
        <x:v>MONA'S AUTO INSURANCE SERVICES, INC. / Personal Lines / 02/15/2020</x:v>
      </x:c>
      <x:c r="Y884" s="7" t="str"/>
      <x:c r="Z884" s="7" t="str"/>
      <x:c r="AA884" s="7" t="str"/>
      <x:c r="AB884" s="7" t="str"/>
      <x:c r="AC884" s="7" t="str"/>
      <x:c r="AD884" s="7" t="str"/>
      <x:c r="AE884" s="7" t="str">
        <x:v>P&amp;C/Personal Lines authority without displayed core Life appointments; mixed profile requires review</x:v>
      </x:c>
      <x:c r="AF884" s="16" t="str"/>
      <x:c r="AG884" s="17" t="str"/>
      <x:c r="AH884" s="7" t="str"/>
      <x:c r="AI884" s="7" t="str">
        <x:v>English</x:v>
      </x:c>
      <x:c r="AJ884" s="7" t="str"/>
      <x:c r="AK884" s="15" t="str"/>
      <x:c r="AL884" s="7" t="str"/>
      <x:c r="AM884" s="7" t="str">
        <x:v>Aguilar Mejia R Zenaida | AGUILAR MEJIA ROSALIA ZENAIDA</x:v>
      </x:c>
      <x:c r="AN884" s="7" t="str">
        <x:v>https://cdicloud.insurance.ca.gov/cal/LicenseDetail?SearchType=IND&amp;SearchLicNbr=4000094&amp;SearchIndvId=4000094</x:v>
      </x:c>
      <x:c r="AO884" s="7" t="str">
        <x:v>2026-10-08</x:v>
      </x:c>
      <x:c r="AP884" s="7" t="str">
        <x:v>ca1bfa21baba51510f24ed437f0fe9a50d8dc3c4eff84fd885dabfa4fd40c237</x:v>
      </x:c>
      <x:c r="AQ884" s="7" t="str">
        <x:v>Personal Lines / Active / 09/17/2019 / 09/17/2019 / 09/30/2027</x:v>
      </x:c>
      <x:c r="AR884" s="7" t="str">
        <x:v>Active</x:v>
      </x:c>
      <x:c r="AS884" s="7" t="str">
        <x:v>Current detail page</x:v>
      </x:c>
    </x:row>
    <x:row r="885" ht="52" customHeight="1">
      <x:c r="A885" s="7" t="str">
        <x:v>AGUILAR MELANIE</x:v>
      </x:c>
      <x:c r="B885" s="14" t="str">
        <x:f>"0K21866"</x:f>
        <x:v>0K21866</x:v>
      </x:c>
      <x:c r="C885" s="7" t="str">
        <x:v>Omitted</x:v>
      </x:c>
      <x:c r="D885" s="7" t="str">
        <x:v>FAIL</x:v>
      </x:c>
      <x:c r="E885" s="13" t="str">
        <x:v>Pending</x:v>
      </x:c>
      <x:c r="F885" s="13" t="str"/>
      <x:c r="G885" s="13" t="str"/>
      <x:c r="H885" s="13" t="str"/>
      <x:c r="I885" s="7" t="str">
        <x:v>Was this person reviewed? If rejected, give the actual rule and evidence. If acceptable, correct the omission. Confirm the Life-qualification gate and any record change since selection.</x:v>
      </x:c>
      <x:c r="J885" s="7" t="str">
        <x:v>L1</x:v>
      </x:c>
      <x:c r="K885" s="7" t="str">
        <x:v>Verified qualifications do not include active general Life. Current target-pool mismatch; actual historical omission reason unknown.</x:v>
      </x:c>
      <x:c r="L885" s="7" t="str">
        <x:v>Not supplied; membership is known, motive is not</x:v>
      </x:c>
      <x:c r="M885" s="7" t="n">
        <x:v>7</x:v>
      </x:c>
      <x:c r="N885" s="7" t="str">
        <x:v>Outside current general-Life recruiting pool</x:v>
      </x:c>
      <x:c r="O885" s="7" t="str">
        <x:v>Not displayed</x:v>
      </x:c>
      <x:c r="P885" s="7" t="str"/>
      <x:c r="Q885" s="7" t="str"/>
      <x:c r="R885" s="7" t="str"/>
      <x:c r="S885" s="15" t="str"/>
      <x:c r="T885" s="7" t="str">
        <x:v>No public business phone in collected record</x:v>
      </x:c>
      <x:c r="U885" s="7" t="str"/>
      <x:c r="V885" s="7" t="str">
        <x:v>Non-resident</x:v>
      </x:c>
      <x:c r="W885" s="7" t="str">
        <x:v>AZ</x:v>
      </x:c>
      <x:c r="X885" s="7" t="str"/>
      <x:c r="Y885" s="7" t="str"/>
      <x:c r="Z885" s="7" t="str"/>
      <x:c r="AA885" s="7" t="str"/>
      <x:c r="AB885" s="7" t="str"/>
      <x:c r="AC885" s="7" t="str"/>
      <x:c r="AD885" s="7" t="str">
        <x:v>No agency or insurer displayed: onboarding opportunity possible; existing business unknown</x:v>
      </x:c>
      <x:c r="AE885" s="7" t="str">
        <x:v>Nonresident or address state outside CA; confirm geographic recruiting scope | No public business phone: contact enrichment needed, not proof of poor recruiting fit</x:v>
      </x:c>
      <x:c r="AF885" s="16" t="str"/>
      <x:c r="AG885" s="17" t="str"/>
      <x:c r="AH885" s="7" t="str"/>
      <x:c r="AI885" s="7" t="str"/>
      <x:c r="AJ885" s="7" t="str"/>
      <x:c r="AK885" s="15" t="str"/>
      <x:c r="AL885" s="7" t="str"/>
      <x:c r="AM885" s="7" t="str">
        <x:v>AGUILAR  MELANIE</x:v>
      </x:c>
      <x:c r="AN885" s="7" t="str">
        <x:v>https://cdicloud.insurance.ca.gov/cal/LicenseDetail?SearchType=IND&amp;SearchLicNbr=0K21866&amp;SearchIndvId=1754937</x:v>
      </x:c>
      <x:c r="AO885" s="7" t="str">
        <x:v>2026-10-08</x:v>
      </x:c>
      <x:c r="AP885" s="7" t="str">
        <x:v>219a166eda8c85c97221170356fa64710ebbf8994f78c9f88be56c91b2c365d3</x:v>
      </x:c>
      <x:c r="AQ885" s="7" t="str">
        <x:v>Personal Lines Broker-Agent / Inactive / 05/01/2015 / 05/03/2016 / 05/03/2016</x:v>
      </x:c>
      <x:c r="AR885" s="7" t="str">
        <x:v>Inactive</x:v>
      </x:c>
      <x:c r="AS885" s="7" t="str">
        <x:v>Current detail page</x:v>
      </x:c>
    </x:row>
    <x:row r="886" ht="52" customHeight="1">
      <x:c r="A886" s="7" t="str">
        <x:v>AGUILAR MELISA MELERO</x:v>
      </x:c>
      <x:c r="B886" s="14" t="str">
        <x:f>"1M36809"</x:f>
        <x:v>1M36809</x:v>
      </x:c>
      <x:c r="C886" s="7" t="str">
        <x:v>Omitted</x:v>
      </x:c>
      <x:c r="D886" s="7" t="str">
        <x:v>FAIL</x:v>
      </x:c>
      <x:c r="E886" s="13" t="str">
        <x:v>Pending</x:v>
      </x:c>
      <x:c r="F886" s="13" t="str"/>
      <x:c r="G886" s="13" t="str"/>
      <x:c r="H886" s="13" t="str"/>
      <x:c r="I886" s="7" t="str">
        <x:v>Was this person reviewed? If rejected, give the actual rule and evidence. If acceptable, correct the omission. Confirm the Life-qualification gate and any record change since selection.</x:v>
      </x:c>
      <x:c r="J886" s="7" t="str">
        <x:v>L1</x:v>
      </x:c>
      <x:c r="K886" s="7" t="str">
        <x:v>Verified qualifications do not include active general Life. Current target-pool mismatch; actual historical omission reason unknown.</x:v>
      </x:c>
      <x:c r="L886" s="7" t="str">
        <x:v>Not supplied; membership is known, motive is not</x:v>
      </x:c>
      <x:c r="M886" s="7" t="n">
        <x:v>7</x:v>
      </x:c>
      <x:c r="N886" s="7" t="str">
        <x:v>Outside current general-Life recruiting pool</x:v>
      </x:c>
      <x:c r="O886" s="7" t="str">
        <x:v>Not displayed</x:v>
      </x:c>
      <x:c r="P886" s="7" t="str"/>
      <x:c r="Q886" s="7" t="str"/>
      <x:c r="R886" s="7" t="str"/>
      <x:c r="S886" s="15" t="str"/>
      <x:c r="T886" s="7" t="str">
        <x:v>No public business phone in collected record</x:v>
      </x:c>
      <x:c r="U886" s="7" t="str"/>
      <x:c r="V886" s="7" t="str">
        <x:v>Resident</x:v>
      </x:c>
      <x:c r="W886" s="7" t="str">
        <x:v>CA</x:v>
      </x:c>
      <x:c r="X886" s="7" t="str"/>
      <x:c r="Y886" s="7" t="str"/>
      <x:c r="Z886" s="7" t="str"/>
      <x:c r="AA886" s="7" t="str"/>
      <x:c r="AB886" s="7" t="str"/>
      <x:c r="AC886" s="7" t="str"/>
      <x:c r="AD886" s="7" t="str">
        <x:v>No agency or insurer displayed: onboarding opportunity possible; existing business unknown</x:v>
      </x:c>
      <x:c r="AE886" s="7" t="str">
        <x:v>No public business phone: contact enrichment needed, not proof of poor recruiting fit</x:v>
      </x:c>
      <x:c r="AF886" s="16" t="str"/>
      <x:c r="AG886" s="17" t="str"/>
      <x:c r="AH886" s="7" t="str"/>
      <x:c r="AI886" s="7" t="str"/>
      <x:c r="AJ886" s="7" t="str"/>
      <x:c r="AK886" s="15" t="str"/>
      <x:c r="AL886" s="7" t="str"/>
      <x:c r="AM886" s="7" t="str">
        <x:v>AGUILAR MELERO MELISA</x:v>
      </x:c>
      <x:c r="AN886" s="7" t="str">
        <x:v>https://cdicloud.insurance.ca.gov/cal/LicenseDetail?SearchType=IND&amp;SearchLicNbr=1M36809&amp;SearchIndvId=2014187</x:v>
      </x:c>
      <x:c r="AO886" s="7" t="str">
        <x:v>2026-10-08</x:v>
      </x:c>
      <x:c r="AP886" s="7" t="str">
        <x:v>b5f75bb8eb4393edd94537b9fe269072ef39e22b5648fe6290e9164b61410077</x:v>
      </x:c>
      <x:c r="AQ886" s="7" t="str">
        <x:v>Bail Agent / Inactive / 05/29/2018 / 12/10/2018 / 12/10/2018</x:v>
      </x:c>
      <x:c r="AR886" s="7" t="str">
        <x:v>Inactive</x:v>
      </x:c>
      <x:c r="AS886" s="7" t="str">
        <x:v>Current detail page</x:v>
      </x:c>
    </x:row>
    <x:row r="887" ht="52" customHeight="1">
      <x:c r="A887" s="7" t="str">
        <x:v>AGUILAR MELISSA</x:v>
      </x:c>
      <x:c r="B887" s="14" t="str">
        <x:f>"0K64961"</x:f>
        <x:v>0K64961</x:v>
      </x:c>
      <x:c r="C887" s="7" t="str">
        <x:v>Omitted</x:v>
      </x:c>
      <x:c r="D887" s="7" t="str">
        <x:v>FAIL</x:v>
      </x:c>
      <x:c r="E887" s="13" t="str">
        <x:v>Pending</x:v>
      </x:c>
      <x:c r="F887" s="13" t="str"/>
      <x:c r="G887" s="13" t="str"/>
      <x:c r="H887" s="13" t="str"/>
      <x:c r="I887" s="7" t="str">
        <x:v>Was this person reviewed? If rejected, give the actual rule and evidence. If acceptable, correct the omission. Confirm the Life-qualification gate and any record change since selection.</x:v>
      </x:c>
      <x:c r="J887" s="7" t="str">
        <x:v>L1</x:v>
      </x:c>
      <x:c r="K887" s="7" t="str">
        <x:v>Verified qualifications do not include active general Life. Current target-pool mismatch; actual historical omission reason unknown.</x:v>
      </x:c>
      <x:c r="L887" s="7" t="str">
        <x:v>Not supplied; membership is known, motive is not</x:v>
      </x:c>
      <x:c r="M887" s="7" t="n">
        <x:v>7</x:v>
      </x:c>
      <x:c r="N887" s="7" t="str">
        <x:v>Outside current general-Life recruiting pool</x:v>
      </x:c>
      <x:c r="O887" s="7" t="str">
        <x:v>Not displayed</x:v>
      </x:c>
      <x:c r="P887" s="7" t="str"/>
      <x:c r="Q887" s="7" t="str"/>
      <x:c r="R887" s="7" t="str">
        <x:v>Personal Lines</x:v>
      </x:c>
      <x:c r="S887" s="15" t="str">
        <x:v>818-848-1133</x:v>
      </x:c>
      <x:c r="T887" s="7" t="str">
        <x:v>Current CDI</x:v>
      </x:c>
      <x:c r="U887" s="7" t="str">
        <x:v>2123 N GLENOAKS BLVD BURBANK CA, 91504</x:v>
      </x:c>
      <x:c r="V887" s="7" t="str">
        <x:v>Resident</x:v>
      </x:c>
      <x:c r="W887" s="7" t="str">
        <x:v>CA</x:v>
      </x:c>
      <x:c r="X887" s="7" t="str">
        <x:v>FIESTA INSURANCE FRANCHISE CORPORATION / Personal Lines / 01/21/2021</x:v>
      </x:c>
      <x:c r="Y887" s="7" t="str"/>
      <x:c r="Z887" s="7" t="str"/>
      <x:c r="AA887" s="7" t="str"/>
      <x:c r="AB887" s="7" t="str"/>
      <x:c r="AC887" s="7" t="str"/>
      <x:c r="AD887" s="7" t="str"/>
      <x:c r="AE887" s="7" t="str">
        <x:v>P&amp;C/Personal Lines authority without displayed core Life appointments; mixed profile requires review</x:v>
      </x:c>
      <x:c r="AF887" s="16" t="str"/>
      <x:c r="AG887" s="17" t="str"/>
      <x:c r="AH887" s="7" t="str"/>
      <x:c r="AI887" s="7" t="str">
        <x:v>English, Spanish, Spanish</x:v>
      </x:c>
      <x:c r="AJ887" s="7" t="str"/>
      <x:c r="AK887" s="15" t="str"/>
      <x:c r="AL887" s="7" t="str"/>
      <x:c r="AM887" s="7" t="str">
        <x:v>AGUILAR  MELISSA</x:v>
      </x:c>
      <x:c r="AN887" s="7" t="str">
        <x:v>https://cdicloud.insurance.ca.gov/cal/LicenseDetail?SearchType=IND&amp;SearchLicNbr=0K64961&amp;SearchIndvId=1808438</x:v>
      </x:c>
      <x:c r="AO887" s="7" t="str">
        <x:v>2026-10-08</x:v>
      </x:c>
      <x:c r="AP887" s="7" t="str">
        <x:v>400419a65f5906dc774984925b29f20ec44a78bca395ea9f7cb970da3aa91f98</x:v>
      </x:c>
      <x:c r="AQ887" s="7" t="str">
        <x:v>Personal Lines / Active / 11/17/2016 / 02/26/2018 / 12/31/2027</x:v>
      </x:c>
      <x:c r="AR887" s="7" t="str">
        <x:v>Active</x:v>
      </x:c>
      <x:c r="AS887" s="7" t="str">
        <x:v>Current detail page</x:v>
      </x:c>
    </x:row>
    <x:row r="888" ht="52" customHeight="1">
      <x:c r="A888" s="7" t="str">
        <x:v>AGUILAR MELISSA ANN</x:v>
      </x:c>
      <x:c r="B888" s="14" t="str">
        <x:f>"0G09089"</x:f>
        <x:v>0G09089</x:v>
      </x:c>
      <x:c r="C888" s="7" t="str">
        <x:v>Omitted</x:v>
      </x:c>
      <x:c r="D888" s="7" t="str">
        <x:v>FAIL</x:v>
      </x:c>
      <x:c r="E888" s="13" t="str">
        <x:v>Pending</x:v>
      </x:c>
      <x:c r="F888" s="13" t="str"/>
      <x:c r="G888" s="13" t="str"/>
      <x:c r="H888" s="13" t="str"/>
      <x:c r="I888" s="7" t="str">
        <x:v>Was this person reviewed? If rejected, give the actual rule and evidence. If acceptable, correct the omission. Confirm the Life-qualification gate and any record change since selection.</x:v>
      </x:c>
      <x:c r="J888" s="7" t="str">
        <x:v>L1</x:v>
      </x:c>
      <x:c r="K888" s="7" t="str">
        <x:v>Verified qualifications do not include active general Life. Current target-pool mismatch; actual historical omission reason unknown.</x:v>
      </x:c>
      <x:c r="L888" s="7" t="str">
        <x:v>Not supplied; membership is known, motive is not</x:v>
      </x:c>
      <x:c r="M888" s="7" t="n">
        <x:v>7</x:v>
      </x:c>
      <x:c r="N888" s="7" t="str">
        <x:v>Outside current general-Life recruiting pool</x:v>
      </x:c>
      <x:c r="O888" s="7" t="str">
        <x:v>Not displayed</x:v>
      </x:c>
      <x:c r="P888" s="7" t="str"/>
      <x:c r="Q888" s="7" t="str"/>
      <x:c r="R888" s="7" t="str"/>
      <x:c r="S888" s="15" t="str"/>
      <x:c r="T888" s="7" t="str">
        <x:v>No public business phone in collected record</x:v>
      </x:c>
      <x:c r="U888" s="7" t="str"/>
      <x:c r="V888" s="7" t="str">
        <x:v>Non-resident</x:v>
      </x:c>
      <x:c r="W888" s="7" t="str">
        <x:v>TX</x:v>
      </x:c>
      <x:c r="X888" s="7" t="str"/>
      <x:c r="Y888" s="7" t="str"/>
      <x:c r="Z888" s="7" t="str"/>
      <x:c r="AA888" s="7" t="str"/>
      <x:c r="AB888" s="7" t="str"/>
      <x:c r="AC888" s="7" t="str"/>
      <x:c r="AD888" s="7" t="str">
        <x:v>No agency or insurer displayed: onboarding opportunity possible; existing business unknown</x:v>
      </x:c>
      <x:c r="AE888" s="7" t="str">
        <x:v>Nonresident or address state outside CA; confirm geographic recruiting scope | No public business phone: contact enrichment needed, not proof of poor recruiting fit</x:v>
      </x:c>
      <x:c r="AF888" s="16" t="str"/>
      <x:c r="AG888" s="17" t="str"/>
      <x:c r="AH888" s="7" t="str"/>
      <x:c r="AI888" s="7" t="str"/>
      <x:c r="AJ888" s="7" t="str"/>
      <x:c r="AK888" s="15" t="str"/>
      <x:c r="AL888" s="7" t="str"/>
      <x:c r="AM888" s="7" t="str">
        <x:v>AGUILAR ANN MELISSA</x:v>
      </x:c>
      <x:c r="AN888" s="7" t="str">
        <x:v>https://cdicloud.insurance.ca.gov/cal/LicenseDetail?SearchType=IND&amp;SearchLicNbr=0G09089&amp;SearchIndvId=1132987</x:v>
      </x:c>
      <x:c r="AO888" s="7" t="str">
        <x:v>2026-10-08</x:v>
      </x:c>
      <x:c r="AP888" s="7" t="str">
        <x:v>f8d9a9e4a49917d007fb440fd7c74fd14495658654cbda3a68dd52c5da9a8ace</x:v>
      </x:c>
      <x:c r="AQ888" s="7" t="str">
        <x:v>Casualty Broker-Agent / Voluntary Surrender / 04/10/2008 / 03/08/2010 / 03/08/2010
Property Broker-Agent / Voluntary Surrender / 04/10/2008 / 03/08/2010 / 03/08/2010</x:v>
      </x:c>
      <x:c r="AR888" s="7" t="str">
        <x:v>Voluntary Surrender</x:v>
      </x:c>
      <x:c r="AS888" s="7" t="str">
        <x:v>Current detail page</x:v>
      </x:c>
    </x:row>
    <x:row r="889" ht="52" customHeight="1">
      <x:c r="A889" s="7" t="str">
        <x:v>AGUILAR MELITON</x:v>
      </x:c>
      <x:c r="B889" s="14" t="str">
        <x:f>"0G45914"</x:f>
        <x:v>0G45914</x:v>
      </x:c>
      <x:c r="C889" s="7" t="str">
        <x:v>Omitted</x:v>
      </x:c>
      <x:c r="D889" s="7" t="str">
        <x:v>FAIL</x:v>
      </x:c>
      <x:c r="E889" s="13" t="str">
        <x:v>Pending</x:v>
      </x:c>
      <x:c r="F889" s="13" t="str"/>
      <x:c r="G889" s="13" t="str"/>
      <x:c r="H889" s="13" t="str"/>
      <x:c r="I889" s="7" t="str">
        <x:v>Was this person reviewed? If rejected, give the actual rule and evidence. If acceptable, correct the omission. Confirm the Life-qualification gate and any record change since selection.</x:v>
      </x:c>
      <x:c r="J889" s="7" t="str">
        <x:v>L1</x:v>
      </x:c>
      <x:c r="K889" s="7" t="str">
        <x:v>Verified qualifications do not include active general Life. Current target-pool mismatch; actual historical omission reason unknown.</x:v>
      </x:c>
      <x:c r="L889" s="7" t="str">
        <x:v>Not supplied; membership is known, motive is not</x:v>
      </x:c>
      <x:c r="M889" s="7" t="n">
        <x:v>7</x:v>
      </x:c>
      <x:c r="N889" s="7" t="str">
        <x:v>Outside current general-Life recruiting pool</x:v>
      </x:c>
      <x:c r="O889" s="7" t="str">
        <x:v>Not displayed</x:v>
      </x:c>
      <x:c r="P889" s="7" t="str"/>
      <x:c r="Q889" s="7" t="str"/>
      <x:c r="R889" s="7" t="str">
        <x:v>Title Marketing Representative</x:v>
      </x:c>
      <x:c r="S889" s="15" t="str">
        <x:v>619-260-0015</x:v>
      </x:c>
      <x:c r="T889" s="7" t="str">
        <x:v>Current CDI</x:v>
      </x:c>
      <x:c r="U889" s="7" t="str">
        <x:v>2275 RIO BONITO WAY, #160 SAN DIEGO CA, 92108</x:v>
      </x:c>
      <x:c r="V889" s="7" t="str">
        <x:v>Resident</x:v>
      </x:c>
      <x:c r="W889" s="7" t="str">
        <x:v>CA</x:v>
      </x:c>
      <x:c r="X889" s="7" t="str"/>
      <x:c r="Y889" s="7" t="str">
        <x:v>TICOR TITLE COMPANY OF CALIFORNIA / Title Marketing Representative / 10/18/2021</x:v>
      </x:c>
      <x:c r="Z889" s="7" t="str"/>
      <x:c r="AA889" s="7" t="str"/>
      <x:c r="AB889" s="7" t="str"/>
      <x:c r="AC889" s="7" t="str"/>
      <x:c r="AD889" s="7" t="str"/>
      <x:c r="AE889" s="7" t="str"/>
      <x:c r="AF889" s="16" t="str"/>
      <x:c r="AG889" s="17" t="str"/>
      <x:c r="AH889" s="7" t="str"/>
      <x:c r="AI889" s="7" t="str">
        <x:v>English</x:v>
      </x:c>
      <x:c r="AJ889" s="7" t="str"/>
      <x:c r="AK889" s="15" t="str"/>
      <x:c r="AL889" s="7" t="str"/>
      <x:c r="AM889" s="7" t="str">
        <x:v>AGUILAR  MELITON</x:v>
      </x:c>
      <x:c r="AN889" s="7" t="str">
        <x:v>https://cdicloud.insurance.ca.gov/cal/LicenseDetail?SearchType=IND&amp;SearchLicNbr=0G45914&amp;SearchIndvId=1221255</x:v>
      </x:c>
      <x:c r="AO889" s="7" t="str">
        <x:v>2026-10-08</x:v>
      </x:c>
      <x:c r="AP889" s="7" t="str">
        <x:v>7704526d8d17a6f984f156b6bcddaccfe8e01d28d15d4342fab0512e1e0f4215</x:v>
      </x:c>
      <x:c r="AQ889" s="7" t="str">
        <x:v>Title Marketing Representative / Active / 01/01/2009 / 01/01/2009 / 01/31/2027</x:v>
      </x:c>
      <x:c r="AR889" s="7" t="str">
        <x:v>Active</x:v>
      </x:c>
      <x:c r="AS889" s="7" t="str">
        <x:v>Current detail page</x:v>
      </x:c>
    </x:row>
    <x:row r="890" ht="52" customHeight="1">
      <x:c r="A890" s="7" t="str">
        <x:v>AGUILAR MENA KARLA</x:v>
      </x:c>
      <x:c r="B890" s="14" t="str">
        <x:f>"4318370"</x:f>
        <x:v>4318370</x:v>
      </x:c>
      <x:c r="C890" s="7" t="str">
        <x:v>Omitted</x:v>
      </x:c>
      <x:c r="D890" s="7" t="str">
        <x:v>FAIL</x:v>
      </x:c>
      <x:c r="E890" s="13" t="str">
        <x:v>Pending</x:v>
      </x:c>
      <x:c r="F890" s="13" t="str"/>
      <x:c r="G890" s="13" t="str"/>
      <x:c r="H890" s="13" t="str"/>
      <x:c r="I890" s="7" t="str">
        <x:v>Was this person reviewed? If rejected, give the actual rule and evidence. If acceptable, correct the omission. Confirm the Life-qualification gate and any record change since selection.</x:v>
      </x:c>
      <x:c r="J890" s="7" t="str">
        <x:v>L1</x:v>
      </x:c>
      <x:c r="K890" s="7" t="str">
        <x:v>Verified qualifications do not include active general Life. Current target-pool mismatch; actual historical omission reason unknown.</x:v>
      </x:c>
      <x:c r="L890" s="7" t="str">
        <x:v>Not supplied; membership is known, motive is not</x:v>
      </x:c>
      <x:c r="M890" s="7" t="n">
        <x:v>7</x:v>
      </x:c>
      <x:c r="N890" s="7" t="str">
        <x:v>Outside current general-Life recruiting pool</x:v>
      </x:c>
      <x:c r="O890" s="7" t="str">
        <x:v>Not displayed</x:v>
      </x:c>
      <x:c r="P890" s="7" t="str"/>
      <x:c r="Q890" s="7" t="str"/>
      <x:c r="R890" s="7" t="str">
        <x:v>Personal Lines</x:v>
      </x:c>
      <x:c r="S890" s="15" t="str"/>
      <x:c r="T890" s="7" t="str">
        <x:v>No public business phone in collected record</x:v>
      </x:c>
      <x:c r="U890" s="7" t="str">
        <x:v>1200 W WARNER AVE SUITE E SANTA ANA CA, 92707</x:v>
      </x:c>
      <x:c r="V890" s="7" t="str">
        <x:v>Resident</x:v>
      </x:c>
      <x:c r="W890" s="7" t="str">
        <x:v>CA</x:v>
      </x:c>
      <x:c r="X890" s="7" t="str">
        <x:v>ZERON INSURANCE SERVICES INC / Personal Lines / 09/18/2024</x:v>
      </x:c>
      <x:c r="Y890" s="7" t="str">
        <x:v>FOREMOST INSURANCE COMPANY GRAND RAPIDS, MICHIGAN / Personal Lines / 11/12/2024</x:v>
      </x:c>
      <x:c r="Z890" s="7" t="str"/>
      <x:c r="AA890" s="7" t="str"/>
      <x:c r="AB890" s="7" t="str"/>
      <x:c r="AC890" s="7" t="str"/>
      <x:c r="AD890" s="7" t="str"/>
      <x:c r="AE890" s="7" t="str">
        <x:v>P&amp;C/Personal Lines authority without displayed core Life appointments; mixed profile requires review | No public business phone: contact enrichment needed, not proof of poor recruiting fit</x:v>
      </x:c>
      <x:c r="AF890" s="16" t="str"/>
      <x:c r="AG890" s="17" t="str"/>
      <x:c r="AH890" s="7" t="str"/>
      <x:c r="AI890" s="7" t="str">
        <x:v>English</x:v>
      </x:c>
      <x:c r="AJ890" s="7" t="str"/>
      <x:c r="AK890" s="15" t="str"/>
      <x:c r="AL890" s="7" t="str"/>
      <x:c r="AM890" s="7" t="str">
        <x:v>AGUILAR MENA  KARLA</x:v>
      </x:c>
      <x:c r="AN890" s="7" t="str">
        <x:v>https://cdicloud.insurance.ca.gov/cal/LicenseDetail?SearchType=IND&amp;SearchLicNbr=4318370&amp;SearchIndvId=4318370</x:v>
      </x:c>
      <x:c r="AO890" s="7" t="str">
        <x:v>2026-10-08</x:v>
      </x:c>
      <x:c r="AP890" s="7" t="str">
        <x:v>a6db898b9be3639c41752f298c2a7bfe7aa5d86f92acb42453eee3ad515fb580</x:v>
      </x:c>
      <x:c r="AQ890" s="7" t="str">
        <x:v>Personal Lines / Active / 09/18/2023 / 09/18/2023 / 09/30/2027</x:v>
      </x:c>
      <x:c r="AR890" s="7" t="str">
        <x:v>Active</x:v>
      </x:c>
      <x:c r="AS890" s="7" t="str">
        <x:v>Current detail page</x:v>
      </x:c>
    </x:row>
    <x:row r="891" ht="52" customHeight="1">
      <x:c r="A891" s="7" t="str">
        <x:v>AGUILAR MERCEDES ELIZABETH</x:v>
      </x:c>
      <x:c r="B891" s="14" t="str">
        <x:f>"0M00580"</x:f>
        <x:v>0M00580</x:v>
      </x:c>
      <x:c r="C891" s="7" t="str">
        <x:v>Omitted</x:v>
      </x:c>
      <x:c r="D891" s="7" t="str">
        <x:v>FAIL</x:v>
      </x:c>
      <x:c r="E891" s="13" t="str">
        <x:v>Pending</x:v>
      </x:c>
      <x:c r="F891" s="13" t="str"/>
      <x:c r="G891" s="13" t="str"/>
      <x:c r="H891" s="13" t="str"/>
      <x:c r="I891" s="7" t="str">
        <x:v>Was this person reviewed? If rejected, give the actual rule and evidence. If acceptable, correct the omission. Confirm the Life-qualification gate and any record change since selection.</x:v>
      </x:c>
      <x:c r="J891" s="7" t="str">
        <x:v>L1</x:v>
      </x:c>
      <x:c r="K891" s="7" t="str">
        <x:v>Verified qualifications do not include active general Life. Current target-pool mismatch; actual historical omission reason unknown.</x:v>
      </x:c>
      <x:c r="L891" s="7" t="str">
        <x:v>Not supplied; membership is known, motive is not</x:v>
      </x:c>
      <x:c r="M891" s="7" t="n">
        <x:v>7</x:v>
      </x:c>
      <x:c r="N891" s="7" t="str">
        <x:v>Outside current general-Life recruiting pool</x:v>
      </x:c>
      <x:c r="O891" s="7" t="str">
        <x:v>Not displayed</x:v>
      </x:c>
      <x:c r="P891" s="7" t="str"/>
      <x:c r="Q891" s="7" t="str"/>
      <x:c r="R891" s="7" t="str">
        <x:v>Casualty; Property</x:v>
      </x:c>
      <x:c r="S891" s="15" t="str">
        <x:v>916-504-1948</x:v>
      </x:c>
      <x:c r="T891" s="7" t="str">
        <x:v>Current CDI</x:v>
      </x:c>
      <x:c r="U891" s="7" t="str">
        <x:v>7523 GREYHAWK CT SACRAMENTO CA, 95828</x:v>
      </x:c>
      <x:c r="V891" s="7" t="str">
        <x:v>Resident</x:v>
      </x:c>
      <x:c r="W891" s="7" t="str">
        <x:v>CA</x:v>
      </x:c>
      <x:c r="X891" s="7" t="str"/>
      <x:c r="Y891" s="7" t="str"/>
      <x:c r="Z891" s="7" t="str"/>
      <x:c r="AA891" s="7" t="str"/>
      <x:c r="AB891" s="7" t="str"/>
      <x:c r="AC891" s="7" t="str"/>
      <x:c r="AD891" s="7" t="str">
        <x:v>No agency or insurer displayed: onboarding opportunity possible; existing business unknown</x:v>
      </x:c>
      <x:c r="AE891" s="7" t="str">
        <x:v>P&amp;C/Personal Lines authority without displayed core Life appointments; mixed profile requires review</x:v>
      </x:c>
      <x:c r="AF891" s="16" t="str"/>
      <x:c r="AG891" s="17" t="str"/>
      <x:c r="AH891" s="7" t="str"/>
      <x:c r="AI891" s="7" t="str">
        <x:v>English</x:v>
      </x:c>
      <x:c r="AJ891" s="7" t="str"/>
      <x:c r="AK891" s="15" t="str"/>
      <x:c r="AL891" s="7" t="str"/>
      <x:c r="AM891" s="7" t="str">
        <x:v>AGUILAR ELIZABETH MERCEDES</x:v>
      </x:c>
      <x:c r="AN891" s="7" t="str">
        <x:v>https://cdicloud.insurance.ca.gov/cal/LicenseDetail?SearchType=IND&amp;SearchLicNbr=0M00580&amp;SearchIndvId=1972585</x:v>
      </x:c>
      <x:c r="AO891" s="7" t="str">
        <x:v>2026-10-08</x:v>
      </x:c>
      <x:c r="AP891" s="7" t="str">
        <x:v>654c1ec701ee28dd1a073813a091566dee76bcdf8aaf4fea80af578e90e33988</x:v>
      </x:c>
      <x:c r="AQ891" s="7" t="str">
        <x:v>Casualty / Active / 10/20/2017 / 11/07/2025 / 10/31/2027
Property / Active / 10/20/2017 / 11/07/2025 / 10/31/2027</x:v>
      </x:c>
      <x:c r="AR891" s="7" t="str">
        <x:v>Active</x:v>
      </x:c>
      <x:c r="AS891" s="7" t="str">
        <x:v>Current detail page</x:v>
      </x:c>
    </x:row>
    <x:row r="892" ht="52" customHeight="1">
      <x:c r="A892" s="7" t="str">
        <x:v>AGUILAR MICHAEL ANGEL</x:v>
      </x:c>
      <x:c r="B892" s="14" t="str">
        <x:f>"0N08509"</x:f>
        <x:v>0N08509</x:v>
      </x:c>
      <x:c r="C892" s="7" t="str">
        <x:v>Omitted</x:v>
      </x:c>
      <x:c r="D892" s="7" t="str">
        <x:v>FAIL</x:v>
      </x:c>
      <x:c r="E892" s="13" t="str">
        <x:v>Pending</x:v>
      </x:c>
      <x:c r="F892" s="13" t="str"/>
      <x:c r="G892" s="13" t="str"/>
      <x:c r="H892" s="13" t="str"/>
      <x:c r="I892" s="7" t="str">
        <x:v>Was this person reviewed? If rejected, give the actual rule and evidence. If acceptable, correct the omission. Confirm the Life-qualification gate and any record change since selection.</x:v>
      </x:c>
      <x:c r="J892" s="7" t="str">
        <x:v>L1</x:v>
      </x:c>
      <x:c r="K892" s="7" t="str">
        <x:v>Verified qualifications do not include active general Life. Current target-pool mismatch; actual historical omission reason unknown.</x:v>
      </x:c>
      <x:c r="L892" s="7" t="str">
        <x:v>Not supplied; membership is known, motive is not</x:v>
      </x:c>
      <x:c r="M892" s="7" t="n">
        <x:v>7</x:v>
      </x:c>
      <x:c r="N892" s="7" t="str">
        <x:v>Outside current general-Life recruiting pool</x:v>
      </x:c>
      <x:c r="O892" s="7" t="str">
        <x:v>Inactive</x:v>
      </x:c>
      <x:c r="P892" s="7" t="str">
        <x:v>07/17/2019</x:v>
      </x:c>
      <x:c r="Q892" s="7" t="str">
        <x:v>07/31/2021</x:v>
      </x:c>
      <x:c r="R892" s="7" t="str"/>
      <x:c r="S892" s="15" t="str"/>
      <x:c r="T892" s="7" t="str">
        <x:v>No public business phone in collected record</x:v>
      </x:c>
      <x:c r="U892" s="7" t="str"/>
      <x:c r="V892" s="7" t="str">
        <x:v>Resident</x:v>
      </x:c>
      <x:c r="W892" s="7" t="str">
        <x:v>CA</x:v>
      </x:c>
      <x:c r="X892" s="7" t="str"/>
      <x:c r="Y892" s="7" t="str"/>
      <x:c r="Z892" s="7" t="str"/>
      <x:c r="AA892" s="7" t="str"/>
      <x:c r="AB892" s="7" t="str"/>
      <x:c r="AC892" s="7" t="str"/>
      <x:c r="AD892" s="7" t="str">
        <x:v>No agency or insurer displayed: onboarding opportunity possible; existing business unknown</x:v>
      </x:c>
      <x:c r="AE892" s="7" t="str">
        <x:v>No public business phone: contact enrichment needed, not proof of poor recruiting fit</x:v>
      </x:c>
      <x:c r="AF892" s="16" t="str"/>
      <x:c r="AG892" s="17" t="str"/>
      <x:c r="AH892" s="7" t="str"/>
      <x:c r="AI892" s="7" t="str"/>
      <x:c r="AJ892" s="7" t="str"/>
      <x:c r="AK892" s="15" t="str"/>
      <x:c r="AL892" s="7" t="str"/>
      <x:c r="AM892" s="7" t="str">
        <x:v>AGUILAR ANGEL MICHAEL</x:v>
      </x:c>
      <x:c r="AN892" s="7" t="str">
        <x:v>https://cdicloud.insurance.ca.gov/cal/LicenseDetail?SearchType=IND&amp;SearchLicNbr=0N08509&amp;SearchIndvId=2113284</x:v>
      </x:c>
      <x:c r="AO892" s="7" t="str">
        <x:v>2026-10-08</x:v>
      </x:c>
      <x:c r="AP892" s="7" t="str">
        <x:v>b0ea1e8d96f833a014af7f56d9d62baafd2cb4a36b24df6abcda010f51f08563</x:v>
      </x:c>
      <x:c r="AQ892" s="7" t="str">
        <x:v>Accident &amp; Health or Sickness / Inactive / 07/17/2019 / 07/31/2021 / 07/31/2021
Life / Inactive / 07/17/2019 / 07/31/2021 / 07/31/2021</x:v>
      </x:c>
      <x:c r="AR892" s="7" t="str">
        <x:v>Inactive</x:v>
      </x:c>
      <x:c r="AS892" s="7" t="str">
        <x:v>Current detail page</x:v>
      </x:c>
    </x:row>
    <x:row r="893" ht="52" customHeight="1">
      <x:c r="A893" s="7" t="str">
        <x:v>AGUILAR MICHAEL GABRIEL</x:v>
      </x:c>
      <x:c r="B893" s="14" t="str">
        <x:f>"4087251"</x:f>
        <x:v>4087251</x:v>
      </x:c>
      <x:c r="C893" s="7" t="str">
        <x:v>Omitted</x:v>
      </x:c>
      <x:c r="D893" s="7" t="str">
        <x:v>FAIL</x:v>
      </x:c>
      <x:c r="E893" s="13" t="str">
        <x:v>Pending</x:v>
      </x:c>
      <x:c r="F893" s="13" t="str"/>
      <x:c r="G893" s="13" t="str"/>
      <x:c r="H893" s="13" t="str"/>
      <x:c r="I893" s="7" t="str">
        <x:v>Was this person reviewed? If rejected, give the actual rule and evidence. If acceptable, correct the omission. Confirm the Life-qualification gate and any record change since selection.</x:v>
      </x:c>
      <x:c r="J893" s="7" t="str">
        <x:v>L1</x:v>
      </x:c>
      <x:c r="K893" s="7" t="str">
        <x:v>Verified qualifications do not include active general Life. Current target-pool mismatch; actual historical omission reason unknown.</x:v>
      </x:c>
      <x:c r="L893" s="7" t="str">
        <x:v>Not supplied; membership is known, motive is not</x:v>
      </x:c>
      <x:c r="M893" s="7" t="n">
        <x:v>7</x:v>
      </x:c>
      <x:c r="N893" s="7" t="str">
        <x:v>Outside current general-Life recruiting pool</x:v>
      </x:c>
      <x:c r="O893" s="7" t="str">
        <x:v>Not displayed</x:v>
      </x:c>
      <x:c r="P893" s="7" t="str"/>
      <x:c r="Q893" s="7" t="str"/>
      <x:c r="R893" s="7" t="str"/>
      <x:c r="S893" s="15" t="str"/>
      <x:c r="T893" s="7" t="str">
        <x:v>No public business phone in collected record</x:v>
      </x:c>
      <x:c r="U893" s="7" t="str">
        <x:v>6400 EDGEMERE BLVD APT 34 EL PASO TX, 79925</x:v>
      </x:c>
      <x:c r="V893" s="7" t="str">
        <x:v>Non-resident</x:v>
      </x:c>
      <x:c r="W893" s="7" t="str">
        <x:v>TX</x:v>
      </x:c>
      <x:c r="X893" s="7" t="str"/>
      <x:c r="Y893" s="7" t="str"/>
      <x:c r="Z893" s="7" t="str"/>
      <x:c r="AA893" s="7" t="str"/>
      <x:c r="AB893" s="7" t="str"/>
      <x:c r="AC893" s="7" t="str"/>
      <x:c r="AD893" s="7" t="str">
        <x:v>No agency or insurer displayed: onboarding opportunity possible; existing business unknown</x:v>
      </x:c>
      <x:c r="AE893" s="7" t="str">
        <x:v>Nonresident or address state outside CA; confirm geographic recruiting scope | No public business phone: contact enrichment needed, not proof of poor recruiting fit</x:v>
      </x:c>
      <x:c r="AF893" s="16" t="str"/>
      <x:c r="AG893" s="17" t="str"/>
      <x:c r="AH893" s="7" t="str"/>
      <x:c r="AI893" s="7" t="str"/>
      <x:c r="AJ893" s="7" t="str"/>
      <x:c r="AK893" s="15" t="str"/>
      <x:c r="AL893" s="7" t="str"/>
      <x:c r="AM893" s="7" t="str">
        <x:v>AGUILAR GABRIEL MICHAEL</x:v>
      </x:c>
      <x:c r="AN893" s="7" t="str">
        <x:v>https://cdicloud.insurance.ca.gov/cal/LicenseDetail?SearchType=IND&amp;SearchLicNbr=4087251&amp;SearchIndvId=4087251</x:v>
      </x:c>
      <x:c r="AO893" s="7" t="str">
        <x:v>2026-10-08</x:v>
      </x:c>
      <x:c r="AP893" s="7" t="str">
        <x:v>a09a092aaed4b80ba368857f8457bc60b31781b6b32d343e0b7d579dc080c118</x:v>
      </x:c>
      <x:c r="AQ893" s="7" t="str">
        <x:v>Accident &amp; Health or Sickness / Inactive / 11/10/2020 / 11/30/2022 / 11/30/2022</x:v>
      </x:c>
      <x:c r="AR893" s="7" t="str">
        <x:v>Inactive</x:v>
      </x:c>
      <x:c r="AS893" s="7" t="str">
        <x:v>Current detail page</x:v>
      </x:c>
    </x:row>
    <x:row r="894" ht="52" customHeight="1">
      <x:c r="A894" s="7" t="str">
        <x:v>AGUILAR MICHAELL JEREMY</x:v>
      </x:c>
      <x:c r="B894" s="14" t="str">
        <x:f>"4400141"</x:f>
        <x:v>4400141</x:v>
      </x:c>
      <x:c r="C894" s="7" t="str">
        <x:v>Omitted</x:v>
      </x:c>
      <x:c r="D894" s="7" t="str">
        <x:v>FAIL</x:v>
      </x:c>
      <x:c r="E894" s="13" t="str">
        <x:v>Pending</x:v>
      </x:c>
      <x:c r="F894" s="13" t="str"/>
      <x:c r="G894" s="13" t="str"/>
      <x:c r="H894" s="13" t="str"/>
      <x:c r="I894" s="7" t="str">
        <x:v>Was this person reviewed? If rejected, give the actual rule and evidence. If acceptable, correct the omission. Confirm the Life-qualification gate and any record change since selection.</x:v>
      </x:c>
      <x:c r="J894" s="7" t="str">
        <x:v>L1</x:v>
      </x:c>
      <x:c r="K894" s="7" t="str">
        <x:v>Verified qualifications do not include active general Life. Current target-pool mismatch; actual historical omission reason unknown.</x:v>
      </x:c>
      <x:c r="L894" s="7" t="str">
        <x:v>Not supplied; membership is known, motive is not</x:v>
      </x:c>
      <x:c r="M894" s="7" t="n">
        <x:v>7</x:v>
      </x:c>
      <x:c r="N894" s="7" t="str">
        <x:v>Outside current general-Life recruiting pool</x:v>
      </x:c>
      <x:c r="O894" s="7" t="str"/>
      <x:c r="P894" s="7" t="str">
        <x:v>08/20/2024</x:v>
      </x:c>
      <x:c r="Q894" s="7" t="str">
        <x:v>08/31/2026</x:v>
      </x:c>
      <x:c r="R894" s="7" t="str"/>
      <x:c r="S894" s="15" t="str"/>
      <x:c r="T894" s="7" t="str">
        <x:v>No public business phone in collected record</x:v>
      </x:c>
      <x:c r="U894" s="7" t="str"/>
      <x:c r="V894" s="7" t="str">
        <x:v>Resident</x:v>
      </x:c>
      <x:c r="W894" s="7" t="str">
        <x:v>CA</x:v>
      </x:c>
      <x:c r="X894" s="7" t="str"/>
      <x:c r="Y894" s="7" t="str"/>
      <x:c r="Z894" s="7" t="str"/>
      <x:c r="AA894" s="7" t="str"/>
      <x:c r="AB894" s="7" t="str"/>
      <x:c r="AC894" s="7" t="str"/>
      <x:c r="AD894" s="7" t="str">
        <x:v>No agency or insurer displayed: onboarding opportunity possible; existing business unknown</x:v>
      </x:c>
      <x:c r="AE894" s="7" t="str">
        <x:v>No public business phone: contact enrichment needed, not proof of poor recruiting fit</x:v>
      </x:c>
      <x:c r="AF894" s="16" t="str"/>
      <x:c r="AG894" s="17" t="str"/>
      <x:c r="AH894" s="7" t="str"/>
      <x:c r="AI894" s="7" t="str">
        <x:v>English</x:v>
      </x:c>
      <x:c r="AJ894" s="7" t="str"/>
      <x:c r="AK894" s="15" t="str"/>
      <x:c r="AL894" s="7" t="str"/>
      <x:c r="AM894" s="7" t="str">
        <x:v>AGUILAR JEREMY MICHAELL</x:v>
      </x:c>
      <x:c r="AN894" s="7" t="str">
        <x:v>https://cdicloud.insurance.ca.gov/cal/LicenseDetail?SearchType=IND&amp;SearchLicNbr=4400141&amp;SearchIndvId=4400141</x:v>
      </x:c>
      <x:c r="AO894" s="7" t="str">
        <x:v>2026-10-08</x:v>
      </x:c>
      <x:c r="AP894" s="7" t="str">
        <x:v>daa8ec1cae408960e8a99831f823a31c48221c9c6910f607f9454da6ddbba028</x:v>
      </x:c>
      <x:c r="AQ894" s="7" t="str">
        <x:v>Life /  / 08/20/2024 / 08/31/2026 / 08/31/2026</x:v>
      </x:c>
      <x:c r="AR894" s="7" t="str"/>
      <x:c r="AS894" s="7" t="str">
        <x:v>Current detail page</x:v>
      </x:c>
    </x:row>
    <x:row r="895" ht="52" customHeight="1">
      <x:c r="A895" s="7" t="str">
        <x:v>AGUILAR MICHELE</x:v>
      </x:c>
      <x:c r="B895" s="14" t="str">
        <x:f>"0A67747"</x:f>
        <x:v>0A67747</x:v>
      </x:c>
      <x:c r="C895" s="7" t="str">
        <x:v>Omitted</x:v>
      </x:c>
      <x:c r="D895" s="7" t="str">
        <x:v>FAIL</x:v>
      </x:c>
      <x:c r="E895" s="13" t="str">
        <x:v>Pending</x:v>
      </x:c>
      <x:c r="F895" s="13" t="str"/>
      <x:c r="G895" s="13" t="str"/>
      <x:c r="H895" s="13" t="str"/>
      <x:c r="I895" s="7" t="str">
        <x:v>Was this person reviewed? If rejected, give the actual rule and evidence. If acceptable, correct the omission. Confirm the Life-qualification gate and any record change since selection.</x:v>
      </x:c>
      <x:c r="J895" s="7" t="str">
        <x:v>L1</x:v>
      </x:c>
      <x:c r="K895" s="7" t="str">
        <x:v>Verified qualifications do not include active general Life. Current target-pool mismatch; actual historical omission reason unknown.</x:v>
      </x:c>
      <x:c r="L895" s="7" t="str">
        <x:v>Not supplied; membership is known, motive is not</x:v>
      </x:c>
      <x:c r="M895" s="7" t="n">
        <x:v>7</x:v>
      </x:c>
      <x:c r="N895" s="7" t="str">
        <x:v>Outside current general-Life recruiting pool</x:v>
      </x:c>
      <x:c r="O895" s="7" t="str">
        <x:v>Not displayed</x:v>
      </x:c>
      <x:c r="P895" s="7" t="str"/>
      <x:c r="Q895" s="7" t="str"/>
      <x:c r="R895" s="7" t="str"/>
      <x:c r="S895" s="15" t="str"/>
      <x:c r="T895" s="7" t="str">
        <x:v>No public business phone in collected record</x:v>
      </x:c>
      <x:c r="U895" s="7" t="str"/>
      <x:c r="V895" s="7" t="str">
        <x:v>Resident</x:v>
      </x:c>
      <x:c r="W895" s="7" t="str">
        <x:v>CA</x:v>
      </x:c>
      <x:c r="X895" s="7" t="str"/>
      <x:c r="Y895" s="7" t="str"/>
      <x:c r="Z895" s="7" t="str"/>
      <x:c r="AA895" s="7" t="str"/>
      <x:c r="AB895" s="7" t="str"/>
      <x:c r="AC895" s="7" t="str"/>
      <x:c r="AD895" s="7" t="str">
        <x:v>No agency or insurer displayed: onboarding opportunity possible; existing business unknown</x:v>
      </x:c>
      <x:c r="AE895" s="7" t="str">
        <x:v>No public business phone: contact enrichment needed, not proof of poor recruiting fit</x:v>
      </x:c>
      <x:c r="AF895" s="16" t="str"/>
      <x:c r="AG895" s="17" t="str"/>
      <x:c r="AH895" s="7" t="str"/>
      <x:c r="AI895" s="7" t="str"/>
      <x:c r="AJ895" s="7" t="str"/>
      <x:c r="AK895" s="15" t="str"/>
      <x:c r="AL895" s="7" t="str"/>
      <x:c r="AM895" s="7" t="str">
        <x:v>AGUILAR  MICHELE</x:v>
      </x:c>
      <x:c r="AN895" s="7" t="str">
        <x:v>https://cdicloud.insurance.ca.gov/cal/LicenseDetail?SearchType=IND&amp;SearchLicNbr=0A67747&amp;SearchIndvId=167226</x:v>
      </x:c>
      <x:c r="AO895" s="7" t="str">
        <x:v>2026-10-08</x:v>
      </x:c>
      <x:c r="AP895" s="7" t="str">
        <x:v>a74bb091ba86ffa912fbce836940875dcf208b33a0d544d79793841086dbd637</x:v>
      </x:c>
      <x:c r="AQ895" s="7" t="str">
        <x:v>Accident and Health / Inactive / 03/21/1991 / 11/30/1994 / 11/30/1994
Life-Only / Inactive / 03/21/1991 / 11/30/1994 / 11/30/1994</x:v>
      </x:c>
      <x:c r="AR895" s="7" t="str">
        <x:v>Inactive</x:v>
      </x:c>
      <x:c r="AS895" s="7" t="str">
        <x:v>Current detail page</x:v>
      </x:c>
    </x:row>
    <x:row r="896" ht="52" customHeight="1">
      <x:c r="A896" s="7" t="str">
        <x:v>AGUILAR MICHELE EKATHERIN</x:v>
      </x:c>
      <x:c r="B896" s="14" t="str">
        <x:f>"0I89956"</x:f>
        <x:v>0I89956</x:v>
      </x:c>
      <x:c r="C896" s="7" t="str">
        <x:v>Omitted</x:v>
      </x:c>
      <x:c r="D896" s="7" t="str">
        <x:v>FAIL</x:v>
      </x:c>
      <x:c r="E896" s="13" t="str">
        <x:v>Pending</x:v>
      </x:c>
      <x:c r="F896" s="13" t="str"/>
      <x:c r="G896" s="13" t="str"/>
      <x:c r="H896" s="13" t="str"/>
      <x:c r="I896" s="7" t="str">
        <x:v>Was this person reviewed? If rejected, give the actual rule and evidence. If acceptable, correct the omission. Confirm the Life-qualification gate and any record change since selection.</x:v>
      </x:c>
      <x:c r="J896" s="7" t="str">
        <x:v>L1</x:v>
      </x:c>
      <x:c r="K896" s="7" t="str">
        <x:v>Verified qualifications do not include active general Life. Current target-pool mismatch; actual historical omission reason unknown.</x:v>
      </x:c>
      <x:c r="L896" s="7" t="str">
        <x:v>Not supplied; membership is known, motive is not</x:v>
      </x:c>
      <x:c r="M896" s="7" t="n">
        <x:v>7</x:v>
      </x:c>
      <x:c r="N896" s="7" t="str">
        <x:v>Outside current general-Life recruiting pool</x:v>
      </x:c>
      <x:c r="O896" s="7" t="str">
        <x:v>Not displayed</x:v>
      </x:c>
      <x:c r="P896" s="7" t="str"/>
      <x:c r="Q896" s="7" t="str"/>
      <x:c r="R896" s="7" t="str">
        <x:v>Personal Lines</x:v>
      </x:c>
      <x:c r="S896" s="15" t="str"/>
      <x:c r="T896" s="7" t="str">
        <x:v>No public business phone in collected record</x:v>
      </x:c>
      <x:c r="U896" s="7" t="str">
        <x:v>1 BAXTER WAY STE 260 WESTLAKE VILLAGE CA, 91362-3872</x:v>
      </x:c>
      <x:c r="V896" s="7" t="str">
        <x:v>Resident</x:v>
      </x:c>
      <x:c r="W896" s="7" t="str">
        <x:v>CA</x:v>
      </x:c>
      <x:c r="X896" s="7" t="str">
        <x:v>COVERED INSURANCE SOLUTIONS, INC. / Personal Lines / 10/02/2024
DIRECT CHOICE INSURANCE SERVICES, INC. / Personal Lines / 09/14/2016</x:v>
      </x:c>
      <x:c r="Y896" s="7" t="str">
        <x:v>FOREMOST INSURANCE COMPANY GRAND RAPIDS, MICHIGAN / Personal Lines / 03/11/2020
LEMONADE INSURANCE COMPANY / Personal Lines / 11/08/2021</x:v>
      </x:c>
      <x:c r="Z896" s="7" t="str"/>
      <x:c r="AA896" s="7" t="str"/>
      <x:c r="AB896" s="7" t="str"/>
      <x:c r="AC896" s="7" t="str"/>
      <x:c r="AD896" s="7" t="str"/>
      <x:c r="AE896" s="7" t="str">
        <x:v>P&amp;C/Personal Lines authority without displayed core Life appointments; mixed profile requires review | No public business phone: contact enrichment needed, not proof of poor recruiting fit</x:v>
      </x:c>
      <x:c r="AF896" s="16" t="str"/>
      <x:c r="AG896" s="17" t="str"/>
      <x:c r="AH896" s="7" t="str"/>
      <x:c r="AI896" s="7" t="str">
        <x:v>English</x:v>
      </x:c>
      <x:c r="AJ896" s="7" t="str"/>
      <x:c r="AK896" s="15" t="str"/>
      <x:c r="AL896" s="7" t="str"/>
      <x:c r="AM896" s="7" t="str">
        <x:v>AGUILAR EKATHERIN MICHELE</x:v>
      </x:c>
      <x:c r="AN896" s="7" t="str">
        <x:v>https://cdicloud.insurance.ca.gov/cal/LicenseDetail?SearchType=IND&amp;SearchLicNbr=0I89956&amp;SearchIndvId=1672081</x:v>
      </x:c>
      <x:c r="AO896" s="7" t="str">
        <x:v>2026-10-08</x:v>
      </x:c>
      <x:c r="AP896" s="7" t="str">
        <x:v>5fe919078f1965271c10eb3305889e886c88ed29c932a7ec50987d354a177ac3</x:v>
      </x:c>
      <x:c r="AQ896" s="7" t="str">
        <x:v>Personal Lines / Active / 05/20/2014 / 05/20/2014 / 05/31/2028</x:v>
      </x:c>
      <x:c r="AR896" s="7" t="str">
        <x:v>Active</x:v>
      </x:c>
      <x:c r="AS896" s="7" t="str">
        <x:v>Current detail page</x:v>
      </x:c>
    </x:row>
    <x:row r="897" ht="52" customHeight="1">
      <x:c r="A897" s="7" t="str">
        <x:v>AGUILAR MICHELE RENEE</x:v>
      </x:c>
      <x:c r="B897" s="14" t="str">
        <x:f>"0D41464"</x:f>
        <x:v>0D41464</x:v>
      </x:c>
      <x:c r="C897" s="7" t="str">
        <x:v>Omitted</x:v>
      </x:c>
      <x:c r="D897" s="7" t="str">
        <x:v>FAIL</x:v>
      </x:c>
      <x:c r="E897" s="13" t="str">
        <x:v>Pending</x:v>
      </x:c>
      <x:c r="F897" s="13" t="str"/>
      <x:c r="G897" s="13" t="str"/>
      <x:c r="H897" s="13" t="str"/>
      <x:c r="I897" s="7" t="str">
        <x:v>Was this person reviewed? If rejected, give the actual rule and evidence. If acceptable, correct the omission. Confirm the Life-qualification gate and any record change since selection.</x:v>
      </x:c>
      <x:c r="J897" s="7" t="str">
        <x:v>L1</x:v>
      </x:c>
      <x:c r="K897" s="7" t="str">
        <x:v>Verified qualifications do not include active general Life. Current target-pool mismatch; actual historical omission reason unknown.</x:v>
      </x:c>
      <x:c r="L897" s="7" t="str">
        <x:v>Not supplied; membership is known, motive is not</x:v>
      </x:c>
      <x:c r="M897" s="7" t="n">
        <x:v>7</x:v>
      </x:c>
      <x:c r="N897" s="7" t="str">
        <x:v>Outside current general-Life recruiting pool</x:v>
      </x:c>
      <x:c r="O897" s="7" t="str">
        <x:v>Not displayed</x:v>
      </x:c>
      <x:c r="P897" s="7" t="str"/>
      <x:c r="Q897" s="7" t="str"/>
      <x:c r="R897" s="7" t="str"/>
      <x:c r="S897" s="15" t="str"/>
      <x:c r="T897" s="7" t="str">
        <x:v>No public business phone in collected record</x:v>
      </x:c>
      <x:c r="U897" s="7" t="str"/>
      <x:c r="V897" s="7" t="str">
        <x:v>Resident</x:v>
      </x:c>
      <x:c r="W897" s="7" t="str">
        <x:v>CA</x:v>
      </x:c>
      <x:c r="X897" s="7" t="str"/>
      <x:c r="Y897" s="7" t="str"/>
      <x:c r="Z897" s="7" t="str"/>
      <x:c r="AA897" s="7" t="str"/>
      <x:c r="AB897" s="7" t="str"/>
      <x:c r="AC897" s="7" t="str"/>
      <x:c r="AD897" s="7" t="str">
        <x:v>No agency or insurer displayed: onboarding opportunity possible; existing business unknown</x:v>
      </x:c>
      <x:c r="AE897" s="7" t="str">
        <x:v>No public business phone: contact enrichment needed, not proof of poor recruiting fit</x:v>
      </x:c>
      <x:c r="AF897" s="16" t="str"/>
      <x:c r="AG897" s="17" t="str"/>
      <x:c r="AH897" s="7" t="str"/>
      <x:c r="AI897" s="7" t="str"/>
      <x:c r="AJ897" s="7" t="str"/>
      <x:c r="AK897" s="15" t="str"/>
      <x:c r="AL897" s="7" t="str"/>
      <x:c r="AM897" s="7" t="str">
        <x:v>AGUILAR RENEE MICHELE</x:v>
      </x:c>
      <x:c r="AN897" s="7" t="str">
        <x:v>https://cdicloud.insurance.ca.gov/cal/LicenseDetail?SearchType=IND&amp;SearchLicNbr=0D41464&amp;SearchIndvId=516410</x:v>
      </x:c>
      <x:c r="AO897" s="7" t="str">
        <x:v>2026-10-08</x:v>
      </x:c>
      <x:c r="AP897" s="7" t="str">
        <x:v>ca4983eff9335a056d4eb3a27980f604d2f86579c4885ce5a8c870bc900a79e7</x:v>
      </x:c>
      <x:c r="AQ897" s="7" t="str">
        <x:v>Motor Club Agent / Inactive / 10/22/2001 / 10/31/2003 / 10/31/2003</x:v>
      </x:c>
      <x:c r="AR897" s="7" t="str">
        <x:v>Inactive</x:v>
      </x:c>
      <x:c r="AS897" s="7" t="str">
        <x:v>Current detail page</x:v>
      </x:c>
    </x:row>
    <x:row r="898" ht="52" customHeight="1">
      <x:c r="A898" s="7" t="str">
        <x:v>AGUILAR MICHELLE</x:v>
      </x:c>
      <x:c r="B898" s="14" t="str">
        <x:f>"0J16744"</x:f>
        <x:v>0J16744</x:v>
      </x:c>
      <x:c r="C898" s="7" t="str">
        <x:v>Omitted</x:v>
      </x:c>
      <x:c r="D898" s="7" t="str">
        <x:v>FAIL</x:v>
      </x:c>
      <x:c r="E898" s="13" t="str">
        <x:v>Pending</x:v>
      </x:c>
      <x:c r="F898" s="13" t="str"/>
      <x:c r="G898" s="13" t="str"/>
      <x:c r="H898" s="13" t="str"/>
      <x:c r="I898" s="7" t="str">
        <x:v>Was this person reviewed? If rejected, give the actual rule and evidence. If acceptable, correct the omission. Confirm the Life-qualification gate and any record change since selection.</x:v>
      </x:c>
      <x:c r="J898" s="7" t="str">
        <x:v>L1</x:v>
      </x:c>
      <x:c r="K898" s="7" t="str">
        <x:v>Verified qualifications do not include active general Life. Current target-pool mismatch; actual historical omission reason unknown.</x:v>
      </x:c>
      <x:c r="L898" s="7" t="str">
        <x:v>Not supplied; membership is known, motive is not</x:v>
      </x:c>
      <x:c r="M898" s="7" t="n">
        <x:v>7</x:v>
      </x:c>
      <x:c r="N898" s="7" t="str">
        <x:v>Outside current general-Life recruiting pool</x:v>
      </x:c>
      <x:c r="O898" s="7" t="str">
        <x:v>Inactive</x:v>
      </x:c>
      <x:c r="P898" s="7" t="str">
        <x:v>10/29/2014</x:v>
      </x:c>
      <x:c r="Q898" s="7" t="str">
        <x:v>10/31/2022</x:v>
      </x:c>
      <x:c r="R898" s="7" t="str"/>
      <x:c r="S898" s="15" t="str"/>
      <x:c r="T898" s="7" t="str">
        <x:v>No public business phone in collected record</x:v>
      </x:c>
      <x:c r="U898" s="7" t="str">
        <x:v>MICHELLE AGUILAR 5617 MENAUL BLVD NE STE H ALBUQUERQUE NM, 87110-3244</x:v>
      </x:c>
      <x:c r="V898" s="7" t="str">
        <x:v>Non-resident</x:v>
      </x:c>
      <x:c r="W898" s="7" t="str">
        <x:v>NM</x:v>
      </x:c>
      <x:c r="X898" s="7" t="str"/>
      <x:c r="Y898" s="7" t="str"/>
      <x:c r="Z898" s="7" t="str"/>
      <x:c r="AA898" s="7" t="str"/>
      <x:c r="AB898" s="7" t="str"/>
      <x:c r="AC898" s="7" t="str"/>
      <x:c r="AD898" s="7" t="str">
        <x:v>No agency or insurer displayed: onboarding opportunity possible; existing business unknown</x:v>
      </x:c>
      <x:c r="AE898" s="7" t="str">
        <x:v>Nonresident or address state outside CA; confirm geographic recruiting scope | No public business phone: contact enrichment needed, not proof of poor recruiting fit</x:v>
      </x:c>
      <x:c r="AF898" s="16" t="str"/>
      <x:c r="AG898" s="17" t="str"/>
      <x:c r="AH898" s="7" t="str"/>
      <x:c r="AI898" s="7" t="str"/>
      <x:c r="AJ898" s="7" t="str"/>
      <x:c r="AK898" s="15" t="str"/>
      <x:c r="AL898" s="7" t="str"/>
      <x:c r="AM898" s="7" t="str">
        <x:v>Aguilar  Michelle | Aguilar McEwen  Michelle</x:v>
      </x:c>
      <x:c r="AN898" s="7" t="str">
        <x:v>https://cdicloud.insurance.ca.gov/cal/LicenseDetail?SearchType=IND&amp;SearchLicNbr=0J16744&amp;SearchIndvId=1714214</x:v>
      </x:c>
      <x:c r="AO898" s="7" t="str">
        <x:v>2026-10-08</x:v>
      </x:c>
      <x:c r="AP898" s="7" t="str">
        <x:v>8972a78ffb65f3668cb218ef3cd2bd8349ed40133cf60b1c4c8c9ba8ccd52922</x:v>
      </x:c>
      <x:c r="AQ898" s="7" t="str">
        <x:v>Accident &amp; Health or Sickness / Inactive / 10/29/2014 / 07/31/2026 / 07/31/2026
Life / Inactive / 10/29/2014 / 10/31/2022 / 10/31/2022</x:v>
      </x:c>
      <x:c r="AR898" s="7" t="str">
        <x:v>Inactive</x:v>
      </x:c>
      <x:c r="AS898" s="7" t="str">
        <x:v>Current detail page</x:v>
      </x:c>
    </x:row>
    <x:row r="899" ht="52" customHeight="1">
      <x:c r="A899" s="7" t="str">
        <x:v>AGUILAR MICHELLE MARIE MRS</x:v>
      </x:c>
      <x:c r="B899" s="14" t="str">
        <x:f>"4209944"</x:f>
        <x:v>4209944</x:v>
      </x:c>
      <x:c r="C899" s="7" t="str">
        <x:v>Omitted</x:v>
      </x:c>
      <x:c r="D899" s="7" t="str">
        <x:v>FAIL</x:v>
      </x:c>
      <x:c r="E899" s="13" t="str">
        <x:v>Pending</x:v>
      </x:c>
      <x:c r="F899" s="13" t="str"/>
      <x:c r="G899" s="13" t="str"/>
      <x:c r="H899" s="13" t="str"/>
      <x:c r="I899" s="7" t="str">
        <x:v>Was this person reviewed? If rejected, give the actual rule and evidence. If acceptable, correct the omission. Confirm the Life-qualification gate and any record change since selection.</x:v>
      </x:c>
      <x:c r="J899" s="7" t="str">
        <x:v>L1</x:v>
      </x:c>
      <x:c r="K899" s="7" t="str">
        <x:v>Verified qualifications do not include active general Life. Current target-pool mismatch; actual historical omission reason unknown.</x:v>
      </x:c>
      <x:c r="L899" s="7" t="str">
        <x:v>Not supplied; membership is known, motive is not</x:v>
      </x:c>
      <x:c r="M899" s="7" t="n">
        <x:v>7</x:v>
      </x:c>
      <x:c r="N899" s="7" t="str">
        <x:v>Outside current general-Life recruiting pool</x:v>
      </x:c>
      <x:c r="O899" s="7" t="str">
        <x:v>Inactive</x:v>
      </x:c>
      <x:c r="P899" s="7" t="str">
        <x:v>05/13/2022</x:v>
      </x:c>
      <x:c r="Q899" s="7" t="str">
        <x:v>05/31/2024</x:v>
      </x:c>
      <x:c r="R899" s="7" t="str"/>
      <x:c r="S899" s="15" t="str"/>
      <x:c r="T899" s="7" t="str">
        <x:v>No public business phone in collected record</x:v>
      </x:c>
      <x:c r="U899" s="7" t="str">
        <x:v>16384 FOOTHILL BOULEVARD APT 12 APT 12 SAN LEANDRO CA, 94578</x:v>
      </x:c>
      <x:c r="V899" s="7" t="str">
        <x:v>Resident</x:v>
      </x:c>
      <x:c r="W899" s="7" t="str">
        <x:v>CA</x:v>
      </x:c>
      <x:c r="X899" s="7" t="str"/>
      <x:c r="Y899" s="7" t="str"/>
      <x:c r="Z899" s="7" t="str"/>
      <x:c r="AA899" s="7" t="str"/>
      <x:c r="AB899" s="7" t="str"/>
      <x:c r="AC899" s="7" t="str"/>
      <x:c r="AD899" s="7" t="str">
        <x:v>No agency or insurer displayed: onboarding opportunity possible; existing business unknown</x:v>
      </x:c>
      <x:c r="AE899" s="7" t="str">
        <x:v>No public business phone: contact enrichment needed, not proof of poor recruiting fit</x:v>
      </x:c>
      <x:c r="AF899" s="16" t="str"/>
      <x:c r="AG899" s="17" t="str"/>
      <x:c r="AH899" s="7" t="str"/>
      <x:c r="AI899" s="7" t="str"/>
      <x:c r="AJ899" s="7" t="str"/>
      <x:c r="AK899" s="15" t="str"/>
      <x:c r="AL899" s="7" t="str"/>
      <x:c r="AM899" s="7" t="str">
        <x:v>AGUILAR MARIE MICHELLE</x:v>
      </x:c>
      <x:c r="AN899" s="7" t="str">
        <x:v>https://cdicloud.insurance.ca.gov/cal/LicenseDetail?SearchType=IND&amp;SearchLicNbr=4209944&amp;SearchIndvId=4209944</x:v>
      </x:c>
      <x:c r="AO899" s="7" t="str">
        <x:v>2026-10-08</x:v>
      </x:c>
      <x:c r="AP899" s="7" t="str">
        <x:v>a048e2c61e85548bc5a7726d0e2f7f798ffb04141f0be98116bb030bd93d94df</x:v>
      </x:c>
      <x:c r="AQ899" s="7" t="str">
        <x:v>Accident &amp; Health or Sickness / Inactive / 05/13/2022 / 05/31/2024 / 05/31/2024
Life / Inactive / 05/13/2022 / 05/31/2024 / 05/31/2024</x:v>
      </x:c>
      <x:c r="AR899" s="7" t="str">
        <x:v>Inactive</x:v>
      </x:c>
      <x:c r="AS899" s="7" t="str">
        <x:v>Current detail page</x:v>
      </x:c>
    </x:row>
    <x:row r="900" ht="52" customHeight="1">
      <x:c r="A900" s="7" t="str">
        <x:v>AGUILAR MIGUEL</x:v>
      </x:c>
      <x:c r="B900" s="14" t="str">
        <x:f>"0H13065"</x:f>
        <x:v>0H13065</x:v>
      </x:c>
      <x:c r="C900" s="7" t="str">
        <x:v>Omitted</x:v>
      </x:c>
      <x:c r="D900" s="7" t="str">
        <x:v>FAIL</x:v>
      </x:c>
      <x:c r="E900" s="13" t="str">
        <x:v>Pending</x:v>
      </x:c>
      <x:c r="F900" s="13" t="str"/>
      <x:c r="G900" s="13" t="str"/>
      <x:c r="H900" s="13" t="str"/>
      <x:c r="I900" s="7" t="str">
        <x:v>Was this person reviewed? If rejected, give the actual rule and evidence. If acceptable, correct the omission. Confirm the Life-qualification gate and any record change since selection.</x:v>
      </x:c>
      <x:c r="J900" s="7" t="str">
        <x:v>L1</x:v>
      </x:c>
      <x:c r="K900" s="7" t="str">
        <x:v>Verified qualifications do not include active general Life. Current target-pool mismatch; actual historical omission reason unknown.</x:v>
      </x:c>
      <x:c r="L900" s="7" t="str">
        <x:v>Not supplied; membership is known, motive is not</x:v>
      </x:c>
      <x:c r="M900" s="7" t="n">
        <x:v>7</x:v>
      </x:c>
      <x:c r="N900" s="7" t="str">
        <x:v>Outside current general-Life recruiting pool</x:v>
      </x:c>
      <x:c r="O900" s="7" t="str">
        <x:v>Not displayed</x:v>
      </x:c>
      <x:c r="P900" s="7" t="str"/>
      <x:c r="Q900" s="7" t="str"/>
      <x:c r="R900" s="7" t="str"/>
      <x:c r="S900" s="15" t="str"/>
      <x:c r="T900" s="7" t="str">
        <x:v>No public business phone in collected record</x:v>
      </x:c>
      <x:c r="U900" s="7" t="str"/>
      <x:c r="V900" s="7" t="str">
        <x:v>Non-resident</x:v>
      </x:c>
      <x:c r="W900" s="7" t="str">
        <x:v>TX</x:v>
      </x:c>
      <x:c r="X900" s="7" t="str"/>
      <x:c r="Y900" s="7" t="str"/>
      <x:c r="Z900" s="7" t="str"/>
      <x:c r="AA900" s="7" t="str"/>
      <x:c r="AB900" s="7" t="str"/>
      <x:c r="AC900" s="7" t="str"/>
      <x:c r="AD900" s="7" t="str">
        <x:v>No agency or insurer displayed: onboarding opportunity possible; existing business unknown</x:v>
      </x:c>
      <x:c r="AE900" s="7" t="str">
        <x:v>Nonresident or address state outside CA; confirm geographic recruiting scope | No public business phone: contact enrichment needed, not proof of poor recruiting fit</x:v>
      </x:c>
      <x:c r="AF900" s="16" t="str"/>
      <x:c r="AG900" s="17" t="str"/>
      <x:c r="AH900" s="7" t="str"/>
      <x:c r="AI900" s="7" t="str"/>
      <x:c r="AJ900" s="7" t="str"/>
      <x:c r="AK900" s="15" t="str"/>
      <x:c r="AL900" s="7" t="str"/>
      <x:c r="AM900" s="7" t="str">
        <x:v>AGUILAR  MIGUEL</x:v>
      </x:c>
      <x:c r="AN900" s="7" t="str">
        <x:v>https://cdicloud.insurance.ca.gov/cal/LicenseDetail?SearchType=IND&amp;SearchLicNbr=0H13065&amp;SearchIndvId=1350495</x:v>
      </x:c>
      <x:c r="AO900" s="7" t="str">
        <x:v>2026-10-08</x:v>
      </x:c>
      <x:c r="AP900" s="7" t="str">
        <x:v>d23069088bd2dfe2229237700a6ab4a8c66d0cdffe9c3097ede0191568ac7ac1</x:v>
      </x:c>
      <x:c r="AQ900" s="7" t="str">
        <x:v>Accident and Health / Inactive / 08/30/2010 / 08/31/2016 / 08/31/2016
Life-Only / Inactive / 08/30/2010 / 08/31/2016 / 08/31/2016</x:v>
      </x:c>
      <x:c r="AR900" s="7" t="str">
        <x:v>Inactive</x:v>
      </x:c>
      <x:c r="AS900" s="7" t="str">
        <x:v>Current detail page</x:v>
      </x:c>
    </x:row>
    <x:row r="901" ht="52" customHeight="1">
      <x:c r="A901" s="7" t="str">
        <x:v>AGUILAR MIGUEL</x:v>
      </x:c>
      <x:c r="B901" s="14" t="str">
        <x:f>"4184106"</x:f>
        <x:v>4184106</x:v>
      </x:c>
      <x:c r="C901" s="7" t="str">
        <x:v>Omitted</x:v>
      </x:c>
      <x:c r="D901" s="7" t="str">
        <x:v>FAIL</x:v>
      </x:c>
      <x:c r="E901" s="13" t="str">
        <x:v>Pending</x:v>
      </x:c>
      <x:c r="F901" s="13" t="str"/>
      <x:c r="G901" s="13" t="str"/>
      <x:c r="H901" s="13" t="str"/>
      <x:c r="I901" s="7" t="str">
        <x:v>Was this person reviewed? If rejected, give the actual rule and evidence. If acceptable, correct the omission. Confirm the Life-qualification gate and any record change since selection.</x:v>
      </x:c>
      <x:c r="J901" s="7" t="str">
        <x:v>L1</x:v>
      </x:c>
      <x:c r="K901" s="7" t="str">
        <x:v>Verified qualifications do not include active general Life. Current target-pool mismatch; actual historical omission reason unknown.</x:v>
      </x:c>
      <x:c r="L901" s="7" t="str">
        <x:v>Not supplied; membership is known, motive is not</x:v>
      </x:c>
      <x:c r="M901" s="7" t="n">
        <x:v>7</x:v>
      </x:c>
      <x:c r="N901" s="7" t="str">
        <x:v>Outside current general-Life recruiting pool</x:v>
      </x:c>
      <x:c r="O901" s="7" t="str">
        <x:v>Inactive</x:v>
      </x:c>
      <x:c r="P901" s="7" t="str">
        <x:v>12/29/2021</x:v>
      </x:c>
      <x:c r="Q901" s="7" t="str">
        <x:v>12/31/2023</x:v>
      </x:c>
      <x:c r="R901" s="7" t="str"/>
      <x:c r="S901" s="15" t="str"/>
      <x:c r="T901" s="7" t="str">
        <x:v>No public business phone in collected record</x:v>
      </x:c>
      <x:c r="U901" s="7" t="str">
        <x:v>4100 NW LOOP 410 STE 124 SAN ANTONIO TX, 78229-4252</x:v>
      </x:c>
      <x:c r="V901" s="7" t="str">
        <x:v>Non-resident</x:v>
      </x:c>
      <x:c r="W901" s="7" t="str">
        <x:v>TX</x:v>
      </x:c>
      <x:c r="X901" s="7" t="str"/>
      <x:c r="Y901" s="7" t="str"/>
      <x:c r="Z901" s="7" t="str"/>
      <x:c r="AA901" s="7" t="str"/>
      <x:c r="AB901" s="7" t="str"/>
      <x:c r="AC901" s="7" t="str"/>
      <x:c r="AD901" s="7" t="str">
        <x:v>No agency or insurer displayed: onboarding opportunity possible; existing business unknown</x:v>
      </x:c>
      <x:c r="AE901" s="7" t="str">
        <x:v>Nonresident or address state outside CA; confirm geographic recruiting scope | No public business phone: contact enrichment needed, not proof of poor recruiting fit</x:v>
      </x:c>
      <x:c r="AF901" s="16" t="str"/>
      <x:c r="AG901" s="17" t="str"/>
      <x:c r="AH901" s="7" t="str"/>
      <x:c r="AI901" s="7" t="str"/>
      <x:c r="AJ901" s="7" t="str"/>
      <x:c r="AK901" s="15" t="str"/>
      <x:c r="AL901" s="7" t="str"/>
      <x:c r="AM901" s="7" t="str">
        <x:v>AGUILAR  MIGUEL</x:v>
      </x:c>
      <x:c r="AN901" s="7" t="str">
        <x:v>https://cdicloud.insurance.ca.gov/cal/LicenseDetail?SearchType=IND&amp;SearchLicNbr=4184106&amp;SearchIndvId=4184106</x:v>
      </x:c>
      <x:c r="AO901" s="7" t="str">
        <x:v>2026-10-08</x:v>
      </x:c>
      <x:c r="AP901" s="7" t="str">
        <x:v>a55e97b84d203b693a6bb7f99fbf91156007efd035a0a2d77a24fb763d6c879e</x:v>
      </x:c>
      <x:c r="AQ901" s="7" t="str">
        <x:v>Life / Inactive / 12/29/2021 / 12/31/2023 / 12/31/2023</x:v>
      </x:c>
      <x:c r="AR901" s="7" t="str">
        <x:v>Inactive</x:v>
      </x:c>
      <x:c r="AS901" s="7" t="str">
        <x:v>Current detail page</x:v>
      </x:c>
    </x:row>
    <x:row r="902" ht="52" customHeight="1">
      <x:c r="A902" s="7" t="str">
        <x:v>AGUILAR MIGUEL</x:v>
      </x:c>
      <x:c r="B902" s="14" t="str">
        <x:f>"4433405"</x:f>
        <x:v>4433405</x:v>
      </x:c>
      <x:c r="C902" s="7" t="str">
        <x:v>Omitted</x:v>
      </x:c>
      <x:c r="D902" s="7" t="str">
        <x:v>FAIL</x:v>
      </x:c>
      <x:c r="E902" s="13" t="str">
        <x:v>Pending</x:v>
      </x:c>
      <x:c r="F902" s="13" t="str"/>
      <x:c r="G902" s="13" t="str"/>
      <x:c r="H902" s="13" t="str"/>
      <x:c r="I902" s="7" t="str">
        <x:v>Was this person reviewed? If rejected, give the actual rule and evidence. If acceptable, correct the omission. Confirm the Life-qualification gate and any record change since selection.</x:v>
      </x:c>
      <x:c r="J902" s="7" t="str">
        <x:v>L1</x:v>
      </x:c>
      <x:c r="K902" s="7" t="str">
        <x:v>Verified qualifications do not include active general Life. Current target-pool mismatch; actual historical omission reason unknown.</x:v>
      </x:c>
      <x:c r="L902" s="7" t="str">
        <x:v>Not supplied; membership is known, motive is not</x:v>
      </x:c>
      <x:c r="M902" s="7" t="n">
        <x:v>7</x:v>
      </x:c>
      <x:c r="N902" s="7" t="str">
        <x:v>Outside current general-Life recruiting pool</x:v>
      </x:c>
      <x:c r="O902" s="7" t="str">
        <x:v>Not displayed</x:v>
      </x:c>
      <x:c r="P902" s="7" t="str"/>
      <x:c r="Q902" s="7" t="str"/>
      <x:c r="R902" s="7" t="str">
        <x:v>Personal Lines</x:v>
      </x:c>
      <x:c r="S902" s="15" t="str"/>
      <x:c r="T902" s="7" t="str">
        <x:v>No public business phone in collected record</x:v>
      </x:c>
      <x:c r="U902" s="7" t="str">
        <x:v>2703 E GARFIELD AVE APT D MISSION TX, 78573-0436</x:v>
      </x:c>
      <x:c r="V902" s="7" t="str">
        <x:v>Non-resident</x:v>
      </x:c>
      <x:c r="W902" s="7" t="str">
        <x:v>TX</x:v>
      </x:c>
      <x:c r="X902" s="7" t="str">
        <x:v>TPUSA, INC. / Personal Lines / 09/15/2026
FX INSURANCE AGENCY, LLC / Personal Lines / 03/05/2026</x:v>
      </x:c>
      <x:c r="Y902" s="7" t="str"/>
      <x:c r="Z902" s="7" t="str"/>
      <x:c r="AA902" s="7" t="str"/>
      <x:c r="AB902" s="7" t="str"/>
      <x:c r="AC902" s="7" t="str"/>
      <x:c r="AD902" s="7" t="str"/>
      <x:c r="AE902"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902" s="16" t="str"/>
      <x:c r="AG902" s="17" t="str"/>
      <x:c r="AH902" s="7" t="str"/>
      <x:c r="AI902" s="7" t="str"/>
      <x:c r="AJ902" s="7" t="str"/>
      <x:c r="AK902" s="15" t="str"/>
      <x:c r="AL902" s="7" t="str"/>
      <x:c r="AM902" s="7" t="str">
        <x:v>AGUILAR  MIGUEL</x:v>
      </x:c>
      <x:c r="AN902" s="7" t="str">
        <x:v>https://cdicloud.insurance.ca.gov/cal/LicenseDetail?SearchType=IND&amp;SearchLicNbr=4433405&amp;SearchIndvId=4433405</x:v>
      </x:c>
      <x:c r="AO902" s="7" t="str">
        <x:v>2026-10-08</x:v>
      </x:c>
      <x:c r="AP902" s="7" t="str">
        <x:v>e958b0735a83558683632b7463a45ab2bbcc53ecc1ee7d2fea60a55d0875f1b9</x:v>
      </x:c>
      <x:c r="AQ902" s="7" t="str">
        <x:v>Personal Lines / Active / 12/13/2024 / 12/13/2024 / 12/31/2026</x:v>
      </x:c>
      <x:c r="AR902" s="7" t="str">
        <x:v>Active</x:v>
      </x:c>
      <x:c r="AS902" s="7" t="str">
        <x:v>Current detail page</x:v>
      </x:c>
    </x:row>
    <x:row r="903" ht="52" customHeight="1">
      <x:c r="A903" s="7" t="str">
        <x:v>AGUILAR MIGUEL ANGEL</x:v>
      </x:c>
      <x:c r="B903" s="14" t="str">
        <x:f>"0B75552"</x:f>
        <x:v>0B75552</x:v>
      </x:c>
      <x:c r="C903" s="7" t="str">
        <x:v>Omitted</x:v>
      </x:c>
      <x:c r="D903" s="7" t="str">
        <x:v>FAIL</x:v>
      </x:c>
      <x:c r="E903" s="13" t="str">
        <x:v>Pending</x:v>
      </x:c>
      <x:c r="F903" s="13" t="str"/>
      <x:c r="G903" s="13" t="str"/>
      <x:c r="H903" s="13" t="str"/>
      <x:c r="I903" s="7" t="str">
        <x:v>Was this person reviewed? If rejected, give the actual rule and evidence. If acceptable, correct the omission. Confirm the Life-qualification gate and any record change since selection.</x:v>
      </x:c>
      <x:c r="J903" s="7" t="str">
        <x:v>L1</x:v>
      </x:c>
      <x:c r="K903" s="7" t="str">
        <x:v>Verified qualifications do not include active general Life. Current target-pool mismatch; actual historical omission reason unknown.</x:v>
      </x:c>
      <x:c r="L903" s="7" t="str">
        <x:v>Not supplied; membership is known, motive is not</x:v>
      </x:c>
      <x:c r="M903" s="7" t="n">
        <x:v>7</x:v>
      </x:c>
      <x:c r="N903" s="7" t="str">
        <x:v>Outside current general-Life recruiting pool</x:v>
      </x:c>
      <x:c r="O903" s="7" t="str">
        <x:v>Not displayed</x:v>
      </x:c>
      <x:c r="P903" s="7" t="str"/>
      <x:c r="Q903" s="7" t="str"/>
      <x:c r="R903" s="7" t="str"/>
      <x:c r="S903" s="15" t="str"/>
      <x:c r="T903" s="7" t="str">
        <x:v>No public business phone in collected record</x:v>
      </x:c>
      <x:c r="U903" s="7" t="str"/>
      <x:c r="V903" s="7" t="str">
        <x:v>Resident</x:v>
      </x:c>
      <x:c r="W903" s="7" t="str">
        <x:v>CA</x:v>
      </x:c>
      <x:c r="X903" s="7" t="str"/>
      <x:c r="Y903" s="7" t="str"/>
      <x:c r="Z903" s="7" t="str"/>
      <x:c r="AA903" s="7" t="str"/>
      <x:c r="AB903" s="7" t="str"/>
      <x:c r="AC903" s="7" t="str"/>
      <x:c r="AD903" s="7" t="str">
        <x:v>No agency or insurer displayed: onboarding opportunity possible; existing business unknown</x:v>
      </x:c>
      <x:c r="AE903" s="7" t="str">
        <x:v>No public business phone: contact enrichment needed, not proof of poor recruiting fit</x:v>
      </x:c>
      <x:c r="AF903" s="16" t="str"/>
      <x:c r="AG903" s="17" t="str"/>
      <x:c r="AH903" s="7" t="str"/>
      <x:c r="AI903" s="7" t="str"/>
      <x:c r="AJ903" s="7" t="str"/>
      <x:c r="AK903" s="15" t="str"/>
      <x:c r="AL903" s="7" t="str"/>
      <x:c r="AM903" s="7" t="str">
        <x:v>AGUILAR ANGEL MIGUEL</x:v>
      </x:c>
      <x:c r="AN903" s="7" t="str">
        <x:v>https://cdicloud.insurance.ca.gov/cal/LicenseDetail?SearchType=IND&amp;SearchLicNbr=0B75552&amp;SearchIndvId=253459</x:v>
      </x:c>
      <x:c r="AO903" s="7" t="str">
        <x:v>2026-10-08</x:v>
      </x:c>
      <x:c r="AP903" s="7" t="str">
        <x:v>5770a4d12b26da71b7b63352c4b6ed5328c28b6a029371f9816cb11d5fcf1dac</x:v>
      </x:c>
      <x:c r="AQ903" s="7" t="str">
        <x:v>Accident and Health / Inactive / 03/08/1996 / 03/31/2004 / 03/31/2004
Life-Only / Inactive / 03/08/1996 / 03/31/2004 / 03/31/2004</x:v>
      </x:c>
      <x:c r="AR903" s="7" t="str">
        <x:v>Inactive</x:v>
      </x:c>
      <x:c r="AS903" s="7" t="str">
        <x:v>Current detail page</x:v>
      </x:c>
    </x:row>
    <x:row r="904" ht="52" customHeight="1">
      <x:c r="A904" s="7" t="str">
        <x:v>AGUILAR MIGUEL ANGEL</x:v>
      </x:c>
      <x:c r="B904" s="14" t="str">
        <x:f>"0E35467"</x:f>
        <x:v>0E35467</x:v>
      </x:c>
      <x:c r="C904" s="7" t="str">
        <x:v>Omitted</x:v>
      </x:c>
      <x:c r="D904" s="7" t="str">
        <x:v>FAIL</x:v>
      </x:c>
      <x:c r="E904" s="13" t="str">
        <x:v>Pending</x:v>
      </x:c>
      <x:c r="F904" s="13" t="str"/>
      <x:c r="G904" s="13" t="str"/>
      <x:c r="H904" s="13" t="str"/>
      <x:c r="I904" s="7" t="str">
        <x:v>Was this person reviewed? If rejected, give the actual rule and evidence. If acceptable, correct the omission. Confirm the Life-qualification gate and any record change since selection.</x:v>
      </x:c>
      <x:c r="J904" s="7" t="str">
        <x:v>L1</x:v>
      </x:c>
      <x:c r="K904" s="7" t="str">
        <x:v>Verified qualifications do not include active general Life. Current target-pool mismatch; actual historical omission reason unknown.</x:v>
      </x:c>
      <x:c r="L904" s="7" t="str">
        <x:v>Not supplied; membership is known, motive is not</x:v>
      </x:c>
      <x:c r="M904" s="7" t="n">
        <x:v>7</x:v>
      </x:c>
      <x:c r="N904" s="7" t="str">
        <x:v>Outside current general-Life recruiting pool</x:v>
      </x:c>
      <x:c r="O904" s="7" t="str">
        <x:v>Not displayed</x:v>
      </x:c>
      <x:c r="P904" s="7" t="str"/>
      <x:c r="Q904" s="7" t="str"/>
      <x:c r="R904" s="7" t="str"/>
      <x:c r="S904" s="15" t="str"/>
      <x:c r="T904" s="7" t="str">
        <x:v>No public business phone in collected record</x:v>
      </x:c>
      <x:c r="U904" s="7" t="str"/>
      <x:c r="V904" s="7" t="str">
        <x:v>Resident</x:v>
      </x:c>
      <x:c r="W904" s="7" t="str">
        <x:v>CA</x:v>
      </x:c>
      <x:c r="X904" s="7" t="str"/>
      <x:c r="Y904" s="7" t="str"/>
      <x:c r="Z904" s="7" t="str"/>
      <x:c r="AA904" s="7" t="str"/>
      <x:c r="AB904" s="7" t="str"/>
      <x:c r="AC904" s="7" t="str"/>
      <x:c r="AD904" s="7" t="str">
        <x:v>No agency or insurer displayed: onboarding opportunity possible; existing business unknown</x:v>
      </x:c>
      <x:c r="AE904" s="7" t="str">
        <x:v>No public business phone: contact enrichment needed, not proof of poor recruiting fit</x:v>
      </x:c>
      <x:c r="AF904" s="16" t="str"/>
      <x:c r="AG904" s="17" t="str"/>
      <x:c r="AH904" s="7" t="str"/>
      <x:c r="AI904" s="7" t="str"/>
      <x:c r="AJ904" s="7" t="str"/>
      <x:c r="AK904" s="15" t="str"/>
      <x:c r="AL904" s="7" t="str"/>
      <x:c r="AM904" s="7" t="str">
        <x:v>AGUILAR ANGEL MIGUEL</x:v>
      </x:c>
      <x:c r="AN904" s="7" t="str">
        <x:v>https://cdicloud.insurance.ca.gov/cal/LicenseDetail?SearchType=IND&amp;SearchLicNbr=0E35467&amp;SearchIndvId=888803</x:v>
      </x:c>
      <x:c r="AO904" s="7" t="str">
        <x:v>2026-10-08</x:v>
      </x:c>
      <x:c r="AP904" s="7" t="str">
        <x:v>94473f8c707730f013162e58fa1128b30fd7ffed7e07deb5031c653531091de2</x:v>
      </x:c>
      <x:c r="AQ904" s="7" t="str">
        <x:v>Accident and Health / Inactive / 03/18/2004 / 03/31/2014 / 03/31/2014
Life-Only / Inactive / 03/18/2004 / 03/31/2014 / 03/31/2014</x:v>
      </x:c>
      <x:c r="AR904" s="7" t="str">
        <x:v>Inactive</x:v>
      </x:c>
      <x:c r="AS904" s="7" t="str">
        <x:v>Current detail page</x:v>
      </x:c>
    </x:row>
    <x:row r="905" ht="52" customHeight="1">
      <x:c r="A905" s="7" t="str">
        <x:v>AGUILAR MIGUEL ANGEL</x:v>
      </x:c>
      <x:c r="B905" s="14" t="str">
        <x:f>"0G96300"</x:f>
        <x:v>0G96300</x:v>
      </x:c>
      <x:c r="C905" s="7" t="str">
        <x:v>Omitted</x:v>
      </x:c>
      <x:c r="D905" s="7" t="str">
        <x:v>FAIL</x:v>
      </x:c>
      <x:c r="E905" s="13" t="str">
        <x:v>Pending</x:v>
      </x:c>
      <x:c r="F905" s="13" t="str"/>
      <x:c r="G905" s="13" t="str"/>
      <x:c r="H905" s="13" t="str"/>
      <x:c r="I905" s="7" t="str">
        <x:v>Was this person reviewed? If rejected, give the actual rule and evidence. If acceptable, correct the omission. Confirm the Life-qualification gate and any record change since selection.</x:v>
      </x:c>
      <x:c r="J905" s="7" t="str">
        <x:v>L1</x:v>
      </x:c>
      <x:c r="K905" s="7" t="str">
        <x:v>Verified qualifications do not include active general Life. Current target-pool mismatch; actual historical omission reason unknown.</x:v>
      </x:c>
      <x:c r="L905" s="7" t="str">
        <x:v>Not supplied; membership is known, motive is not</x:v>
      </x:c>
      <x:c r="M905" s="7" t="n">
        <x:v>7</x:v>
      </x:c>
      <x:c r="N905" s="7" t="str">
        <x:v>Outside current general-Life recruiting pool</x:v>
      </x:c>
      <x:c r="O905" s="7" t="str">
        <x:v>Not displayed</x:v>
      </x:c>
      <x:c r="P905" s="7" t="str"/>
      <x:c r="Q905" s="7" t="str"/>
      <x:c r="R905" s="7" t="str"/>
      <x:c r="S905" s="15" t="str"/>
      <x:c r="T905" s="7" t="str">
        <x:v>No public business phone in collected record</x:v>
      </x:c>
      <x:c r="U905" s="7" t="str"/>
      <x:c r="V905" s="7" t="str">
        <x:v>Resident</x:v>
      </x:c>
      <x:c r="W905" s="7" t="str">
        <x:v>CA</x:v>
      </x:c>
      <x:c r="X905" s="7" t="str"/>
      <x:c r="Y905" s="7" t="str"/>
      <x:c r="Z905" s="7" t="str"/>
      <x:c r="AA905" s="7" t="str"/>
      <x:c r="AB905" s="7" t="str"/>
      <x:c r="AC905" s="7" t="str"/>
      <x:c r="AD905" s="7" t="str">
        <x:v>No agency or insurer displayed: onboarding opportunity possible; existing business unknown</x:v>
      </x:c>
      <x:c r="AE905" s="7" t="str">
        <x:v>No public business phone: contact enrichment needed, not proof of poor recruiting fit</x:v>
      </x:c>
      <x:c r="AF905" s="16" t="str"/>
      <x:c r="AG905" s="17" t="str"/>
      <x:c r="AH905" s="7" t="str"/>
      <x:c r="AI905" s="7" t="str"/>
      <x:c r="AJ905" s="7" t="str"/>
      <x:c r="AK905" s="15" t="str"/>
      <x:c r="AL905" s="7" t="str"/>
      <x:c r="AM905" s="7" t="str">
        <x:v>AGUILAR ANGEL MIGUEL</x:v>
      </x:c>
      <x:c r="AN905" s="7" t="str">
        <x:v>https://cdicloud.insurance.ca.gov/cal/LicenseDetail?SearchType=IND&amp;SearchLicNbr=0G96300&amp;SearchIndvId=1331181</x:v>
      </x:c>
      <x:c r="AO905" s="7" t="str">
        <x:v>2026-10-08</x:v>
      </x:c>
      <x:c r="AP905" s="7" t="str">
        <x:v>71c6f5d04bd0de36e8c732be1dcb38001191d93ac23f0315ff96f0370b831970</x:v>
      </x:c>
      <x:c r="AQ905" s="7" t="str">
        <x:v>Life-Only / Inactive / 05/03/2010 / 05/31/2012 / 05/31/2012</x:v>
      </x:c>
      <x:c r="AR905" s="7" t="str">
        <x:v>Inactive</x:v>
      </x:c>
      <x:c r="AS905" s="7" t="str">
        <x:v>Current detail page</x:v>
      </x:c>
    </x:row>
    <x:row r="906" ht="52" customHeight="1">
      <x:c r="A906" s="7" t="str">
        <x:v>AGUILAR MIGUEL ANTONIO</x:v>
      </x:c>
      <x:c r="B906" s="14" t="str">
        <x:f>"4494696"</x:f>
        <x:v>4494696</x:v>
      </x:c>
      <x:c r="C906" s="7" t="str">
        <x:v>Omitted</x:v>
      </x:c>
      <x:c r="D906" s="7" t="str">
        <x:v>FAIL</x:v>
      </x:c>
      <x:c r="E906" s="13" t="str">
        <x:v>Pending</x:v>
      </x:c>
      <x:c r="F906" s="13" t="str"/>
      <x:c r="G906" s="13" t="str"/>
      <x:c r="H906" s="13" t="str"/>
      <x:c r="I906" s="7" t="str">
        <x:v>Was this person reviewed? If rejected, give the actual rule and evidence. If acceptable, correct the omission. Confirm the Life-qualification gate and any record change since selection.</x:v>
      </x:c>
      <x:c r="J906" s="7" t="str">
        <x:v>L1</x:v>
      </x:c>
      <x:c r="K906" s="7" t="str">
        <x:v>Verified qualifications do not include active general Life. Current target-pool mismatch; actual historical omission reason unknown.</x:v>
      </x:c>
      <x:c r="L906" s="7" t="str">
        <x:v>Not supplied; membership is known, motive is not</x:v>
      </x:c>
      <x:c r="M906" s="7" t="n">
        <x:v>7</x:v>
      </x:c>
      <x:c r="N906" s="7" t="str">
        <x:v>Outside current general-Life recruiting pool</x:v>
      </x:c>
      <x:c r="O906" s="7" t="str">
        <x:v>Not displayed</x:v>
      </x:c>
      <x:c r="P906" s="7" t="str"/>
      <x:c r="Q906" s="7" t="str"/>
      <x:c r="R906" s="7" t="str">
        <x:v>Accident &amp; Health or Sickness</x:v>
      </x:c>
      <x:c r="S906" s="15" t="str"/>
      <x:c r="T906" s="7" t="str">
        <x:v>No public business phone in collected record</x:v>
      </x:c>
      <x:c r="U906" s="7" t="str">
        <x:v>16306 TRES RITOS ST SAN ANTONIO TX, 78247-1336</x:v>
      </x:c>
      <x:c r="V906" s="7" t="str">
        <x:v>Non-resident</x:v>
      </x:c>
      <x:c r="W906" s="7" t="str">
        <x:v>TX</x:v>
      </x:c>
      <x:c r="X906" s="7" t="str"/>
      <x:c r="Y906" s="7" t="str">
        <x:v>ANTHEM BLUE CROSS LIFE AND HEALTH INSURANCE COMPANY / Accident &amp; Health or Sickness / 10/06/2025</x:v>
      </x:c>
      <x:c r="Z906" s="7" t="str"/>
      <x:c r="AA906" s="7" t="str"/>
      <x:c r="AB906" s="7" t="str"/>
      <x:c r="AC906" s="7" t="str"/>
      <x:c r="AD906" s="7" t="str">
        <x:v>Active A&amp;H supports optional cross-selling; not necessary for target products</x:v>
      </x:c>
      <x:c r="AE906" s="7" t="str">
        <x:v>Displayed insurer appointments are A&amp;H/disability only despite active Life authority | Nonresident or address state outside CA; confirm geographic recruiting scope | No public business phone: contact enrichment needed, not proof of poor recruiting fit</x:v>
      </x:c>
      <x:c r="AF906" s="16" t="str"/>
      <x:c r="AG906" s="17" t="str"/>
      <x:c r="AH906" s="7" t="str"/>
      <x:c r="AI906" s="7" t="str"/>
      <x:c r="AJ906" s="7" t="str"/>
      <x:c r="AK906" s="15" t="str"/>
      <x:c r="AL906" s="7" t="str"/>
      <x:c r="AM906" s="7" t="str">
        <x:v>AGUILAR ANTONIO MIGUEL</x:v>
      </x:c>
      <x:c r="AN906" s="7" t="str">
        <x:v>https://cdicloud.insurance.ca.gov/cal/LicenseDetail?SearchType=IND&amp;SearchLicNbr=4494696&amp;SearchIndvId=4494696</x:v>
      </x:c>
      <x:c r="AO906" s="7" t="str">
        <x:v>2026-10-08</x:v>
      </x:c>
      <x:c r="AP906" s="7" t="str">
        <x:v>9b84eb015eeae426c98ca40ab24509f2b82065a7e30a9ca78e29c833785a4bb5</x:v>
      </x:c>
      <x:c r="AQ906" s="7" t="str">
        <x:v>Accident &amp; Health or Sickness / Active / 09/23/2025 / 09/23/2025 / 09/30/2027</x:v>
      </x:c>
      <x:c r="AR906" s="7" t="str">
        <x:v>Active</x:v>
      </x:c>
      <x:c r="AS906" s="7" t="str">
        <x:v>Current detail page</x:v>
      </x:c>
    </x:row>
    <x:row r="907" ht="52" customHeight="1">
      <x:c r="A907" s="7" t="str">
        <x:v>AGUILAR MIKI FRANCES</x:v>
      </x:c>
      <x:c r="B907" s="14" t="str">
        <x:f>"0C87308"</x:f>
        <x:v>0C87308</x:v>
      </x:c>
      <x:c r="C907" s="7" t="str">
        <x:v>Omitted</x:v>
      </x:c>
      <x:c r="D907" s="7" t="str">
        <x:v>FAIL</x:v>
      </x:c>
      <x:c r="E907" s="13" t="str">
        <x:v>Pending</x:v>
      </x:c>
      <x:c r="F907" s="13" t="str"/>
      <x:c r="G907" s="13" t="str"/>
      <x:c r="H907" s="13" t="str"/>
      <x:c r="I907" s="7" t="str">
        <x:v>Was this person reviewed? If rejected, give the actual rule and evidence. If acceptable, correct the omission. Confirm the Life-qualification gate and any record change since selection.</x:v>
      </x:c>
      <x:c r="J907" s="7" t="str">
        <x:v>L1</x:v>
      </x:c>
      <x:c r="K907" s="7" t="str">
        <x:v>Verified qualifications do not include active general Life. Current target-pool mismatch; actual historical omission reason unknown.</x:v>
      </x:c>
      <x:c r="L907" s="7" t="str">
        <x:v>Not supplied; membership is known, motive is not</x:v>
      </x:c>
      <x:c r="M907" s="7" t="n">
        <x:v>7</x:v>
      </x:c>
      <x:c r="N907" s="7" t="str">
        <x:v>Outside current general-Life recruiting pool</x:v>
      </x:c>
      <x:c r="O907" s="7" t="str">
        <x:v>Not displayed</x:v>
      </x:c>
      <x:c r="P907" s="7" t="str"/>
      <x:c r="Q907" s="7" t="str"/>
      <x:c r="R907" s="7" t="str"/>
      <x:c r="S907" s="15" t="str"/>
      <x:c r="T907" s="7" t="str">
        <x:v>No public business phone in collected record</x:v>
      </x:c>
      <x:c r="U907" s="7" t="str"/>
      <x:c r="V907" s="7" t="str">
        <x:v>Resident</x:v>
      </x:c>
      <x:c r="W907" s="7" t="str">
        <x:v>CA</x:v>
      </x:c>
      <x:c r="X907" s="7" t="str"/>
      <x:c r="Y907" s="7" t="str"/>
      <x:c r="Z907" s="7" t="str"/>
      <x:c r="AA907" s="7" t="str"/>
      <x:c r="AB907" s="7" t="str"/>
      <x:c r="AC907" s="7" t="str"/>
      <x:c r="AD907" s="7" t="str">
        <x:v>No agency or insurer displayed: onboarding opportunity possible; existing business unknown</x:v>
      </x:c>
      <x:c r="AE907" s="7" t="str">
        <x:v>No public business phone: contact enrichment needed, not proof of poor recruiting fit</x:v>
      </x:c>
      <x:c r="AF907" s="16" t="str"/>
      <x:c r="AG907" s="17" t="str"/>
      <x:c r="AH907" s="7" t="str"/>
      <x:c r="AI907" s="7" t="str"/>
      <x:c r="AJ907" s="7" t="str"/>
      <x:c r="AK907" s="15" t="str"/>
      <x:c r="AL907" s="7" t="str"/>
      <x:c r="AM907" s="7" t="str">
        <x:v>AGUILAR FRANCES MIKI</x:v>
      </x:c>
      <x:c r="AN907" s="7" t="str">
        <x:v>https://cdicloud.insurance.ca.gov/cal/LicenseDetail?SearchType=IND&amp;SearchLicNbr=0C87308&amp;SearchIndvId=472610</x:v>
      </x:c>
      <x:c r="AO907" s="7" t="str">
        <x:v>2026-10-08</x:v>
      </x:c>
      <x:c r="AP907" s="7" t="str">
        <x:v>4f85d9d205f2703207451f19912945446be4caa18f1e3b607543b0a946152a5b</x:v>
      </x:c>
      <x:c r="AQ907" s="7" t="str">
        <x:v>Accident and Health / Inactive / 02/10/2000 / 02/28/2002 / 02/28/2002
Life-Only / Inactive / 02/10/2000 / 02/28/2002 / 02/28/2002
Variable Contracts / Inactive / 03/15/2001 / 02/28/2002 / 02/28/2002</x:v>
      </x:c>
      <x:c r="AR907" s="7" t="str">
        <x:v>Inactive</x:v>
      </x:c>
      <x:c r="AS907" s="7" t="str">
        <x:v>Current detail page</x:v>
      </x:c>
    </x:row>
    <x:row r="908" ht="52" customHeight="1">
      <x:c r="A908" s="7" t="str">
        <x:v>AGUILAR MIREYA SOCORRO</x:v>
      </x:c>
      <x:c r="B908" s="14" t="str">
        <x:f>"0D67753"</x:f>
        <x:v>0D67753</x:v>
      </x:c>
      <x:c r="C908" s="7" t="str">
        <x:v>Omitted</x:v>
      </x:c>
      <x:c r="D908" s="7" t="str">
        <x:v>FAIL</x:v>
      </x:c>
      <x:c r="E908" s="13" t="str">
        <x:v>Pending</x:v>
      </x:c>
      <x:c r="F908" s="13" t="str"/>
      <x:c r="G908" s="13" t="str"/>
      <x:c r="H908" s="13" t="str"/>
      <x:c r="I908" s="7" t="str">
        <x:v>Was this person reviewed? If rejected, give the actual rule and evidence. If acceptable, correct the omission. Confirm the Life-qualification gate and any record change since selection.</x:v>
      </x:c>
      <x:c r="J908" s="7" t="str">
        <x:v>L1</x:v>
      </x:c>
      <x:c r="K908" s="7" t="str">
        <x:v>Verified qualifications do not include active general Life. Current target-pool mismatch; actual historical omission reason unknown.</x:v>
      </x:c>
      <x:c r="L908" s="7" t="str">
        <x:v>Not supplied; membership is known, motive is not</x:v>
      </x:c>
      <x:c r="M908" s="7" t="n">
        <x:v>7</x:v>
      </x:c>
      <x:c r="N908" s="7" t="str">
        <x:v>Outside current general-Life recruiting pool</x:v>
      </x:c>
      <x:c r="O908" s="7" t="str">
        <x:v>Not displayed</x:v>
      </x:c>
      <x:c r="P908" s="7" t="str"/>
      <x:c r="Q908" s="7" t="str"/>
      <x:c r="R908" s="7" t="str"/>
      <x:c r="S908" s="15" t="str"/>
      <x:c r="T908" s="7" t="str">
        <x:v>No public business phone in collected record</x:v>
      </x:c>
      <x:c r="U908" s="7" t="str"/>
      <x:c r="V908" s="7" t="str">
        <x:v>Resident</x:v>
      </x:c>
      <x:c r="W908" s="7" t="str">
        <x:v>CA</x:v>
      </x:c>
      <x:c r="X908" s="7" t="str"/>
      <x:c r="Y908" s="7" t="str"/>
      <x:c r="Z908" s="7" t="str"/>
      <x:c r="AA908" s="7" t="str"/>
      <x:c r="AB908" s="7" t="str"/>
      <x:c r="AC908" s="7" t="str"/>
      <x:c r="AD908" s="7" t="str">
        <x:v>No agency or insurer displayed: onboarding opportunity possible; existing business unknown</x:v>
      </x:c>
      <x:c r="AE908" s="7" t="str">
        <x:v>No public business phone: contact enrichment needed, not proof of poor recruiting fit</x:v>
      </x:c>
      <x:c r="AF908" s="16" t="str"/>
      <x:c r="AG908" s="17" t="str"/>
      <x:c r="AH908" s="7" t="str"/>
      <x:c r="AI908" s="7" t="str"/>
      <x:c r="AJ908" s="7" t="str"/>
      <x:c r="AK908" s="15" t="str"/>
      <x:c r="AL908" s="7" t="str"/>
      <x:c r="AM908" s="7" t="str">
        <x:v>AGUILAR SOCORRO MIREYA</x:v>
      </x:c>
      <x:c r="AN908" s="7" t="str">
        <x:v>https://cdicloud.insurance.ca.gov/cal/LicenseDetail?SearchType=IND&amp;SearchLicNbr=0D67753&amp;SearchIndvId=728266</x:v>
      </x:c>
      <x:c r="AO908" s="7" t="str">
        <x:v>2026-10-08</x:v>
      </x:c>
      <x:c r="AP908" s="7" t="str">
        <x:v>adeb57f820c33e520fb92d5b688a37f2479238674dc439fb95e5d3a8af9b774b</x:v>
      </x:c>
      <x:c r="AQ908" s="7" t="str">
        <x:v>Accident and Health / Inactive / 06/10/2002 / 06/30/2006 / 06/30/2006
Life-Only / Inactive / 06/10/2002 / 06/30/2006 / 06/30/2006</x:v>
      </x:c>
      <x:c r="AR908" s="7" t="str">
        <x:v>Inactive</x:v>
      </x:c>
      <x:c r="AS908" s="7" t="str">
        <x:v>Current detail page</x:v>
      </x:c>
    </x:row>
    <x:row r="909" ht="52" customHeight="1">
      <x:c r="A909" s="7" t="str">
        <x:v>AGUILAR MIRIAM</x:v>
      </x:c>
      <x:c r="B909" s="14" t="str">
        <x:f>"0L26429"</x:f>
        <x:v>0L26429</x:v>
      </x:c>
      <x:c r="C909" s="7" t="str">
        <x:v>Omitted</x:v>
      </x:c>
      <x:c r="D909" s="7" t="str">
        <x:v>FAIL</x:v>
      </x:c>
      <x:c r="E909" s="13" t="str">
        <x:v>Pending</x:v>
      </x:c>
      <x:c r="F909" s="13" t="str"/>
      <x:c r="G909" s="13" t="str"/>
      <x:c r="H909" s="13" t="str"/>
      <x:c r="I909" s="7" t="str">
        <x:v>Was this person reviewed? If rejected, give the actual rule and evidence. If acceptable, correct the omission. Confirm the Life-qualification gate and any record change since selection.</x:v>
      </x:c>
      <x:c r="J909" s="7" t="str">
        <x:v>L1</x:v>
      </x:c>
      <x:c r="K909" s="7" t="str">
        <x:v>Verified qualifications do not include active general Life. Current target-pool mismatch; actual historical omission reason unknown.</x:v>
      </x:c>
      <x:c r="L909" s="7" t="str">
        <x:v>Not supplied; membership is known, motive is not</x:v>
      </x:c>
      <x:c r="M909" s="7" t="n">
        <x:v>7</x:v>
      </x:c>
      <x:c r="N909" s="7" t="str">
        <x:v>Outside current general-Life recruiting pool</x:v>
      </x:c>
      <x:c r="O909" s="7" t="str">
        <x:v>Not displayed</x:v>
      </x:c>
      <x:c r="P909" s="7" t="str"/>
      <x:c r="Q909" s="7" t="str"/>
      <x:c r="R909" s="7" t="str"/>
      <x:c r="S909" s="15" t="str"/>
      <x:c r="T909" s="7" t="str">
        <x:v>No public business phone in collected record</x:v>
      </x:c>
      <x:c r="U909" s="7" t="str"/>
      <x:c r="V909" s="7" t="str">
        <x:v>Resident</x:v>
      </x:c>
      <x:c r="W909" s="7" t="str">
        <x:v>CA</x:v>
      </x:c>
      <x:c r="X909" s="7" t="str"/>
      <x:c r="Y909" s="7" t="str"/>
      <x:c r="Z909" s="7" t="str"/>
      <x:c r="AA909" s="7" t="str"/>
      <x:c r="AB909" s="7" t="str"/>
      <x:c r="AC909" s="7" t="str"/>
      <x:c r="AD909" s="7" t="str">
        <x:v>No agency or insurer displayed: onboarding opportunity possible; existing business unknown</x:v>
      </x:c>
      <x:c r="AE909" s="7" t="str">
        <x:v>No public business phone: contact enrichment needed, not proof of poor recruiting fit</x:v>
      </x:c>
      <x:c r="AF909" s="16" t="str"/>
      <x:c r="AG909" s="17" t="str"/>
      <x:c r="AH909" s="7" t="str"/>
      <x:c r="AI909" s="7" t="str"/>
      <x:c r="AJ909" s="7" t="str"/>
      <x:c r="AK909" s="15" t="str"/>
      <x:c r="AL909" s="7" t="str"/>
      <x:c r="AM909" s="7" t="str">
        <x:v>AGUILAR  MIRIAM</x:v>
      </x:c>
      <x:c r="AN909" s="7" t="str">
        <x:v>https://cdicloud.insurance.ca.gov/cal/LicenseDetail?SearchType=IND&amp;SearchLicNbr=0L26429&amp;SearchIndvId=1875482</x:v>
      </x:c>
      <x:c r="AO909" s="7" t="str">
        <x:v>2026-10-08</x:v>
      </x:c>
      <x:c r="AP909" s="7" t="str">
        <x:v>28a7b2e034f8bc82beed93fad3e33cc63a814f22c0c892be1baefdf74c552979</x:v>
      </x:c>
      <x:c r="AQ909" s="7" t="str">
        <x:v>Life-Only / Inactive / 10/14/2016 / 10/31/2018 / 10/31/2018</x:v>
      </x:c>
      <x:c r="AR909" s="7" t="str">
        <x:v>Inactive</x:v>
      </x:c>
      <x:c r="AS909" s="7" t="str">
        <x:v>Current detail page</x:v>
      </x:c>
    </x:row>
    <x:row r="910" ht="52" customHeight="1">
      <x:c r="A910" s="7" t="str">
        <x:v>AGUILAR MIRIAM</x:v>
      </x:c>
      <x:c r="B910" s="14" t="str">
        <x:f>"4144006"</x:f>
        <x:v>4144006</x:v>
      </x:c>
      <x:c r="C910" s="7" t="str">
        <x:v>Omitted</x:v>
      </x:c>
      <x:c r="D910" s="7" t="str">
        <x:v>FAIL</x:v>
      </x:c>
      <x:c r="E910" s="13" t="str">
        <x:v>Pending</x:v>
      </x:c>
      <x:c r="F910" s="13" t="str"/>
      <x:c r="G910" s="13" t="str"/>
      <x:c r="H910" s="13" t="str"/>
      <x:c r="I910" s="7" t="str">
        <x:v>Was this person reviewed? If rejected, give the actual rule and evidence. If acceptable, correct the omission. Confirm the Life-qualification gate and any record change since selection.</x:v>
      </x:c>
      <x:c r="J910" s="7" t="str">
        <x:v>L1</x:v>
      </x:c>
      <x:c r="K910" s="7" t="str">
        <x:v>Verified qualifications do not include active general Life. Current target-pool mismatch; actual historical omission reason unknown.</x:v>
      </x:c>
      <x:c r="L910" s="7" t="str">
        <x:v>Not supplied; membership is known, motive is not</x:v>
      </x:c>
      <x:c r="M910" s="7" t="n">
        <x:v>7</x:v>
      </x:c>
      <x:c r="N910" s="7" t="str">
        <x:v>Outside current general-Life recruiting pool</x:v>
      </x:c>
      <x:c r="O910" s="7" t="str">
        <x:v>Not displayed</x:v>
      </x:c>
      <x:c r="P910" s="7" t="str"/>
      <x:c r="Q910" s="7" t="str"/>
      <x:c r="R910" s="7" t="str">
        <x:v>Accident &amp; Health or Sickness; Casualty; Property</x:v>
      </x:c>
      <x:c r="S910" s="15" t="str"/>
      <x:c r="T910" s="7" t="str">
        <x:v>No public business phone in collected record</x:v>
      </x:c>
      <x:c r="U910" s="7" t="str">
        <x:v>3104 E 24TH ST DES MOINES IA, 50317-3609</x:v>
      </x:c>
      <x:c r="V910" s="7" t="str">
        <x:v>Non-resident</x:v>
      </x:c>
      <x:c r="W910" s="7" t="str">
        <x:v>IA</x:v>
      </x:c>
      <x:c r="X910" s="7" t="str">
        <x:v>INSURANCE ANSWER CENTER, LLC / Property / 09/23/2026
INSURANCE ANSWER CENTER, LLC / Casualty / 09/23/2026</x:v>
      </x:c>
      <x:c r="Y910" s="7" t="str">
        <x:v>FOREMOST INSURANCE COMPANY GRAND RAPIDS, MICHIGAN / Casualty / 09/29/2026
FOREMOST INSURANCE COMPANY GRAND RAPIDS, MICHIGAN / Property / 09/29/2026</x:v>
      </x:c>
      <x:c r="Z910" s="7" t="str"/>
      <x:c r="AA910" s="7" t="str"/>
      <x:c r="AB910" s="7" t="str"/>
      <x:c r="AC910" s="7" t="str"/>
      <x:c r="AD910" s="7" t="str">
        <x:v>Active A&amp;H supports optional cross-selling; not necessary for target products</x:v>
      </x:c>
      <x:c r="AE910"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910" s="16" t="str"/>
      <x:c r="AG910" s="17" t="str"/>
      <x:c r="AH910" s="7" t="str"/>
      <x:c r="AI910" s="7" t="str"/>
      <x:c r="AJ910" s="7" t="str"/>
      <x:c r="AK910" s="15" t="str"/>
      <x:c r="AL910" s="7" t="str"/>
      <x:c r="AM910" s="7" t="str">
        <x:v>AGUILAR  MIRIAM</x:v>
      </x:c>
      <x:c r="AN910" s="7" t="str">
        <x:v>https://cdicloud.insurance.ca.gov/cal/LicenseDetail?SearchType=IND&amp;SearchLicNbr=4144006&amp;SearchIndvId=4144006</x:v>
      </x:c>
      <x:c r="AO910" s="7" t="str">
        <x:v>2026-10-08</x:v>
      </x:c>
      <x:c r="AP910" s="7" t="str">
        <x:v>1a090af4ed415ee6b60a8f0bcf3f7808d1155a4abd36e0cca01af4f57dd69fee</x:v>
      </x:c>
      <x:c r="AQ910" s="7" t="str">
        <x:v>Accident &amp; Health or Sickness / Active / 09/21/2021 / 09/21/2021 / 09/30/2027
Casualty / Active / 09/21/2026 / 09/21/2026 / 09/30/2027
Property / Active / 09/21/2026 / 09/21/2026 / 09/30/2027</x:v>
      </x:c>
      <x:c r="AR910" s="7" t="str">
        <x:v>Active</x:v>
      </x:c>
      <x:c r="AS910" s="7" t="str">
        <x:v>Current detail page</x:v>
      </x:c>
    </x:row>
    <x:row r="911" ht="52" customHeight="1">
      <x:c r="A911" s="7" t="str">
        <x:v>AGUILAR MIRNA ROBERTA</x:v>
      </x:c>
      <x:c r="B911" s="14" t="str">
        <x:f>"0F77779"</x:f>
        <x:v>0F77779</x:v>
      </x:c>
      <x:c r="C911" s="7" t="str">
        <x:v>Omitted</x:v>
      </x:c>
      <x:c r="D911" s="7" t="str">
        <x:v>FAIL</x:v>
      </x:c>
      <x:c r="E911" s="13" t="str">
        <x:v>Pending</x:v>
      </x:c>
      <x:c r="F911" s="13" t="str"/>
      <x:c r="G911" s="13" t="str"/>
      <x:c r="H911" s="13" t="str"/>
      <x:c r="I911" s="7" t="str">
        <x:v>Was this person reviewed? If rejected, give the actual rule and evidence. If acceptable, correct the omission. Confirm the Life-qualification gate and any record change since selection.</x:v>
      </x:c>
      <x:c r="J911" s="7" t="str">
        <x:v>L1</x:v>
      </x:c>
      <x:c r="K911" s="7" t="str">
        <x:v>Verified qualifications do not include active general Life. Current target-pool mismatch; actual historical omission reason unknown.</x:v>
      </x:c>
      <x:c r="L911" s="7" t="str">
        <x:v>Not supplied; membership is known, motive is not</x:v>
      </x:c>
      <x:c r="M911" s="7" t="n">
        <x:v>7</x:v>
      </x:c>
      <x:c r="N911" s="7" t="str">
        <x:v>Outside current general-Life recruiting pool</x:v>
      </x:c>
      <x:c r="O911" s="7" t="str">
        <x:v>Not displayed</x:v>
      </x:c>
      <x:c r="P911" s="7" t="str"/>
      <x:c r="Q911" s="7" t="str"/>
      <x:c r="R911" s="7" t="str"/>
      <x:c r="S911" s="15" t="str"/>
      <x:c r="T911" s="7" t="str">
        <x:v>No public business phone in collected record</x:v>
      </x:c>
      <x:c r="U911" s="7" t="str"/>
      <x:c r="V911" s="7" t="str">
        <x:v>Resident</x:v>
      </x:c>
      <x:c r="W911" s="7" t="str">
        <x:v>CA</x:v>
      </x:c>
      <x:c r="X911" s="7" t="str"/>
      <x:c r="Y911" s="7" t="str"/>
      <x:c r="Z911" s="7" t="str"/>
      <x:c r="AA911" s="7" t="str"/>
      <x:c r="AB911" s="7" t="str"/>
      <x:c r="AC911" s="7" t="str"/>
      <x:c r="AD911" s="7" t="str">
        <x:v>No agency or insurer displayed: onboarding opportunity possible; existing business unknown</x:v>
      </x:c>
      <x:c r="AE911" s="7" t="str">
        <x:v>No public business phone: contact enrichment needed, not proof of poor recruiting fit</x:v>
      </x:c>
      <x:c r="AF911" s="16" t="str"/>
      <x:c r="AG911" s="17" t="str"/>
      <x:c r="AH911" s="7" t="str"/>
      <x:c r="AI911" s="7" t="str"/>
      <x:c r="AJ911" s="7" t="str"/>
      <x:c r="AK911" s="15" t="str"/>
      <x:c r="AL911" s="7" t="str"/>
      <x:c r="AM911" s="7" t="str">
        <x:v>AGUILAR ROBERTA MIRNA</x:v>
      </x:c>
      <x:c r="AN911" s="7" t="str">
        <x:v>https://cdicloud.insurance.ca.gov/cal/LicenseDetail?SearchType=IND&amp;SearchLicNbr=0F77779&amp;SearchIndvId=1107535</x:v>
      </x:c>
      <x:c r="AO911" s="7" t="str">
        <x:v>2026-10-08</x:v>
      </x:c>
      <x:c r="AP911" s="7" t="str">
        <x:v>2d6e71f64b2ea9d8fbcec0b078391ca4d2f1c261841052bc9fabe5641c6934f4</x:v>
      </x:c>
      <x:c r="AQ911" s="7" t="str">
        <x:v>Casualty Broker-Agent / Inactive / 10/20/2007 / 10/31/2009 / 10/31/2009
Property Broker-Agent / Inactive / 10/20/2007 / 10/31/2009 / 10/31/2009</x:v>
      </x:c>
      <x:c r="AR911" s="7" t="str">
        <x:v>Inactive</x:v>
      </x:c>
      <x:c r="AS911" s="7" t="str">
        <x:v>Current detail page</x:v>
      </x:c>
    </x:row>
    <x:row r="912" ht="52" customHeight="1">
      <x:c r="A912" s="7" t="str">
        <x:v>AGUILAR MIRNA YANNIRA</x:v>
      </x:c>
      <x:c r="B912" s="14" t="str">
        <x:f>"0G13306"</x:f>
        <x:v>0G13306</x:v>
      </x:c>
      <x:c r="C912" s="7" t="str">
        <x:v>Omitted</x:v>
      </x:c>
      <x:c r="D912" s="7" t="str">
        <x:v>FAIL</x:v>
      </x:c>
      <x:c r="E912" s="13" t="str">
        <x:v>Pending</x:v>
      </x:c>
      <x:c r="F912" s="13" t="str"/>
      <x:c r="G912" s="13" t="str"/>
      <x:c r="H912" s="13" t="str"/>
      <x:c r="I912" s="7" t="str">
        <x:v>Was this person reviewed? If rejected, give the actual rule and evidence. If acceptable, correct the omission. Confirm the Life-qualification gate and any record change since selection.</x:v>
      </x:c>
      <x:c r="J912" s="7" t="str">
        <x:v>L1</x:v>
      </x:c>
      <x:c r="K912" s="7" t="str">
        <x:v>Verified qualifications do not include active general Life. Current target-pool mismatch; actual historical omission reason unknown.</x:v>
      </x:c>
      <x:c r="L912" s="7" t="str">
        <x:v>Not supplied; membership is known, motive is not</x:v>
      </x:c>
      <x:c r="M912" s="7" t="n">
        <x:v>7</x:v>
      </x:c>
      <x:c r="N912" s="7" t="str">
        <x:v>Outside current general-Life recruiting pool</x:v>
      </x:c>
      <x:c r="O912" s="7" t="str">
        <x:v>Not displayed</x:v>
      </x:c>
      <x:c r="P912" s="7" t="str"/>
      <x:c r="Q912" s="7" t="str"/>
      <x:c r="R912" s="7" t="str"/>
      <x:c r="S912" s="15" t="str"/>
      <x:c r="T912" s="7" t="str">
        <x:v>No public business phone in collected record</x:v>
      </x:c>
      <x:c r="U912" s="7" t="str"/>
      <x:c r="V912" s="7" t="str">
        <x:v>Resident</x:v>
      </x:c>
      <x:c r="W912" s="7" t="str">
        <x:v>CA</x:v>
      </x:c>
      <x:c r="X912" s="7" t="str"/>
      <x:c r="Y912" s="7" t="str"/>
      <x:c r="Z912" s="7" t="str"/>
      <x:c r="AA912" s="7" t="str"/>
      <x:c r="AB912" s="7" t="str"/>
      <x:c r="AC912" s="7" t="str"/>
      <x:c r="AD912" s="7" t="str">
        <x:v>No agency or insurer displayed: onboarding opportunity possible; existing business unknown</x:v>
      </x:c>
      <x:c r="AE912" s="7" t="str">
        <x:v>No public business phone: contact enrichment needed, not proof of poor recruiting fit</x:v>
      </x:c>
      <x:c r="AF912" s="16" t="str"/>
      <x:c r="AG912" s="17" t="str"/>
      <x:c r="AH912" s="7" t="str"/>
      <x:c r="AI912" s="7" t="str"/>
      <x:c r="AJ912" s="7" t="str"/>
      <x:c r="AK912" s="15" t="str"/>
      <x:c r="AL912" s="7" t="str"/>
      <x:c r="AM912" s="7" t="str">
        <x:v>AGUILAR YANNIRA MIRNA</x:v>
      </x:c>
      <x:c r="AN912" s="7" t="str">
        <x:v>https://cdicloud.insurance.ca.gov/cal/LicenseDetail?SearchType=IND&amp;SearchLicNbr=0G13306&amp;SearchIndvId=1139870</x:v>
      </x:c>
      <x:c r="AO912" s="7" t="str">
        <x:v>2026-10-08</x:v>
      </x:c>
      <x:c r="AP912" s="7" t="str">
        <x:v>3072d60029be38a04683de59416463eedc16ca2e5f4b5b1e7e2c8811affb2b7b</x:v>
      </x:c>
      <x:c r="AQ912" s="7" t="str">
        <x:v>Life-Only / Inactive / 05/03/2008 / 05/31/2010 / 05/31/2010</x:v>
      </x:c>
      <x:c r="AR912" s="7" t="str">
        <x:v>Inactive</x:v>
      </x:c>
      <x:c r="AS912" s="7" t="str">
        <x:v>Current detail page</x:v>
      </x:c>
    </x:row>
    <x:row r="913" ht="52" customHeight="1">
      <x:c r="A913" s="7" t="str">
        <x:v>AGUILAR MITZI NOELLE</x:v>
      </x:c>
      <x:c r="B913" s="14" t="str">
        <x:f>"4076410"</x:f>
        <x:v>4076410</x:v>
      </x:c>
      <x:c r="C913" s="7" t="str">
        <x:v>Omitted</x:v>
      </x:c>
      <x:c r="D913" s="7" t="str">
        <x:v>FAIL</x:v>
      </x:c>
      <x:c r="E913" s="13" t="str">
        <x:v>Pending</x:v>
      </x:c>
      <x:c r="F913" s="13" t="str"/>
      <x:c r="G913" s="13" t="str"/>
      <x:c r="H913" s="13" t="str"/>
      <x:c r="I913" s="7" t="str">
        <x:v>Was this person reviewed? If rejected, give the actual rule and evidence. If acceptable, correct the omission. Confirm the Life-qualification gate and any record change since selection.</x:v>
      </x:c>
      <x:c r="J913" s="7" t="str">
        <x:v>L1</x:v>
      </x:c>
      <x:c r="K913" s="7" t="str">
        <x:v>Verified qualifications do not include active general Life. Current target-pool mismatch; actual historical omission reason unknown.</x:v>
      </x:c>
      <x:c r="L913" s="7" t="str">
        <x:v>Not supplied; membership is known, motive is not</x:v>
      </x:c>
      <x:c r="M913" s="7" t="n">
        <x:v>7</x:v>
      </x:c>
      <x:c r="N913" s="7" t="str">
        <x:v>Outside current general-Life recruiting pool</x:v>
      </x:c>
      <x:c r="O913" s="7" t="str">
        <x:v>Not displayed</x:v>
      </x:c>
      <x:c r="P913" s="7" t="str"/>
      <x:c r="Q913" s="7" t="str"/>
      <x:c r="R913" s="7" t="str"/>
      <x:c r="S913" s="15" t="str"/>
      <x:c r="T913" s="7" t="str">
        <x:v>No public business phone in collected record</x:v>
      </x:c>
      <x:c r="U913" s="7" t="str">
        <x:v>10801 N MOPAC EXPY BLDG 2 STE 340 350 AUSTIN TX, 78759</x:v>
      </x:c>
      <x:c r="V913" s="7" t="str">
        <x:v>Non-resident</x:v>
      </x:c>
      <x:c r="W913" s="7" t="str">
        <x:v>TX</x:v>
      </x:c>
      <x:c r="X913" s="7" t="str"/>
      <x:c r="Y913" s="7" t="str"/>
      <x:c r="Z913" s="7" t="str"/>
      <x:c r="AA913" s="7" t="str"/>
      <x:c r="AB913" s="7" t="str"/>
      <x:c r="AC913" s="7" t="str"/>
      <x:c r="AD913" s="7" t="str">
        <x:v>No agency or insurer displayed: onboarding opportunity possible; existing business unknown</x:v>
      </x:c>
      <x:c r="AE913" s="7" t="str">
        <x:v>Nonresident or address state outside CA; confirm geographic recruiting scope | No public business phone: contact enrichment needed, not proof of poor recruiting fit</x:v>
      </x:c>
      <x:c r="AF913" s="16" t="str"/>
      <x:c r="AG913" s="17" t="str"/>
      <x:c r="AH913" s="7" t="str"/>
      <x:c r="AI913" s="7" t="str"/>
      <x:c r="AJ913" s="7" t="str"/>
      <x:c r="AK913" s="15" t="str"/>
      <x:c r="AL913" s="7" t="str"/>
      <x:c r="AM913" s="7" t="str">
        <x:v>AGUILAR NOELLE MITZI</x:v>
      </x:c>
      <x:c r="AN913" s="7" t="str">
        <x:v>https://cdicloud.insurance.ca.gov/cal/LicenseDetail?SearchType=IND&amp;SearchLicNbr=4076410&amp;SearchIndvId=4076410</x:v>
      </x:c>
      <x:c r="AO913" s="7" t="str">
        <x:v>2026-10-08</x:v>
      </x:c>
      <x:c r="AP913" s="7" t="str">
        <x:v>c1a61677fc30f953795c02699c6ceb37deb226b364556893e01eb1ac63aab637</x:v>
      </x:c>
      <x:c r="AQ913" s="7" t="str">
        <x:v>Casualty / Inactive / 10/09/2020 / 10/31/2022 / 10/31/2022
Property / Inactive / 10/09/2020 / 10/31/2022 / 10/31/2022</x:v>
      </x:c>
      <x:c r="AR913" s="7" t="str">
        <x:v>Inactive</x:v>
      </x:c>
      <x:c r="AS913" s="7" t="str">
        <x:v>Current detail page</x:v>
      </x:c>
    </x:row>
    <x:row r="914" ht="52" customHeight="1">
      <x:c r="A914" s="7" t="str">
        <x:v>AGUILAR MOISES</x:v>
      </x:c>
      <x:c r="B914" s="14" t="str">
        <x:f>"0E34448"</x:f>
        <x:v>0E34448</x:v>
      </x:c>
      <x:c r="C914" s="7" t="str">
        <x:v>Omitted</x:v>
      </x:c>
      <x:c r="D914" s="7" t="str">
        <x:v>FAIL</x:v>
      </x:c>
      <x:c r="E914" s="13" t="str">
        <x:v>Pending</x:v>
      </x:c>
      <x:c r="F914" s="13" t="str"/>
      <x:c r="G914" s="13" t="str"/>
      <x:c r="H914" s="13" t="str"/>
      <x:c r="I914" s="7" t="str">
        <x:v>Was this person reviewed? If rejected, give the actual rule and evidence. If acceptable, correct the omission. Confirm the Life-qualification gate and any record change since selection.</x:v>
      </x:c>
      <x:c r="J914" s="7" t="str">
        <x:v>L1</x:v>
      </x:c>
      <x:c r="K914" s="7" t="str">
        <x:v>Verified qualifications do not include active general Life. Current target-pool mismatch; actual historical omission reason unknown.</x:v>
      </x:c>
      <x:c r="L914" s="7" t="str">
        <x:v>Not supplied; membership is known, motive is not</x:v>
      </x:c>
      <x:c r="M914" s="7" t="n">
        <x:v>7</x:v>
      </x:c>
      <x:c r="N914" s="7" t="str">
        <x:v>Outside current general-Life recruiting pool</x:v>
      </x:c>
      <x:c r="O914" s="7" t="str">
        <x:v>Not displayed</x:v>
      </x:c>
      <x:c r="P914" s="7" t="str"/>
      <x:c r="Q914" s="7" t="str"/>
      <x:c r="R914" s="7" t="str"/>
      <x:c r="S914" s="15" t="str"/>
      <x:c r="T914" s="7" t="str">
        <x:v>No public business phone in collected record</x:v>
      </x:c>
      <x:c r="U914" s="7" t="str"/>
      <x:c r="V914" s="7" t="str">
        <x:v>Resident</x:v>
      </x:c>
      <x:c r="W914" s="7" t="str">
        <x:v>CA</x:v>
      </x:c>
      <x:c r="X914" s="7" t="str"/>
      <x:c r="Y914" s="7" t="str"/>
      <x:c r="Z914" s="7" t="str"/>
      <x:c r="AA914" s="7" t="str"/>
      <x:c r="AB914" s="7" t="str"/>
      <x:c r="AC914" s="7" t="str"/>
      <x:c r="AD914" s="7" t="str">
        <x:v>No agency or insurer displayed: onboarding opportunity possible; existing business unknown</x:v>
      </x:c>
      <x:c r="AE914" s="7" t="str">
        <x:v>No public business phone: contact enrichment needed, not proof of poor recruiting fit</x:v>
      </x:c>
      <x:c r="AF914" s="16" t="str"/>
      <x:c r="AG914" s="17" t="str"/>
      <x:c r="AH914" s="7" t="str"/>
      <x:c r="AI914" s="7" t="str"/>
      <x:c r="AJ914" s="7" t="str"/>
      <x:c r="AK914" s="15" t="str"/>
      <x:c r="AL914" s="7" t="str"/>
      <x:c r="AM914" s="7" t="str">
        <x:v>AGUILAR  MOISES</x:v>
      </x:c>
      <x:c r="AN914" s="7" t="str">
        <x:v>https://cdicloud.insurance.ca.gov/cal/LicenseDetail?SearchType=IND&amp;SearchLicNbr=0E34448&amp;SearchIndvId=887601</x:v>
      </x:c>
      <x:c r="AO914" s="7" t="str">
        <x:v>2026-10-08</x:v>
      </x:c>
      <x:c r="AP914" s="7" t="str">
        <x:v>3597302c58a667734016d7b630f11e1f5b8720e53cd1cfb12027889f7f9563ed</x:v>
      </x:c>
      <x:c r="AQ914" s="7" t="str">
        <x:v>Accident and Health / Inactive / 03/10/2004 / 03/31/2006 / 03/31/2006
Life-Only / Inactive / 03/10/2004 / 03/31/2006 / 03/31/2006</x:v>
      </x:c>
      <x:c r="AR914" s="7" t="str">
        <x:v>Inactive</x:v>
      </x:c>
      <x:c r="AS914" s="7" t="str">
        <x:v>Current detail page</x:v>
      </x:c>
    </x:row>
    <x:row r="915" ht="52" customHeight="1">
      <x:c r="A915" s="7" t="str">
        <x:v>AGUILAR MONICA</x:v>
      </x:c>
      <x:c r="B915" s="14" t="str">
        <x:f>"0J10010"</x:f>
        <x:v>0J10010</x:v>
      </x:c>
      <x:c r="C915" s="7" t="str">
        <x:v>Omitted</x:v>
      </x:c>
      <x:c r="D915" s="7" t="str">
        <x:v>FAIL</x:v>
      </x:c>
      <x:c r="E915" s="13" t="str">
        <x:v>Pending</x:v>
      </x:c>
      <x:c r="F915" s="13" t="str"/>
      <x:c r="G915" s="13" t="str"/>
      <x:c r="H915" s="13" t="str"/>
      <x:c r="I915" s="7" t="str">
        <x:v>Was this person reviewed? If rejected, give the actual rule and evidence. If acceptable, correct the omission. Confirm the Life-qualification gate and any record change since selection.</x:v>
      </x:c>
      <x:c r="J915" s="7" t="str">
        <x:v>L1</x:v>
      </x:c>
      <x:c r="K915" s="7" t="str">
        <x:v>Verified qualifications do not include active general Life. Current target-pool mismatch; actual historical omission reason unknown.</x:v>
      </x:c>
      <x:c r="L915" s="7" t="str">
        <x:v>Not supplied; membership is known, motive is not</x:v>
      </x:c>
      <x:c r="M915" s="7" t="n">
        <x:v>7</x:v>
      </x:c>
      <x:c r="N915" s="7" t="str">
        <x:v>Outside current general-Life recruiting pool</x:v>
      </x:c>
      <x:c r="O915" s="7" t="str">
        <x:v>Not displayed</x:v>
      </x:c>
      <x:c r="P915" s="7" t="str"/>
      <x:c r="Q915" s="7" t="str"/>
      <x:c r="R915" s="7" t="str"/>
      <x:c r="S915" s="15" t="str"/>
      <x:c r="T915" s="7" t="str">
        <x:v>No public business phone in collected record</x:v>
      </x:c>
      <x:c r="U915" s="7" t="str"/>
      <x:c r="V915" s="7" t="str">
        <x:v>Non-resident</x:v>
      </x:c>
      <x:c r="W915" s="7" t="str">
        <x:v>TX</x:v>
      </x:c>
      <x:c r="X915" s="7" t="str"/>
      <x:c r="Y915" s="7" t="str"/>
      <x:c r="Z915" s="7" t="str"/>
      <x:c r="AA915" s="7" t="str"/>
      <x:c r="AB915" s="7" t="str"/>
      <x:c r="AC915" s="7" t="str"/>
      <x:c r="AD915" s="7" t="str">
        <x:v>No agency or insurer displayed: onboarding opportunity possible; existing business unknown</x:v>
      </x:c>
      <x:c r="AE915" s="7" t="str">
        <x:v>Nonresident or address state outside CA; confirm geographic recruiting scope | No public business phone: contact enrichment needed, not proof of poor recruiting fit</x:v>
      </x:c>
      <x:c r="AF915" s="16" t="str"/>
      <x:c r="AG915" s="17" t="str"/>
      <x:c r="AH915" s="7" t="str"/>
      <x:c r="AI915" s="7" t="str"/>
      <x:c r="AJ915" s="7" t="str"/>
      <x:c r="AK915" s="15" t="str"/>
      <x:c r="AL915" s="7" t="str"/>
      <x:c r="AM915" s="7" t="str">
        <x:v>AGUILAR  MONICA</x:v>
      </x:c>
      <x:c r="AN915" s="7" t="str">
        <x:v>https://cdicloud.insurance.ca.gov/cal/LicenseDetail?SearchType=IND&amp;SearchLicNbr=0J10010&amp;SearchIndvId=1704402</x:v>
      </x:c>
      <x:c r="AO915" s="7" t="str">
        <x:v>2026-10-08</x:v>
      </x:c>
      <x:c r="AP915" s="7" t="str">
        <x:v>50387d9b3d28406a3de5b66c604c8baff788baf7a3a502b4b9f382b8aa05d3d4</x:v>
      </x:c>
      <x:c r="AQ915" s="7" t="str">
        <x:v>Accident and Health / Inactive / 09/29/2014 / 09/30/2016 / 09/30/2016</x:v>
      </x:c>
      <x:c r="AR915" s="7" t="str">
        <x:v>Inactive</x:v>
      </x:c>
      <x:c r="AS915" s="7" t="str">
        <x:v>Current detail page</x:v>
      </x:c>
    </x:row>
    <x:row r="916" ht="52" customHeight="1">
      <x:c r="A916" s="7" t="str">
        <x:v>AGUILAR MONICA</x:v>
      </x:c>
      <x:c r="B916" s="14" t="str">
        <x:f>"0K17899"</x:f>
        <x:v>0K17899</x:v>
      </x:c>
      <x:c r="C916" s="7" t="str">
        <x:v>Omitted</x:v>
      </x:c>
      <x:c r="D916" s="7" t="str">
        <x:v>FAIL</x:v>
      </x:c>
      <x:c r="E916" s="13" t="str">
        <x:v>Pending</x:v>
      </x:c>
      <x:c r="F916" s="13" t="str"/>
      <x:c r="G916" s="13" t="str"/>
      <x:c r="H916" s="13" t="str"/>
      <x:c r="I916" s="7" t="str">
        <x:v>Was this person reviewed? If rejected, give the actual rule and evidence. If acceptable, correct the omission. Confirm the Life-qualification gate and any record change since selection.</x:v>
      </x:c>
      <x:c r="J916" s="7" t="str">
        <x:v>L1</x:v>
      </x:c>
      <x:c r="K916" s="7" t="str">
        <x:v>Verified qualifications do not include active general Life. Current target-pool mismatch; actual historical omission reason unknown.</x:v>
      </x:c>
      <x:c r="L916" s="7" t="str">
        <x:v>Not supplied; membership is known, motive is not</x:v>
      </x:c>
      <x:c r="M916" s="7" t="n">
        <x:v>7</x:v>
      </x:c>
      <x:c r="N916" s="7" t="str">
        <x:v>Outside current general-Life recruiting pool</x:v>
      </x:c>
      <x:c r="O916" s="7" t="str">
        <x:v>Not displayed</x:v>
      </x:c>
      <x:c r="P916" s="7" t="str"/>
      <x:c r="Q916" s="7" t="str"/>
      <x:c r="R916" s="7" t="str"/>
      <x:c r="S916" s="15" t="str"/>
      <x:c r="T916" s="7" t="str">
        <x:v>No public business phone in collected record</x:v>
      </x:c>
      <x:c r="U916" s="7" t="str"/>
      <x:c r="V916" s="7" t="str">
        <x:v>Resident</x:v>
      </x:c>
      <x:c r="W916" s="7" t="str">
        <x:v>CA</x:v>
      </x:c>
      <x:c r="X916" s="7" t="str"/>
      <x:c r="Y916" s="7" t="str"/>
      <x:c r="Z916" s="7" t="str"/>
      <x:c r="AA916" s="7" t="str"/>
      <x:c r="AB916" s="7" t="str"/>
      <x:c r="AC916" s="7" t="str"/>
      <x:c r="AD916" s="7" t="str">
        <x:v>No agency or insurer displayed: onboarding opportunity possible; existing business unknown</x:v>
      </x:c>
      <x:c r="AE916" s="7" t="str">
        <x:v>No public business phone: contact enrichment needed, not proof of poor recruiting fit</x:v>
      </x:c>
      <x:c r="AF916" s="16" t="str"/>
      <x:c r="AG916" s="17" t="str"/>
      <x:c r="AH916" s="7" t="str"/>
      <x:c r="AI916" s="7" t="str"/>
      <x:c r="AJ916" s="7" t="str"/>
      <x:c r="AK916" s="15" t="str"/>
      <x:c r="AL916" s="7" t="str"/>
      <x:c r="AM916" s="7" t="str">
        <x:v>AGUILAR  MONICA</x:v>
      </x:c>
      <x:c r="AN916" s="7" t="str">
        <x:v>https://cdicloud.insurance.ca.gov/cal/LicenseDetail?SearchType=IND&amp;SearchLicNbr=0K17899&amp;SearchIndvId=1746643</x:v>
      </x:c>
      <x:c r="AO916" s="7" t="str">
        <x:v>2026-10-08</x:v>
      </x:c>
      <x:c r="AP916" s="7" t="str">
        <x:v>e4737adf02016c0db8e42238d5bfaebe6253ae67b1c784f0d7deb80a7a77e345</x:v>
      </x:c>
      <x:c r="AQ916" s="7" t="str">
        <x:v>Life-Only / Inactive / 04/09/2015 / 04/30/2017 / 04/30/2017</x:v>
      </x:c>
      <x:c r="AR916" s="7" t="str">
        <x:v>Inactive</x:v>
      </x:c>
      <x:c r="AS916" s="7" t="str">
        <x:v>Current detail page</x:v>
      </x:c>
    </x:row>
    <x:row r="917" ht="52" customHeight="1">
      <x:c r="A917" s="7" t="str">
        <x:v>AGUILAR MONICA</x:v>
      </x:c>
      <x:c r="B917" s="14" t="str">
        <x:f>"4222648"</x:f>
        <x:v>4222648</x:v>
      </x:c>
      <x:c r="C917" s="7" t="str">
        <x:v>Omitted</x:v>
      </x:c>
      <x:c r="D917" s="7" t="str">
        <x:v>FAIL</x:v>
      </x:c>
      <x:c r="E917" s="13" t="str">
        <x:v>Pending</x:v>
      </x:c>
      <x:c r="F917" s="13" t="str"/>
      <x:c r="G917" s="13" t="str"/>
      <x:c r="H917" s="13" t="str"/>
      <x:c r="I917" s="7" t="str">
        <x:v>Was this person reviewed? If rejected, give the actual rule and evidence. If acceptable, correct the omission. Confirm the Life-qualification gate and any record change since selection.</x:v>
      </x:c>
      <x:c r="J917" s="7" t="str">
        <x:v>L1</x:v>
      </x:c>
      <x:c r="K917" s="7" t="str">
        <x:v>Verified qualifications do not include active general Life. Current target-pool mismatch; actual historical omission reason unknown.</x:v>
      </x:c>
      <x:c r="L917" s="7" t="str">
        <x:v>Not supplied; membership is known, motive is not</x:v>
      </x:c>
      <x:c r="M917" s="7" t="n">
        <x:v>7</x:v>
      </x:c>
      <x:c r="N917" s="7" t="str">
        <x:v>Outside current general-Life recruiting pool</x:v>
      </x:c>
      <x:c r="O917" s="7" t="str">
        <x:v>Inactive</x:v>
      </x:c>
      <x:c r="P917" s="7" t="str">
        <x:v>08/25/2022</x:v>
      </x:c>
      <x:c r="Q917" s="7" t="str">
        <x:v>08/31/2024</x:v>
      </x:c>
      <x:c r="R917" s="7" t="str"/>
      <x:c r="S917" s="15" t="str"/>
      <x:c r="T917" s="7" t="str">
        <x:v>No public business phone in collected record</x:v>
      </x:c>
      <x:c r="U917" s="7" t="str">
        <x:v>9250 RESEDA BLVD STE 216 NORTHRIDGE CA, 91324-3142</x:v>
      </x:c>
      <x:c r="V917" s="7" t="str">
        <x:v>Resident</x:v>
      </x:c>
      <x:c r="W917" s="7" t="str">
        <x:v>CA</x:v>
      </x:c>
      <x:c r="X917" s="7" t="str"/>
      <x:c r="Y917" s="7" t="str"/>
      <x:c r="Z917" s="7" t="str"/>
      <x:c r="AA917" s="7" t="str"/>
      <x:c r="AB917" s="7" t="str"/>
      <x:c r="AC917" s="7" t="str"/>
      <x:c r="AD917" s="7" t="str">
        <x:v>No agency or insurer displayed: onboarding opportunity possible; existing business unknown</x:v>
      </x:c>
      <x:c r="AE917" s="7" t="str">
        <x:v>No public business phone: contact enrichment needed, not proof of poor recruiting fit</x:v>
      </x:c>
      <x:c r="AF917" s="16" t="str"/>
      <x:c r="AG917" s="17" t="str"/>
      <x:c r="AH917" s="7" t="str"/>
      <x:c r="AI917" s="7" t="str"/>
      <x:c r="AJ917" s="7" t="str"/>
      <x:c r="AK917" s="15" t="str"/>
      <x:c r="AL917" s="7" t="str"/>
      <x:c r="AM917" s="7" t="str">
        <x:v>AGUILAR  MONICA</x:v>
      </x:c>
      <x:c r="AN917" s="7" t="str">
        <x:v>https://cdicloud.insurance.ca.gov/cal/LicenseDetail?SearchType=IND&amp;SearchLicNbr=4222648&amp;SearchIndvId=4222648</x:v>
      </x:c>
      <x:c r="AO917" s="7" t="str">
        <x:v>2026-10-08</x:v>
      </x:c>
      <x:c r="AP917" s="7" t="str">
        <x:v>1de531e1c0c28e67551404facfc5cf09ea1dd7aeb5112f4ac8ad09cbd77f2e43</x:v>
      </x:c>
      <x:c r="AQ917" s="7" t="str">
        <x:v>Life / Inactive / 08/25/2022 / 08/31/2024 / 08/31/2024</x:v>
      </x:c>
      <x:c r="AR917" s="7" t="str">
        <x:v>Inactive</x:v>
      </x:c>
      <x:c r="AS917" s="7" t="str">
        <x:v>Current detail page</x:v>
      </x:c>
    </x:row>
    <x:row r="918" ht="52" customHeight="1">
      <x:c r="A918" s="7" t="str">
        <x:v>AGUILAR MONICA GUADALUPE</x:v>
      </x:c>
      <x:c r="B918" s="14" t="str">
        <x:f>"0M27818"</x:f>
        <x:v>0M27818</x:v>
      </x:c>
      <x:c r="C918" s="7" t="str">
        <x:v>Omitted</x:v>
      </x:c>
      <x:c r="D918" s="7" t="str">
        <x:v>FAIL</x:v>
      </x:c>
      <x:c r="E918" s="13" t="str">
        <x:v>Pending</x:v>
      </x:c>
      <x:c r="F918" s="13" t="str"/>
      <x:c r="G918" s="13" t="str"/>
      <x:c r="H918" s="13" t="str"/>
      <x:c r="I918" s="7" t="str">
        <x:v>Was this person reviewed? If rejected, give the actual rule and evidence. If acceptable, correct the omission. Confirm the Life-qualification gate and any record change since selection.</x:v>
      </x:c>
      <x:c r="J918" s="7" t="str">
        <x:v>L1</x:v>
      </x:c>
      <x:c r="K918" s="7" t="str">
        <x:v>Verified qualifications do not include active general Life. Current target-pool mismatch; actual historical omission reason unknown.</x:v>
      </x:c>
      <x:c r="L918" s="7" t="str">
        <x:v>Not supplied; membership is known, motive is not</x:v>
      </x:c>
      <x:c r="M918" s="7" t="n">
        <x:v>7</x:v>
      </x:c>
      <x:c r="N918" s="7" t="str">
        <x:v>Outside current general-Life recruiting pool</x:v>
      </x:c>
      <x:c r="O918" s="7" t="str">
        <x:v>Not displayed</x:v>
      </x:c>
      <x:c r="P918" s="7" t="str"/>
      <x:c r="Q918" s="7" t="str"/>
      <x:c r="R918" s="7" t="str"/>
      <x:c r="S918" s="15" t="str"/>
      <x:c r="T918" s="7" t="str">
        <x:v>No public business phone in collected record</x:v>
      </x:c>
      <x:c r="U918" s="7" t="str"/>
      <x:c r="V918" s="7" t="str">
        <x:v>Resident</x:v>
      </x:c>
      <x:c r="W918" s="7" t="str">
        <x:v>CA</x:v>
      </x:c>
      <x:c r="X918" s="7" t="str"/>
      <x:c r="Y918" s="7" t="str"/>
      <x:c r="Z918" s="7" t="str"/>
      <x:c r="AA918" s="7" t="str"/>
      <x:c r="AB918" s="7" t="str"/>
      <x:c r="AC918" s="7" t="str"/>
      <x:c r="AD918" s="7" t="str">
        <x:v>No agency or insurer displayed: onboarding opportunity possible; existing business unknown</x:v>
      </x:c>
      <x:c r="AE918" s="7" t="str">
        <x:v>No public business phone: contact enrichment needed, not proof of poor recruiting fit</x:v>
      </x:c>
      <x:c r="AF918" s="16" t="str"/>
      <x:c r="AG918" s="17" t="str"/>
      <x:c r="AH918" s="7" t="str"/>
      <x:c r="AI918" s="7" t="str"/>
      <x:c r="AJ918" s="7" t="str"/>
      <x:c r="AK918" s="15" t="str"/>
      <x:c r="AL918" s="7" t="str"/>
      <x:c r="AM918" s="7" t="str">
        <x:v>Aguilar G Monica | AGUILAR GUADALUPE MONICA</x:v>
      </x:c>
      <x:c r="AN918" s="7" t="str">
        <x:v>https://cdicloud.insurance.ca.gov/cal/LicenseDetail?SearchType=IND&amp;SearchLicNbr=0M27818&amp;SearchIndvId=2007139</x:v>
      </x:c>
      <x:c r="AO918" s="7" t="str">
        <x:v>2026-10-08</x:v>
      </x:c>
      <x:c r="AP918" s="7" t="str">
        <x:v>aec37c32fbcc0efb76b87ff8998e7bfc701b1cefd169c8368fed105b51868357</x:v>
      </x:c>
      <x:c r="AQ918" s="7" t="str">
        <x:v>Personal Lines Broker-Agent / Inactive / 10/11/2018 / 04/30/2020 / 04/30/2020
Life-Only / Inactive / 04/03/2018 / 04/30/2020 / 04/30/2020</x:v>
      </x:c>
      <x:c r="AR918" s="7" t="str">
        <x:v>Inactive</x:v>
      </x:c>
      <x:c r="AS918" s="7" t="str">
        <x:v>Current detail page</x:v>
      </x:c>
    </x:row>
    <x:row r="919" ht="52" customHeight="1">
      <x:c r="A919" s="7" t="str">
        <x:v>AGUILAR MONICA NOHEMI</x:v>
      </x:c>
      <x:c r="B919" s="14" t="str">
        <x:f>"4097133"</x:f>
        <x:v>4097133</x:v>
      </x:c>
      <x:c r="C919" s="7" t="str">
        <x:v>Omitted</x:v>
      </x:c>
      <x:c r="D919" s="7" t="str">
        <x:v>FAIL</x:v>
      </x:c>
      <x:c r="E919" s="13" t="str">
        <x:v>Pending</x:v>
      </x:c>
      <x:c r="F919" s="13" t="str"/>
      <x:c r="G919" s="13" t="str"/>
      <x:c r="H919" s="13" t="str"/>
      <x:c r="I919" s="7" t="str">
        <x:v>Was this person reviewed? If rejected, give the actual rule and evidence. If acceptable, correct the omission. Confirm the Life-qualification gate and any record change since selection.</x:v>
      </x:c>
      <x:c r="J919" s="7" t="str">
        <x:v>L1</x:v>
      </x:c>
      <x:c r="K919" s="7" t="str">
        <x:v>Verified qualifications do not include active general Life. Current target-pool mismatch; actual historical omission reason unknown.</x:v>
      </x:c>
      <x:c r="L919" s="7" t="str">
        <x:v>Not supplied; membership is known, motive is not</x:v>
      </x:c>
      <x:c r="M919" s="7" t="n">
        <x:v>7</x:v>
      </x:c>
      <x:c r="N919" s="7" t="str">
        <x:v>Outside current general-Life recruiting pool</x:v>
      </x:c>
      <x:c r="O919" s="7" t="str">
        <x:v>Inactive</x:v>
      </x:c>
      <x:c r="P919" s="7" t="str">
        <x:v>03/04/2021</x:v>
      </x:c>
      <x:c r="Q919" s="7" t="str">
        <x:v>03/31/2023</x:v>
      </x:c>
      <x:c r="R919" s="7" t="str"/>
      <x:c r="S919" s="15" t="str">
        <x:v>925-383-7643</x:v>
      </x:c>
      <x:c r="T919" s="7" t="str">
        <x:v>Current CDI</x:v>
      </x:c>
      <x:c r="U919" s="7" t="str">
        <x:v>2925 BELLFLOWER DR ANTIOCH CA, 94531</x:v>
      </x:c>
      <x:c r="V919" s="7" t="str">
        <x:v>Resident</x:v>
      </x:c>
      <x:c r="W919" s="7" t="str">
        <x:v>CA</x:v>
      </x:c>
      <x:c r="X919" s="7" t="str"/>
      <x:c r="Y919" s="7" t="str"/>
      <x:c r="Z919" s="7" t="str"/>
      <x:c r="AA919" s="7" t="str"/>
      <x:c r="AB919" s="7" t="str"/>
      <x:c r="AC919" s="7" t="str"/>
      <x:c r="AD919" s="7" t="str">
        <x:v>No agency or insurer displayed: onboarding opportunity possible; existing business unknown</x:v>
      </x:c>
      <x:c r="AE919" s="7" t="str"/>
      <x:c r="AF919" s="16" t="str"/>
      <x:c r="AG919" s="17" t="str"/>
      <x:c r="AH919" s="7" t="str"/>
      <x:c r="AI919" s="7" t="str">
        <x:v>English</x:v>
      </x:c>
      <x:c r="AJ919" s="7" t="str"/>
      <x:c r="AK919" s="15" t="str"/>
      <x:c r="AL919" s="7" t="str"/>
      <x:c r="AM919" s="7" t="str">
        <x:v>AGUILAR NOHEMI MONICA | Aguilar Bravo  Monica</x:v>
      </x:c>
      <x:c r="AN919" s="7" t="str">
        <x:v>https://cdicloud.insurance.ca.gov/cal/LicenseDetail?SearchType=IND&amp;SearchLicNbr=4097133&amp;SearchIndvId=4097133</x:v>
      </x:c>
      <x:c r="AO919" s="7" t="str">
        <x:v>2026-10-08</x:v>
      </x:c>
      <x:c r="AP919" s="7" t="str">
        <x:v>76ef1fbedc5aa8571ae0ca8d205c7696dde82681c45ed018ec6fa0a3c426e628</x:v>
      </x:c>
      <x:c r="AQ919" s="7" t="str">
        <x:v>Life / Inactive / 03/04/2021 / 03/31/2023 / 03/31/2023</x:v>
      </x:c>
      <x:c r="AR919" s="7" t="str">
        <x:v>Inactive</x:v>
      </x:c>
      <x:c r="AS919" s="7" t="str">
        <x:v>Current detail page</x:v>
      </x:c>
    </x:row>
    <x:row r="920" ht="52" customHeight="1">
      <x:c r="A920" s="7" t="str">
        <x:v>AGUILAR MONICA VARGAS</x:v>
      </x:c>
      <x:c r="B920" s="14" t="str">
        <x:f>"0H71381"</x:f>
        <x:v>0H71381</x:v>
      </x:c>
      <x:c r="C920" s="7" t="str">
        <x:v>Omitted</x:v>
      </x:c>
      <x:c r="D920" s="7" t="str">
        <x:v>FAIL</x:v>
      </x:c>
      <x:c r="E920" s="13" t="str">
        <x:v>Pending</x:v>
      </x:c>
      <x:c r="F920" s="13" t="str"/>
      <x:c r="G920" s="13" t="str"/>
      <x:c r="H920" s="13" t="str"/>
      <x:c r="I920" s="7" t="str">
        <x:v>Was this person reviewed? If rejected, give the actual rule and evidence. If acceptable, correct the omission. Confirm the Life-qualification gate and any record change since selection.</x:v>
      </x:c>
      <x:c r="J920" s="7" t="str">
        <x:v>L1</x:v>
      </x:c>
      <x:c r="K920" s="7" t="str">
        <x:v>Verified qualifications do not include active general Life. Current target-pool mismatch; actual historical omission reason unknown.</x:v>
      </x:c>
      <x:c r="L920" s="7" t="str">
        <x:v>Not supplied; membership is known, motive is not</x:v>
      </x:c>
      <x:c r="M920" s="7" t="n">
        <x:v>7</x:v>
      </x:c>
      <x:c r="N920" s="7" t="str">
        <x:v>Outside current general-Life recruiting pool</x:v>
      </x:c>
      <x:c r="O920" s="7" t="str">
        <x:v>Not displayed</x:v>
      </x:c>
      <x:c r="P920" s="7" t="str"/>
      <x:c r="Q920" s="7" t="str"/>
      <x:c r="R920" s="7" t="str"/>
      <x:c r="S920" s="15" t="str"/>
      <x:c r="T920" s="7" t="str">
        <x:v>No public business phone in collected record</x:v>
      </x:c>
      <x:c r="U920" s="7" t="str"/>
      <x:c r="V920" s="7" t="str">
        <x:v>Resident</x:v>
      </x:c>
      <x:c r="W920" s="7" t="str">
        <x:v>CA</x:v>
      </x:c>
      <x:c r="X920" s="7" t="str"/>
      <x:c r="Y920" s="7" t="str"/>
      <x:c r="Z920" s="7" t="str"/>
      <x:c r="AA920" s="7" t="str"/>
      <x:c r="AB920" s="7" t="str"/>
      <x:c r="AC920" s="7" t="str"/>
      <x:c r="AD920" s="7" t="str">
        <x:v>No agency or insurer displayed: onboarding opportunity possible; existing business unknown</x:v>
      </x:c>
      <x:c r="AE920" s="7" t="str">
        <x:v>No public business phone: contact enrichment needed, not proof of poor recruiting fit</x:v>
      </x:c>
      <x:c r="AF920" s="16" t="str"/>
      <x:c r="AG920" s="17" t="str"/>
      <x:c r="AH920" s="7" t="str"/>
      <x:c r="AI920" s="7" t="str"/>
      <x:c r="AJ920" s="7" t="str"/>
      <x:c r="AK920" s="15" t="str"/>
      <x:c r="AL920" s="7" t="str"/>
      <x:c r="AM920" s="7" t="str">
        <x:v>AGUILAR VARGAS MONICA</x:v>
      </x:c>
      <x:c r="AN920" s="7" t="str">
        <x:v>https://cdicloud.insurance.ca.gov/cal/LicenseDetail?SearchType=IND&amp;SearchLicNbr=0H71381&amp;SearchIndvId=1493575</x:v>
      </x:c>
      <x:c r="AO920" s="7" t="str">
        <x:v>2026-10-08</x:v>
      </x:c>
      <x:c r="AP920" s="7" t="str">
        <x:v>aa430ccf68e119b1f203d6214a6f44d86947b5b171db95214ea11f4f2c8660e1</x:v>
      </x:c>
      <x:c r="AQ920" s="7" t="str">
        <x:v>Casualty Broker-Agent / Inactive / 12/21/2011 / 12/31/2017 / 12/31/2017
Property Broker-Agent / Inactive / 12/21/2011 / 12/31/2017 / 12/31/2017</x:v>
      </x:c>
      <x:c r="AR920" s="7" t="str">
        <x:v>Inactive</x:v>
      </x:c>
      <x:c r="AS920" s="7" t="str">
        <x:v>Current detail page</x:v>
      </x:c>
    </x:row>
    <x:row r="921" ht="52" customHeight="1">
      <x:c r="A921" s="7" t="str">
        <x:v>AGUILAR MONIQUE</x:v>
      </x:c>
      <x:c r="B921" s="14" t="str">
        <x:f>"4071442"</x:f>
        <x:v>4071442</x:v>
      </x:c>
      <x:c r="C921" s="7" t="str">
        <x:v>Omitted</x:v>
      </x:c>
      <x:c r="D921" s="7" t="str">
        <x:v>FAIL</x:v>
      </x:c>
      <x:c r="E921" s="13" t="str">
        <x:v>Pending</x:v>
      </x:c>
      <x:c r="F921" s="13" t="str"/>
      <x:c r="G921" s="13" t="str"/>
      <x:c r="H921" s="13" t="str"/>
      <x:c r="I921" s="7" t="str">
        <x:v>Was this person reviewed? If rejected, give the actual rule and evidence. If acceptable, correct the omission. Confirm the Life-qualification gate and any record change since selection.</x:v>
      </x:c>
      <x:c r="J921" s="7" t="str">
        <x:v>L1</x:v>
      </x:c>
      <x:c r="K921" s="7" t="str">
        <x:v>Verified qualifications do not include active general Life. Current target-pool mismatch; actual historical omission reason unknown.</x:v>
      </x:c>
      <x:c r="L921" s="7" t="str">
        <x:v>Not supplied; membership is known, motive is not</x:v>
      </x:c>
      <x:c r="M921" s="7" t="n">
        <x:v>7</x:v>
      </x:c>
      <x:c r="N921" s="7" t="str">
        <x:v>Outside current general-Life recruiting pool</x:v>
      </x:c>
      <x:c r="O921" s="7" t="str">
        <x:v>Not displayed</x:v>
      </x:c>
      <x:c r="P921" s="7" t="str"/>
      <x:c r="Q921" s="7" t="str"/>
      <x:c r="R921" s="7" t="str"/>
      <x:c r="S921" s="15" t="str"/>
      <x:c r="T921" s="7" t="str">
        <x:v>No public business phone in collected record</x:v>
      </x:c>
      <x:c r="U921" s="7" t="str">
        <x:v>10310 W COLTER ST GLENDALE AZ, 85307-4198</x:v>
      </x:c>
      <x:c r="V921" s="7" t="str">
        <x:v>Non-resident</x:v>
      </x:c>
      <x:c r="W921" s="7" t="str">
        <x:v>AZ</x:v>
      </x:c>
      <x:c r="X921" s="7" t="str"/>
      <x:c r="Y921" s="7" t="str"/>
      <x:c r="Z921" s="7" t="str"/>
      <x:c r="AA921" s="7" t="str"/>
      <x:c r="AB921" s="7" t="str"/>
      <x:c r="AC921" s="7" t="str"/>
      <x:c r="AD921" s="7" t="str">
        <x:v>No agency or insurer displayed: onboarding opportunity possible; existing business unknown</x:v>
      </x:c>
      <x:c r="AE921" s="7" t="str">
        <x:v>Nonresident or address state outside CA; confirm geographic recruiting scope | No public business phone: contact enrichment needed, not proof of poor recruiting fit</x:v>
      </x:c>
      <x:c r="AF921" s="16" t="str"/>
      <x:c r="AG921" s="17" t="str"/>
      <x:c r="AH921" s="7" t="str"/>
      <x:c r="AI921" s="7" t="str"/>
      <x:c r="AJ921" s="7" t="str"/>
      <x:c r="AK921" s="15" t="str"/>
      <x:c r="AL921" s="7" t="str"/>
      <x:c r="AM921" s="7" t="str">
        <x:v>AGUILAR  MONIQUE</x:v>
      </x:c>
      <x:c r="AN921" s="7" t="str">
        <x:v>https://cdicloud.insurance.ca.gov/cal/LicenseDetail?SearchType=IND&amp;SearchLicNbr=4071442&amp;SearchIndvId=4071442</x:v>
      </x:c>
      <x:c r="AO921" s="7" t="str">
        <x:v>2026-10-08</x:v>
      </x:c>
      <x:c r="AP921" s="7" t="str">
        <x:v>029e9047123aa61f1285696d7fcb436ddb725d26b97d1f16151b24535c6139b3</x:v>
      </x:c>
      <x:c r="AQ921" s="7" t="str">
        <x:v>Accident &amp; Health or Sickness / Inactive / 09/25/2020 / 09/30/2024 / 09/30/2024</x:v>
      </x:c>
      <x:c r="AR921" s="7" t="str">
        <x:v>Inactive</x:v>
      </x:c>
      <x:c r="AS921" s="7" t="str">
        <x:v>Current detail page</x:v>
      </x:c>
    </x:row>
    <x:row r="922" ht="52" customHeight="1">
      <x:c r="A922" s="7" t="str">
        <x:v>AGUILAR MORALES ASHLEY KAY</x:v>
      </x:c>
      <x:c r="B922" s="14" t="str">
        <x:f>"4236630"</x:f>
        <x:v>4236630</x:v>
      </x:c>
      <x:c r="C922" s="7" t="str">
        <x:v>Omitted</x:v>
      </x:c>
      <x:c r="D922" s="7" t="str">
        <x:v>FAIL</x:v>
      </x:c>
      <x:c r="E922" s="13" t="str">
        <x:v>Pending</x:v>
      </x:c>
      <x:c r="F922" s="13" t="str"/>
      <x:c r="G922" s="13" t="str"/>
      <x:c r="H922" s="13" t="str"/>
      <x:c r="I922" s="7" t="str">
        <x:v>Was this person reviewed? If rejected, give the actual rule and evidence. If acceptable, correct the omission. Confirm the Life-qualification gate and any record change since selection.</x:v>
      </x:c>
      <x:c r="J922" s="7" t="str">
        <x:v>L1</x:v>
      </x:c>
      <x:c r="K922" s="7" t="str">
        <x:v>Verified qualifications do not include active general Life. Current target-pool mismatch; actual historical omission reason unknown.</x:v>
      </x:c>
      <x:c r="L922" s="7" t="str">
        <x:v>Not supplied; membership is known, motive is not</x:v>
      </x:c>
      <x:c r="M922" s="7" t="n">
        <x:v>7</x:v>
      </x:c>
      <x:c r="N922" s="7" t="str">
        <x:v>Outside current general-Life recruiting pool</x:v>
      </x:c>
      <x:c r="O922" s="7" t="str">
        <x:v>Inactive</x:v>
      </x:c>
      <x:c r="P922" s="7" t="str">
        <x:v>09/07/2022</x:v>
      </x:c>
      <x:c r="Q922" s="7" t="str">
        <x:v>09/30/2024</x:v>
      </x:c>
      <x:c r="R922" s="7" t="str"/>
      <x:c r="S922" s="15" t="str"/>
      <x:c r="T922" s="7" t="str">
        <x:v>No public business phone in collected record</x:v>
      </x:c>
      <x:c r="U922" s="7" t="str">
        <x:v>2500 W 6TH ST APT 207 LAWRENCE KS, 66049</x:v>
      </x:c>
      <x:c r="V922" s="7" t="str">
        <x:v>Non-resident</x:v>
      </x:c>
      <x:c r="W922" s="7" t="str">
        <x:v>KS</x:v>
      </x:c>
      <x:c r="X922" s="7" t="str"/>
      <x:c r="Y922" s="7" t="str"/>
      <x:c r="Z922" s="7" t="str"/>
      <x:c r="AA922" s="7" t="str"/>
      <x:c r="AB922" s="7" t="str"/>
      <x:c r="AC922" s="7" t="str"/>
      <x:c r="AD922" s="7" t="str">
        <x:v>No agency or insurer displayed: onboarding opportunity possible; existing business unknown</x:v>
      </x:c>
      <x:c r="AE922" s="7" t="str">
        <x:v>Nonresident or address state outside CA; confirm geographic recruiting scope | No public business phone: contact enrichment needed, not proof of poor recruiting fit</x:v>
      </x:c>
      <x:c r="AF922" s="16" t="str"/>
      <x:c r="AG922" s="17" t="str"/>
      <x:c r="AH922" s="7" t="str"/>
      <x:c r="AI922" s="7" t="str"/>
      <x:c r="AJ922" s="7" t="str"/>
      <x:c r="AK922" s="15" t="str"/>
      <x:c r="AL922" s="7" t="str"/>
      <x:c r="AM922" s="7" t="str">
        <x:v>AGUILAR MORALES KAY ASHLEY</x:v>
      </x:c>
      <x:c r="AN922" s="7" t="str">
        <x:v>https://cdicloud.insurance.ca.gov/cal/LicenseDetail?SearchType=IND&amp;SearchLicNbr=4236630&amp;SearchIndvId=4236630</x:v>
      </x:c>
      <x:c r="AO922" s="7" t="str">
        <x:v>2026-10-08</x:v>
      </x:c>
      <x:c r="AP922" s="7" t="str">
        <x:v>23ef726bf44f4dcb54d7e4c0c31760eb4c490c5a2b235ac33e5af83408902fdc</x:v>
      </x:c>
      <x:c r="AQ922" s="7" t="str">
        <x:v>Accident &amp; Health or Sickness / Inactive / 09/07/2022 / 09/30/2024 / 09/30/2024
Life / Inactive / 09/07/2022 / 09/30/2024 / 09/30/2024</x:v>
      </x:c>
      <x:c r="AR922" s="7" t="str">
        <x:v>Inactive</x:v>
      </x:c>
      <x:c r="AS922" s="7" t="str">
        <x:v>Current detail page</x:v>
      </x:c>
    </x:row>
    <x:row r="923" ht="52" customHeight="1">
      <x:c r="A923" s="7" t="str">
        <x:v>AGUILAR MYLA ALMALEL</x:v>
      </x:c>
      <x:c r="B923" s="14" t="str">
        <x:f>"0I94303"</x:f>
        <x:v>0I94303</x:v>
      </x:c>
      <x:c r="C923" s="7" t="str">
        <x:v>Omitted</x:v>
      </x:c>
      <x:c r="D923" s="7" t="str">
        <x:v>FAIL</x:v>
      </x:c>
      <x:c r="E923" s="13" t="str">
        <x:v>Pending</x:v>
      </x:c>
      <x:c r="F923" s="13" t="str"/>
      <x:c r="G923" s="13" t="str"/>
      <x:c r="H923" s="13" t="str"/>
      <x:c r="I923" s="7" t="str">
        <x:v>Was this person reviewed? If rejected, give the actual rule and evidence. If acceptable, correct the omission. Confirm the Life-qualification gate and any record change since selection.</x:v>
      </x:c>
      <x:c r="J923" s="7" t="str">
        <x:v>L1</x:v>
      </x:c>
      <x:c r="K923" s="7" t="str">
        <x:v>Verified qualifications do not include active general Life. Current target-pool mismatch; actual historical omission reason unknown.</x:v>
      </x:c>
      <x:c r="L923" s="7" t="str">
        <x:v>Not supplied; membership is known, motive is not</x:v>
      </x:c>
      <x:c r="M923" s="7" t="n">
        <x:v>7</x:v>
      </x:c>
      <x:c r="N923" s="7" t="str">
        <x:v>Outside current general-Life recruiting pool</x:v>
      </x:c>
      <x:c r="O923" s="7" t="str">
        <x:v>Inactive</x:v>
      </x:c>
      <x:c r="P923" s="7" t="str">
        <x:v>07/01/2014</x:v>
      </x:c>
      <x:c r="Q923" s="7" t="str">
        <x:v>07/31/2022</x:v>
      </x:c>
      <x:c r="R923" s="7" t="str"/>
      <x:c r="S923" s="15" t="str">
        <x:v>562-682-1899</x:v>
      </x:c>
      <x:c r="T923" s="7" t="str">
        <x:v>Current CDI</x:v>
      </x:c>
      <x:c r="U923" s="7" t="str">
        <x:v>11560, EVERSTON ST NORWALK CA, 90650</x:v>
      </x:c>
      <x:c r="V923" s="7" t="str">
        <x:v>Resident</x:v>
      </x:c>
      <x:c r="W923" s="7" t="str">
        <x:v>CA</x:v>
      </x:c>
      <x:c r="X923" s="7" t="str"/>
      <x:c r="Y923" s="7" t="str"/>
      <x:c r="Z923" s="7" t="str"/>
      <x:c r="AA923" s="7" t="str"/>
      <x:c r="AB923" s="7" t="str"/>
      <x:c r="AC923" s="7" t="str"/>
      <x:c r="AD923" s="7" t="str">
        <x:v>No agency or insurer displayed: onboarding opportunity possible; existing business unknown</x:v>
      </x:c>
      <x:c r="AE923" s="7" t="str"/>
      <x:c r="AF923" s="16" t="str"/>
      <x:c r="AG923" s="17" t="str"/>
      <x:c r="AH923" s="7" t="str"/>
      <x:c r="AI923" s="7" t="str">
        <x:v>English</x:v>
      </x:c>
      <x:c r="AJ923" s="7" t="str"/>
      <x:c r="AK923" s="15" t="str"/>
      <x:c r="AL923" s="7" t="str"/>
      <x:c r="AM923" s="7" t="str">
        <x:v>Aguilar A Myla | AGUILAR ALMALEL MYLA</x:v>
      </x:c>
      <x:c r="AN923" s="7" t="str">
        <x:v>https://cdicloud.insurance.ca.gov/cal/LicenseDetail?SearchType=IND&amp;SearchLicNbr=0I94303&amp;SearchIndvId=1679638</x:v>
      </x:c>
      <x:c r="AO923" s="7" t="str">
        <x:v>2026-10-08</x:v>
      </x:c>
      <x:c r="AP923" s="7" t="str">
        <x:v>5b19351861f3c5d8e297011f936d3f5d096f291facf7c28f757603f91b678496</x:v>
      </x:c>
      <x:c r="AQ923" s="7" t="str">
        <x:v>Accident &amp; Health or Sickness / Inactive / 07/01/2014 / 07/31/2022 / 07/31/2022
Life / Inactive / 07/01/2014 / 07/31/2022 / 07/31/2022</x:v>
      </x:c>
      <x:c r="AR923" s="7" t="str">
        <x:v>Inactive</x:v>
      </x:c>
      <x:c r="AS923" s="7" t="str">
        <x:v>Current detail page</x:v>
      </x:c>
    </x:row>
    <x:row r="924" ht="52" customHeight="1">
      <x:c r="A924" s="7" t="str">
        <x:v>AGUILAR MYRA DADAT</x:v>
      </x:c>
      <x:c r="B924" s="14" t="str">
        <x:f>"4124380"</x:f>
        <x:v>4124380</x:v>
      </x:c>
      <x:c r="C924" s="7" t="str">
        <x:v>Omitted</x:v>
      </x:c>
      <x:c r="D924" s="7" t="str">
        <x:v>FAIL</x:v>
      </x:c>
      <x:c r="E924" s="13" t="str">
        <x:v>Pending</x:v>
      </x:c>
      <x:c r="F924" s="13" t="str"/>
      <x:c r="G924" s="13" t="str"/>
      <x:c r="H924" s="13" t="str"/>
      <x:c r="I924" s="7" t="str">
        <x:v>Was this person reviewed? If rejected, give the actual rule and evidence. If acceptable, correct the omission. Confirm the Life-qualification gate and any record change since selection.</x:v>
      </x:c>
      <x:c r="J924" s="7" t="str">
        <x:v>L1</x:v>
      </x:c>
      <x:c r="K924" s="7" t="str">
        <x:v>Verified qualifications do not include active general Life. Current target-pool mismatch; actual historical omission reason unknown.</x:v>
      </x:c>
      <x:c r="L924" s="7" t="str">
        <x:v>Not supplied; membership is known, motive is not</x:v>
      </x:c>
      <x:c r="M924" s="7" t="n">
        <x:v>7</x:v>
      </x:c>
      <x:c r="N924" s="7" t="str">
        <x:v>Outside current general-Life recruiting pool</x:v>
      </x:c>
      <x:c r="O924" s="7" t="str">
        <x:v>Inactive</x:v>
      </x:c>
      <x:c r="P924" s="7" t="str">
        <x:v>05/12/2021</x:v>
      </x:c>
      <x:c r="Q924" s="7" t="str">
        <x:v>05/31/2025</x:v>
      </x:c>
      <x:c r="R924" s="7" t="str"/>
      <x:c r="S924" s="15" t="str">
        <x:v>510-206-9916</x:v>
      </x:c>
      <x:c r="T924" s="7" t="str">
        <x:v>Current CDI</x:v>
      </x:c>
      <x:c r="U924" s="7" t="str">
        <x:v>1255 TREAT BOULEVARD SUITE 300 WALNUT CREEK CA, 94597</x:v>
      </x:c>
      <x:c r="V924" s="7" t="str">
        <x:v>Resident</x:v>
      </x:c>
      <x:c r="W924" s="7" t="str">
        <x:v>CA</x:v>
      </x:c>
      <x:c r="X924" s="7" t="str"/>
      <x:c r="Y924" s="7" t="str"/>
      <x:c r="Z924" s="7" t="str"/>
      <x:c r="AA924" s="7" t="str"/>
      <x:c r="AB924" s="7" t="str"/>
      <x:c r="AC924" s="7" t="str"/>
      <x:c r="AD924" s="7" t="str">
        <x:v>No agency or insurer displayed: onboarding opportunity possible; existing business unknown</x:v>
      </x:c>
      <x:c r="AE924" s="7" t="str"/>
      <x:c r="AF924" s="16" t="str"/>
      <x:c r="AG924" s="17" t="str"/>
      <x:c r="AH924" s="7" t="str"/>
      <x:c r="AI924" s="7" t="str">
        <x:v>English</x:v>
      </x:c>
      <x:c r="AJ924" s="7" t="str"/>
      <x:c r="AK924" s="15" t="str"/>
      <x:c r="AL924" s="7" t="str"/>
      <x:c r="AM924" s="7" t="str">
        <x:v>AGUILAR DADAT MYRA</x:v>
      </x:c>
      <x:c r="AN924" s="7" t="str">
        <x:v>https://cdicloud.insurance.ca.gov/cal/LicenseDetail?SearchType=IND&amp;SearchLicNbr=4124380&amp;SearchIndvId=4124380</x:v>
      </x:c>
      <x:c r="AO924" s="7" t="str">
        <x:v>2026-10-08</x:v>
      </x:c>
      <x:c r="AP924" s="7" t="str">
        <x:v>766d901103c56da3f01514decbbf4666f9a71daf9458d6583d2ce713ca7521ad</x:v>
      </x:c>
      <x:c r="AQ924" s="7" t="str">
        <x:v>Accident &amp; Health or Sickness / Inactive / 05/12/2021 / 05/31/2025 / 05/31/2025
Life / Inactive / 05/12/2021 / 05/31/2025 / 05/31/2025</x:v>
      </x:c>
      <x:c r="AR924" s="7" t="str">
        <x:v>Inactive</x:v>
      </x:c>
      <x:c r="AS924" s="7" t="str">
        <x:v>Current detail page</x:v>
      </x:c>
    </x:row>
    <x:row r="925" ht="52" customHeight="1">
      <x:c r="A925" s="7" t="str">
        <x:v>AGUILAR MYRA LIZETT</x:v>
      </x:c>
      <x:c r="B925" s="14" t="str">
        <x:f>"0E61415"</x:f>
        <x:v>0E61415</x:v>
      </x:c>
      <x:c r="C925" s="7" t="str">
        <x:v>Omitted</x:v>
      </x:c>
      <x:c r="D925" s="7" t="str">
        <x:v>FAIL</x:v>
      </x:c>
      <x:c r="E925" s="13" t="str">
        <x:v>Pending</x:v>
      </x:c>
      <x:c r="F925" s="13" t="str"/>
      <x:c r="G925" s="13" t="str"/>
      <x:c r="H925" s="13" t="str"/>
      <x:c r="I925" s="7" t="str">
        <x:v>Was this person reviewed? If rejected, give the actual rule and evidence. If acceptable, correct the omission. Confirm the Life-qualification gate and any record change since selection.</x:v>
      </x:c>
      <x:c r="J925" s="7" t="str">
        <x:v>L1</x:v>
      </x:c>
      <x:c r="K925" s="7" t="str">
        <x:v>Verified qualifications do not include active general Life. Current target-pool mismatch; actual historical omission reason unknown.</x:v>
      </x:c>
      <x:c r="L925" s="7" t="str">
        <x:v>Not supplied; membership is known, motive is not</x:v>
      </x:c>
      <x:c r="M925" s="7" t="n">
        <x:v>7</x:v>
      </x:c>
      <x:c r="N925" s="7" t="str">
        <x:v>Outside current general-Life recruiting pool</x:v>
      </x:c>
      <x:c r="O925" s="7" t="str">
        <x:v>Not displayed</x:v>
      </x:c>
      <x:c r="P925" s="7" t="str"/>
      <x:c r="Q925" s="7" t="str"/>
      <x:c r="R925" s="7" t="str"/>
      <x:c r="S925" s="15" t="str"/>
      <x:c r="T925" s="7" t="str">
        <x:v>No public business phone in collected record</x:v>
      </x:c>
      <x:c r="U925" s="7" t="str"/>
      <x:c r="V925" s="7" t="str">
        <x:v>Resident</x:v>
      </x:c>
      <x:c r="W925" s="7" t="str">
        <x:v>CA</x:v>
      </x:c>
      <x:c r="X925" s="7" t="str"/>
      <x:c r="Y925" s="7" t="str"/>
      <x:c r="Z925" s="7" t="str"/>
      <x:c r="AA925" s="7" t="str"/>
      <x:c r="AB925" s="7" t="str"/>
      <x:c r="AC925" s="7" t="str"/>
      <x:c r="AD925" s="7" t="str">
        <x:v>No agency or insurer displayed: onboarding opportunity possible; existing business unknown</x:v>
      </x:c>
      <x:c r="AE925" s="7" t="str">
        <x:v>No public business phone: contact enrichment needed, not proof of poor recruiting fit</x:v>
      </x:c>
      <x:c r="AF925" s="16" t="str"/>
      <x:c r="AG925" s="17" t="str"/>
      <x:c r="AH925" s="7" t="str"/>
      <x:c r="AI925" s="7" t="str"/>
      <x:c r="AJ925" s="7" t="str"/>
      <x:c r="AK925" s="15" t="str"/>
      <x:c r="AL925" s="7" t="str"/>
      <x:c r="AM925" s="7" t="str">
        <x:v>AGUILAR LIZETT MYRA</x:v>
      </x:c>
      <x:c r="AN925" s="7" t="str">
        <x:v>https://cdicloud.insurance.ca.gov/cal/LicenseDetail?SearchType=IND&amp;SearchLicNbr=0E61415&amp;SearchIndvId=920822</x:v>
      </x:c>
      <x:c r="AO925" s="7" t="str">
        <x:v>2026-10-08</x:v>
      </x:c>
      <x:c r="AP925" s="7" t="str">
        <x:v>f4544cbb744689d0d2f12b9926561d7c5d485d31cdb2eae97f81a6fa0bc2423e</x:v>
      </x:c>
      <x:c r="AQ925" s="7" t="str">
        <x:v>Accident and Health / Inactive / 10/21/2004 / 10/31/2008 / 10/31/2008
Life-Only / Inactive / 10/21/2004 / 10/31/2008 / 10/31/2008</x:v>
      </x:c>
      <x:c r="AR925" s="7" t="str">
        <x:v>Inactive</x:v>
      </x:c>
      <x:c r="AS925" s="7" t="str">
        <x:v>Current detail page</x:v>
      </x:c>
    </x:row>
    <x:row r="926" ht="52" customHeight="1">
      <x:c r="A926" s="7" t="str">
        <x:v>AGUILAR NANCY</x:v>
      </x:c>
      <x:c r="B926" s="14" t="str">
        <x:f>"E4438034"</x:f>
        <x:v>E4438034</x:v>
      </x:c>
      <x:c r="C926" s="7" t="str">
        <x:v>Omitted</x:v>
      </x:c>
      <x:c r="D926" s="7" t="str">
        <x:v>REVIEW</x:v>
      </x:c>
      <x:c r="E926" s="13" t="str">
        <x:v>Pending</x:v>
      </x:c>
      <x:c r="F926" s="13" t="str"/>
      <x:c r="G926" s="13" t="str"/>
      <x:c r="H926" s="13" t="str"/>
      <x:c r="I926" s="7" t="str">
        <x:v>Was this record reviewed? The detail page provides no qualifications. Verify the actual license type and Life authority before deciding; do not reject for missing data.</x:v>
      </x:c>
      <x:c r="J926" s="7" t="str">
        <x:v>L1</x:v>
      </x:c>
      <x:c r="K926" s="7" t="str">
        <x:v>Detail page displays no qualification information. Life authority cannot be verified; missing data is not a qualification failure. Historical omission reason unknown.</x:v>
      </x:c>
      <x:c r="L926" s="7" t="str">
        <x:v>Not supplied; membership is known, motive is not</x:v>
      </x:c>
      <x:c r="M926" s="7" t="n">
        <x:v>7</x:v>
      </x:c>
      <x:c r="N926" s="7" t="str">
        <x:v>Outside current general-Life recruiting pool</x:v>
      </x:c>
      <x:c r="O926" s="7" t="str">
        <x:v>Not displayed</x:v>
      </x:c>
      <x:c r="P926" s="7" t="str"/>
      <x:c r="Q926" s="7" t="str"/>
      <x:c r="R926" s="7" t="str"/>
      <x:c r="S926" s="15" t="str"/>
      <x:c r="T926" s="7" t="str">
        <x:v>No public business phone in collected record</x:v>
      </x:c>
      <x:c r="U926" s="7" t="str"/>
      <x:c r="V926" s="7" t="str">
        <x:v>Resident</x:v>
      </x:c>
      <x:c r="W926" s="7" t="str">
        <x:v>CA</x:v>
      </x:c>
      <x:c r="X926" s="7" t="str"/>
      <x:c r="Y926" s="7" t="str"/>
      <x:c r="Z926" s="7" t="str"/>
      <x:c r="AA926" s="7" t="str"/>
      <x:c r="AB926" s="7" t="str"/>
      <x:c r="AC926" s="7" t="str"/>
      <x:c r="AD926" s="7" t="str">
        <x:v>No agency or insurer displayed: onboarding opportunity possible; existing business unknown</x:v>
      </x:c>
      <x:c r="AE926" s="7" t="str">
        <x:v>No public business phone: contact enrichment needed, not proof of poor recruiting fit</x:v>
      </x:c>
      <x:c r="AF926" s="16" t="str"/>
      <x:c r="AG926" s="17" t="str"/>
      <x:c r="AH926" s="7" t="str"/>
      <x:c r="AI926" s="7" t="str">
        <x:v>English</x:v>
      </x:c>
      <x:c r="AJ926" s="7" t="str"/>
      <x:c r="AK926" s="15" t="str"/>
      <x:c r="AL926" s="7" t="str"/>
      <x:c r="AM926" s="7" t="str">
        <x:v>AGUILAR  NANCY</x:v>
      </x:c>
      <x:c r="AN926" s="7" t="str">
        <x:v>https://cdicloud.insurance.ca.gov/cal/LicenseDetail?SearchType=IND&amp;SearchLicNbr=E4438034&amp;SearchIndvId=4438034</x:v>
      </x:c>
      <x:c r="AO926" s="7" t="str">
        <x:v>2026-10-08</x:v>
      </x:c>
      <x:c r="AP926" s="7" t="str">
        <x:v>cdc46316526ec56f370a0cfb4d9edc2795a30bfcc7698401712cda404fb39477</x:v>
      </x:c>
      <x:c r="AQ926" s="7" t="str"/>
      <x:c r="AR926" s="7" t="str">
        <x:v>Active</x:v>
      </x:c>
      <x:c r="AS926" s="7" t="str">
        <x:v>Current detail page</x:v>
      </x:c>
    </x:row>
    <x:row r="927" ht="52" customHeight="1">
      <x:c r="A927" s="7" t="str">
        <x:v>AGUILAR NAOMI LUCINDA</x:v>
      </x:c>
      <x:c r="B927" s="14" t="str">
        <x:f>"4011889"</x:f>
        <x:v>4011889</x:v>
      </x:c>
      <x:c r="C927" s="7" t="str">
        <x:v>Omitted</x:v>
      </x:c>
      <x:c r="D927" s="7" t="str">
        <x:v>FAIL</x:v>
      </x:c>
      <x:c r="E927" s="13" t="str">
        <x:v>Pending</x:v>
      </x:c>
      <x:c r="F927" s="13" t="str"/>
      <x:c r="G927" s="13" t="str"/>
      <x:c r="H927" s="13" t="str"/>
      <x:c r="I927" s="7" t="str">
        <x:v>Was this person reviewed? If rejected, give the actual rule and evidence. If acceptable, correct the omission. Confirm the Life-qualification gate and any record change since selection.</x:v>
      </x:c>
      <x:c r="J927" s="7" t="str">
        <x:v>L1</x:v>
      </x:c>
      <x:c r="K927" s="7" t="str">
        <x:v>Verified qualifications do not include active general Life. Current target-pool mismatch; actual historical omission reason unknown.</x:v>
      </x:c>
      <x:c r="L927" s="7" t="str">
        <x:v>Not supplied; membership is known, motive is not</x:v>
      </x:c>
      <x:c r="M927" s="7" t="n">
        <x:v>7</x:v>
      </x:c>
      <x:c r="N927" s="7" t="str">
        <x:v>Outside current general-Life recruiting pool</x:v>
      </x:c>
      <x:c r="O927" s="7" t="str">
        <x:v>Not displayed</x:v>
      </x:c>
      <x:c r="P927" s="7" t="str"/>
      <x:c r="Q927" s="7" t="str"/>
      <x:c r="R927" s="7" t="str"/>
      <x:c r="S927" s="15" t="str"/>
      <x:c r="T927" s="7" t="str">
        <x:v>No public business phone in collected record</x:v>
      </x:c>
      <x:c r="U927" s="7" t="str">
        <x:v>4201 DEL REY BLVD LAS CRUCES NM, 88012</x:v>
      </x:c>
      <x:c r="V927" s="7" t="str">
        <x:v>Non-resident</x:v>
      </x:c>
      <x:c r="W927" s="7" t="str">
        <x:v>NM</x:v>
      </x:c>
      <x:c r="X927" s="7" t="str"/>
      <x:c r="Y927" s="7" t="str"/>
      <x:c r="Z927" s="7" t="str"/>
      <x:c r="AA927" s="7" t="str"/>
      <x:c r="AB927" s="7" t="str"/>
      <x:c r="AC927" s="7" t="str"/>
      <x:c r="AD927" s="7" t="str">
        <x:v>No agency or insurer displayed: onboarding opportunity possible; existing business unknown</x:v>
      </x:c>
      <x:c r="AE927" s="7" t="str">
        <x:v>Nonresident or address state outside CA; confirm geographic recruiting scope | No public business phone: contact enrichment needed, not proof of poor recruiting fit</x:v>
      </x:c>
      <x:c r="AF927" s="16" t="str"/>
      <x:c r="AG927" s="17" t="str"/>
      <x:c r="AH927" s="7" t="str"/>
      <x:c r="AI927" s="7" t="str"/>
      <x:c r="AJ927" s="7" t="str"/>
      <x:c r="AK927" s="15" t="str"/>
      <x:c r="AL927" s="7" t="str"/>
      <x:c r="AM927" s="7" t="str">
        <x:v>AGUILAR LUCINDA NAOMI</x:v>
      </x:c>
      <x:c r="AN927" s="7" t="str">
        <x:v>https://cdicloud.insurance.ca.gov/cal/LicenseDetail?SearchType=IND&amp;SearchLicNbr=4011889&amp;SearchIndvId=4011889</x:v>
      </x:c>
      <x:c r="AO927" s="7" t="str">
        <x:v>2026-10-08</x:v>
      </x:c>
      <x:c r="AP927" s="7" t="str">
        <x:v>5681055fc55bedb83d4a152d10dcda42682c1487145522c22e71436c2f192eba</x:v>
      </x:c>
      <x:c r="AQ927" s="7" t="str">
        <x:v>Accident &amp; Health or Sickness / Inactive / 10/12/2019 / 10/31/2021 / 10/31/2021</x:v>
      </x:c>
      <x:c r="AR927" s="7" t="str">
        <x:v>Inactive</x:v>
      </x:c>
      <x:c r="AS927" s="7" t="str">
        <x:v>Current detail page</x:v>
      </x:c>
    </x:row>
    <x:row r="928" ht="52" customHeight="1">
      <x:c r="A928" s="7" t="str">
        <x:v>AGUILAR NAOMI URIARTE</x:v>
      </x:c>
      <x:c r="B928" s="14" t="str">
        <x:f>"0H15071"</x:f>
        <x:v>0H15071</x:v>
      </x:c>
      <x:c r="C928" s="7" t="str">
        <x:v>Omitted</x:v>
      </x:c>
      <x:c r="D928" s="7" t="str">
        <x:v>FAIL</x:v>
      </x:c>
      <x:c r="E928" s="13" t="str">
        <x:v>Pending</x:v>
      </x:c>
      <x:c r="F928" s="13" t="str"/>
      <x:c r="G928" s="13" t="str"/>
      <x:c r="H928" s="13" t="str"/>
      <x:c r="I928" s="7" t="str">
        <x:v>Was this person reviewed? If rejected, give the actual rule and evidence. If acceptable, correct the omission. Confirm the Life-qualification gate and any record change since selection.</x:v>
      </x:c>
      <x:c r="J928" s="7" t="str">
        <x:v>L1</x:v>
      </x:c>
      <x:c r="K928" s="7" t="str">
        <x:v>Verified qualifications do not include active general Life. Current target-pool mismatch; actual historical omission reason unknown.</x:v>
      </x:c>
      <x:c r="L928" s="7" t="str">
        <x:v>Not supplied; membership is known, motive is not</x:v>
      </x:c>
      <x:c r="M928" s="7" t="n">
        <x:v>7</x:v>
      </x:c>
      <x:c r="N928" s="7" t="str">
        <x:v>Outside current general-Life recruiting pool</x:v>
      </x:c>
      <x:c r="O928" s="7" t="str">
        <x:v>Not displayed</x:v>
      </x:c>
      <x:c r="P928" s="7" t="str"/>
      <x:c r="Q928" s="7" t="str"/>
      <x:c r="R928" s="7" t="str"/>
      <x:c r="S928" s="15" t="str"/>
      <x:c r="T928" s="7" t="str">
        <x:v>No public business phone in collected record</x:v>
      </x:c>
      <x:c r="U928" s="7" t="str"/>
      <x:c r="V928" s="7" t="str">
        <x:v>Resident</x:v>
      </x:c>
      <x:c r="W928" s="7" t="str">
        <x:v>CA</x:v>
      </x:c>
      <x:c r="X928" s="7" t="str"/>
      <x:c r="Y928" s="7" t="str"/>
      <x:c r="Z928" s="7" t="str"/>
      <x:c r="AA928" s="7" t="str"/>
      <x:c r="AB928" s="7" t="str"/>
      <x:c r="AC928" s="7" t="str"/>
      <x:c r="AD928" s="7" t="str">
        <x:v>No agency or insurer displayed: onboarding opportunity possible; existing business unknown</x:v>
      </x:c>
      <x:c r="AE928" s="7" t="str">
        <x:v>No public business phone: contact enrichment needed, not proof of poor recruiting fit</x:v>
      </x:c>
      <x:c r="AF928" s="16" t="str"/>
      <x:c r="AG928" s="17" t="str"/>
      <x:c r="AH928" s="7" t="str"/>
      <x:c r="AI928" s="7" t="str"/>
      <x:c r="AJ928" s="7" t="str"/>
      <x:c r="AK928" s="15" t="str"/>
      <x:c r="AL928" s="7" t="str"/>
      <x:c r="AM928" s="7" t="str">
        <x:v>AGUILAR URIARTE NAOMI</x:v>
      </x:c>
      <x:c r="AN928" s="7" t="str">
        <x:v>https://cdicloud.insurance.ca.gov/cal/LicenseDetail?SearchType=IND&amp;SearchLicNbr=0H15071&amp;SearchIndvId=1355573</x:v>
      </x:c>
      <x:c r="AO928" s="7" t="str">
        <x:v>2026-10-08</x:v>
      </x:c>
      <x:c r="AP928" s="7" t="str">
        <x:v>02af486a1343561acbef022c72ed9364f7ed71cd2f9afa8148079e84d98ef0d2</x:v>
      </x:c>
      <x:c r="AQ928" s="7" t="str">
        <x:v>Life-Only / Inactive / 09/30/2010 / 09/30/2012 / 09/30/2012</x:v>
      </x:c>
      <x:c r="AR928" s="7" t="str">
        <x:v>Inactive</x:v>
      </x:c>
      <x:c r="AS928" s="7" t="str">
        <x:v>Current detail page</x:v>
      </x:c>
    </x:row>
    <x:row r="929" ht="52" customHeight="1">
      <x:c r="A929" s="7" t="str">
        <x:v>AGUILAR NARCISO</x:v>
      </x:c>
      <x:c r="B929" s="14" t="str">
        <x:f>"0G30261"</x:f>
        <x:v>0G30261</x:v>
      </x:c>
      <x:c r="C929" s="7" t="str">
        <x:v>Omitted</x:v>
      </x:c>
      <x:c r="D929" s="7" t="str">
        <x:v>FAIL</x:v>
      </x:c>
      <x:c r="E929" s="13" t="str">
        <x:v>Pending</x:v>
      </x:c>
      <x:c r="F929" s="13" t="str"/>
      <x:c r="G929" s="13" t="str"/>
      <x:c r="H929" s="13" t="str"/>
      <x:c r="I929" s="7" t="str">
        <x:v>Was this person reviewed? If rejected, give the actual rule and evidence. If acceptable, correct the omission. Confirm the Life-qualification gate and any record change since selection.</x:v>
      </x:c>
      <x:c r="J929" s="7" t="str">
        <x:v>L1</x:v>
      </x:c>
      <x:c r="K929" s="7" t="str">
        <x:v>Verified qualifications do not include active general Life. Current target-pool mismatch; actual historical omission reason unknown.</x:v>
      </x:c>
      <x:c r="L929" s="7" t="str">
        <x:v>Not supplied; membership is known, motive is not</x:v>
      </x:c>
      <x:c r="M929" s="7" t="n">
        <x:v>7</x:v>
      </x:c>
      <x:c r="N929" s="7" t="str">
        <x:v>Outside current general-Life recruiting pool</x:v>
      </x:c>
      <x:c r="O929" s="7" t="str">
        <x:v>Not displayed</x:v>
      </x:c>
      <x:c r="P929" s="7" t="str"/>
      <x:c r="Q929" s="7" t="str"/>
      <x:c r="R929" s="7" t="str"/>
      <x:c r="S929" s="15" t="str"/>
      <x:c r="T929" s="7" t="str">
        <x:v>No public business phone in collected record</x:v>
      </x:c>
      <x:c r="U929" s="7" t="str"/>
      <x:c r="V929" s="7" t="str">
        <x:v>Resident</x:v>
      </x:c>
      <x:c r="W929" s="7" t="str">
        <x:v>CA</x:v>
      </x:c>
      <x:c r="X929" s="7" t="str"/>
      <x:c r="Y929" s="7" t="str"/>
      <x:c r="Z929" s="7" t="str"/>
      <x:c r="AA929" s="7" t="str"/>
      <x:c r="AB929" s="7" t="str"/>
      <x:c r="AC929" s="7" t="str"/>
      <x:c r="AD929" s="7" t="str">
        <x:v>No agency or insurer displayed: onboarding opportunity possible; existing business unknown</x:v>
      </x:c>
      <x:c r="AE929" s="7" t="str">
        <x:v>No public business phone: contact enrichment needed, not proof of poor recruiting fit</x:v>
      </x:c>
      <x:c r="AF929" s="16" t="str"/>
      <x:c r="AG929" s="17" t="str"/>
      <x:c r="AH929" s="7" t="str"/>
      <x:c r="AI929" s="7" t="str"/>
      <x:c r="AJ929" s="7" t="str"/>
      <x:c r="AK929" s="15" t="str"/>
      <x:c r="AL929" s="7" t="str"/>
      <x:c r="AM929" s="7" t="str">
        <x:v>AGUILAR  NARCISO</x:v>
      </x:c>
      <x:c r="AN929" s="7" t="str">
        <x:v>https://cdicloud.insurance.ca.gov/cal/LicenseDetail?SearchType=IND&amp;SearchLicNbr=0G30261&amp;SearchIndvId=1178186</x:v>
      </x:c>
      <x:c r="AO929" s="7" t="str">
        <x:v>2026-10-08</x:v>
      </x:c>
      <x:c r="AP929" s="7" t="str">
        <x:v>538ef33c214af65f16d07306a9dd6e5b59b93ac82e9cc5a1120dd3e160c84a0b</x:v>
      </x:c>
      <x:c r="AQ929" s="7" t="str">
        <x:v>Life-Only / Inactive / 09/11/2008 / 09/30/2010 / 09/30/2010</x:v>
      </x:c>
      <x:c r="AR929" s="7" t="str">
        <x:v>Inactive</x:v>
      </x:c>
      <x:c r="AS929" s="7" t="str">
        <x:v>Current detail page</x:v>
      </x:c>
    </x:row>
    <x:row r="930" ht="52" customHeight="1">
      <x:c r="A930" s="7" t="str">
        <x:v>AGUILAR NARDA</x:v>
      </x:c>
      <x:c r="B930" s="14" t="str">
        <x:f>"4446340"</x:f>
        <x:v>4446340</x:v>
      </x:c>
      <x:c r="C930" s="7" t="str">
        <x:v>Omitted</x:v>
      </x:c>
      <x:c r="D930" s="7" t="str">
        <x:v>FAIL</x:v>
      </x:c>
      <x:c r="E930" s="13" t="str">
        <x:v>Pending</x:v>
      </x:c>
      <x:c r="F930" s="13" t="str"/>
      <x:c r="G930" s="13" t="str"/>
      <x:c r="H930" s="13" t="str"/>
      <x:c r="I930" s="7" t="str">
        <x:v>Was this person reviewed? If rejected, give the actual rule and evidence. If acceptable, correct the omission. Confirm the Life-qualification gate and any record change since selection.</x:v>
      </x:c>
      <x:c r="J930" s="7" t="str">
        <x:v>L1</x:v>
      </x:c>
      <x:c r="K930" s="7" t="str">
        <x:v>Verified qualifications do not include active general Life. Current target-pool mismatch; actual historical omission reason unknown.</x:v>
      </x:c>
      <x:c r="L930" s="7" t="str">
        <x:v>Not supplied; membership is known, motive is not</x:v>
      </x:c>
      <x:c r="M930" s="7" t="n">
        <x:v>7</x:v>
      </x:c>
      <x:c r="N930" s="7" t="str">
        <x:v>Outside current general-Life recruiting pool</x:v>
      </x:c>
      <x:c r="O930" s="7" t="str">
        <x:v>Not displayed</x:v>
      </x:c>
      <x:c r="P930" s="7" t="str"/>
      <x:c r="Q930" s="7" t="str"/>
      <x:c r="R930" s="7" t="str">
        <x:v>Motor Club Agent</x:v>
      </x:c>
      <x:c r="S930" s="15" t="str">
        <x:v>559-274-1752</x:v>
      </x:c>
      <x:c r="T930" s="7" t="str">
        <x:v>Current CDI</x:v>
      </x:c>
      <x:c r="U930" s="7" t="str">
        <x:v>3140 W SHAW AVENUE SUITE 109 FRESNO CA, 93711</x:v>
      </x:c>
      <x:c r="V930" s="7" t="str">
        <x:v>Resident</x:v>
      </x:c>
      <x:c r="W930" s="7" t="str">
        <x:v>CA</x:v>
      </x:c>
      <x:c r="X930" s="7" t="str"/>
      <x:c r="Y930" s="7" t="str">
        <x:v>AMERICAN TRAVELER MOTOR CLUB, LLC (THE) / Motor Club / 03/04/2025</x:v>
      </x:c>
      <x:c r="Z930" s="7" t="str"/>
      <x:c r="AA930" s="7" t="str"/>
      <x:c r="AB930" s="7" t="str"/>
      <x:c r="AC930" s="7" t="str"/>
      <x:c r="AD930" s="7" t="str"/>
      <x:c r="AE930" s="7" t="str"/>
      <x:c r="AF930" s="16" t="str"/>
      <x:c r="AG930" s="17" t="str"/>
      <x:c r="AH930" s="7" t="str"/>
      <x:c r="AI930" s="7" t="str">
        <x:v>English</x:v>
      </x:c>
      <x:c r="AJ930" s="7" t="str"/>
      <x:c r="AK930" s="15" t="str"/>
      <x:c r="AL930" s="7" t="str"/>
      <x:c r="AM930" s="7" t="str">
        <x:v>AGUILAR  NARDA</x:v>
      </x:c>
      <x:c r="AN930" s="7" t="str">
        <x:v>https://cdicloud.insurance.ca.gov/cal/LicenseDetail?SearchType=IND&amp;SearchLicNbr=4446340&amp;SearchIndvId=4446340</x:v>
      </x:c>
      <x:c r="AO930" s="7" t="str">
        <x:v>2026-10-08</x:v>
      </x:c>
      <x:c r="AP930" s="7" t="str">
        <x:v>2fb0a0d62422316778f2a81373a41db5db79d87b31e2212f5eed0e487219e74d</x:v>
      </x:c>
      <x:c r="AQ930" s="7" t="str">
        <x:v>Motor Club Agent / Active / 02/27/2025 / 02/27/2025 / 02/28/2027</x:v>
      </x:c>
      <x:c r="AR930" s="7" t="str">
        <x:v>Active</x:v>
      </x:c>
      <x:c r="AS930" s="7" t="str">
        <x:v>Current detail page</x:v>
      </x:c>
    </x:row>
    <x:row r="931" ht="52" customHeight="1">
      <x:c r="A931" s="7" t="str">
        <x:v>AGUILAR NARDA</x:v>
      </x:c>
      <x:c r="B931" s="14" t="str">
        <x:f>"E4446340"</x:f>
        <x:v>E4446340</x:v>
      </x:c>
      <x:c r="C931" s="7" t="str">
        <x:v>Omitted</x:v>
      </x:c>
      <x:c r="D931" s="7" t="str">
        <x:v>REVIEW</x:v>
      </x:c>
      <x:c r="E931" s="13" t="str">
        <x:v>Pending</x:v>
      </x:c>
      <x:c r="F931" s="13" t="str"/>
      <x:c r="G931" s="13" t="str"/>
      <x:c r="H931" s="13" t="str"/>
      <x:c r="I931" s="7" t="str">
        <x:v>Was this record reviewed? The detail page provides no qualifications. Verify the actual license type and Life authority before deciding; do not reject for missing data.</x:v>
      </x:c>
      <x:c r="J931" s="7" t="str">
        <x:v>L1</x:v>
      </x:c>
      <x:c r="K931" s="7" t="str">
        <x:v>Detail page displays no qualification information. Life authority cannot be verified; missing data is not a qualification failure. Historical omission reason unknown.</x:v>
      </x:c>
      <x:c r="L931" s="7" t="str">
        <x:v>Not supplied; membership is known, motive is not</x:v>
      </x:c>
      <x:c r="M931" s="7" t="n">
        <x:v>7</x:v>
      </x:c>
      <x:c r="N931" s="7" t="str">
        <x:v>Outside current general-Life recruiting pool</x:v>
      </x:c>
      <x:c r="O931" s="7" t="str">
        <x:v>Not displayed</x:v>
      </x:c>
      <x:c r="P931" s="7" t="str"/>
      <x:c r="Q931" s="7" t="str"/>
      <x:c r="R931" s="7" t="str"/>
      <x:c r="S931" s="15" t="str"/>
      <x:c r="T931" s="7" t="str">
        <x:v>No public business phone in collected record</x:v>
      </x:c>
      <x:c r="U931" s="7" t="str"/>
      <x:c r="V931" s="7" t="str">
        <x:v>Resident</x:v>
      </x:c>
      <x:c r="W931" s="7" t="str">
        <x:v>CA</x:v>
      </x:c>
      <x:c r="X931" s="7" t="str"/>
      <x:c r="Y931" s="7" t="str">
        <x:v>AMERICAN TRAVELER MOTOR CLUB, LLC (THE) / Motor Club / 03/04/2025</x:v>
      </x:c>
      <x:c r="Z931" s="7" t="str"/>
      <x:c r="AA931" s="7" t="str"/>
      <x:c r="AB931" s="7" t="str"/>
      <x:c r="AC931" s="7" t="str"/>
      <x:c r="AD931" s="7" t="str"/>
      <x:c r="AE931" s="7" t="str">
        <x:v>No public business phone: contact enrichment needed, not proof of poor recruiting fit</x:v>
      </x:c>
      <x:c r="AF931" s="16" t="str"/>
      <x:c r="AG931" s="17" t="str"/>
      <x:c r="AH931" s="7" t="str"/>
      <x:c r="AI931" s="7" t="str">
        <x:v>English</x:v>
      </x:c>
      <x:c r="AJ931" s="7" t="str"/>
      <x:c r="AK931" s="15" t="str"/>
      <x:c r="AL931" s="7" t="str"/>
      <x:c r="AM931" s="7" t="str">
        <x:v>AGUILAR  NARDA</x:v>
      </x:c>
      <x:c r="AN931" s="7" t="str">
        <x:v>https://cdicloud.insurance.ca.gov/cal/LicenseDetail?SearchType=IND&amp;SearchLicNbr=E4446340&amp;SearchIndvId=4446340</x:v>
      </x:c>
      <x:c r="AO931" s="7" t="str">
        <x:v>2026-10-08</x:v>
      </x:c>
      <x:c r="AP931" s="7" t="str">
        <x:v>6d5d7312f2f4dac2174d42813c09caa5f424a4b58bf770d6901c43bc6028accd</x:v>
      </x:c>
      <x:c r="AQ931" s="7" t="str"/>
      <x:c r="AR931" s="7" t="str">
        <x:v>Active</x:v>
      </x:c>
      <x:c r="AS931" s="7" t="str">
        <x:v>Current detail page</x:v>
      </x:c>
    </x:row>
    <x:row r="932" ht="52" customHeight="1">
      <x:c r="A932" s="7" t="str">
        <x:v>AGUILAR NATALIE</x:v>
      </x:c>
      <x:c r="B932" s="14" t="str">
        <x:f>"0M83548"</x:f>
        <x:v>0M83548</x:v>
      </x:c>
      <x:c r="C932" s="7" t="str">
        <x:v>Omitted</x:v>
      </x:c>
      <x:c r="D932" s="7" t="str">
        <x:v>FAIL</x:v>
      </x:c>
      <x:c r="E932" s="13" t="str">
        <x:v>Pending</x:v>
      </x:c>
      <x:c r="F932" s="13" t="str"/>
      <x:c r="G932" s="13" t="str"/>
      <x:c r="H932" s="13" t="str"/>
      <x:c r="I932" s="7" t="str">
        <x:v>Was this person reviewed? If rejected, give the actual rule and evidence. If acceptable, correct the omission. Confirm the Life-qualification gate and any record change since selection.</x:v>
      </x:c>
      <x:c r="J932" s="7" t="str">
        <x:v>L1</x:v>
      </x:c>
      <x:c r="K932" s="7" t="str">
        <x:v>Verified qualifications do not include active general Life. Current target-pool mismatch; actual historical omission reason unknown.</x:v>
      </x:c>
      <x:c r="L932" s="7" t="str">
        <x:v>Not supplied; membership is known, motive is not</x:v>
      </x:c>
      <x:c r="M932" s="7" t="n">
        <x:v>7</x:v>
      </x:c>
      <x:c r="N932" s="7" t="str">
        <x:v>Outside current general-Life recruiting pool</x:v>
      </x:c>
      <x:c r="O932" s="7" t="str">
        <x:v>Inactive</x:v>
      </x:c>
      <x:c r="P932" s="7" t="str">
        <x:v>02/22/2019</x:v>
      </x:c>
      <x:c r="Q932" s="7" t="str">
        <x:v>02/28/2025</x:v>
      </x:c>
      <x:c r="R932" s="7" t="str"/>
      <x:c r="S932" s="15" t="str">
        <x:v>510-293-1951</x:v>
      </x:c>
      <x:c r="T932" s="7" t="str">
        <x:v>Current CDI</x:v>
      </x:c>
      <x:c r="U932" s="7" t="str">
        <x:v>24333 SOUTHLAND DR HAYWARD CA, 94545</x:v>
      </x:c>
      <x:c r="V932" s="7" t="str">
        <x:v>Resident</x:v>
      </x:c>
      <x:c r="W932" s="7" t="str">
        <x:v>CA</x:v>
      </x:c>
      <x:c r="X932" s="7" t="str"/>
      <x:c r="Y932" s="7" t="str"/>
      <x:c r="Z932" s="7" t="str"/>
      <x:c r="AA932" s="7" t="str"/>
      <x:c r="AB932" s="7" t="str"/>
      <x:c r="AC932" s="7" t="str"/>
      <x:c r="AD932" s="7" t="str">
        <x:v>No agency or insurer displayed: onboarding opportunity possible; existing business unknown</x:v>
      </x:c>
      <x:c r="AE932" s="7" t="str"/>
      <x:c r="AF932" s="16" t="str"/>
      <x:c r="AG932" s="17" t="str"/>
      <x:c r="AH932" s="7" t="str"/>
      <x:c r="AI932" s="7" t="str">
        <x:v>English</x:v>
      </x:c>
      <x:c r="AJ932" s="7" t="str"/>
      <x:c r="AK932" s="15" t="str"/>
      <x:c r="AL932" s="7" t="str"/>
      <x:c r="AM932" s="7" t="str">
        <x:v>AGUILAR  NATALIE</x:v>
      </x:c>
      <x:c r="AN932" s="7" t="str">
        <x:v>https://cdicloud.insurance.ca.gov/cal/LicenseDetail?SearchType=IND&amp;SearchLicNbr=0M83548&amp;SearchIndvId=2085746</x:v>
      </x:c>
      <x:c r="AO932" s="7" t="str">
        <x:v>2026-10-08</x:v>
      </x:c>
      <x:c r="AP932" s="7" t="str">
        <x:v>9ee50c3891fa28bb24f098778dd3ffa4a935251ff093bc101abab54a3878d147</x:v>
      </x:c>
      <x:c r="AQ932" s="7" t="str">
        <x:v>Life / Inactive / 02/22/2019 / 02/28/2025 / 02/28/2025
Var Life and Var Annuity / Inactive / 02/22/2019 / 02/28/2025 / 02/28/2025</x:v>
      </x:c>
      <x:c r="AR932" s="7" t="str">
        <x:v>Inactive</x:v>
      </x:c>
      <x:c r="AS932" s="7" t="str">
        <x:v>Current detail page</x:v>
      </x:c>
    </x:row>
    <x:row r="933" ht="52" customHeight="1">
      <x:c r="A933" s="7" t="str">
        <x:v>AGUILAR NATALIE DENISE</x:v>
      </x:c>
      <x:c r="B933" s="14" t="str">
        <x:f>"0C42353"</x:f>
        <x:v>0C42353</x:v>
      </x:c>
      <x:c r="C933" s="7" t="str">
        <x:v>Omitted</x:v>
      </x:c>
      <x:c r="D933" s="7" t="str">
        <x:v>FAIL</x:v>
      </x:c>
      <x:c r="E933" s="13" t="str">
        <x:v>Pending</x:v>
      </x:c>
      <x:c r="F933" s="13" t="str"/>
      <x:c r="G933" s="13" t="str"/>
      <x:c r="H933" s="13" t="str"/>
      <x:c r="I933" s="7" t="str">
        <x:v>Was this person reviewed? If rejected, give the actual rule and evidence. If acceptable, correct the omission. Confirm the Life-qualification gate and any record change since selection.</x:v>
      </x:c>
      <x:c r="J933" s="7" t="str">
        <x:v>L1</x:v>
      </x:c>
      <x:c r="K933" s="7" t="str">
        <x:v>Verified qualifications do not include active general Life. Current target-pool mismatch; actual historical omission reason unknown.</x:v>
      </x:c>
      <x:c r="L933" s="7" t="str">
        <x:v>Not supplied; membership is known, motive is not</x:v>
      </x:c>
      <x:c r="M933" s="7" t="n">
        <x:v>7</x:v>
      </x:c>
      <x:c r="N933" s="7" t="str">
        <x:v>Outside current general-Life recruiting pool</x:v>
      </x:c>
      <x:c r="O933" s="7" t="str">
        <x:v>Not displayed</x:v>
      </x:c>
      <x:c r="P933" s="7" t="str"/>
      <x:c r="Q933" s="7" t="str"/>
      <x:c r="R933" s="7" t="str"/>
      <x:c r="S933" s="15" t="str"/>
      <x:c r="T933" s="7" t="str">
        <x:v>No public business phone in collected record</x:v>
      </x:c>
      <x:c r="U933" s="7" t="str"/>
      <x:c r="V933" s="7" t="str">
        <x:v>Resident</x:v>
      </x:c>
      <x:c r="W933" s="7" t="str">
        <x:v>CA</x:v>
      </x:c>
      <x:c r="X933" s="7" t="str"/>
      <x:c r="Y933" s="7" t="str"/>
      <x:c r="Z933" s="7" t="str"/>
      <x:c r="AA933" s="7" t="str"/>
      <x:c r="AB933" s="7" t="str"/>
      <x:c r="AC933" s="7" t="str"/>
      <x:c r="AD933" s="7" t="str">
        <x:v>No agency or insurer displayed: onboarding opportunity possible; existing business unknown</x:v>
      </x:c>
      <x:c r="AE933" s="7" t="str">
        <x:v>No public business phone: contact enrichment needed, not proof of poor recruiting fit</x:v>
      </x:c>
      <x:c r="AF933" s="16" t="str"/>
      <x:c r="AG933" s="17" t="str"/>
      <x:c r="AH933" s="7" t="str"/>
      <x:c r="AI933" s="7" t="str"/>
      <x:c r="AJ933" s="7" t="str"/>
      <x:c r="AK933" s="15" t="str"/>
      <x:c r="AL933" s="7" t="str"/>
      <x:c r="AM933" s="7" t="str">
        <x:v>AGUILAR DENISE NATALIE</x:v>
      </x:c>
      <x:c r="AN933" s="7" t="str">
        <x:v>https://cdicloud.insurance.ca.gov/cal/LicenseDetail?SearchType=IND&amp;SearchLicNbr=0C42353&amp;SearchIndvId=316853</x:v>
      </x:c>
      <x:c r="AO933" s="7" t="str">
        <x:v>2026-10-08</x:v>
      </x:c>
      <x:c r="AP933" s="7" t="str">
        <x:v>8d45bbe2030d6b1e52cbadfef5ad5643b55ac37718e46c8ff4354bc06937d548</x:v>
      </x:c>
      <x:c r="AQ933" s="7" t="str">
        <x:v>Accident and Health / Voluntary Surrender / 09/18/1998 / 08/24/1999 / 08/24/1999
Life-Only / Voluntary Surrender / 09/18/1998 / 08/24/1999 / 08/24/1999</x:v>
      </x:c>
      <x:c r="AR933" s="7" t="str">
        <x:v>Voluntary Surrender</x:v>
      </x:c>
      <x:c r="AS933" s="7" t="str">
        <x:v>Current detail page</x:v>
      </x:c>
    </x:row>
    <x:row r="934" ht="52" customHeight="1">
      <x:c r="A934" s="7" t="str">
        <x:v>AGUILAR NATALIE YOLANDA</x:v>
      </x:c>
      <x:c r="B934" s="14" t="str">
        <x:f>"4025011"</x:f>
        <x:v>4025011</x:v>
      </x:c>
      <x:c r="C934" s="7" t="str">
        <x:v>Omitted</x:v>
      </x:c>
      <x:c r="D934" s="7" t="str">
        <x:v>FAIL</x:v>
      </x:c>
      <x:c r="E934" s="13" t="str">
        <x:v>Pending</x:v>
      </x:c>
      <x:c r="F934" s="13" t="str"/>
      <x:c r="G934" s="13" t="str"/>
      <x:c r="H934" s="13" t="str"/>
      <x:c r="I934" s="7" t="str">
        <x:v>Was this person reviewed? If rejected, give the actual rule and evidence. If acceptable, correct the omission. Confirm the Life-qualification gate and any record change since selection.</x:v>
      </x:c>
      <x:c r="J934" s="7" t="str">
        <x:v>L1</x:v>
      </x:c>
      <x:c r="K934" s="7" t="str">
        <x:v>Verified qualifications do not include active general Life. Current target-pool mismatch; actual historical omission reason unknown.</x:v>
      </x:c>
      <x:c r="L934" s="7" t="str">
        <x:v>Not supplied; membership is known, motive is not</x:v>
      </x:c>
      <x:c r="M934" s="7" t="n">
        <x:v>7</x:v>
      </x:c>
      <x:c r="N934" s="7" t="str">
        <x:v>Outside current general-Life recruiting pool</x:v>
      </x:c>
      <x:c r="O934" s="7" t="str">
        <x:v>Inactive</x:v>
      </x:c>
      <x:c r="P934" s="7" t="str">
        <x:v>01/23/2020</x:v>
      </x:c>
      <x:c r="Q934" s="7" t="str">
        <x:v>01/31/2022</x:v>
      </x:c>
      <x:c r="R934" s="7" t="str"/>
      <x:c r="S934" s="15" t="str"/>
      <x:c r="T934" s="7" t="str">
        <x:v>No public business phone in collected record</x:v>
      </x:c>
      <x:c r="U934" s="7" t="str">
        <x:v>6623 CALLE EVA MIRANDA IRWINDALE CA, 91706</x:v>
      </x:c>
      <x:c r="V934" s="7" t="str">
        <x:v>Resident</x:v>
      </x:c>
      <x:c r="W934" s="7" t="str">
        <x:v>CA</x:v>
      </x:c>
      <x:c r="X934" s="7" t="str"/>
      <x:c r="Y934" s="7" t="str"/>
      <x:c r="Z934" s="7" t="str"/>
      <x:c r="AA934" s="7" t="str"/>
      <x:c r="AB934" s="7" t="str"/>
      <x:c r="AC934" s="7" t="str"/>
      <x:c r="AD934" s="7" t="str">
        <x:v>No agency or insurer displayed: onboarding opportunity possible; existing business unknown</x:v>
      </x:c>
      <x:c r="AE934" s="7" t="str">
        <x:v>No public business phone: contact enrichment needed, not proof of poor recruiting fit</x:v>
      </x:c>
      <x:c r="AF934" s="16" t="str"/>
      <x:c r="AG934" s="17" t="str"/>
      <x:c r="AH934" s="7" t="str"/>
      <x:c r="AI934" s="7" t="str"/>
      <x:c r="AJ934" s="7" t="str"/>
      <x:c r="AK934" s="15" t="str"/>
      <x:c r="AL934" s="7" t="str"/>
      <x:c r="AM934" s="7" t="str">
        <x:v>Aguilar Y Natalie | AGUILAR YOLANDA NATALIE</x:v>
      </x:c>
      <x:c r="AN934" s="7" t="str">
        <x:v>https://cdicloud.insurance.ca.gov/cal/LicenseDetail?SearchType=IND&amp;SearchLicNbr=4025011&amp;SearchIndvId=4025011</x:v>
      </x:c>
      <x:c r="AO934" s="7" t="str">
        <x:v>2026-10-08</x:v>
      </x:c>
      <x:c r="AP934" s="7" t="str">
        <x:v>a798b0a246582bf10aa20b4a38ad14bd70e77c0ace8bae4dd7d0528e34fc14fd</x:v>
      </x:c>
      <x:c r="AQ934" s="7" t="str">
        <x:v>Life / Inactive / 01/23/2020 / 01/31/2022 / 01/31/2022</x:v>
      </x:c>
      <x:c r="AR934" s="7" t="str">
        <x:v>Inactive</x:v>
      </x:c>
      <x:c r="AS934" s="7" t="str">
        <x:v>Current detail page</x:v>
      </x:c>
    </x:row>
    <x:row r="935" ht="52" customHeight="1">
      <x:c r="A935" s="7" t="str">
        <x:v>AGUILAR NATASHA RAE</x:v>
      </x:c>
      <x:c r="B935" s="14" t="str">
        <x:f>"2111246"</x:f>
        <x:v>2111246</x:v>
      </x:c>
      <x:c r="C935" s="7" t="str">
        <x:v>Omitted</x:v>
      </x:c>
      <x:c r="D935" s="7" t="str">
        <x:v>FAIL</x:v>
      </x:c>
      <x:c r="E935" s="13" t="str">
        <x:v>Pending</x:v>
      </x:c>
      <x:c r="F935" s="13" t="str"/>
      <x:c r="G935" s="13" t="str"/>
      <x:c r="H935" s="13" t="str"/>
      <x:c r="I935" s="7" t="str">
        <x:v>Was this person reviewed? If rejected, give the actual rule and evidence. If acceptable, correct the omission. Confirm the Life-qualification gate and any record change since selection.</x:v>
      </x:c>
      <x:c r="J935" s="7" t="str">
        <x:v>L1</x:v>
      </x:c>
      <x:c r="K935" s="7" t="str">
        <x:v>Verified qualifications do not include active general Life. Current target-pool mismatch; actual historical omission reason unknown.</x:v>
      </x:c>
      <x:c r="L935" s="7" t="str">
        <x:v>Not supplied; membership is known, motive is not</x:v>
      </x:c>
      <x:c r="M935" s="7" t="n">
        <x:v>7</x:v>
      </x:c>
      <x:c r="N935" s="7" t="str">
        <x:v>Outside current general-Life recruiting pool</x:v>
      </x:c>
      <x:c r="O935" s="7" t="str">
        <x:v>Not displayed</x:v>
      </x:c>
      <x:c r="P935" s="7" t="str"/>
      <x:c r="Q935" s="7" t="str"/>
      <x:c r="R935" s="7" t="str"/>
      <x:c r="S935" s="15" t="str"/>
      <x:c r="T935" s="7" t="str">
        <x:v>No public business phone in collected record</x:v>
      </x:c>
      <x:c r="U935" s="7" t="str">
        <x:v>4161 N THANKSGIVING WAY STE 302 LEHI UT, 84043</x:v>
      </x:c>
      <x:c r="V935" s="7" t="str">
        <x:v>Non-resident</x:v>
      </x:c>
      <x:c r="W935" s="7" t="str">
        <x:v>UT</x:v>
      </x:c>
      <x:c r="X935" s="7" t="str"/>
      <x:c r="Y935" s="7" t="str"/>
      <x:c r="Z935" s="7" t="str"/>
      <x:c r="AA935" s="7" t="str"/>
      <x:c r="AB935" s="7" t="str"/>
      <x:c r="AC935" s="7" t="str"/>
      <x:c r="AD935" s="7" t="str">
        <x:v>No agency or insurer displayed: onboarding opportunity possible; existing business unknown</x:v>
      </x:c>
      <x:c r="AE935" s="7" t="str">
        <x:v>Nonresident or address state outside CA; confirm geographic recruiting scope | No public business phone: contact enrichment needed, not proof of poor recruiting fit</x:v>
      </x:c>
      <x:c r="AF935" s="16" t="str"/>
      <x:c r="AG935" s="17" t="str"/>
      <x:c r="AH935" s="7" t="str"/>
      <x:c r="AI935" s="7" t="str"/>
      <x:c r="AJ935" s="7" t="str"/>
      <x:c r="AK935" s="15" t="str"/>
      <x:c r="AL935" s="7" t="str"/>
      <x:c r="AM935" s="7" t="str">
        <x:v>Aguilar R Natasha | AGUILAR RAE NATASHA</x:v>
      </x:c>
      <x:c r="AN935" s="7" t="str">
        <x:v>https://cdicloud.insurance.ca.gov/cal/LicenseDetail?SearchType=IND&amp;SearchLicNbr=2111246&amp;SearchIndvId=2111246</x:v>
      </x:c>
      <x:c r="AO935" s="7" t="str">
        <x:v>2026-10-08</x:v>
      </x:c>
      <x:c r="AP935" s="7" t="str">
        <x:v>8d03acbfad2b56e395f534a9676c18adb1da225d72cd55e69392e3e1b5e4ea69</x:v>
      </x:c>
      <x:c r="AQ935" s="7" t="str">
        <x:v>Personal Lines / Inactive / 03/14/2022 / 03/31/2024 / 03/31/2024</x:v>
      </x:c>
      <x:c r="AR935" s="7" t="str">
        <x:v>Inactive</x:v>
      </x:c>
      <x:c r="AS935" s="7" t="str">
        <x:v>Current detail page</x:v>
      </x:c>
    </x:row>
    <x:row r="936" ht="52" customHeight="1">
      <x:c r="A936" s="7" t="str">
        <x:v>AGUILAR NATHALIA</x:v>
      </x:c>
      <x:c r="B936" s="14" t="str">
        <x:f>"4294197"</x:f>
        <x:v>4294197</x:v>
      </x:c>
      <x:c r="C936" s="7" t="str">
        <x:v>Omitted</x:v>
      </x:c>
      <x:c r="D936" s="7" t="str">
        <x:v>FAIL</x:v>
      </x:c>
      <x:c r="E936" s="13" t="str">
        <x:v>Pending</x:v>
      </x:c>
      <x:c r="F936" s="13" t="str"/>
      <x:c r="G936" s="13" t="str"/>
      <x:c r="H936" s="13" t="str"/>
      <x:c r="I936" s="7" t="str">
        <x:v>Was this person reviewed? If rejected, give the actual rule and evidence. If acceptable, correct the omission. Confirm the Life-qualification gate and any record change since selection.</x:v>
      </x:c>
      <x:c r="J936" s="7" t="str">
        <x:v>L1</x:v>
      </x:c>
      <x:c r="K936" s="7" t="str">
        <x:v>Verified qualifications do not include active general Life. Current target-pool mismatch; actual historical omission reason unknown.</x:v>
      </x:c>
      <x:c r="L936" s="7" t="str">
        <x:v>Not supplied; membership is known, motive is not</x:v>
      </x:c>
      <x:c r="M936" s="7" t="n">
        <x:v>7</x:v>
      </x:c>
      <x:c r="N936" s="7" t="str">
        <x:v>Outside current general-Life recruiting pool</x:v>
      </x:c>
      <x:c r="O936" s="7" t="str">
        <x:v>Not displayed</x:v>
      </x:c>
      <x:c r="P936" s="7" t="str"/>
      <x:c r="Q936" s="7" t="str"/>
      <x:c r="R936" s="7" t="str"/>
      <x:c r="S936" s="15" t="str"/>
      <x:c r="T936" s="7" t="str">
        <x:v>No public business phone in collected record</x:v>
      </x:c>
      <x:c r="U936" s="7" t="str">
        <x:v>28341 OLD 41 RD APT 202 BONITA SPRINGS FL, 34135-6856</x:v>
      </x:c>
      <x:c r="V936" s="7" t="str">
        <x:v>Non-resident</x:v>
      </x:c>
      <x:c r="W936" s="7" t="str">
        <x:v>FL</x:v>
      </x:c>
      <x:c r="X936" s="7" t="str"/>
      <x:c r="Y936" s="7" t="str"/>
      <x:c r="Z936" s="7" t="str"/>
      <x:c r="AA936" s="7" t="str"/>
      <x:c r="AB936" s="7" t="str"/>
      <x:c r="AC936" s="7" t="str"/>
      <x:c r="AD936" s="7" t="str">
        <x:v>No agency or insurer displayed: onboarding opportunity possible; existing business unknown</x:v>
      </x:c>
      <x:c r="AE936" s="7" t="str">
        <x:v>Nonresident or address state outside CA; confirm geographic recruiting scope | No public business phone: contact enrichment needed, not proof of poor recruiting fit</x:v>
      </x:c>
      <x:c r="AF936" s="16" t="str"/>
      <x:c r="AG936" s="17" t="str"/>
      <x:c r="AH936" s="7" t="str"/>
      <x:c r="AI936" s="7" t="str"/>
      <x:c r="AJ936" s="7" t="str"/>
      <x:c r="AK936" s="15" t="str"/>
      <x:c r="AL936" s="7" t="str"/>
      <x:c r="AM936" s="7" t="str">
        <x:v>AGUILAR  NATHALIA</x:v>
      </x:c>
      <x:c r="AN936" s="7" t="str">
        <x:v>https://cdicloud.insurance.ca.gov/cal/LicenseDetail?SearchType=IND&amp;SearchLicNbr=4294197&amp;SearchIndvId=4294197</x:v>
      </x:c>
      <x:c r="AO936" s="7" t="str">
        <x:v>2026-10-08</x:v>
      </x:c>
      <x:c r="AP936" s="7" t="str">
        <x:v>fb5dd74e8ca107835fa0abd6cece2fc65f91ff4fcd77cefc8d5310d8c22a1a4c</x:v>
      </x:c>
      <x:c r="AQ936" s="7" t="str">
        <x:v>Accident &amp; Health or Sickness / Inactive / 05/10/2023 / 05/31/2025 / 05/31/2025</x:v>
      </x:c>
      <x:c r="AR936" s="7" t="str">
        <x:v>Inactive</x:v>
      </x:c>
      <x:c r="AS936" s="7" t="str">
        <x:v>Current detail page</x:v>
      </x:c>
    </x:row>
    <x:row r="937" ht="52" customHeight="1">
      <x:c r="A937" s="7" t="str">
        <x:v>AGUILAR NATHANIAL</x:v>
      </x:c>
      <x:c r="B937" s="14" t="str">
        <x:f>"4019114"</x:f>
        <x:v>4019114</x:v>
      </x:c>
      <x:c r="C937" s="7" t="str">
        <x:v>Omitted</x:v>
      </x:c>
      <x:c r="D937" s="7" t="str">
        <x:v>FAIL</x:v>
      </x:c>
      <x:c r="E937" s="13" t="str">
        <x:v>Pending</x:v>
      </x:c>
      <x:c r="F937" s="13" t="str"/>
      <x:c r="G937" s="13" t="str"/>
      <x:c r="H937" s="13" t="str"/>
      <x:c r="I937" s="7" t="str">
        <x:v>Was this person reviewed? If rejected, give the actual rule and evidence. If acceptable, correct the omission. Confirm the Life-qualification gate and any record change since selection.</x:v>
      </x:c>
      <x:c r="J937" s="7" t="str">
        <x:v>L1</x:v>
      </x:c>
      <x:c r="K937" s="7" t="str">
        <x:v>Verified qualifications do not include active general Life. Current target-pool mismatch; actual historical omission reason unknown.</x:v>
      </x:c>
      <x:c r="L937" s="7" t="str">
        <x:v>Not supplied; membership is known, motive is not</x:v>
      </x:c>
      <x:c r="M937" s="7" t="n">
        <x:v>7</x:v>
      </x:c>
      <x:c r="N937" s="7" t="str">
        <x:v>Outside current general-Life recruiting pool</x:v>
      </x:c>
      <x:c r="O937" s="7" t="str">
        <x:v>Not displayed</x:v>
      </x:c>
      <x:c r="P937" s="7" t="str"/>
      <x:c r="Q937" s="7" t="str"/>
      <x:c r="R937" s="7" t="str"/>
      <x:c r="S937" s="15" t="str"/>
      <x:c r="T937" s="7" t="str">
        <x:v>No public business phone in collected record</x:v>
      </x:c>
      <x:c r="U937" s="7" t="str">
        <x:v>1855 TELSTAR DR COLORADO SPRINGS CO, 80920</x:v>
      </x:c>
      <x:c r="V937" s="7" t="str">
        <x:v>Non-resident</x:v>
      </x:c>
      <x:c r="W937" s="7" t="str">
        <x:v>CO</x:v>
      </x:c>
      <x:c r="X937" s="7" t="str"/>
      <x:c r="Y937" s="7" t="str"/>
      <x:c r="Z937" s="7" t="str"/>
      <x:c r="AA937" s="7" t="str"/>
      <x:c r="AB937" s="7" t="str"/>
      <x:c r="AC937" s="7" t="str"/>
      <x:c r="AD937" s="7" t="str">
        <x:v>No agency or insurer displayed: onboarding opportunity possible; existing business unknown</x:v>
      </x:c>
      <x:c r="AE937" s="7" t="str">
        <x:v>Nonresident or address state outside CA; confirm geographic recruiting scope | No public business phone: contact enrichment needed, not proof of poor recruiting fit</x:v>
      </x:c>
      <x:c r="AF937" s="16" t="str"/>
      <x:c r="AG937" s="17" t="str"/>
      <x:c r="AH937" s="7" t="str"/>
      <x:c r="AI937" s="7" t="str"/>
      <x:c r="AJ937" s="7" t="str"/>
      <x:c r="AK937" s="15" t="str"/>
      <x:c r="AL937" s="7" t="str"/>
      <x:c r="AM937" s="7" t="str">
        <x:v>AGUILAR  NATHANIAL</x:v>
      </x:c>
      <x:c r="AN937" s="7" t="str">
        <x:v>https://cdicloud.insurance.ca.gov/cal/LicenseDetail?SearchType=IND&amp;SearchLicNbr=4019114&amp;SearchIndvId=4019114</x:v>
      </x:c>
      <x:c r="AO937" s="7" t="str">
        <x:v>2026-10-08</x:v>
      </x:c>
      <x:c r="AP937" s="7" t="str">
        <x:v>90af6abb152b9d4ef6b51b38f8e9df33562676a579fe83b15c788fdb11e4bf25</x:v>
      </x:c>
      <x:c r="AQ937" s="7" t="str">
        <x:v>Personal Lines / Inactive / 11/07/2019 / 11/30/2021 / 11/30/2021</x:v>
      </x:c>
      <x:c r="AR937" s="7" t="str">
        <x:v>Inactive</x:v>
      </x:c>
      <x:c r="AS937" s="7" t="str">
        <x:v>Current detail page</x:v>
      </x:c>
    </x:row>
    <x:row r="938" ht="52" customHeight="1">
      <x:c r="A938" s="7" t="str">
        <x:v>AGUILAR NATHANNAEL</x:v>
      </x:c>
      <x:c r="B938" s="14" t="str">
        <x:f>"0J11102"</x:f>
        <x:v>0J11102</x:v>
      </x:c>
      <x:c r="C938" s="7" t="str">
        <x:v>Omitted</x:v>
      </x:c>
      <x:c r="D938" s="7" t="str">
        <x:v>FAIL</x:v>
      </x:c>
      <x:c r="E938" s="13" t="str">
        <x:v>Pending</x:v>
      </x:c>
      <x:c r="F938" s="13" t="str"/>
      <x:c r="G938" s="13" t="str"/>
      <x:c r="H938" s="13" t="str"/>
      <x:c r="I938" s="7" t="str">
        <x:v>Was this person reviewed? If rejected, give the actual rule and evidence. If acceptable, correct the omission. Confirm the Life-qualification gate and any record change since selection.</x:v>
      </x:c>
      <x:c r="J938" s="7" t="str">
        <x:v>L1</x:v>
      </x:c>
      <x:c r="K938" s="7" t="str">
        <x:v>Verified qualifications do not include active general Life. Current target-pool mismatch; actual historical omission reason unknown.</x:v>
      </x:c>
      <x:c r="L938" s="7" t="str">
        <x:v>Not supplied; membership is known, motive is not</x:v>
      </x:c>
      <x:c r="M938" s="7" t="n">
        <x:v>7</x:v>
      </x:c>
      <x:c r="N938" s="7" t="str">
        <x:v>Outside current general-Life recruiting pool</x:v>
      </x:c>
      <x:c r="O938" s="7" t="str">
        <x:v>Not displayed</x:v>
      </x:c>
      <x:c r="P938" s="7" t="str"/>
      <x:c r="Q938" s="7" t="str"/>
      <x:c r="R938" s="7" t="str"/>
      <x:c r="S938" s="15" t="str"/>
      <x:c r="T938" s="7" t="str">
        <x:v>No public business phone in collected record</x:v>
      </x:c>
      <x:c r="U938" s="7" t="str"/>
      <x:c r="V938" s="7" t="str">
        <x:v>Non-resident</x:v>
      </x:c>
      <x:c r="W938" s="7" t="str">
        <x:v>TX</x:v>
      </x:c>
      <x:c r="X938" s="7" t="str"/>
      <x:c r="Y938" s="7" t="str"/>
      <x:c r="Z938" s="7" t="str"/>
      <x:c r="AA938" s="7" t="str"/>
      <x:c r="AB938" s="7" t="str"/>
      <x:c r="AC938" s="7" t="str"/>
      <x:c r="AD938" s="7" t="str">
        <x:v>No agency or insurer displayed: onboarding opportunity possible; existing business unknown</x:v>
      </x:c>
      <x:c r="AE938" s="7" t="str">
        <x:v>Nonresident or address state outside CA; confirm geographic recruiting scope | No public business phone: contact enrichment needed, not proof of poor recruiting fit</x:v>
      </x:c>
      <x:c r="AF938" s="16" t="str"/>
      <x:c r="AG938" s="17" t="str"/>
      <x:c r="AH938" s="7" t="str"/>
      <x:c r="AI938" s="7" t="str"/>
      <x:c r="AJ938" s="7" t="str"/>
      <x:c r="AK938" s="15" t="str"/>
      <x:c r="AL938" s="7" t="str"/>
      <x:c r="AM938" s="7" t="str">
        <x:v>AGUILAR  NATHANNAEL</x:v>
      </x:c>
      <x:c r="AN938" s="7" t="str">
        <x:v>https://cdicloud.insurance.ca.gov/cal/LicenseDetail?SearchType=IND&amp;SearchLicNbr=0J11102&amp;SearchIndvId=1712545</x:v>
      </x:c>
      <x:c r="AO938" s="7" t="str">
        <x:v>2026-10-08</x:v>
      </x:c>
      <x:c r="AP938" s="7" t="str">
        <x:v>0491f453a3bf817a12a262eaa357d97c1d90acb68efac4f859b79e9f6eedf3a8</x:v>
      </x:c>
      <x:c r="AQ938" s="7" t="str">
        <x:v>Casualty Broker-Agent / Inactive / 10/21/2014 / 10/31/2018 / 10/31/2018
Property Broker-Agent / Inactive / 10/21/2014 / 10/31/2018 / 10/31/2018</x:v>
      </x:c>
      <x:c r="AR938" s="7" t="str">
        <x:v>Inactive</x:v>
      </x:c>
      <x:c r="AS938" s="7" t="str">
        <x:v>Current detail page</x:v>
      </x:c>
    </x:row>
    <x:row r="939" ht="52" customHeight="1">
      <x:c r="A939" s="7" t="str">
        <x:v>AGUILAR NATIVIDAD</x:v>
      </x:c>
      <x:c r="B939" s="14" t="str">
        <x:f>"0J06784"</x:f>
        <x:v>0J06784</x:v>
      </x:c>
      <x:c r="C939" s="7" t="str">
        <x:v>Omitted</x:v>
      </x:c>
      <x:c r="D939" s="7" t="str">
        <x:v>FAIL</x:v>
      </x:c>
      <x:c r="E939" s="13" t="str">
        <x:v>Pending</x:v>
      </x:c>
      <x:c r="F939" s="13" t="str"/>
      <x:c r="G939" s="13" t="str"/>
      <x:c r="H939" s="13" t="str"/>
      <x:c r="I939" s="7" t="str">
        <x:v>Was this person reviewed? If rejected, give the actual rule and evidence. If acceptable, correct the omission. Confirm the Life-qualification gate and any record change since selection.</x:v>
      </x:c>
      <x:c r="J939" s="7" t="str">
        <x:v>L1</x:v>
      </x:c>
      <x:c r="K939" s="7" t="str">
        <x:v>Verified qualifications do not include active general Life. Current target-pool mismatch; actual historical omission reason unknown.</x:v>
      </x:c>
      <x:c r="L939" s="7" t="str">
        <x:v>Not supplied; membership is known, motive is not</x:v>
      </x:c>
      <x:c r="M939" s="7" t="n">
        <x:v>7</x:v>
      </x:c>
      <x:c r="N939" s="7" t="str">
        <x:v>Outside current general-Life recruiting pool</x:v>
      </x:c>
      <x:c r="O939" s="7" t="str">
        <x:v>Not displayed</x:v>
      </x:c>
      <x:c r="P939" s="7" t="str"/>
      <x:c r="Q939" s="7" t="str"/>
      <x:c r="R939" s="7" t="str"/>
      <x:c r="S939" s="15" t="str"/>
      <x:c r="T939" s="7" t="str">
        <x:v>No public business phone in collected record</x:v>
      </x:c>
      <x:c r="U939" s="7" t="str"/>
      <x:c r="V939" s="7" t="str">
        <x:v>Non-resident</x:v>
      </x:c>
      <x:c r="W939" s="7" t="str">
        <x:v>CO</x:v>
      </x:c>
      <x:c r="X939" s="7" t="str"/>
      <x:c r="Y939" s="7" t="str"/>
      <x:c r="Z939" s="7" t="str"/>
      <x:c r="AA939" s="7" t="str"/>
      <x:c r="AB939" s="7" t="str"/>
      <x:c r="AC939" s="7" t="str"/>
      <x:c r="AD939" s="7" t="str">
        <x:v>No agency or insurer displayed: onboarding opportunity possible; existing business unknown</x:v>
      </x:c>
      <x:c r="AE939" s="7" t="str">
        <x:v>Nonresident or address state outside CA; confirm geographic recruiting scope | No public business phone: contact enrichment needed, not proof of poor recruiting fit</x:v>
      </x:c>
      <x:c r="AF939" s="16" t="str"/>
      <x:c r="AG939" s="17" t="str"/>
      <x:c r="AH939" s="7" t="str"/>
      <x:c r="AI939" s="7" t="str"/>
      <x:c r="AJ939" s="7" t="str"/>
      <x:c r="AK939" s="15" t="str"/>
      <x:c r="AL939" s="7" t="str"/>
      <x:c r="AM939" s="7" t="str">
        <x:v>AGUILAR  NATIVIDAD</x:v>
      </x:c>
      <x:c r="AN939" s="7" t="str">
        <x:v>https://cdicloud.insurance.ca.gov/cal/LicenseDetail?SearchType=IND&amp;SearchLicNbr=0J06784&amp;SearchIndvId=1699206</x:v>
      </x:c>
      <x:c r="AO939" s="7" t="str">
        <x:v>2026-10-08</x:v>
      </x:c>
      <x:c r="AP939" s="7" t="str">
        <x:v>47140201742372fd5320236326a56f152288d208e7477809f19e13795acd8d2b</x:v>
      </x:c>
      <x:c r="AQ939" s="7" t="str">
        <x:v>Personal Lines Broker-Agent / Inactive / 09/15/2014 / 09/30/2016 / 09/30/2016</x:v>
      </x:c>
      <x:c r="AR939" s="7" t="str">
        <x:v>Inactive</x:v>
      </x:c>
      <x:c r="AS939" s="7" t="str">
        <x:v>Current detail page</x:v>
      </x:c>
    </x:row>
    <x:row r="940" ht="52" customHeight="1">
      <x:c r="A940" s="7" t="str">
        <x:v>AGUILAR NAVA ANDREINA E</x:v>
      </x:c>
      <x:c r="B940" s="14" t="str">
        <x:f>"4347367"</x:f>
        <x:v>4347367</x:v>
      </x:c>
      <x:c r="C940" s="7" t="str">
        <x:v>Omitted</x:v>
      </x:c>
      <x:c r="D940" s="7" t="str">
        <x:v>FAIL</x:v>
      </x:c>
      <x:c r="E940" s="13" t="str">
        <x:v>Pending</x:v>
      </x:c>
      <x:c r="F940" s="13" t="str"/>
      <x:c r="G940" s="13" t="str"/>
      <x:c r="H940" s="13" t="str"/>
      <x:c r="I940" s="7" t="str">
        <x:v>Was this person reviewed? If rejected, give the actual rule and evidence. If acceptable, correct the omission. Confirm the Life-qualification gate and any record change since selection.</x:v>
      </x:c>
      <x:c r="J940" s="7" t="str">
        <x:v>L1</x:v>
      </x:c>
      <x:c r="K940" s="7" t="str">
        <x:v>Verified qualifications do not include active general Life. Current target-pool mismatch; actual historical omission reason unknown.</x:v>
      </x:c>
      <x:c r="L940" s="7" t="str">
        <x:v>Not supplied; membership is known, motive is not</x:v>
      </x:c>
      <x:c r="M940" s="7" t="n">
        <x:v>7</x:v>
      </x:c>
      <x:c r="N940" s="7" t="str">
        <x:v>Outside current general-Life recruiting pool</x:v>
      </x:c>
      <x:c r="O940" s="7" t="str">
        <x:v>Inactive</x:v>
      </x:c>
      <x:c r="P940" s="7" t="str">
        <x:v>01/12/2024</x:v>
      </x:c>
      <x:c r="Q940" s="7" t="str">
        <x:v>01/31/2026</x:v>
      </x:c>
      <x:c r="R940" s="7" t="str"/>
      <x:c r="S940" s="15" t="str">
        <x:v>805-266-6124</x:v>
      </x:c>
      <x:c r="T940" s="7" t="str">
        <x:v>Current CDI</x:v>
      </x:c>
      <x:c r="U940" s="7" t="str">
        <x:v>256 NELLY LN APT B NIPOMO CA, 93444</x:v>
      </x:c>
      <x:c r="V940" s="7" t="str">
        <x:v>Resident</x:v>
      </x:c>
      <x:c r="W940" s="7" t="str">
        <x:v>CA</x:v>
      </x:c>
      <x:c r="X940" s="7" t="str"/>
      <x:c r="Y940" s="7" t="str"/>
      <x:c r="Z940" s="7" t="str"/>
      <x:c r="AA940" s="7" t="str"/>
      <x:c r="AB940" s="7" t="str"/>
      <x:c r="AC940" s="7" t="str"/>
      <x:c r="AD940" s="7" t="str">
        <x:v>No agency or insurer displayed: onboarding opportunity possible; existing business unknown</x:v>
      </x:c>
      <x:c r="AE940" s="7" t="str"/>
      <x:c r="AF940" s="16" t="str"/>
      <x:c r="AG940" s="17" t="str"/>
      <x:c r="AH940" s="7" t="str"/>
      <x:c r="AI940" s="7" t="str">
        <x:v>English</x:v>
      </x:c>
      <x:c r="AJ940" s="7" t="str"/>
      <x:c r="AK940" s="15" t="str"/>
      <x:c r="AL940" s="7" t="str"/>
      <x:c r="AM940" s="7" t="str">
        <x:v>AGUILAR ESTEFANIA ANDREINA | AGUILAR NAVA E ADREINA | AGUILAR NAVA E ANDREINA</x:v>
      </x:c>
      <x:c r="AN940" s="7" t="str">
        <x:v>https://cdicloud.insurance.ca.gov/cal/LicenseDetail?SearchType=IND&amp;SearchLicNbr=4347367&amp;SearchIndvId=4347367</x:v>
      </x:c>
      <x:c r="AO940" s="7" t="str">
        <x:v>2026-10-08</x:v>
      </x:c>
      <x:c r="AP940" s="7" t="str">
        <x:v>b19306702ad42336435b697128a3b22ee74c23fea0258970d9ec4b232922130c</x:v>
      </x:c>
      <x:c r="AQ940" s="7" t="str">
        <x:v>Life / Inactive / 01/12/2024 / 01/31/2026 / 01/31/2026</x:v>
      </x:c>
      <x:c r="AR940" s="7" t="str">
        <x:v>Inactive</x:v>
      </x:c>
      <x:c r="AS940" s="7" t="str">
        <x:v>Current detail page</x:v>
      </x:c>
    </x:row>
    <x:row r="941" ht="52" customHeight="1">
      <x:c r="A941" s="7" t="str">
        <x:v>AGUILAR NAVAS FREDY O</x:v>
      </x:c>
      <x:c r="B941" s="14" t="str">
        <x:f>"4374888"</x:f>
        <x:v>4374888</x:v>
      </x:c>
      <x:c r="C941" s="7" t="str">
        <x:v>Omitted</x:v>
      </x:c>
      <x:c r="D941" s="7" t="str">
        <x:v>FAIL</x:v>
      </x:c>
      <x:c r="E941" s="13" t="str">
        <x:v>Pending</x:v>
      </x:c>
      <x:c r="F941" s="13" t="str"/>
      <x:c r="G941" s="13" t="str"/>
      <x:c r="H941" s="13" t="str"/>
      <x:c r="I941" s="7" t="str">
        <x:v>Was this person reviewed? If rejected, give the actual rule and evidence. If acceptable, correct the omission. Confirm the Life-qualification gate and any record change since selection.</x:v>
      </x:c>
      <x:c r="J941" s="7" t="str">
        <x:v>L1</x:v>
      </x:c>
      <x:c r="K941" s="7" t="str">
        <x:v>Verified qualifications do not include active general Life. Current target-pool mismatch; actual historical omission reason unknown.</x:v>
      </x:c>
      <x:c r="L941" s="7" t="str">
        <x:v>Not supplied; membership is known, motive is not</x:v>
      </x:c>
      <x:c r="M941" s="7" t="n">
        <x:v>7</x:v>
      </x:c>
      <x:c r="N941" s="7" t="str">
        <x:v>Outside current general-Life recruiting pool</x:v>
      </x:c>
      <x:c r="O941" s="7" t="str">
        <x:v>Not displayed</x:v>
      </x:c>
      <x:c r="P941" s="7" t="str"/>
      <x:c r="Q941" s="7" t="str"/>
      <x:c r="R941" s="7" t="str">
        <x:v>Casualty; Property</x:v>
      </x:c>
      <x:c r="S941" s="15" t="str"/>
      <x:c r="T941" s="7" t="str">
        <x:v>No public business phone in collected record</x:v>
      </x:c>
      <x:c r="U941" s="7" t="str">
        <x:v>1430 HAVANA ST STE 101 AURORA CO, 80010-3348</x:v>
      </x:c>
      <x:c r="V941" s="7" t="str">
        <x:v>Non-resident</x:v>
      </x:c>
      <x:c r="W941" s="7" t="str">
        <x:v>CO</x:v>
      </x:c>
      <x:c r="X941" s="7" t="str">
        <x:v>ANA INSURANCE BROKERAGE, INC. / Casualty / 05/02/2024
ANA INSURANCE BROKERAGE, INC. / Property / 05/02/2024</x:v>
      </x:c>
      <x:c r="Y941" s="7" t="str">
        <x:v>INFINITY INSURANCE COMPANY / Casualty / 08/16/2024
INFINITY INSURANCE COMPANY / Property / 08/16/2024
INFINITY SELECT INSURANCE COMPANY / Casualty / 08/16/2024
INFINITY SELECT INSURANCE COMPANY / Property / 08/16/2024</x:v>
      </x:c>
      <x:c r="Z941" s="7" t="str"/>
      <x:c r="AA941" s="7" t="str"/>
      <x:c r="AB941" s="7" t="str"/>
      <x:c r="AC941" s="7" t="str"/>
      <x:c r="AD941" s="7" t="str"/>
      <x:c r="AE941"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941" s="16" t="str"/>
      <x:c r="AG941" s="17" t="str"/>
      <x:c r="AH941" s="7" t="str"/>
      <x:c r="AI941" s="7" t="str"/>
      <x:c r="AJ941" s="7" t="str"/>
      <x:c r="AK941" s="15" t="str"/>
      <x:c r="AL941" s="7" t="str"/>
      <x:c r="AM941" s="7" t="str">
        <x:v>AGUILAR NAVAS O FREDY</x:v>
      </x:c>
      <x:c r="AN941" s="7" t="str">
        <x:v>https://cdicloud.insurance.ca.gov/cal/LicenseDetail?SearchType=IND&amp;SearchLicNbr=4374888&amp;SearchIndvId=4374888</x:v>
      </x:c>
      <x:c r="AO941" s="7" t="str">
        <x:v>2026-10-08</x:v>
      </x:c>
      <x:c r="AP941" s="7" t="str">
        <x:v>387e098ac687ec495018f43ff1cda4147d2ea6422beed4e638820564be7230a3</x:v>
      </x:c>
      <x:c r="AQ941" s="7" t="str">
        <x:v>Casualty / Active / 05/02/2024 / 05/02/2024 / 05/31/2028
Property / Active / 05/02/2024 / 05/02/2024 / 05/31/2028</x:v>
      </x:c>
      <x:c r="AR941" s="7" t="str">
        <x:v>Active</x:v>
      </x:c>
      <x:c r="AS941" s="7" t="str">
        <x:v>Current detail page</x:v>
      </x:c>
    </x:row>
    <x:row r="942" ht="52" customHeight="1">
      <x:c r="A942" s="7" t="str">
        <x:v>AGUILAR NAYELI</x:v>
      </x:c>
      <x:c r="B942" s="14" t="str">
        <x:f>"4392809"</x:f>
        <x:v>4392809</x:v>
      </x:c>
      <x:c r="C942" s="7" t="str">
        <x:v>Omitted</x:v>
      </x:c>
      <x:c r="D942" s="7" t="str">
        <x:v>FAIL</x:v>
      </x:c>
      <x:c r="E942" s="13" t="str">
        <x:v>Pending</x:v>
      </x:c>
      <x:c r="F942" s="13" t="str"/>
      <x:c r="G942" s="13" t="str"/>
      <x:c r="H942" s="13" t="str"/>
      <x:c r="I942" s="7" t="str">
        <x:v>Was this person reviewed? If rejected, give the actual rule and evidence. If acceptable, correct the omission. Confirm the Life-qualification gate and any record change since selection.</x:v>
      </x:c>
      <x:c r="J942" s="7" t="str">
        <x:v>L1</x:v>
      </x:c>
      <x:c r="K942" s="7" t="str">
        <x:v>Verified qualifications do not include active general Life. Current target-pool mismatch; actual historical omission reason unknown.</x:v>
      </x:c>
      <x:c r="L942" s="7" t="str">
        <x:v>Not supplied; membership is known, motive is not</x:v>
      </x:c>
      <x:c r="M942" s="7" t="n">
        <x:v>7</x:v>
      </x:c>
      <x:c r="N942" s="7" t="str">
        <x:v>Outside current general-Life recruiting pool</x:v>
      </x:c>
      <x:c r="O942" s="7" t="str">
        <x:v>Not displayed</x:v>
      </x:c>
      <x:c r="P942" s="7" t="str"/>
      <x:c r="Q942" s="7" t="str"/>
      <x:c r="R942" s="7" t="str"/>
      <x:c r="S942" s="15" t="str">
        <x:v>562-927-6111</x:v>
      </x:c>
      <x:c r="T942" s="7" t="str">
        <x:v>Current CDI</x:v>
      </x:c>
      <x:c r="U942" s="7" t="str">
        <x:v>5861-B FIRESTONE BLVD SOUTH GATE CA, 90280</x:v>
      </x:c>
      <x:c r="V942" s="7" t="str">
        <x:v>Resident</x:v>
      </x:c>
      <x:c r="W942" s="7" t="str">
        <x:v>CA</x:v>
      </x:c>
      <x:c r="X942" s="7" t="str"/>
      <x:c r="Y942" s="7" t="str"/>
      <x:c r="Z942" s="7" t="str"/>
      <x:c r="AA942" s="7" t="str"/>
      <x:c r="AB942" s="7" t="str"/>
      <x:c r="AC942" s="7" t="str"/>
      <x:c r="AD942" s="7" t="str">
        <x:v>No agency or insurer displayed: onboarding opportunity possible; existing business unknown</x:v>
      </x:c>
      <x:c r="AE942" s="7" t="str"/>
      <x:c r="AF942" s="16" t="str"/>
      <x:c r="AG942" s="17" t="str"/>
      <x:c r="AH942" s="7" t="str"/>
      <x:c r="AI942" s="7" t="str">
        <x:v>English</x:v>
      </x:c>
      <x:c r="AJ942" s="7" t="str"/>
      <x:c r="AK942" s="15" t="str"/>
      <x:c r="AL942" s="7" t="str"/>
      <x:c r="AM942" s="7" t="str">
        <x:v>AGUILAR  NAYELI</x:v>
      </x:c>
      <x:c r="AN942" s="7" t="str">
        <x:v>https://cdicloud.insurance.ca.gov/cal/LicenseDetail?SearchType=IND&amp;SearchLicNbr=4392809&amp;SearchIndvId=4392809</x:v>
      </x:c>
      <x:c r="AO942" s="7" t="str">
        <x:v>2026-10-08</x:v>
      </x:c>
      <x:c r="AP942" s="7" t="str">
        <x:v>35d95925587e1594ebc32752560d36b76043531fd256f90cbe650cafbff011fe</x:v>
      </x:c>
      <x:c r="AQ942" s="7" t="str">
        <x:v>Limited Lines Automobile / Inactive / 07/12/2024 / 07/31/2026 / 07/31/2026</x:v>
      </x:c>
      <x:c r="AR942" s="7" t="str">
        <x:v>Inactive</x:v>
      </x:c>
      <x:c r="AS942" s="7" t="str">
        <x:v>Current detail page</x:v>
      </x:c>
    </x:row>
    <x:row r="943" ht="52" customHeight="1">
      <x:c r="A943" s="7" t="str">
        <x:v>AGUILAR NELSON</x:v>
      </x:c>
      <x:c r="B943" s="14" t="str">
        <x:f>"0I69068"</x:f>
        <x:v>0I69068</x:v>
      </x:c>
      <x:c r="C943" s="7" t="str">
        <x:v>Omitted</x:v>
      </x:c>
      <x:c r="D943" s="7" t="str">
        <x:v>FAIL</x:v>
      </x:c>
      <x:c r="E943" s="13" t="str">
        <x:v>Pending</x:v>
      </x:c>
      <x:c r="F943" s="13" t="str"/>
      <x:c r="G943" s="13" t="str"/>
      <x:c r="H943" s="13" t="str"/>
      <x:c r="I943" s="7" t="str">
        <x:v>Was this person reviewed? If rejected, give the actual rule and evidence. If acceptable, correct the omission. Confirm the Life-qualification gate and any record change since selection.</x:v>
      </x:c>
      <x:c r="J943" s="7" t="str">
        <x:v>L1</x:v>
      </x:c>
      <x:c r="K943" s="7" t="str">
        <x:v>Verified qualifications do not include active general Life. Current target-pool mismatch; actual historical omission reason unknown.</x:v>
      </x:c>
      <x:c r="L943" s="7" t="str">
        <x:v>Not supplied; membership is known, motive is not</x:v>
      </x:c>
      <x:c r="M943" s="7" t="n">
        <x:v>7</x:v>
      </x:c>
      <x:c r="N943" s="7" t="str">
        <x:v>Outside current general-Life recruiting pool</x:v>
      </x:c>
      <x:c r="O943" s="7" t="str">
        <x:v>Not displayed</x:v>
      </x:c>
      <x:c r="P943" s="7" t="str"/>
      <x:c r="Q943" s="7" t="str"/>
      <x:c r="R943" s="7" t="str"/>
      <x:c r="S943" s="15" t="str"/>
      <x:c r="T943" s="7" t="str">
        <x:v>No public business phone in collected record</x:v>
      </x:c>
      <x:c r="U943" s="7" t="str"/>
      <x:c r="V943" s="7" t="str">
        <x:v>Resident</x:v>
      </x:c>
      <x:c r="W943" s="7" t="str">
        <x:v>CA</x:v>
      </x:c>
      <x:c r="X943" s="7" t="str"/>
      <x:c r="Y943" s="7" t="str"/>
      <x:c r="Z943" s="7" t="str"/>
      <x:c r="AA943" s="7" t="str"/>
      <x:c r="AB943" s="7" t="str"/>
      <x:c r="AC943" s="7" t="str"/>
      <x:c r="AD943" s="7" t="str">
        <x:v>No agency or insurer displayed: onboarding opportunity possible; existing business unknown</x:v>
      </x:c>
      <x:c r="AE943" s="7" t="str">
        <x:v>No public business phone: contact enrichment needed, not proof of poor recruiting fit</x:v>
      </x:c>
      <x:c r="AF943" s="16" t="str"/>
      <x:c r="AG943" s="17" t="str"/>
      <x:c r="AH943" s="7" t="str"/>
      <x:c r="AI943" s="7" t="str"/>
      <x:c r="AJ943" s="7" t="str"/>
      <x:c r="AK943" s="15" t="str"/>
      <x:c r="AL943" s="7" t="str"/>
      <x:c r="AM943" s="7" t="str">
        <x:v>AGUILAR  NELSON</x:v>
      </x:c>
      <x:c r="AN943" s="7" t="str">
        <x:v>https://cdicloud.insurance.ca.gov/cal/LicenseDetail?SearchType=IND&amp;SearchLicNbr=0I69068&amp;SearchIndvId=1636179</x:v>
      </x:c>
      <x:c r="AO943" s="7" t="str">
        <x:v>2026-10-08</x:v>
      </x:c>
      <x:c r="AP943" s="7" t="str">
        <x:v>904cea52b04b648f1379f55f9f65b3380fbd3dc584bdf5a9cf2de128cbf9f92f</x:v>
      </x:c>
      <x:c r="AQ943" s="7" t="str">
        <x:v>Accident and Health / Inactive / 12/19/2013 / 12/31/2015 / 12/31/2015
Life-Only / Inactive / 12/19/2013 / 12/31/2015 / 12/31/2015</x:v>
      </x:c>
      <x:c r="AR943" s="7" t="str">
        <x:v>Inactive</x:v>
      </x:c>
      <x:c r="AS943" s="7" t="str">
        <x:v>Current detail page</x:v>
      </x:c>
    </x:row>
    <x:row r="944" ht="52" customHeight="1">
      <x:c r="A944" s="7" t="str">
        <x:v>AGUILAR NELSON ISIDRO</x:v>
      </x:c>
      <x:c r="B944" s="14" t="str">
        <x:f>"0I18618"</x:f>
        <x:v>0I18618</x:v>
      </x:c>
      <x:c r="C944" s="7" t="str">
        <x:v>Omitted</x:v>
      </x:c>
      <x:c r="D944" s="7" t="str">
        <x:v>FAIL</x:v>
      </x:c>
      <x:c r="E944" s="13" t="str">
        <x:v>Pending</x:v>
      </x:c>
      <x:c r="F944" s="13" t="str"/>
      <x:c r="G944" s="13" t="str"/>
      <x:c r="H944" s="13" t="str"/>
      <x:c r="I944" s="7" t="str">
        <x:v>Was this person reviewed? If rejected, give the actual rule and evidence. If acceptable, correct the omission. Confirm the Life-qualification gate and any record change since selection.</x:v>
      </x:c>
      <x:c r="J944" s="7" t="str">
        <x:v>L1</x:v>
      </x:c>
      <x:c r="K944" s="7" t="str">
        <x:v>Verified qualifications do not include active general Life. Current target-pool mismatch; actual historical omission reason unknown.</x:v>
      </x:c>
      <x:c r="L944" s="7" t="str">
        <x:v>Not supplied; membership is known, motive is not</x:v>
      </x:c>
      <x:c r="M944" s="7" t="n">
        <x:v>7</x:v>
      </x:c>
      <x:c r="N944" s="7" t="str">
        <x:v>Outside current general-Life recruiting pool</x:v>
      </x:c>
      <x:c r="O944" s="7" t="str">
        <x:v>Not displayed</x:v>
      </x:c>
      <x:c r="P944" s="7" t="str"/>
      <x:c r="Q944" s="7" t="str"/>
      <x:c r="R944" s="7" t="str"/>
      <x:c r="S944" s="15" t="str"/>
      <x:c r="T944" s="7" t="str">
        <x:v>No public business phone in collected record</x:v>
      </x:c>
      <x:c r="U944" s="7" t="str"/>
      <x:c r="V944" s="7" t="str">
        <x:v>Resident</x:v>
      </x:c>
      <x:c r="W944" s="7" t="str">
        <x:v>CA</x:v>
      </x:c>
      <x:c r="X944" s="7" t="str"/>
      <x:c r="Y944" s="7" t="str"/>
      <x:c r="Z944" s="7" t="str"/>
      <x:c r="AA944" s="7" t="str"/>
      <x:c r="AB944" s="7" t="str"/>
      <x:c r="AC944" s="7" t="str"/>
      <x:c r="AD944" s="7" t="str">
        <x:v>No agency or insurer displayed: onboarding opportunity possible; existing business unknown</x:v>
      </x:c>
      <x:c r="AE944" s="7" t="str">
        <x:v>No public business phone: contact enrichment needed, not proof of poor recruiting fit</x:v>
      </x:c>
      <x:c r="AF944" s="16" t="str"/>
      <x:c r="AG944" s="17" t="str"/>
      <x:c r="AH944" s="7" t="str"/>
      <x:c r="AI944" s="7" t="str"/>
      <x:c r="AJ944" s="7" t="str"/>
      <x:c r="AK944" s="15" t="str"/>
      <x:c r="AL944" s="7" t="str"/>
      <x:c r="AM944" s="7" t="str">
        <x:v>AGUILAR ISIDRO NELSON</x:v>
      </x:c>
      <x:c r="AN944" s="7" t="str">
        <x:v>https://cdicloud.insurance.ca.gov/cal/LicenseDetail?SearchType=IND&amp;SearchLicNbr=0I18618&amp;SearchIndvId=1556138</x:v>
      </x:c>
      <x:c r="AO944" s="7" t="str">
        <x:v>2026-10-08</x:v>
      </x:c>
      <x:c r="AP944" s="7" t="str">
        <x:v>10fe0f30900179a49d36d897e0c9fd53f7bdf23fb630c2343c58a21583141a23</x:v>
      </x:c>
      <x:c r="AQ944" s="7" t="str">
        <x:v>Life-Only / Inactive / 01/08/2013 / 01/31/2021 / 01/31/2021</x:v>
      </x:c>
      <x:c r="AR944" s="7" t="str">
        <x:v>Inactive</x:v>
      </x:c>
      <x:c r="AS944" s="7" t="str">
        <x:v>Current detail page</x:v>
      </x:c>
    </x:row>
    <x:row r="945" ht="52" customHeight="1">
      <x:c r="A945" s="7" t="str">
        <x:v>AGUILAR NEOFITO</x:v>
      </x:c>
      <x:c r="B945" s="14" t="str">
        <x:f>"0F59003"</x:f>
        <x:v>0F59003</x:v>
      </x:c>
      <x:c r="C945" s="7" t="str">
        <x:v>Omitted</x:v>
      </x:c>
      <x:c r="D945" s="7" t="str">
        <x:v>FAIL</x:v>
      </x:c>
      <x:c r="E945" s="13" t="str">
        <x:v>Pending</x:v>
      </x:c>
      <x:c r="F945" s="13" t="str"/>
      <x:c r="G945" s="13" t="str"/>
      <x:c r="H945" s="13" t="str"/>
      <x:c r="I945" s="7" t="str">
        <x:v>Was this person reviewed? If rejected, give the actual rule and evidence. If acceptable, correct the omission. Confirm the Life-qualification gate and any record change since selection.</x:v>
      </x:c>
      <x:c r="J945" s="7" t="str">
        <x:v>L1</x:v>
      </x:c>
      <x:c r="K945" s="7" t="str">
        <x:v>Verified qualifications do not include active general Life. Current target-pool mismatch; actual historical omission reason unknown.</x:v>
      </x:c>
      <x:c r="L945" s="7" t="str">
        <x:v>Not supplied; membership is known, motive is not</x:v>
      </x:c>
      <x:c r="M945" s="7" t="n">
        <x:v>7</x:v>
      </x:c>
      <x:c r="N945" s="7" t="str">
        <x:v>Outside current general-Life recruiting pool</x:v>
      </x:c>
      <x:c r="O945" s="7" t="str">
        <x:v>Not displayed</x:v>
      </x:c>
      <x:c r="P945" s="7" t="str"/>
      <x:c r="Q945" s="7" t="str"/>
      <x:c r="R945" s="7" t="str"/>
      <x:c r="S945" s="15" t="str"/>
      <x:c r="T945" s="7" t="str">
        <x:v>No public business phone in collected record</x:v>
      </x:c>
      <x:c r="U945" s="7" t="str"/>
      <x:c r="V945" s="7" t="str">
        <x:v>Resident</x:v>
      </x:c>
      <x:c r="W945" s="7" t="str">
        <x:v>CA</x:v>
      </x:c>
      <x:c r="X945" s="7" t="str"/>
      <x:c r="Y945" s="7" t="str"/>
      <x:c r="Z945" s="7" t="str"/>
      <x:c r="AA945" s="7" t="str"/>
      <x:c r="AB945" s="7" t="str"/>
      <x:c r="AC945" s="7" t="str"/>
      <x:c r="AD945" s="7" t="str">
        <x:v>No agency or insurer displayed: onboarding opportunity possible; existing business unknown</x:v>
      </x:c>
      <x:c r="AE945" s="7" t="str">
        <x:v>No public business phone: contact enrichment needed, not proof of poor recruiting fit</x:v>
      </x:c>
      <x:c r="AF945" s="16" t="str"/>
      <x:c r="AG945" s="17" t="str"/>
      <x:c r="AH945" s="7" t="str"/>
      <x:c r="AI945" s="7" t="str"/>
      <x:c r="AJ945" s="7" t="str"/>
      <x:c r="AK945" s="15" t="str"/>
      <x:c r="AL945" s="7" t="str"/>
      <x:c r="AM945" s="7" t="str">
        <x:v>AGUILAR  NEOFITO</x:v>
      </x:c>
      <x:c r="AN945" s="7" t="str">
        <x:v>https://cdicloud.insurance.ca.gov/cal/LicenseDetail?SearchType=IND&amp;SearchLicNbr=0F59003&amp;SearchIndvId=1073581</x:v>
      </x:c>
      <x:c r="AO945" s="7" t="str">
        <x:v>2026-10-08</x:v>
      </x:c>
      <x:c r="AP945" s="7" t="str">
        <x:v>06e1d5789d644e17a12782d585dc9229c6653fbb1f1f2e4dcb5328e6d04348ca</x:v>
      </x:c>
      <x:c r="AQ945" s="7" t="str">
        <x:v>Accident and Health / Inactive / 03/19/2007 / 03/31/2011 / 03/31/2011
Life-Only / Inactive / 03/19/2007 / 03/31/2011 / 03/31/2011</x:v>
      </x:c>
      <x:c r="AR945" s="7" t="str">
        <x:v>Inactive</x:v>
      </x:c>
      <x:c r="AS945" s="7" t="str">
        <x:v>Current detail page</x:v>
      </x:c>
    </x:row>
    <x:row r="946" ht="52" customHeight="1">
      <x:c r="A946" s="7" t="str">
        <x:v>AGUILAR NERI LETICIA</x:v>
      </x:c>
      <x:c r="B946" s="14" t="str">
        <x:f>"4119095"</x:f>
        <x:v>4119095</x:v>
      </x:c>
      <x:c r="C946" s="7" t="str">
        <x:v>Omitted</x:v>
      </x:c>
      <x:c r="D946" s="7" t="str">
        <x:v>FAIL</x:v>
      </x:c>
      <x:c r="E946" s="13" t="str">
        <x:v>Pending</x:v>
      </x:c>
      <x:c r="F946" s="13" t="str"/>
      <x:c r="G946" s="13" t="str"/>
      <x:c r="H946" s="13" t="str"/>
      <x:c r="I946" s="7" t="str">
        <x:v>Was this person reviewed? If rejected, give the actual rule and evidence. If acceptable, correct the omission. Confirm the Life-qualification gate and any record change since selection.</x:v>
      </x:c>
      <x:c r="J946" s="7" t="str">
        <x:v>L1</x:v>
      </x:c>
      <x:c r="K946" s="7" t="str">
        <x:v>Verified qualifications do not include active general Life. Current target-pool mismatch; actual historical omission reason unknown.</x:v>
      </x:c>
      <x:c r="L946" s="7" t="str">
        <x:v>Not supplied; membership is known, motive is not</x:v>
      </x:c>
      <x:c r="M946" s="7" t="n">
        <x:v>7</x:v>
      </x:c>
      <x:c r="N946" s="7" t="str">
        <x:v>Outside current general-Life recruiting pool</x:v>
      </x:c>
      <x:c r="O946" s="7" t="str">
        <x:v>Inactive</x:v>
      </x:c>
      <x:c r="P946" s="7" t="str">
        <x:v>05/14/2021</x:v>
      </x:c>
      <x:c r="Q946" s="7" t="str">
        <x:v>05/31/2023</x:v>
      </x:c>
      <x:c r="R946" s="7" t="str"/>
      <x:c r="S946" s="15" t="str"/>
      <x:c r="T946" s="7" t="str">
        <x:v>No public business phone in collected record</x:v>
      </x:c>
      <x:c r="U946" s="7" t="str">
        <x:v>500 DANIELLE ST BAKERSFIELD CA, 93306</x:v>
      </x:c>
      <x:c r="V946" s="7" t="str">
        <x:v>Resident</x:v>
      </x:c>
      <x:c r="W946" s="7" t="str">
        <x:v>CA</x:v>
      </x:c>
      <x:c r="X946" s="7" t="str"/>
      <x:c r="Y946" s="7" t="str"/>
      <x:c r="Z946" s="7" t="str"/>
      <x:c r="AA946" s="7" t="str"/>
      <x:c r="AB946" s="7" t="str"/>
      <x:c r="AC946" s="7" t="str"/>
      <x:c r="AD946" s="7" t="str">
        <x:v>No agency or insurer displayed: onboarding opportunity possible; existing business unknown</x:v>
      </x:c>
      <x:c r="AE946" s="7" t="str">
        <x:v>No public business phone: contact enrichment needed, not proof of poor recruiting fit</x:v>
      </x:c>
      <x:c r="AF946" s="16" t="str"/>
      <x:c r="AG946" s="17" t="str"/>
      <x:c r="AH946" s="7" t="str"/>
      <x:c r="AI946" s="7" t="str">
        <x:v>English</x:v>
      </x:c>
      <x:c r="AJ946" s="7" t="str"/>
      <x:c r="AK946" s="15" t="str"/>
      <x:c r="AL946" s="7" t="str"/>
      <x:c r="AM946" s="7" t="str">
        <x:v>AGUILAR NERI  LETICIA</x:v>
      </x:c>
      <x:c r="AN946" s="7" t="str">
        <x:v>https://cdicloud.insurance.ca.gov/cal/LicenseDetail?SearchType=IND&amp;SearchLicNbr=4119095&amp;SearchIndvId=4119095</x:v>
      </x:c>
      <x:c r="AO946" s="7" t="str">
        <x:v>2026-10-08</x:v>
      </x:c>
      <x:c r="AP946" s="7" t="str">
        <x:v>0f5394e3d50edb508965acc7c443c681a75654e8083def77b1e98393ecfd9672</x:v>
      </x:c>
      <x:c r="AQ946" s="7" t="str">
        <x:v>Life / Inactive / 05/14/2021 / 05/31/2023 / 05/31/2023</x:v>
      </x:c>
      <x:c r="AR946" s="7" t="str">
        <x:v>Inactive</x:v>
      </x:c>
      <x:c r="AS946" s="7" t="str">
        <x:v>Current detail page</x:v>
      </x:c>
    </x:row>
    <x:row r="947" ht="52" customHeight="1">
      <x:c r="A947" s="7" t="str">
        <x:v>AGUILAR NESLIE J</x:v>
      </x:c>
      <x:c r="B947" s="14" t="str">
        <x:f>"4085185"</x:f>
        <x:v>4085185</x:v>
      </x:c>
      <x:c r="C947" s="7" t="str">
        <x:v>Omitted</x:v>
      </x:c>
      <x:c r="D947" s="7" t="str">
        <x:v>FAIL</x:v>
      </x:c>
      <x:c r="E947" s="13" t="str">
        <x:v>Pending</x:v>
      </x:c>
      <x:c r="F947" s="13" t="str"/>
      <x:c r="G947" s="13" t="str"/>
      <x:c r="H947" s="13" t="str"/>
      <x:c r="I947" s="7" t="str">
        <x:v>Was this person reviewed? If rejected, give the actual rule and evidence. If acceptable, correct the omission. Confirm the Life-qualification gate and any record change since selection.</x:v>
      </x:c>
      <x:c r="J947" s="7" t="str">
        <x:v>L1</x:v>
      </x:c>
      <x:c r="K947" s="7" t="str">
        <x:v>Verified qualifications do not include active general Life. Current target-pool mismatch; actual historical omission reason unknown.</x:v>
      </x:c>
      <x:c r="L947" s="7" t="str">
        <x:v>Not supplied; membership is known, motive is not</x:v>
      </x:c>
      <x:c r="M947" s="7" t="n">
        <x:v>7</x:v>
      </x:c>
      <x:c r="N947" s="7" t="str">
        <x:v>Outside current general-Life recruiting pool</x:v>
      </x:c>
      <x:c r="O947" s="7" t="str">
        <x:v>Inactive</x:v>
      </x:c>
      <x:c r="P947" s="7" t="str">
        <x:v>12/29/2020</x:v>
      </x:c>
      <x:c r="Q947" s="7" t="str">
        <x:v>12/31/2022</x:v>
      </x:c>
      <x:c r="R947" s="7" t="str"/>
      <x:c r="S947" s="15" t="str">
        <x:v>818-331-1008</x:v>
      </x:c>
      <x:c r="T947" s="7" t="str">
        <x:v>Current CDI</x:v>
      </x:c>
      <x:c r="U947" s="7" t="str">
        <x:v>1020 S GAGE AVE LOS ANGELES CA, 90023</x:v>
      </x:c>
      <x:c r="V947" s="7" t="str">
        <x:v>Resident</x:v>
      </x:c>
      <x:c r="W947" s="7" t="str">
        <x:v>CA</x:v>
      </x:c>
      <x:c r="X947" s="7" t="str"/>
      <x:c r="Y947" s="7" t="str"/>
      <x:c r="Z947" s="7" t="str"/>
      <x:c r="AA947" s="7" t="str"/>
      <x:c r="AB947" s="7" t="str"/>
      <x:c r="AC947" s="7" t="str"/>
      <x:c r="AD947" s="7" t="str">
        <x:v>No agency or insurer displayed: onboarding opportunity possible; existing business unknown</x:v>
      </x:c>
      <x:c r="AE947" s="7" t="str"/>
      <x:c r="AF947" s="16" t="str"/>
      <x:c r="AG947" s="17" t="str"/>
      <x:c r="AH947" s="7" t="str"/>
      <x:c r="AI947" s="7" t="str">
        <x:v>English</x:v>
      </x:c>
      <x:c r="AJ947" s="7" t="str"/>
      <x:c r="AK947" s="15" t="str"/>
      <x:c r="AL947" s="7" t="str"/>
      <x:c r="AM947" s="7" t="str">
        <x:v>AGUILAR J NESLIE | AGUILAR DE PAZ JENNIFER NESLIE</x:v>
      </x:c>
      <x:c r="AN947" s="7" t="str">
        <x:v>https://cdicloud.insurance.ca.gov/cal/LicenseDetail?SearchType=IND&amp;SearchLicNbr=4085185&amp;SearchIndvId=4085185</x:v>
      </x:c>
      <x:c r="AO947" s="7" t="str">
        <x:v>2026-10-08</x:v>
      </x:c>
      <x:c r="AP947" s="7" t="str">
        <x:v>368ffc547032a98856e00c599cff56a8017c200992cea1e79cff60a694ad2811</x:v>
      </x:c>
      <x:c r="AQ947" s="7" t="str">
        <x:v>Accident &amp; Health or Sickness / Inactive / 12/29/2020 / 12/31/2022 / 12/31/2022
Life / Inactive / 12/29/2020 / 12/31/2022 / 12/31/2022</x:v>
      </x:c>
      <x:c r="AR947" s="7" t="str">
        <x:v>Inactive</x:v>
      </x:c>
      <x:c r="AS947" s="7" t="str">
        <x:v>Current detail page</x:v>
      </x:c>
    </x:row>
    <x:row r="948" ht="52" customHeight="1">
      <x:c r="A948" s="7" t="str">
        <x:v>AGUILAR NICHOLAS AGUILAR</x:v>
      </x:c>
      <x:c r="B948" s="14" t="str">
        <x:f>"4142823"</x:f>
        <x:v>4142823</x:v>
      </x:c>
      <x:c r="C948" s="7" t="str">
        <x:v>Omitted</x:v>
      </x:c>
      <x:c r="D948" s="7" t="str">
        <x:v>FAIL</x:v>
      </x:c>
      <x:c r="E948" s="13" t="str">
        <x:v>Pending</x:v>
      </x:c>
      <x:c r="F948" s="13" t="str"/>
      <x:c r="G948" s="13" t="str"/>
      <x:c r="H948" s="13" t="str"/>
      <x:c r="I948" s="7" t="str">
        <x:v>Was this person reviewed? If rejected, give the actual rule and evidence. If acceptable, correct the omission. Confirm the Life-qualification gate and any record change since selection.</x:v>
      </x:c>
      <x:c r="J948" s="7" t="str">
        <x:v>L1</x:v>
      </x:c>
      <x:c r="K948" s="7" t="str">
        <x:v>Verified qualifications do not include active general Life. Current target-pool mismatch; actual historical omission reason unknown.</x:v>
      </x:c>
      <x:c r="L948" s="7" t="str">
        <x:v>Not supplied; membership is known, motive is not</x:v>
      </x:c>
      <x:c r="M948" s="7" t="n">
        <x:v>7</x:v>
      </x:c>
      <x:c r="N948" s="7" t="str">
        <x:v>Outside current general-Life recruiting pool</x:v>
      </x:c>
      <x:c r="O948" s="7" t="str">
        <x:v>Inactive</x:v>
      </x:c>
      <x:c r="P948" s="7" t="str">
        <x:v>08/03/2021</x:v>
      </x:c>
      <x:c r="Q948" s="7" t="str">
        <x:v>08/31/2023</x:v>
      </x:c>
      <x:c r="R948" s="7" t="str"/>
      <x:c r="S948" s="15" t="str"/>
      <x:c r="T948" s="7" t="str">
        <x:v>No public business phone in collected record</x:v>
      </x:c>
      <x:c r="U948" s="7" t="str">
        <x:v>3940 ELSA STREET LAKEWOOD CA, 90712</x:v>
      </x:c>
      <x:c r="V948" s="7" t="str">
        <x:v>Resident</x:v>
      </x:c>
      <x:c r="W948" s="7" t="str">
        <x:v>CA</x:v>
      </x:c>
      <x:c r="X948" s="7" t="str"/>
      <x:c r="Y948" s="7" t="str"/>
      <x:c r="Z948" s="7" t="str"/>
      <x:c r="AA948" s="7" t="str"/>
      <x:c r="AB948" s="7" t="str"/>
      <x:c r="AC948" s="7" t="str"/>
      <x:c r="AD948" s="7" t="str">
        <x:v>No agency or insurer displayed: onboarding opportunity possible; existing business unknown</x:v>
      </x:c>
      <x:c r="AE948" s="7" t="str">
        <x:v>No public business phone: contact enrichment needed, not proof of poor recruiting fit</x:v>
      </x:c>
      <x:c r="AF948" s="16" t="str"/>
      <x:c r="AG948" s="17" t="str"/>
      <x:c r="AH948" s="7" t="str"/>
      <x:c r="AI948" s="7" t="str">
        <x:v>English</x:v>
      </x:c>
      <x:c r="AJ948" s="7" t="str"/>
      <x:c r="AK948" s="15" t="str"/>
      <x:c r="AL948" s="7" t="str"/>
      <x:c r="AM948" s="7" t="str">
        <x:v>AGUILAR AGUILAR NICHOLAS</x:v>
      </x:c>
      <x:c r="AN948" s="7" t="str">
        <x:v>https://cdicloud.insurance.ca.gov/cal/LicenseDetail?SearchType=IND&amp;SearchLicNbr=4142823&amp;SearchIndvId=4142823</x:v>
      </x:c>
      <x:c r="AO948" s="7" t="str">
        <x:v>2026-10-08</x:v>
      </x:c>
      <x:c r="AP948" s="7" t="str">
        <x:v>d8546c6a1e60ca28f8878aa31454e8e13e92e4d79533c785b767228827fc2a78</x:v>
      </x:c>
      <x:c r="AQ948" s="7" t="str">
        <x:v>Accident &amp; Health or Sickness / Inactive / 08/03/2021 / 08/31/2023 / 08/31/2023
Life / Inactive / 08/03/2021 / 08/31/2023 / 08/31/2023</x:v>
      </x:c>
      <x:c r="AR948" s="7" t="str">
        <x:v>Inactive</x:v>
      </x:c>
      <x:c r="AS948" s="7" t="str">
        <x:v>Current detail page</x:v>
      </x:c>
    </x:row>
    <x:row r="949" ht="52" customHeight="1">
      <x:c r="A949" s="7" t="str">
        <x:v>AGUILAR NICHOLAS ARTHUR</x:v>
      </x:c>
      <x:c r="B949" s="14" t="str">
        <x:f>"1845841"</x:f>
        <x:v>1845841</x:v>
      </x:c>
      <x:c r="C949" s="7" t="str">
        <x:v>Omitted</x:v>
      </x:c>
      <x:c r="D949" s="7" t="str">
        <x:v>FAIL</x:v>
      </x:c>
      <x:c r="E949" s="13" t="str">
        <x:v>Pending</x:v>
      </x:c>
      <x:c r="F949" s="13" t="str"/>
      <x:c r="G949" s="13" t="str"/>
      <x:c r="H949" s="13" t="str"/>
      <x:c r="I949" s="7" t="str">
        <x:v>Was this person reviewed? If rejected, give the actual rule and evidence. If acceptable, correct the omission. Confirm the Life-qualification gate and any record change since selection.</x:v>
      </x:c>
      <x:c r="J949" s="7" t="str">
        <x:v>L1</x:v>
      </x:c>
      <x:c r="K949" s="7" t="str">
        <x:v>Verified qualifications do not include active general Life. Current target-pool mismatch; actual historical omission reason unknown.</x:v>
      </x:c>
      <x:c r="L949" s="7" t="str">
        <x:v>Not supplied; membership is known, motive is not</x:v>
      </x:c>
      <x:c r="M949" s="7" t="n">
        <x:v>7</x:v>
      </x:c>
      <x:c r="N949" s="7" t="str">
        <x:v>Outside current general-Life recruiting pool</x:v>
      </x:c>
      <x:c r="O949" s="7" t="str">
        <x:v>Not displayed</x:v>
      </x:c>
      <x:c r="P949" s="7" t="str"/>
      <x:c r="Q949" s="7" t="str"/>
      <x:c r="R949" s="7" t="str"/>
      <x:c r="S949" s="15" t="str">
        <x:v>951-683-9685</x:v>
      </x:c>
      <x:c r="T949" s="7" t="str">
        <x:v>Current CDI</x:v>
      </x:c>
      <x:c r="U949" s="7" t="str">
        <x:v>3230 VINE ST STE 200 RIVERSIDE CA, 92507</x:v>
      </x:c>
      <x:c r="V949" s="7" t="str">
        <x:v>Resident</x:v>
      </x:c>
      <x:c r="W949" s="7" t="str">
        <x:v>CA</x:v>
      </x:c>
      <x:c r="X949" s="7" t="str"/>
      <x:c r="Y949" s="7" t="str"/>
      <x:c r="Z949" s="7" t="str"/>
      <x:c r="AA949" s="7" t="str"/>
      <x:c r="AB949" s="7" t="str"/>
      <x:c r="AC949" s="7" t="str">
        <x:v>EMPLOYER - CLIFFORD J. STANLEY; BA #1841399; EFF: 09/03/2013</x:v>
      </x:c>
      <x:c r="AD949" s="7" t="str">
        <x:v>No agency or insurer displayed: onboarding opportunity possible; existing business unknown</x:v>
      </x:c>
      <x:c r="AE949" s="7" t="str"/>
      <x:c r="AF949" s="16" t="str"/>
      <x:c r="AG949" s="17" t="str"/>
      <x:c r="AH949" s="7" t="str"/>
      <x:c r="AI949" s="7" t="str">
        <x:v>English, Spanish, Spanish</x:v>
      </x:c>
      <x:c r="AJ949" s="7" t="str"/>
      <x:c r="AK949" s="15" t="str"/>
      <x:c r="AL949" s="7" t="str"/>
      <x:c r="AM949" s="7" t="str">
        <x:v>AGUILAR ARTHUR NICHOLAS</x:v>
      </x:c>
      <x:c r="AN949" s="7" t="str">
        <x:v>https://cdicloud.insurance.ca.gov/cal/LicenseDetail?SearchType=IND&amp;SearchLicNbr=1845841&amp;SearchIndvId=1482665</x:v>
      </x:c>
      <x:c r="AO949" s="7" t="str">
        <x:v>2026-10-08</x:v>
      </x:c>
      <x:c r="AP949" s="7" t="str">
        <x:v>77c8e0fae40951506620ce3ee138feb0bb648a0ec2c385ac0fe7a165a3d12837</x:v>
      </x:c>
      <x:c r="AQ949" s="7" t="str">
        <x:v>Bail Agent / Inactive / 10/17/2011 / 03/31/2025 / 03/31/2025</x:v>
      </x:c>
      <x:c r="AR949" s="7" t="str">
        <x:v>Inactive</x:v>
      </x:c>
      <x:c r="AS949" s="7" t="str">
        <x:v>Current detail page</x:v>
      </x:c>
    </x:row>
    <x:row r="950" ht="52" customHeight="1">
      <x:c r="A950" s="7" t="str">
        <x:v>AGUILAR NICHOLAS ARTURO</x:v>
      </x:c>
      <x:c r="B950" s="14" t="str">
        <x:f>"0I48591"</x:f>
        <x:v>0I48591</x:v>
      </x:c>
      <x:c r="C950" s="7" t="str">
        <x:v>Omitted</x:v>
      </x:c>
      <x:c r="D950" s="7" t="str">
        <x:v>FAIL</x:v>
      </x:c>
      <x:c r="E950" s="13" t="str">
        <x:v>Pending</x:v>
      </x:c>
      <x:c r="F950" s="13" t="str"/>
      <x:c r="G950" s="13" t="str"/>
      <x:c r="H950" s="13" t="str"/>
      <x:c r="I950" s="7" t="str">
        <x:v>Was this person reviewed? If rejected, give the actual rule and evidence. If acceptable, correct the omission. Confirm the Life-qualification gate and any record change since selection.</x:v>
      </x:c>
      <x:c r="J950" s="7" t="str">
        <x:v>L1</x:v>
      </x:c>
      <x:c r="K950" s="7" t="str">
        <x:v>Verified qualifications do not include active general Life. Current target-pool mismatch; actual historical omission reason unknown.</x:v>
      </x:c>
      <x:c r="L950" s="7" t="str">
        <x:v>Not supplied; membership is known, motive is not</x:v>
      </x:c>
      <x:c r="M950" s="7" t="n">
        <x:v>7</x:v>
      </x:c>
      <x:c r="N950" s="7" t="str">
        <x:v>Outside current general-Life recruiting pool</x:v>
      </x:c>
      <x:c r="O950" s="7" t="str">
        <x:v>Not displayed</x:v>
      </x:c>
      <x:c r="P950" s="7" t="str"/>
      <x:c r="Q950" s="7" t="str"/>
      <x:c r="R950" s="7" t="str"/>
      <x:c r="S950" s="15" t="str"/>
      <x:c r="T950" s="7" t="str">
        <x:v>No public business phone in collected record</x:v>
      </x:c>
      <x:c r="U950" s="7" t="str"/>
      <x:c r="V950" s="7" t="str">
        <x:v>Resident</x:v>
      </x:c>
      <x:c r="W950" s="7" t="str">
        <x:v>CA</x:v>
      </x:c>
      <x:c r="X950" s="7" t="str"/>
      <x:c r="Y950" s="7" t="str"/>
      <x:c r="Z950" s="7" t="str"/>
      <x:c r="AA950" s="7" t="str"/>
      <x:c r="AB950" s="7" t="str"/>
      <x:c r="AC950" s="7" t="str"/>
      <x:c r="AD950" s="7" t="str">
        <x:v>No agency or insurer displayed: onboarding opportunity possible; existing business unknown</x:v>
      </x:c>
      <x:c r="AE950" s="7" t="str">
        <x:v>No public business phone: contact enrichment needed, not proof of poor recruiting fit</x:v>
      </x:c>
      <x:c r="AF950" s="16" t="str"/>
      <x:c r="AG950" s="17" t="str"/>
      <x:c r="AH950" s="7" t="str"/>
      <x:c r="AI950" s="7" t="str"/>
      <x:c r="AJ950" s="7" t="str"/>
      <x:c r="AK950" s="15" t="str"/>
      <x:c r="AL950" s="7" t="str"/>
      <x:c r="AM950" s="7" t="str">
        <x:v>Aguilar A Nicholas | AGUILAR ARTURO NICHOLAS</x:v>
      </x:c>
      <x:c r="AN950" s="7" t="str">
        <x:v>https://cdicloud.insurance.ca.gov/cal/LicenseDetail?SearchType=IND&amp;SearchLicNbr=0I48591&amp;SearchIndvId=1602476</x:v>
      </x:c>
      <x:c r="AO950" s="7" t="str">
        <x:v>2026-10-08</x:v>
      </x:c>
      <x:c r="AP950" s="7" t="str">
        <x:v>e047b50e65ed9016596a9acbce223ff6bb8f1c1f5454e912a4a3ffdb03c91178</x:v>
      </x:c>
      <x:c r="AQ950" s="7" t="str">
        <x:v>Life-Only / Inactive / 08/20/2013 / 08/31/2015 / 08/31/2015</x:v>
      </x:c>
      <x:c r="AR950" s="7" t="str">
        <x:v>Inactive</x:v>
      </x:c>
      <x:c r="AS950" s="7" t="str">
        <x:v>Current detail page</x:v>
      </x:c>
    </x:row>
    <x:row r="951" ht="52" customHeight="1">
      <x:c r="A951" s="7" t="str">
        <x:v>AGUILAR NICHOLAS DREW</x:v>
      </x:c>
      <x:c r="B951" s="14" t="str">
        <x:f>"4376547"</x:f>
        <x:v>4376547</x:v>
      </x:c>
      <x:c r="C951" s="7" t="str">
        <x:v>Omitted</x:v>
      </x:c>
      <x:c r="D951" s="7" t="str">
        <x:v>FAIL</x:v>
      </x:c>
      <x:c r="E951" s="13" t="str">
        <x:v>Pending</x:v>
      </x:c>
      <x:c r="F951" s="13" t="str"/>
      <x:c r="G951" s="13" t="str"/>
      <x:c r="H951" s="13" t="str"/>
      <x:c r="I951" s="7" t="str">
        <x:v>Was this person reviewed? If rejected, give the actual rule and evidence. If acceptable, correct the omission. Confirm the Life-qualification gate and any record change since selection.</x:v>
      </x:c>
      <x:c r="J951" s="7" t="str">
        <x:v>L1</x:v>
      </x:c>
      <x:c r="K951" s="7" t="str">
        <x:v>Verified qualifications do not include active general Life. Current target-pool mismatch; actual historical omission reason unknown.</x:v>
      </x:c>
      <x:c r="L951" s="7" t="str">
        <x:v>Not supplied; membership is known, motive is not</x:v>
      </x:c>
      <x:c r="M951" s="7" t="n">
        <x:v>7</x:v>
      </x:c>
      <x:c r="N951" s="7" t="str">
        <x:v>Outside current general-Life recruiting pool</x:v>
      </x:c>
      <x:c r="O951" s="7" t="str">
        <x:v>Not displayed</x:v>
      </x:c>
      <x:c r="P951" s="7" t="str"/>
      <x:c r="Q951" s="7" t="str"/>
      <x:c r="R951" s="7" t="str"/>
      <x:c r="S951" s="15" t="str">
        <x:v>949-342-7083</x:v>
      </x:c>
      <x:c r="T951" s="7" t="str">
        <x:v>Current CDI</x:v>
      </x:c>
      <x:c r="U951" s="7" t="str">
        <x:v>4 PARK PLAZA SUITE 500 IRVINE CA, 92614</x:v>
      </x:c>
      <x:c r="V951" s="7" t="str">
        <x:v>Resident</x:v>
      </x:c>
      <x:c r="W951" s="7" t="str">
        <x:v>CA</x:v>
      </x:c>
      <x:c r="X951" s="7" t="str"/>
      <x:c r="Y951" s="7" t="str"/>
      <x:c r="Z951" s="7" t="str"/>
      <x:c r="AA951" s="7" t="str"/>
      <x:c r="AB951" s="7" t="str"/>
      <x:c r="AC951" s="7" t="str"/>
      <x:c r="AD951" s="7" t="str">
        <x:v>No agency or insurer displayed: onboarding opportunity possible; existing business unknown</x:v>
      </x:c>
      <x:c r="AE951" s="7" t="str"/>
      <x:c r="AF951" s="16" t="str"/>
      <x:c r="AG951" s="17" t="str"/>
      <x:c r="AH951" s="7" t="str"/>
      <x:c r="AI951" s="7" t="str">
        <x:v>English</x:v>
      </x:c>
      <x:c r="AJ951" s="7" t="str"/>
      <x:c r="AK951" s="15" t="str"/>
      <x:c r="AL951" s="7" t="str"/>
      <x:c r="AM951" s="7" t="str">
        <x:v>AGUILAR DREW NICHOLAS</x:v>
      </x:c>
      <x:c r="AN951" s="7" t="str">
        <x:v>https://cdicloud.insurance.ca.gov/cal/LicenseDetail?SearchType=IND&amp;SearchLicNbr=4376547&amp;SearchIndvId=4376547</x:v>
      </x:c>
      <x:c r="AO951" s="7" t="str">
        <x:v>2026-10-08</x:v>
      </x:c>
      <x:c r="AP951" s="7" t="str">
        <x:v>05782ac37da944275f6aa80414c4262380e270227041358c49ee4940849e0b56</x:v>
      </x:c>
      <x:c r="AQ951" s="7" t="str">
        <x:v>Motor Club Agent / Inactive / 05/01/2024 / 05/31/2026 / 05/31/2026</x:v>
      </x:c>
      <x:c r="AR951" s="7" t="str">
        <x:v>Inactive</x:v>
      </x:c>
      <x:c r="AS951" s="7" t="str">
        <x:v>Current detail page</x:v>
      </x:c>
    </x:row>
    <x:row r="952" ht="52" customHeight="1">
      <x:c r="A952" s="7" t="str">
        <x:v>AGUILAR NICHOLAS ELIJAH</x:v>
      </x:c>
      <x:c r="B952" s="14" t="str">
        <x:f>"0L45536"</x:f>
        <x:v>0L45536</x:v>
      </x:c>
      <x:c r="C952" s="7" t="str">
        <x:v>Omitted</x:v>
      </x:c>
      <x:c r="D952" s="7" t="str">
        <x:v>FAIL</x:v>
      </x:c>
      <x:c r="E952" s="13" t="str">
        <x:v>Pending</x:v>
      </x:c>
      <x:c r="F952" s="13" t="str"/>
      <x:c r="G952" s="13" t="str"/>
      <x:c r="H952" s="13" t="str"/>
      <x:c r="I952" s="7" t="str">
        <x:v>Was this person reviewed? If rejected, give the actual rule and evidence. If acceptable, correct the omission. Confirm the Life-qualification gate and any record change since selection.</x:v>
      </x:c>
      <x:c r="J952" s="7" t="str">
        <x:v>L1</x:v>
      </x:c>
      <x:c r="K952" s="7" t="str">
        <x:v>Verified qualifications do not include active general Life. Current target-pool mismatch; actual historical omission reason unknown.</x:v>
      </x:c>
      <x:c r="L952" s="7" t="str">
        <x:v>Not supplied; membership is known, motive is not</x:v>
      </x:c>
      <x:c r="M952" s="7" t="n">
        <x:v>7</x:v>
      </x:c>
      <x:c r="N952" s="7" t="str">
        <x:v>Outside current general-Life recruiting pool</x:v>
      </x:c>
      <x:c r="O952" s="7" t="str">
        <x:v>Inactive</x:v>
      </x:c>
      <x:c r="P952" s="7" t="str">
        <x:v>12/19/2016</x:v>
      </x:c>
      <x:c r="Q952" s="7" t="str">
        <x:v>12/31/2024</x:v>
      </x:c>
      <x:c r="R952" s="7" t="str"/>
      <x:c r="S952" s="15" t="str">
        <x:v>818-238-0086</x:v>
      </x:c>
      <x:c r="T952" s="7" t="str">
        <x:v>Current CDI</x:v>
      </x:c>
      <x:c r="U952" s="7" t="str">
        <x:v>3655 ALAMO ST SUITE 301 SIMI VALLEY CA, 93063</x:v>
      </x:c>
      <x:c r="V952" s="7" t="str">
        <x:v>Resident</x:v>
      </x:c>
      <x:c r="W952" s="7" t="str">
        <x:v>CA</x:v>
      </x:c>
      <x:c r="X952" s="7" t="str"/>
      <x:c r="Y952" s="7" t="str"/>
      <x:c r="Z952" s="7" t="str"/>
      <x:c r="AA952" s="7" t="str"/>
      <x:c r="AB952" s="7" t="str"/>
      <x:c r="AC952" s="7" t="str"/>
      <x:c r="AD952" s="7" t="str">
        <x:v>No agency or insurer displayed: onboarding opportunity possible; existing business unknown</x:v>
      </x:c>
      <x:c r="AE952" s="7" t="str"/>
      <x:c r="AF952" s="16" t="str"/>
      <x:c r="AG952" s="17" t="str"/>
      <x:c r="AH952" s="7" t="str"/>
      <x:c r="AI952" s="7" t="str">
        <x:v>English</x:v>
      </x:c>
      <x:c r="AJ952" s="7" t="str"/>
      <x:c r="AK952" s="15" t="str"/>
      <x:c r="AL952" s="7" t="str"/>
      <x:c r="AM952" s="7" t="str">
        <x:v>Aguilar E Nicholas | AGUILAR ELIJAH NICHOLAS</x:v>
      </x:c>
      <x:c r="AN952" s="7" t="str">
        <x:v>https://cdicloud.insurance.ca.gov/cal/LicenseDetail?SearchType=IND&amp;SearchLicNbr=0L45536&amp;SearchIndvId=1895781</x:v>
      </x:c>
      <x:c r="AO952" s="7" t="str">
        <x:v>2026-10-08</x:v>
      </x:c>
      <x:c r="AP952" s="7" t="str">
        <x:v>0b1edcba93c14a41460138bbed9fc5ad09b3652da8162c7584b0fc4c22daa840</x:v>
      </x:c>
      <x:c r="AQ952" s="7" t="str">
        <x:v>Life / Inactive / 12/19/2016 / 12/31/2024 / 12/31/2024</x:v>
      </x:c>
      <x:c r="AR952" s="7" t="str">
        <x:v>Inactive</x:v>
      </x:c>
      <x:c r="AS952" s="7" t="str">
        <x:v>Current detail page</x:v>
      </x:c>
    </x:row>
    <x:row r="953" ht="52" customHeight="1">
      <x:c r="A953" s="7" t="str">
        <x:v>AGUILAR NICOLAS BERNABE</x:v>
      </x:c>
      <x:c r="B953" s="14" t="str">
        <x:f>"0F94557"</x:f>
        <x:v>0F94557</x:v>
      </x:c>
      <x:c r="C953" s="7" t="str">
        <x:v>Omitted</x:v>
      </x:c>
      <x:c r="D953" s="7" t="str">
        <x:v>FAIL</x:v>
      </x:c>
      <x:c r="E953" s="13" t="str">
        <x:v>Pending</x:v>
      </x:c>
      <x:c r="F953" s="13" t="str"/>
      <x:c r="G953" s="13" t="str"/>
      <x:c r="H953" s="13" t="str"/>
      <x:c r="I953" s="7" t="str">
        <x:v>Was this person reviewed? If rejected, give the actual rule and evidence. If acceptable, correct the omission. Confirm the Life-qualification gate and any record change since selection.</x:v>
      </x:c>
      <x:c r="J953" s="7" t="str">
        <x:v>L1</x:v>
      </x:c>
      <x:c r="K953" s="7" t="str">
        <x:v>Verified qualifications do not include active general Life. Current target-pool mismatch; actual historical omission reason unknown.</x:v>
      </x:c>
      <x:c r="L953" s="7" t="str">
        <x:v>Not supplied; membership is known, motive is not</x:v>
      </x:c>
      <x:c r="M953" s="7" t="n">
        <x:v>7</x:v>
      </x:c>
      <x:c r="N953" s="7" t="str">
        <x:v>Outside current general-Life recruiting pool</x:v>
      </x:c>
      <x:c r="O953" s="7" t="str">
        <x:v>Not displayed</x:v>
      </x:c>
      <x:c r="P953" s="7" t="str"/>
      <x:c r="Q953" s="7" t="str"/>
      <x:c r="R953" s="7" t="str"/>
      <x:c r="S953" s="15" t="str"/>
      <x:c r="T953" s="7" t="str">
        <x:v>No public business phone in collected record</x:v>
      </x:c>
      <x:c r="U953" s="7" t="str"/>
      <x:c r="V953" s="7" t="str">
        <x:v>Resident</x:v>
      </x:c>
      <x:c r="W953" s="7" t="str">
        <x:v>CA</x:v>
      </x:c>
      <x:c r="X953" s="7" t="str"/>
      <x:c r="Y953" s="7" t="str"/>
      <x:c r="Z953" s="7" t="str"/>
      <x:c r="AA953" s="7" t="str"/>
      <x:c r="AB953" s="7" t="str"/>
      <x:c r="AC953" s="7" t="str"/>
      <x:c r="AD953" s="7" t="str">
        <x:v>No agency or insurer displayed: onboarding opportunity possible; existing business unknown</x:v>
      </x:c>
      <x:c r="AE953" s="7" t="str">
        <x:v>No public business phone: contact enrichment needed, not proof of poor recruiting fit</x:v>
      </x:c>
      <x:c r="AF953" s="16" t="str"/>
      <x:c r="AG953" s="17" t="str"/>
      <x:c r="AH953" s="7" t="str"/>
      <x:c r="AI953" s="7" t="str"/>
      <x:c r="AJ953" s="7" t="str"/>
      <x:c r="AK953" s="15" t="str"/>
      <x:c r="AL953" s="7" t="str"/>
      <x:c r="AM953" s="7" t="str">
        <x:v>AGUILAR BERNABE NICOLAS</x:v>
      </x:c>
      <x:c r="AN953" s="7" t="str">
        <x:v>https://cdicloud.insurance.ca.gov/cal/LicenseDetail?SearchType=IND&amp;SearchLicNbr=0F94557&amp;SearchIndvId=1119432</x:v>
      </x:c>
      <x:c r="AO953" s="7" t="str">
        <x:v>2026-10-08</x:v>
      </x:c>
      <x:c r="AP953" s="7" t="str">
        <x:v>6fb904e609d96f1d707e71f2a56021bbd377cfd1c09ca62d4b0d74ccbcc37eb9</x:v>
      </x:c>
      <x:c r="AQ953" s="7" t="str">
        <x:v>Accident and Health / Inactive / 01/15/2008 / 01/31/2010 / 01/31/2010
Life-Only / Inactive / 01/15/2008 / 01/31/2010 / 01/31/2010</x:v>
      </x:c>
      <x:c r="AR953" s="7" t="str">
        <x:v>Inactive</x:v>
      </x:c>
      <x:c r="AS953" s="7" t="str">
        <x:v>Current detail page</x:v>
      </x:c>
    </x:row>
    <x:row r="954" ht="52" customHeight="1">
      <x:c r="A954" s="7" t="str">
        <x:v>AGUILAR NICOLE</x:v>
      </x:c>
      <x:c r="B954" s="14" t="str">
        <x:f>"1971338"</x:f>
        <x:v>1971338</x:v>
      </x:c>
      <x:c r="C954" s="7" t="str">
        <x:v>Omitted</x:v>
      </x:c>
      <x:c r="D954" s="7" t="str">
        <x:v>FAIL</x:v>
      </x:c>
      <x:c r="E954" s="13" t="str">
        <x:v>Pending</x:v>
      </x:c>
      <x:c r="F954" s="13" t="str"/>
      <x:c r="G954" s="13" t="str"/>
      <x:c r="H954" s="13" t="str"/>
      <x:c r="I954" s="7" t="str">
        <x:v>Was this person reviewed? If rejected, give the actual rule and evidence. If acceptable, correct the omission. Confirm the Life-qualification gate and any record change since selection.</x:v>
      </x:c>
      <x:c r="J954" s="7" t="str">
        <x:v>L1</x:v>
      </x:c>
      <x:c r="K954" s="7" t="str">
        <x:v>Verified qualifications do not include active general Life. Current target-pool mismatch; actual historical omission reason unknown.</x:v>
      </x:c>
      <x:c r="L954" s="7" t="str">
        <x:v>Not supplied; membership is known, motive is not</x:v>
      </x:c>
      <x:c r="M954" s="7" t="n">
        <x:v>7</x:v>
      </x:c>
      <x:c r="N954" s="7" t="str">
        <x:v>Outside current general-Life recruiting pool</x:v>
      </x:c>
      <x:c r="O954" s="7" t="str">
        <x:v>Inactive</x:v>
      </x:c>
      <x:c r="P954" s="7" t="str">
        <x:v>10/25/2019</x:v>
      </x:c>
      <x:c r="Q954" s="7" t="str">
        <x:v>10/31/2023</x:v>
      </x:c>
      <x:c r="R954" s="7" t="str"/>
      <x:c r="S954" s="15" t="str">
        <x:v>626-698-2694</x:v>
      </x:c>
      <x:c r="T954" s="7" t="str">
        <x:v>Current CDI</x:v>
      </x:c>
      <x:c r="U954" s="7" t="str">
        <x:v>2851 BEDFORD LANE , UNIT 160 UNIT 160 CHINO HILLS CA, 91709</x:v>
      </x:c>
      <x:c r="V954" s="7" t="str">
        <x:v>Resident</x:v>
      </x:c>
      <x:c r="W954" s="7" t="str">
        <x:v>CA</x:v>
      </x:c>
      <x:c r="X954" s="7" t="str"/>
      <x:c r="Y954" s="7" t="str"/>
      <x:c r="Z954" s="7" t="str"/>
      <x:c r="AA954" s="7" t="str"/>
      <x:c r="AB954" s="7" t="str"/>
      <x:c r="AC954" s="7" t="str"/>
      <x:c r="AD954" s="7" t="str">
        <x:v>No agency or insurer displayed: onboarding opportunity possible; existing business unknown</x:v>
      </x:c>
      <x:c r="AE954" s="7" t="str"/>
      <x:c r="AF954" s="16" t="str"/>
      <x:c r="AG954" s="17" t="str"/>
      <x:c r="AH954" s="7" t="str"/>
      <x:c r="AI954" s="7" t="str">
        <x:v>English</x:v>
      </x:c>
      <x:c r="AJ954" s="7" t="str"/>
      <x:c r="AK954" s="15" t="str"/>
      <x:c r="AL954" s="7" t="str"/>
      <x:c r="AM954" s="7" t="str">
        <x:v>AGUILAR  NICOLE</x:v>
      </x:c>
      <x:c r="AN954" s="7" t="str">
        <x:v>https://cdicloud.insurance.ca.gov/cal/LicenseDetail?SearchType=IND&amp;SearchLicNbr=1971338&amp;SearchIndvId=1971338</x:v>
      </x:c>
      <x:c r="AO954" s="7" t="str">
        <x:v>2026-10-08</x:v>
      </x:c>
      <x:c r="AP954" s="7" t="str">
        <x:v>67385bd5e819b7a9481aaf5ba7b82dad44f2eb5e83fdf5acb8ab9196f9be0668</x:v>
      </x:c>
      <x:c r="AQ954" s="7" t="str">
        <x:v>Life / Inactive / 10/25/2019 / 10/31/2023 / 10/31/2023</x:v>
      </x:c>
      <x:c r="AR954" s="7" t="str">
        <x:v>Inactive</x:v>
      </x:c>
      <x:c r="AS954" s="7" t="str">
        <x:v>Current detail page</x:v>
      </x:c>
    </x:row>
    <x:row r="955" ht="52" customHeight="1">
      <x:c r="A955" s="7" t="str">
        <x:v>AGUILAR NICOLE</x:v>
      </x:c>
      <x:c r="B955" s="14" t="str">
        <x:f>"1981270"</x:f>
        <x:v>1981270</x:v>
      </x:c>
      <x:c r="C955" s="7" t="str">
        <x:v>Omitted</x:v>
      </x:c>
      <x:c r="D955" s="7" t="str">
        <x:v>FAIL</x:v>
      </x:c>
      <x:c r="E955" s="13" t="str">
        <x:v>Pending</x:v>
      </x:c>
      <x:c r="F955" s="13" t="str"/>
      <x:c r="G955" s="13" t="str"/>
      <x:c r="H955" s="13" t="str"/>
      <x:c r="I955" s="7" t="str">
        <x:v>Was this person reviewed? If rejected, give the actual rule and evidence. If acceptable, correct the omission. Confirm the Life-qualification gate and any record change since selection.</x:v>
      </x:c>
      <x:c r="J955" s="7" t="str">
        <x:v>L1</x:v>
      </x:c>
      <x:c r="K955" s="7" t="str">
        <x:v>Verified qualifications do not include active general Life. Current target-pool mismatch; actual historical omission reason unknown.</x:v>
      </x:c>
      <x:c r="L955" s="7" t="str">
        <x:v>Not supplied; membership is known, motive is not</x:v>
      </x:c>
      <x:c r="M955" s="7" t="n">
        <x:v>7</x:v>
      </x:c>
      <x:c r="N955" s="7" t="str">
        <x:v>Outside current general-Life recruiting pool</x:v>
      </x:c>
      <x:c r="O955" s="7" t="str">
        <x:v>Inactive</x:v>
      </x:c>
      <x:c r="P955" s="7" t="str">
        <x:v>02/14/2024</x:v>
      </x:c>
      <x:c r="Q955" s="7" t="str">
        <x:v>02/28/2026</x:v>
      </x:c>
      <x:c r="R955" s="7" t="str"/>
      <x:c r="S955" s="15" t="str"/>
      <x:c r="T955" s="7" t="str">
        <x:v>No public business phone in collected record</x:v>
      </x:c>
      <x:c r="U955" s="7" t="str">
        <x:v>505 TEAL LN MELISSA TX, 75454</x:v>
      </x:c>
      <x:c r="V955" s="7" t="str">
        <x:v>Non-resident</x:v>
      </x:c>
      <x:c r="W955" s="7" t="str">
        <x:v>TX</x:v>
      </x:c>
      <x:c r="X955" s="7" t="str"/>
      <x:c r="Y955" s="7" t="str"/>
      <x:c r="Z955" s="7" t="str"/>
      <x:c r="AA955" s="7" t="str"/>
      <x:c r="AB955" s="7" t="str"/>
      <x:c r="AC955" s="7" t="str"/>
      <x:c r="AD955" s="7" t="str">
        <x:v>No agency or insurer displayed: onboarding opportunity possible; existing business unknown</x:v>
      </x:c>
      <x:c r="AE955" s="7" t="str">
        <x:v>Nonresident or address state outside CA; confirm geographic recruiting scope | No public business phone: contact enrichment needed, not proof of poor recruiting fit</x:v>
      </x:c>
      <x:c r="AF955" s="16" t="str"/>
      <x:c r="AG955" s="17" t="str"/>
      <x:c r="AH955" s="7" t="str"/>
      <x:c r="AI955" s="7" t="str"/>
      <x:c r="AJ955" s="7" t="str"/>
      <x:c r="AK955" s="15" t="str"/>
      <x:c r="AL955" s="7" t="str"/>
      <x:c r="AM955" s="7" t="str">
        <x:v>AGUILAR  NICOLE</x:v>
      </x:c>
      <x:c r="AN955" s="7" t="str">
        <x:v>https://cdicloud.insurance.ca.gov/cal/LicenseDetail?SearchType=IND&amp;SearchLicNbr=1981270&amp;SearchIndvId=1981270</x:v>
      </x:c>
      <x:c r="AO955" s="7" t="str">
        <x:v>2026-10-08</x:v>
      </x:c>
      <x:c r="AP955" s="7" t="str">
        <x:v>2e4307939b02c51a4717e83c7cb3dddd1620049e081c8b7961b8d9397481c5b3</x:v>
      </x:c>
      <x:c r="AQ955" s="7" t="str">
        <x:v>Accident &amp; Health or Sickness / Inactive / 02/14/2024 / 02/28/2026 / 02/28/2026
Life / Inactive / 02/14/2024 / 02/28/2026 / 02/28/2026</x:v>
      </x:c>
      <x:c r="AR955" s="7" t="str">
        <x:v>Inactive</x:v>
      </x:c>
      <x:c r="AS955" s="7" t="str">
        <x:v>Current detail page</x:v>
      </x:c>
    </x:row>
    <x:row r="956" ht="52" customHeight="1">
      <x:c r="A956" s="7" t="str">
        <x:v>AGUILAR NICOLE LUCAS</x:v>
      </x:c>
      <x:c r="B956" s="14" t="str">
        <x:f>"4205414"</x:f>
        <x:v>4205414</x:v>
      </x:c>
      <x:c r="C956" s="7" t="str">
        <x:v>Omitted</x:v>
      </x:c>
      <x:c r="D956" s="7" t="str">
        <x:v>FAIL</x:v>
      </x:c>
      <x:c r="E956" s="13" t="str">
        <x:v>Pending</x:v>
      </x:c>
      <x:c r="F956" s="13" t="str"/>
      <x:c r="G956" s="13" t="str"/>
      <x:c r="H956" s="13" t="str"/>
      <x:c r="I956" s="7" t="str">
        <x:v>Was this person reviewed? If rejected, give the actual rule and evidence. If acceptable, correct the omission. Confirm the Life-qualification gate and any record change since selection.</x:v>
      </x:c>
      <x:c r="J956" s="7" t="str">
        <x:v>L1</x:v>
      </x:c>
      <x:c r="K956" s="7" t="str">
        <x:v>Verified qualifications do not include active general Life. Current target-pool mismatch; actual historical omission reason unknown.</x:v>
      </x:c>
      <x:c r="L956" s="7" t="str">
        <x:v>Not supplied; membership is known, motive is not</x:v>
      </x:c>
      <x:c r="M956" s="7" t="n">
        <x:v>7</x:v>
      </x:c>
      <x:c r="N956" s="7" t="str">
        <x:v>Outside current general-Life recruiting pool</x:v>
      </x:c>
      <x:c r="O956" s="7" t="str">
        <x:v>Not displayed</x:v>
      </x:c>
      <x:c r="P956" s="7" t="str"/>
      <x:c r="Q956" s="7" t="str"/>
      <x:c r="R956" s="7" t="str">
        <x:v>Accident &amp; Health or Sickness</x:v>
      </x:c>
      <x:c r="S956" s="15" t="str"/>
      <x:c r="T956" s="7" t="str">
        <x:v>No public business phone in collected record</x:v>
      </x:c>
      <x:c r="U956" s="7" t="str">
        <x:v>12277 LIGHTHOUSE LN SEAL BEACH CA, 90740</x:v>
      </x:c>
      <x:c r="V956" s="7" t="str">
        <x:v>Resident</x:v>
      </x:c>
      <x:c r="W956" s="7" t="str">
        <x:v>CA</x:v>
      </x:c>
      <x:c r="X956" s="7" t="str"/>
      <x:c r="Y956" s="7" t="str">
        <x:v>ANTHEM BLUE CROSS LIFE AND HEALTH INSURANCE COMPANY / Accident &amp; Health or Sickness / 05/21/2026</x:v>
      </x:c>
      <x:c r="Z956" s="7" t="str"/>
      <x:c r="AA956" s="7" t="str"/>
      <x:c r="AB956" s="7" t="str"/>
      <x:c r="AC956" s="7" t="str"/>
      <x:c r="AD956" s="7" t="str">
        <x:v>Active A&amp;H supports optional cross-selling; not necessary for target products</x:v>
      </x:c>
      <x:c r="AE956" s="7" t="str">
        <x:v>Displayed insurer appointments are A&amp;H/disability only despite active Life authority | No public business phone: contact enrichment needed, not proof of poor recruiting fit</x:v>
      </x:c>
      <x:c r="AF956" s="16" t="str"/>
      <x:c r="AG956" s="17" t="str"/>
      <x:c r="AH956" s="7" t="str"/>
      <x:c r="AI956" s="7" t="str">
        <x:v>English</x:v>
      </x:c>
      <x:c r="AJ956" s="7" t="str"/>
      <x:c r="AK956" s="15" t="str"/>
      <x:c r="AL956" s="7" t="str"/>
      <x:c r="AM956" s="7" t="str">
        <x:v>AGUILAR CAROL NICOLE | AGUILAR LUCAS NICOLE</x:v>
      </x:c>
      <x:c r="AN956" s="7" t="str">
        <x:v>https://cdicloud.insurance.ca.gov/cal/LicenseDetail?SearchType=IND&amp;SearchLicNbr=4205414&amp;SearchIndvId=4205414</x:v>
      </x:c>
      <x:c r="AO956" s="7" t="str">
        <x:v>2026-10-08</x:v>
      </x:c>
      <x:c r="AP956" s="7" t="str">
        <x:v>d6fc39f7dc2d7ab999f725c439d262e50e408fabd09ae1462864b17c9231c0aa</x:v>
      </x:c>
      <x:c r="AQ956" s="7" t="str">
        <x:v>Accident &amp; Health or Sickness / Active / 07/05/2022 / 07/05/2022 / 07/31/2028</x:v>
      </x:c>
      <x:c r="AR956" s="7" t="str">
        <x:v>Active</x:v>
      </x:c>
      <x:c r="AS956" s="7" t="str">
        <x:v>Current detail page</x:v>
      </x:c>
    </x:row>
    <x:row r="957" ht="52" customHeight="1">
      <x:c r="A957" s="7" t="str">
        <x:v>AGUILAR NILA V</x:v>
      </x:c>
      <x:c r="B957" s="14" t="str">
        <x:f>"0F93322"</x:f>
        <x:v>0F93322</x:v>
      </x:c>
      <x:c r="C957" s="7" t="str">
        <x:v>Omitted</x:v>
      </x:c>
      <x:c r="D957" s="7" t="str">
        <x:v>FAIL</x:v>
      </x:c>
      <x:c r="E957" s="13" t="str">
        <x:v>Pending</x:v>
      </x:c>
      <x:c r="F957" s="13" t="str"/>
      <x:c r="G957" s="13" t="str"/>
      <x:c r="H957" s="13" t="str"/>
      <x:c r="I957" s="7" t="str">
        <x:v>Was this person reviewed? If rejected, give the actual rule and evidence. If acceptable, correct the omission. Confirm the Life-qualification gate and any record change since selection.</x:v>
      </x:c>
      <x:c r="J957" s="7" t="str">
        <x:v>L1</x:v>
      </x:c>
      <x:c r="K957" s="7" t="str">
        <x:v>Verified qualifications do not include active general Life. Current target-pool mismatch; actual historical omission reason unknown.</x:v>
      </x:c>
      <x:c r="L957" s="7" t="str">
        <x:v>Not supplied; membership is known, motive is not</x:v>
      </x:c>
      <x:c r="M957" s="7" t="n">
        <x:v>7</x:v>
      </x:c>
      <x:c r="N957" s="7" t="str">
        <x:v>Outside current general-Life recruiting pool</x:v>
      </x:c>
      <x:c r="O957" s="7" t="str">
        <x:v>Not displayed</x:v>
      </x:c>
      <x:c r="P957" s="7" t="str"/>
      <x:c r="Q957" s="7" t="str"/>
      <x:c r="R957" s="7" t="str"/>
      <x:c r="S957" s="15" t="str"/>
      <x:c r="T957" s="7" t="str">
        <x:v>No public business phone in collected record</x:v>
      </x:c>
      <x:c r="U957" s="7" t="str"/>
      <x:c r="V957" s="7" t="str">
        <x:v>Resident</x:v>
      </x:c>
      <x:c r="W957" s="7" t="str">
        <x:v>CA</x:v>
      </x:c>
      <x:c r="X957" s="7" t="str"/>
      <x:c r="Y957" s="7" t="str"/>
      <x:c r="Z957" s="7" t="str"/>
      <x:c r="AA957" s="7" t="str"/>
      <x:c r="AB957" s="7" t="str"/>
      <x:c r="AC957" s="7" t="str"/>
      <x:c r="AD957" s="7" t="str">
        <x:v>No agency or insurer displayed: onboarding opportunity possible; existing business unknown</x:v>
      </x:c>
      <x:c r="AE957" s="7" t="str">
        <x:v>No public business phone: contact enrichment needed, not proof of poor recruiting fit</x:v>
      </x:c>
      <x:c r="AF957" s="16" t="str"/>
      <x:c r="AG957" s="17" t="str"/>
      <x:c r="AH957" s="7" t="str"/>
      <x:c r="AI957" s="7" t="str"/>
      <x:c r="AJ957" s="7" t="str"/>
      <x:c r="AK957" s="15" t="str"/>
      <x:c r="AL957" s="7" t="str"/>
      <x:c r="AM957" s="7" t="str">
        <x:v>AGUILAR V NILA</x:v>
      </x:c>
      <x:c r="AN957" s="7" t="str">
        <x:v>https://cdicloud.insurance.ca.gov/cal/LicenseDetail?SearchType=IND&amp;SearchLicNbr=0F93322&amp;SearchIndvId=1115462</x:v>
      </x:c>
      <x:c r="AO957" s="7" t="str">
        <x:v>2026-10-08</x:v>
      </x:c>
      <x:c r="AP957" s="7" t="str">
        <x:v>59c26144ec7e6e37bf3e2199a80666041543e38ac66a4065a2fc14f52208028a</x:v>
      </x:c>
      <x:c r="AQ957" s="7" t="str">
        <x:v>Accident and Health / Inactive / 12/13/2007 / 12/31/2017 / 12/31/2017
Life-Only / Inactive / 12/13/2007 / 12/31/2017 / 12/31/2017</x:v>
      </x:c>
      <x:c r="AR957" s="7" t="str">
        <x:v>Inactive</x:v>
      </x:c>
      <x:c r="AS957" s="7" t="str">
        <x:v>Current detail page</x:v>
      </x:c>
    </x:row>
    <x:row r="958" ht="52" customHeight="1">
      <x:c r="A958" s="7" t="str">
        <x:v>AGUILAR NOELE RIKE</x:v>
      </x:c>
      <x:c r="B958" s="14" t="str">
        <x:f>"0G14845"</x:f>
        <x:v>0G14845</x:v>
      </x:c>
      <x:c r="C958" s="7" t="str">
        <x:v>Omitted</x:v>
      </x:c>
      <x:c r="D958" s="7" t="str">
        <x:v>FAIL</x:v>
      </x:c>
      <x:c r="E958" s="13" t="str">
        <x:v>Pending</x:v>
      </x:c>
      <x:c r="F958" s="13" t="str"/>
      <x:c r="G958" s="13" t="str"/>
      <x:c r="H958" s="13" t="str"/>
      <x:c r="I958" s="7" t="str">
        <x:v>Was this person reviewed? If rejected, give the actual rule and evidence. If acceptable, correct the omission. Confirm the Life-qualification gate and any record change since selection.</x:v>
      </x:c>
      <x:c r="J958" s="7" t="str">
        <x:v>L1</x:v>
      </x:c>
      <x:c r="K958" s="7" t="str">
        <x:v>Verified qualifications do not include active general Life. Current target-pool mismatch; actual historical omission reason unknown.</x:v>
      </x:c>
      <x:c r="L958" s="7" t="str">
        <x:v>Not supplied; membership is known, motive is not</x:v>
      </x:c>
      <x:c r="M958" s="7" t="n">
        <x:v>7</x:v>
      </x:c>
      <x:c r="N958" s="7" t="str">
        <x:v>Outside current general-Life recruiting pool</x:v>
      </x:c>
      <x:c r="O958" s="7" t="str">
        <x:v>Not displayed</x:v>
      </x:c>
      <x:c r="P958" s="7" t="str"/>
      <x:c r="Q958" s="7" t="str"/>
      <x:c r="R958" s="7" t="str"/>
      <x:c r="S958" s="15" t="str"/>
      <x:c r="T958" s="7" t="str">
        <x:v>No public business phone in collected record</x:v>
      </x:c>
      <x:c r="U958" s="7" t="str"/>
      <x:c r="V958" s="7" t="str">
        <x:v>Resident</x:v>
      </x:c>
      <x:c r="W958" s="7" t="str">
        <x:v>CA</x:v>
      </x:c>
      <x:c r="X958" s="7" t="str"/>
      <x:c r="Y958" s="7" t="str"/>
      <x:c r="Z958" s="7" t="str"/>
      <x:c r="AA958" s="7" t="str"/>
      <x:c r="AB958" s="7" t="str"/>
      <x:c r="AC958" s="7" t="str"/>
      <x:c r="AD958" s="7" t="str">
        <x:v>No agency or insurer displayed: onboarding opportunity possible; existing business unknown</x:v>
      </x:c>
      <x:c r="AE958" s="7" t="str">
        <x:v>No public business phone: contact enrichment needed, not proof of poor recruiting fit</x:v>
      </x:c>
      <x:c r="AF958" s="16" t="str"/>
      <x:c r="AG958" s="17" t="str"/>
      <x:c r="AH958" s="7" t="str"/>
      <x:c r="AI958" s="7" t="str"/>
      <x:c r="AJ958" s="7" t="str"/>
      <x:c r="AK958" s="15" t="str"/>
      <x:c r="AL958" s="7" t="str"/>
      <x:c r="AM958" s="7" t="str">
        <x:v>AGUILAR RIKE NOELE</x:v>
      </x:c>
      <x:c r="AN958" s="7" t="str">
        <x:v>https://cdicloud.insurance.ca.gov/cal/LicenseDetail?SearchType=IND&amp;SearchLicNbr=0G14845&amp;SearchIndvId=1152228</x:v>
      </x:c>
      <x:c r="AO958" s="7" t="str">
        <x:v>2026-10-08</x:v>
      </x:c>
      <x:c r="AP958" s="7" t="str">
        <x:v>e6b99034b0a4811b82662fe238c213309a19e8ca6272b5f1e01c3716030df894</x:v>
      </x:c>
      <x:c r="AQ958" s="7" t="str">
        <x:v>Life-Only / Inactive / 05/29/2008 / 05/31/2014 / 05/31/2014</x:v>
      </x:c>
      <x:c r="AR958" s="7" t="str">
        <x:v>Inactive</x:v>
      </x:c>
      <x:c r="AS958" s="7" t="str">
        <x:v>Current detail page</x:v>
      </x:c>
    </x:row>
    <x:row r="959" ht="52" customHeight="1">
      <x:c r="A959" s="7" t="str">
        <x:v>AGUILAR NOHELY</x:v>
      </x:c>
      <x:c r="B959" s="14" t="str">
        <x:f>"4136059"</x:f>
        <x:v>4136059</x:v>
      </x:c>
      <x:c r="C959" s="7" t="str">
        <x:v>Omitted</x:v>
      </x:c>
      <x:c r="D959" s="7" t="str">
        <x:v>FAIL</x:v>
      </x:c>
      <x:c r="E959" s="13" t="str">
        <x:v>Pending</x:v>
      </x:c>
      <x:c r="F959" s="13" t="str"/>
      <x:c r="G959" s="13" t="str"/>
      <x:c r="H959" s="13" t="str"/>
      <x:c r="I959" s="7" t="str">
        <x:v>Was this person reviewed? If rejected, give the actual rule and evidence. If acceptable, correct the omission. Confirm the Life-qualification gate and any record change since selection.</x:v>
      </x:c>
      <x:c r="J959" s="7" t="str">
        <x:v>L1</x:v>
      </x:c>
      <x:c r="K959" s="7" t="str">
        <x:v>Verified qualifications do not include active general Life. Current target-pool mismatch; actual historical omission reason unknown.</x:v>
      </x:c>
      <x:c r="L959" s="7" t="str">
        <x:v>Not supplied; membership is known, motive is not</x:v>
      </x:c>
      <x:c r="M959" s="7" t="n">
        <x:v>7</x:v>
      </x:c>
      <x:c r="N959" s="7" t="str">
        <x:v>Outside current general-Life recruiting pool</x:v>
      </x:c>
      <x:c r="O959" s="7" t="str">
        <x:v>Not displayed</x:v>
      </x:c>
      <x:c r="P959" s="7" t="str"/>
      <x:c r="Q959" s="7" t="str"/>
      <x:c r="R959" s="7" t="str"/>
      <x:c r="S959" s="15" t="str"/>
      <x:c r="T959" s="7" t="str">
        <x:v>No public business phone in collected record</x:v>
      </x:c>
      <x:c r="U959" s="7" t="str">
        <x:v>11214 RENNER BLVD LENEXA KS, 66219</x:v>
      </x:c>
      <x:c r="V959" s="7" t="str">
        <x:v>Non-resident</x:v>
      </x:c>
      <x:c r="W959" s="7" t="str">
        <x:v>KS</x:v>
      </x:c>
      <x:c r="X959" s="7" t="str"/>
      <x:c r="Y959" s="7" t="str"/>
      <x:c r="Z959" s="7" t="str"/>
      <x:c r="AA959" s="7" t="str"/>
      <x:c r="AB959" s="7" t="str"/>
      <x:c r="AC959" s="7" t="str"/>
      <x:c r="AD959" s="7" t="str">
        <x:v>No agency or insurer displayed: onboarding opportunity possible; existing business unknown</x:v>
      </x:c>
      <x:c r="AE959" s="7" t="str">
        <x:v>Nonresident or address state outside CA; confirm geographic recruiting scope | No public business phone: contact enrichment needed, not proof of poor recruiting fit</x:v>
      </x:c>
      <x:c r="AF959" s="16" t="str"/>
      <x:c r="AG959" s="17" t="str"/>
      <x:c r="AH959" s="7" t="str"/>
      <x:c r="AI959" s="7" t="str"/>
      <x:c r="AJ959" s="7" t="str"/>
      <x:c r="AK959" s="15" t="str"/>
      <x:c r="AL959" s="7" t="str"/>
      <x:c r="AM959" s="7" t="str">
        <x:v>AGUILAR  NOHELY</x:v>
      </x:c>
      <x:c r="AN959" s="7" t="str">
        <x:v>https://cdicloud.insurance.ca.gov/cal/LicenseDetail?SearchType=IND&amp;SearchLicNbr=4136059&amp;SearchIndvId=4136059</x:v>
      </x:c>
      <x:c r="AO959" s="7" t="str">
        <x:v>2026-10-08</x:v>
      </x:c>
      <x:c r="AP959" s="7" t="str">
        <x:v>f6684f6349bbf70f6914fadd9eb9969c118aa42220ed0b66ee1b3385e3411f06</x:v>
      </x:c>
      <x:c r="AQ959" s="7" t="str">
        <x:v>Personal Lines / Inactive / 07/07/2021 / 07/31/2025 / 07/31/2025</x:v>
      </x:c>
      <x:c r="AR959" s="7" t="str">
        <x:v>Inactive</x:v>
      </x:c>
      <x:c r="AS959" s="7" t="str">
        <x:v>Current detail page</x:v>
      </x:c>
    </x:row>
    <x:row r="960" ht="52" customHeight="1">
      <x:c r="A960" s="7" t="str">
        <x:v>AGUILAR NORA GABRIELA</x:v>
      </x:c>
      <x:c r="B960" s="14" t="str">
        <x:f>"0H80586"</x:f>
        <x:v>0H80586</x:v>
      </x:c>
      <x:c r="C960" s="7" t="str">
        <x:v>Omitted</x:v>
      </x:c>
      <x:c r="D960" s="7" t="str">
        <x:v>FAIL</x:v>
      </x:c>
      <x:c r="E960" s="13" t="str">
        <x:v>Pending</x:v>
      </x:c>
      <x:c r="F960" s="13" t="str"/>
      <x:c r="G960" s="13" t="str"/>
      <x:c r="H960" s="13" t="str"/>
      <x:c r="I960" s="7" t="str">
        <x:v>Was this person reviewed? If rejected, give the actual rule and evidence. If acceptable, correct the omission. Confirm the Life-qualification gate and any record change since selection.</x:v>
      </x:c>
      <x:c r="J960" s="7" t="str">
        <x:v>L1</x:v>
      </x:c>
      <x:c r="K960" s="7" t="str">
        <x:v>Verified qualifications do not include active general Life. Current target-pool mismatch; actual historical omission reason unknown.</x:v>
      </x:c>
      <x:c r="L960" s="7" t="str">
        <x:v>Not supplied; membership is known, motive is not</x:v>
      </x:c>
      <x:c r="M960" s="7" t="n">
        <x:v>7</x:v>
      </x:c>
      <x:c r="N960" s="7" t="str">
        <x:v>Outside current general-Life recruiting pool</x:v>
      </x:c>
      <x:c r="O960" s="7" t="str">
        <x:v>Not displayed</x:v>
      </x:c>
      <x:c r="P960" s="7" t="str"/>
      <x:c r="Q960" s="7" t="str"/>
      <x:c r="R960" s="7" t="str"/>
      <x:c r="S960" s="15" t="str"/>
      <x:c r="T960" s="7" t="str">
        <x:v>No public business phone in collected record</x:v>
      </x:c>
      <x:c r="U960" s="7" t="str"/>
      <x:c r="V960" s="7" t="str">
        <x:v>Resident</x:v>
      </x:c>
      <x:c r="W960" s="7" t="str">
        <x:v>CA</x:v>
      </x:c>
      <x:c r="X960" s="7" t="str"/>
      <x:c r="Y960" s="7" t="str"/>
      <x:c r="Z960" s="7" t="str"/>
      <x:c r="AA960" s="7" t="str"/>
      <x:c r="AB960" s="7" t="str"/>
      <x:c r="AC960" s="7" t="str"/>
      <x:c r="AD960" s="7" t="str">
        <x:v>No agency or insurer displayed: onboarding opportunity possible; existing business unknown</x:v>
      </x:c>
      <x:c r="AE960" s="7" t="str">
        <x:v>No public business phone: contact enrichment needed, not proof of poor recruiting fit</x:v>
      </x:c>
      <x:c r="AF960" s="16" t="str"/>
      <x:c r="AG960" s="17" t="str"/>
      <x:c r="AH960" s="7" t="str"/>
      <x:c r="AI960" s="7" t="str"/>
      <x:c r="AJ960" s="7" t="str"/>
      <x:c r="AK960" s="15" t="str"/>
      <x:c r="AL960" s="7" t="str"/>
      <x:c r="AM960" s="7" t="str">
        <x:v>AGUILAR GABRIELA NORA</x:v>
      </x:c>
      <x:c r="AN960" s="7" t="str">
        <x:v>https://cdicloud.insurance.ca.gov/cal/LicenseDetail?SearchType=IND&amp;SearchLicNbr=0H80586&amp;SearchIndvId=1507153</x:v>
      </x:c>
      <x:c r="AO960" s="7" t="str">
        <x:v>2026-10-08</x:v>
      </x:c>
      <x:c r="AP960" s="7" t="str">
        <x:v>4cadc421af2c1502d35d094757a558a989a7def6cf7ac08050dd9d1c61ca0c65</x:v>
      </x:c>
      <x:c r="AQ960" s="7" t="str">
        <x:v>Life-Only / Inactive / 04/11/2012 / 04/30/2014 / 04/30/2014</x:v>
      </x:c>
      <x:c r="AR960" s="7" t="str">
        <x:v>Inactive</x:v>
      </x:c>
      <x:c r="AS960" s="7" t="str">
        <x:v>Current detail page</x:v>
      </x:c>
    </x:row>
    <x:row r="961" ht="52" customHeight="1">
      <x:c r="A961" s="7" t="str">
        <x:v>AGUILAR NORMA</x:v>
      </x:c>
      <x:c r="B961" s="14" t="str">
        <x:f>"0G35067"</x:f>
        <x:v>0G35067</x:v>
      </x:c>
      <x:c r="C961" s="7" t="str">
        <x:v>Omitted</x:v>
      </x:c>
      <x:c r="D961" s="7" t="str">
        <x:v>FAIL</x:v>
      </x:c>
      <x:c r="E961" s="13" t="str">
        <x:v>Pending</x:v>
      </x:c>
      <x:c r="F961" s="13" t="str"/>
      <x:c r="G961" s="13" t="str"/>
      <x:c r="H961" s="13" t="str"/>
      <x:c r="I961" s="7" t="str">
        <x:v>Was this person reviewed? If rejected, give the actual rule and evidence. If acceptable, correct the omission. Confirm the Life-qualification gate and any record change since selection.</x:v>
      </x:c>
      <x:c r="J961" s="7" t="str">
        <x:v>L1</x:v>
      </x:c>
      <x:c r="K961" s="7" t="str">
        <x:v>Verified qualifications do not include active general Life. Current target-pool mismatch; actual historical omission reason unknown.</x:v>
      </x:c>
      <x:c r="L961" s="7" t="str">
        <x:v>Not supplied; membership is known, motive is not</x:v>
      </x:c>
      <x:c r="M961" s="7" t="n">
        <x:v>7</x:v>
      </x:c>
      <x:c r="N961" s="7" t="str">
        <x:v>Outside current general-Life recruiting pool</x:v>
      </x:c>
      <x:c r="O961" s="7" t="str">
        <x:v>Not displayed</x:v>
      </x:c>
      <x:c r="P961" s="7" t="str"/>
      <x:c r="Q961" s="7" t="str"/>
      <x:c r="R961" s="7" t="str"/>
      <x:c r="S961" s="15" t="str"/>
      <x:c r="T961" s="7" t="str">
        <x:v>No public business phone in collected record</x:v>
      </x:c>
      <x:c r="U961" s="7" t="str"/>
      <x:c r="V961" s="7" t="str">
        <x:v>Resident</x:v>
      </x:c>
      <x:c r="W961" s="7" t="str">
        <x:v>CA</x:v>
      </x:c>
      <x:c r="X961" s="7" t="str"/>
      <x:c r="Y961" s="7" t="str"/>
      <x:c r="Z961" s="7" t="str"/>
      <x:c r="AA961" s="7" t="str"/>
      <x:c r="AB961" s="7" t="str"/>
      <x:c r="AC961" s="7" t="str"/>
      <x:c r="AD961" s="7" t="str">
        <x:v>No agency or insurer displayed: onboarding opportunity possible; existing business unknown</x:v>
      </x:c>
      <x:c r="AE961" s="7" t="str">
        <x:v>No public business phone: contact enrichment needed, not proof of poor recruiting fit</x:v>
      </x:c>
      <x:c r="AF961" s="16" t="str"/>
      <x:c r="AG961" s="17" t="str"/>
      <x:c r="AH961" s="7" t="str"/>
      <x:c r="AI961" s="7" t="str"/>
      <x:c r="AJ961" s="7" t="str"/>
      <x:c r="AK961" s="15" t="str"/>
      <x:c r="AL961" s="7" t="str"/>
      <x:c r="AM961" s="7" t="str">
        <x:v>AGUILAR  NORMA</x:v>
      </x:c>
      <x:c r="AN961" s="7" t="str">
        <x:v>https://cdicloud.insurance.ca.gov/cal/LicenseDetail?SearchType=IND&amp;SearchLicNbr=0G35067&amp;SearchIndvId=1193368</x:v>
      </x:c>
      <x:c r="AO961" s="7" t="str">
        <x:v>2026-10-08</x:v>
      </x:c>
      <x:c r="AP961" s="7" t="str">
        <x:v>08b4c79a0aaea4b7d8c8989f709f98a888196b626b57c939f7124a6919148fd2</x:v>
      </x:c>
      <x:c r="AQ961" s="7" t="str">
        <x:v>Casualty Broker-Agent / Inactive / 10/21/2008 / 10/31/2012 / 10/31/2012
Property Broker-Agent / Inactive / 10/21/2008 / 10/31/2012 / 10/31/2012</x:v>
      </x:c>
      <x:c r="AR961" s="7" t="str">
        <x:v>Inactive</x:v>
      </x:c>
      <x:c r="AS961" s="7" t="str">
        <x:v>Current detail page</x:v>
      </x:c>
    </x:row>
    <x:row r="962" ht="52" customHeight="1">
      <x:c r="A962" s="7" t="str">
        <x:v>AGUILAR NORMA ALAMILLO</x:v>
      </x:c>
      <x:c r="B962" s="14" t="str">
        <x:f>"0C56819"</x:f>
        <x:v>0C56819</x:v>
      </x:c>
      <x:c r="C962" s="7" t="str">
        <x:v>Omitted</x:v>
      </x:c>
      <x:c r="D962" s="7" t="str">
        <x:v>FAIL</x:v>
      </x:c>
      <x:c r="E962" s="13" t="str">
        <x:v>Pending</x:v>
      </x:c>
      <x:c r="F962" s="13" t="str"/>
      <x:c r="G962" s="13" t="str"/>
      <x:c r="H962" s="13" t="str"/>
      <x:c r="I962" s="7" t="str">
        <x:v>Was this person reviewed? If rejected, give the actual rule and evidence. If acceptable, correct the omission. Confirm the Life-qualification gate and any record change since selection.</x:v>
      </x:c>
      <x:c r="J962" s="7" t="str">
        <x:v>L1</x:v>
      </x:c>
      <x:c r="K962" s="7" t="str">
        <x:v>Verified qualifications do not include active general Life. Current target-pool mismatch; actual historical omission reason unknown.</x:v>
      </x:c>
      <x:c r="L962" s="7" t="str">
        <x:v>Not supplied; membership is known, motive is not</x:v>
      </x:c>
      <x:c r="M962" s="7" t="n">
        <x:v>7</x:v>
      </x:c>
      <x:c r="N962" s="7" t="str">
        <x:v>Outside current general-Life recruiting pool</x:v>
      </x:c>
      <x:c r="O962" s="7" t="str">
        <x:v>Inactive</x:v>
      </x:c>
      <x:c r="P962" s="7" t="str">
        <x:v>03/19/1999</x:v>
      </x:c>
      <x:c r="Q962" s="7" t="str">
        <x:v>07/31/2023</x:v>
      </x:c>
      <x:c r="R962" s="7" t="str"/>
      <x:c r="S962" s="15" t="str">
        <x:v>805-947-6741</x:v>
      </x:c>
      <x:c r="T962" s="7" t="str">
        <x:v>Current CDI</x:v>
      </x:c>
      <x:c r="U962" s="7" t="str">
        <x:v>841 BELLEZA DRIVE OXNARD CA, 93030</x:v>
      </x:c>
      <x:c r="V962" s="7" t="str">
        <x:v>Resident</x:v>
      </x:c>
      <x:c r="W962" s="7" t="str">
        <x:v>CA</x:v>
      </x:c>
      <x:c r="X962" s="7" t="str"/>
      <x:c r="Y962" s="7" t="str"/>
      <x:c r="Z962" s="7" t="str"/>
      <x:c r="AA962" s="7" t="str"/>
      <x:c r="AB962" s="7" t="str"/>
      <x:c r="AC962" s="7" t="str"/>
      <x:c r="AD962" s="7" t="str">
        <x:v>No agency or insurer displayed: onboarding opportunity possible; existing business unknown</x:v>
      </x:c>
      <x:c r="AE962" s="7" t="str"/>
      <x:c r="AF962" s="16" t="str"/>
      <x:c r="AG962" s="17" t="str"/>
      <x:c r="AH962" s="7" t="str"/>
      <x:c r="AI962" s="7" t="str">
        <x:v>English, Spanish, Spanish</x:v>
      </x:c>
      <x:c r="AJ962" s="7" t="str"/>
      <x:c r="AK962" s="15" t="str"/>
      <x:c r="AL962" s="7" t="str"/>
      <x:c r="AM962" s="7" t="str">
        <x:v>AGUILAR ALAMILLO NORMA</x:v>
      </x:c>
      <x:c r="AN962" s="7" t="str">
        <x:v>https://cdicloud.insurance.ca.gov/cal/LicenseDetail?SearchType=IND&amp;SearchLicNbr=0C56819&amp;SearchIndvId=430220</x:v>
      </x:c>
      <x:c r="AO962" s="7" t="str">
        <x:v>2026-10-08</x:v>
      </x:c>
      <x:c r="AP962" s="7" t="str">
        <x:v>0f5d8ef811554ad23656951cdf16533feb478d7ca9a661bb6afa73a070e6a087</x:v>
      </x:c>
      <x:c r="AQ962" s="7" t="str">
        <x:v>Accident &amp; Health or Sickness / Inactive / 03/19/1999 / 07/31/2023 / 07/31/2023
Life / Inactive / 03/19/1999 / 07/31/2023 / 07/31/2023</x:v>
      </x:c>
      <x:c r="AR962" s="7" t="str">
        <x:v>Inactive</x:v>
      </x:c>
      <x:c r="AS962" s="7" t="str">
        <x:v>Current detail page</x:v>
      </x:c>
    </x:row>
    <x:row r="963" ht="52" customHeight="1">
      <x:c r="A963" s="7" t="str">
        <x:v>AGUILAR NORMA ALINA</x:v>
      </x:c>
      <x:c r="B963" s="14" t="str">
        <x:f>"0G09415"</x:f>
        <x:v>0G09415</x:v>
      </x:c>
      <x:c r="C963" s="7" t="str">
        <x:v>Omitted</x:v>
      </x:c>
      <x:c r="D963" s="7" t="str">
        <x:v>FAIL</x:v>
      </x:c>
      <x:c r="E963" s="13" t="str">
        <x:v>Pending</x:v>
      </x:c>
      <x:c r="F963" s="13" t="str"/>
      <x:c r="G963" s="13" t="str"/>
      <x:c r="H963" s="13" t="str"/>
      <x:c r="I963" s="7" t="str">
        <x:v>Was this person reviewed? If rejected, give the actual rule and evidence. If acceptable, correct the omission. Confirm the Life-qualification gate and any record change since selection.</x:v>
      </x:c>
      <x:c r="J963" s="7" t="str">
        <x:v>L1</x:v>
      </x:c>
      <x:c r="K963" s="7" t="str">
        <x:v>Verified qualifications do not include active general Life. Current target-pool mismatch; actual historical omission reason unknown.</x:v>
      </x:c>
      <x:c r="L963" s="7" t="str">
        <x:v>Not supplied; membership is known, motive is not</x:v>
      </x:c>
      <x:c r="M963" s="7" t="n">
        <x:v>7</x:v>
      </x:c>
      <x:c r="N963" s="7" t="str">
        <x:v>Outside current general-Life recruiting pool</x:v>
      </x:c>
      <x:c r="O963" s="7" t="str">
        <x:v>Not displayed</x:v>
      </x:c>
      <x:c r="P963" s="7" t="str"/>
      <x:c r="Q963" s="7" t="str"/>
      <x:c r="R963" s="7" t="str"/>
      <x:c r="S963" s="15" t="str"/>
      <x:c r="T963" s="7" t="str">
        <x:v>No public business phone in collected record</x:v>
      </x:c>
      <x:c r="U963" s="7" t="str"/>
      <x:c r="V963" s="7" t="str">
        <x:v>Non-resident</x:v>
      </x:c>
      <x:c r="W963" s="7" t="str">
        <x:v>GA</x:v>
      </x:c>
      <x:c r="X963" s="7" t="str"/>
      <x:c r="Y963" s="7" t="str"/>
      <x:c r="Z963" s="7" t="str"/>
      <x:c r="AA963" s="7" t="str"/>
      <x:c r="AB963" s="7" t="str"/>
      <x:c r="AC963" s="7" t="str"/>
      <x:c r="AD963" s="7" t="str">
        <x:v>No agency or insurer displayed: onboarding opportunity possible; existing business unknown</x:v>
      </x:c>
      <x:c r="AE963" s="7" t="str">
        <x:v>Nonresident or address state outside CA; confirm geographic recruiting scope | No public business phone: contact enrichment needed, not proof of poor recruiting fit</x:v>
      </x:c>
      <x:c r="AF963" s="16" t="str"/>
      <x:c r="AG963" s="17" t="str"/>
      <x:c r="AH963" s="7" t="str"/>
      <x:c r="AI963" s="7" t="str"/>
      <x:c r="AJ963" s="7" t="str"/>
      <x:c r="AK963" s="15" t="str"/>
      <x:c r="AL963" s="7" t="str"/>
      <x:c r="AM963" s="7" t="str">
        <x:v>AGUILAR ALINA NORMA</x:v>
      </x:c>
      <x:c r="AN963" s="7" t="str">
        <x:v>https://cdicloud.insurance.ca.gov/cal/LicenseDetail?SearchType=IND&amp;SearchLicNbr=0G09415&amp;SearchIndvId=1132872</x:v>
      </x:c>
      <x:c r="AO963" s="7" t="str">
        <x:v>2026-10-08</x:v>
      </x:c>
      <x:c r="AP963" s="7" t="str">
        <x:v>8448d271b307f87e2b4295d3b4fcbf46633b448044214b8f4b1cc4fba079f2b1</x:v>
      </x:c>
      <x:c r="AQ963" s="7" t="str">
        <x:v>Life-Only / Inactive / 04/09/2008 / 04/30/2012 / 04/30/2012</x:v>
      </x:c>
      <x:c r="AR963" s="7" t="str">
        <x:v>Inactive</x:v>
      </x:c>
      <x:c r="AS963" s="7" t="str">
        <x:v>Current detail page</x:v>
      </x:c>
    </x:row>
    <x:row r="964" ht="52" customHeight="1">
      <x:c r="A964" s="7" t="str">
        <x:v>AGUILAR NORMA GUADALUPE</x:v>
      </x:c>
      <x:c r="B964" s="14" t="str">
        <x:f>"0F32610"</x:f>
        <x:v>0F32610</x:v>
      </x:c>
      <x:c r="C964" s="7" t="str">
        <x:v>Omitted</x:v>
      </x:c>
      <x:c r="D964" s="7" t="str">
        <x:v>FAIL</x:v>
      </x:c>
      <x:c r="E964" s="13" t="str">
        <x:v>Pending</x:v>
      </x:c>
      <x:c r="F964" s="13" t="str"/>
      <x:c r="G964" s="13" t="str"/>
      <x:c r="H964" s="13" t="str"/>
      <x:c r="I964" s="7" t="str">
        <x:v>Was this person reviewed? If rejected, give the actual rule and evidence. If acceptable, correct the omission. Confirm the Life-qualification gate and any record change since selection.</x:v>
      </x:c>
      <x:c r="J964" s="7" t="str">
        <x:v>L1</x:v>
      </x:c>
      <x:c r="K964" s="7" t="str">
        <x:v>Verified qualifications do not include active general Life. Current target-pool mismatch; actual historical omission reason unknown.</x:v>
      </x:c>
      <x:c r="L964" s="7" t="str">
        <x:v>Not supplied; membership is known, motive is not</x:v>
      </x:c>
      <x:c r="M964" s="7" t="n">
        <x:v>7</x:v>
      </x:c>
      <x:c r="N964" s="7" t="str">
        <x:v>Outside current general-Life recruiting pool</x:v>
      </x:c>
      <x:c r="O964" s="7" t="str">
        <x:v>Not displayed</x:v>
      </x:c>
      <x:c r="P964" s="7" t="str"/>
      <x:c r="Q964" s="7" t="str"/>
      <x:c r="R964" s="7" t="str">
        <x:v>Casualty; Property</x:v>
      </x:c>
      <x:c r="S964" s="15" t="str">
        <x:v>323-706-9649</x:v>
      </x:c>
      <x:c r="T964" s="7" t="str">
        <x:v>Current CDI</x:v>
      </x:c>
      <x:c r="U964" s="7" t="str">
        <x:v>14174 SOUTHWOOD DR FONTANA CA, 92337</x:v>
      </x:c>
      <x:c r="V964" s="7" t="str">
        <x:v>Resident</x:v>
      </x:c>
      <x:c r="W964" s="7" t="str">
        <x:v>CA</x:v>
      </x:c>
      <x:c r="X964" s="7" t="str"/>
      <x:c r="Y964" s="7" t="str"/>
      <x:c r="Z964" s="7" t="str"/>
      <x:c r="AA964" s="7" t="str"/>
      <x:c r="AB964" s="7" t="str"/>
      <x:c r="AC964" s="7" t="str"/>
      <x:c r="AD964" s="7" t="str">
        <x:v>No agency or insurer displayed: onboarding opportunity possible; existing business unknown</x:v>
      </x:c>
      <x:c r="AE964" s="7" t="str">
        <x:v>P&amp;C/Personal Lines authority without displayed core Life appointments; mixed profile requires review</x:v>
      </x:c>
      <x:c r="AF964" s="16" t="str"/>
      <x:c r="AG964" s="17" t="str"/>
      <x:c r="AH964" s="7" t="str"/>
      <x:c r="AI964" s="7" t="str">
        <x:v>English</x:v>
      </x:c>
      <x:c r="AJ964" s="7" t="str"/>
      <x:c r="AK964" s="15" t="str"/>
      <x:c r="AL964" s="7" t="str"/>
      <x:c r="AM964" s="7" t="str">
        <x:v>AGUILAR GUADALUPE NORMA</x:v>
      </x:c>
      <x:c r="AN964" s="7" t="str">
        <x:v>https://cdicloud.insurance.ca.gov/cal/LicenseDetail?SearchType=IND&amp;SearchLicNbr=0F32610&amp;SearchIndvId=1042166</x:v>
      </x:c>
      <x:c r="AO964" s="7" t="str">
        <x:v>2026-10-08</x:v>
      </x:c>
      <x:c r="AP964" s="7" t="str">
        <x:v>fa7ee0ca0a0aa7c253b61b11b63bfcba39708ec74835b34dc4de25f7943bf8e3</x:v>
      </x:c>
      <x:c r="AQ964" s="7" t="str">
        <x:v>Casualty / Active / 08/24/2006 / 08/24/2006 / 08/31/2028
Property / Active / 08/24/2006 / 08/24/2006 / 08/31/2028</x:v>
      </x:c>
      <x:c r="AR964" s="7" t="str">
        <x:v>Active</x:v>
      </x:c>
      <x:c r="AS964" s="7" t="str">
        <x:v>Current detail page</x:v>
      </x:c>
    </x:row>
    <x:row r="965" ht="52" customHeight="1">
      <x:c r="A965" s="7" t="str">
        <x:v>AGUILAR NORMA IRENE</x:v>
      </x:c>
      <x:c r="B965" s="14" t="str">
        <x:f>"0C00469"</x:f>
        <x:v>0C00469</x:v>
      </x:c>
      <x:c r="C965" s="7" t="str">
        <x:v>Omitted</x:v>
      </x:c>
      <x:c r="D965" s="7" t="str">
        <x:v>FAIL</x:v>
      </x:c>
      <x:c r="E965" s="13" t="str">
        <x:v>Pending</x:v>
      </x:c>
      <x:c r="F965" s="13" t="str"/>
      <x:c r="G965" s="13" t="str"/>
      <x:c r="H965" s="13" t="str"/>
      <x:c r="I965" s="7" t="str">
        <x:v>Was this person reviewed? If rejected, give the actual rule and evidence. If acceptable, correct the omission. Confirm the Life-qualification gate and any record change since selection.</x:v>
      </x:c>
      <x:c r="J965" s="7" t="str">
        <x:v>L1</x:v>
      </x:c>
      <x:c r="K965" s="7" t="str">
        <x:v>Verified qualifications do not include active general Life. Current target-pool mismatch; actual historical omission reason unknown.</x:v>
      </x:c>
      <x:c r="L965" s="7" t="str">
        <x:v>Not supplied; membership is known, motive is not</x:v>
      </x:c>
      <x:c r="M965" s="7" t="n">
        <x:v>7</x:v>
      </x:c>
      <x:c r="N965" s="7" t="str">
        <x:v>Outside current general-Life recruiting pool</x:v>
      </x:c>
      <x:c r="O965" s="7" t="str">
        <x:v>Not displayed</x:v>
      </x:c>
      <x:c r="P965" s="7" t="str"/>
      <x:c r="Q965" s="7" t="str"/>
      <x:c r="R965" s="7" t="str"/>
      <x:c r="S965" s="15" t="str"/>
      <x:c r="T965" s="7" t="str">
        <x:v>No public business phone in collected record</x:v>
      </x:c>
      <x:c r="U965" s="7" t="str"/>
      <x:c r="V965" s="7" t="str">
        <x:v>Resident</x:v>
      </x:c>
      <x:c r="W965" s="7" t="str">
        <x:v>CA</x:v>
      </x:c>
      <x:c r="X965" s="7" t="str"/>
      <x:c r="Y965" s="7" t="str"/>
      <x:c r="Z965" s="7" t="str"/>
      <x:c r="AA965" s="7" t="str"/>
      <x:c r="AB965" s="7" t="str"/>
      <x:c r="AC965" s="7" t="str"/>
      <x:c r="AD965" s="7" t="str">
        <x:v>No agency or insurer displayed: onboarding opportunity possible; existing business unknown</x:v>
      </x:c>
      <x:c r="AE965" s="7" t="str">
        <x:v>No public business phone: contact enrichment needed, not proof of poor recruiting fit</x:v>
      </x:c>
      <x:c r="AF965" s="16" t="str"/>
      <x:c r="AG965" s="17" t="str"/>
      <x:c r="AH965" s="7" t="str"/>
      <x:c r="AI965" s="7" t="str"/>
      <x:c r="AJ965" s="7" t="str"/>
      <x:c r="AK965" s="15" t="str"/>
      <x:c r="AL965" s="7" t="str"/>
      <x:c r="AM965" s="7" t="str">
        <x:v>AGUILAR IRENE NORMA</x:v>
      </x:c>
      <x:c r="AN965" s="7" t="str">
        <x:v>https://cdicloud.insurance.ca.gov/cal/LicenseDetail?SearchType=IND&amp;SearchLicNbr=0C00469&amp;SearchIndvId=277123</x:v>
      </x:c>
      <x:c r="AO965" s="7" t="str">
        <x:v>2026-10-08</x:v>
      </x:c>
      <x:c r="AP965" s="7" t="str">
        <x:v>f2c6981ffaa68c2ce3595b267120260ea6c8130a95aa0058bd6a015df03eb63c</x:v>
      </x:c>
      <x:c r="AQ965" s="7" t="str">
        <x:v>Accident and Health / Inactive / 04/10/1997 / 04/30/2001 / 04/30/2001
Life-Only / Inactive / 04/10/1997 / 04/30/2001 / 04/30/2001</x:v>
      </x:c>
      <x:c r="AR965" s="7" t="str">
        <x:v>Inactive</x:v>
      </x:c>
      <x:c r="AS965" s="7" t="str">
        <x:v>Current detail page</x:v>
      </x:c>
    </x:row>
    <x:row r="966" ht="52" customHeight="1">
      <x:c r="A966" s="7" t="str">
        <x:v>AGUILAR NORMA LINDA</x:v>
      </x:c>
      <x:c r="B966" s="14" t="str">
        <x:f>"4302448"</x:f>
        <x:v>4302448</x:v>
      </x:c>
      <x:c r="C966" s="7" t="str">
        <x:v>Omitted</x:v>
      </x:c>
      <x:c r="D966" s="7" t="str">
        <x:v>FAIL</x:v>
      </x:c>
      <x:c r="E966" s="13" t="str">
        <x:v>Pending</x:v>
      </x:c>
      <x:c r="F966" s="13" t="str"/>
      <x:c r="G966" s="13" t="str"/>
      <x:c r="H966" s="13" t="str"/>
      <x:c r="I966" s="7" t="str">
        <x:v>Was this person reviewed? If rejected, give the actual rule and evidence. If acceptable, correct the omission. Confirm the Life-qualification gate and any record change since selection.</x:v>
      </x:c>
      <x:c r="J966" s="7" t="str">
        <x:v>L1</x:v>
      </x:c>
      <x:c r="K966" s="7" t="str">
        <x:v>Verified qualifications do not include active general Life. Current target-pool mismatch; actual historical omission reason unknown.</x:v>
      </x:c>
      <x:c r="L966" s="7" t="str">
        <x:v>Not supplied; membership is known, motive is not</x:v>
      </x:c>
      <x:c r="M966" s="7" t="n">
        <x:v>7</x:v>
      </x:c>
      <x:c r="N966" s="7" t="str">
        <x:v>Outside current general-Life recruiting pool</x:v>
      </x:c>
      <x:c r="O966" s="7" t="str">
        <x:v>Inactive</x:v>
      </x:c>
      <x:c r="P966" s="7" t="str">
        <x:v>08/07/2023</x:v>
      </x:c>
      <x:c r="Q966" s="7" t="str">
        <x:v>08/31/2025</x:v>
      </x:c>
      <x:c r="R966" s="7" t="str"/>
      <x:c r="S966" s="15" t="str">
        <x:v>909-767-7546</x:v>
      </x:c>
      <x:c r="T966" s="7" t="str">
        <x:v>Current CDI</x:v>
      </x:c>
      <x:c r="U966" s="7" t="str">
        <x:v>1343 E. GLADSTONE ST. SUITE 300 GLENDORA CA, 91740</x:v>
      </x:c>
      <x:c r="V966" s="7" t="str">
        <x:v>Resident</x:v>
      </x:c>
      <x:c r="W966" s="7" t="str">
        <x:v>CA</x:v>
      </x:c>
      <x:c r="X966" s="7" t="str"/>
      <x:c r="Y966" s="7" t="str"/>
      <x:c r="Z966" s="7" t="str"/>
      <x:c r="AA966" s="7" t="str"/>
      <x:c r="AB966" s="7" t="str"/>
      <x:c r="AC966" s="7" t="str"/>
      <x:c r="AD966" s="7" t="str">
        <x:v>No agency or insurer displayed: onboarding opportunity possible; existing business unknown</x:v>
      </x:c>
      <x:c r="AE966" s="7" t="str"/>
      <x:c r="AF966" s="16" t="str"/>
      <x:c r="AG966" s="17" t="str"/>
      <x:c r="AH966" s="7" t="str"/>
      <x:c r="AI966" s="7" t="str">
        <x:v>English</x:v>
      </x:c>
      <x:c r="AJ966" s="7" t="str"/>
      <x:c r="AK966" s="15" t="str"/>
      <x:c r="AL966" s="7" t="str"/>
      <x:c r="AM966" s="7" t="str">
        <x:v>AGUILAR LINDA NORMA</x:v>
      </x:c>
      <x:c r="AN966" s="7" t="str">
        <x:v>https://cdicloud.insurance.ca.gov/cal/LicenseDetail?SearchType=IND&amp;SearchLicNbr=4302448&amp;SearchIndvId=4302448</x:v>
      </x:c>
      <x:c r="AO966" s="7" t="str">
        <x:v>2026-10-08</x:v>
      </x:c>
      <x:c r="AP966" s="7" t="str">
        <x:v>0f1b6aaccbb7f1abb8e1efe3a5368ac2c0a657a8a3682a4a222443008c9916ee</x:v>
      </x:c>
      <x:c r="AQ966" s="7" t="str">
        <x:v>Accident &amp; Health or Sickness / Inactive / 08/07/2023 / 08/31/2025 / 08/31/2025
Life / Inactive / 08/07/2023 / 08/31/2025 / 08/31/2025</x:v>
      </x:c>
      <x:c r="AR966" s="7" t="str">
        <x:v>Inactive</x:v>
      </x:c>
      <x:c r="AS966" s="7" t="str">
        <x:v>Current detail page</x:v>
      </x:c>
    </x:row>
    <x:row r="967" ht="52" customHeight="1">
      <x:c r="A967" s="7" t="str">
        <x:v>AGUILAR OLEGARIO CIELO</x:v>
      </x:c>
      <x:c r="B967" s="14" t="str">
        <x:f>"0C30056"</x:f>
        <x:v>0C30056</x:v>
      </x:c>
      <x:c r="C967" s="7" t="str">
        <x:v>Omitted</x:v>
      </x:c>
      <x:c r="D967" s="7" t="str">
        <x:v>FAIL</x:v>
      </x:c>
      <x:c r="E967" s="13" t="str">
        <x:v>Pending</x:v>
      </x:c>
      <x:c r="F967" s="13" t="str"/>
      <x:c r="G967" s="13" t="str"/>
      <x:c r="H967" s="13" t="str"/>
      <x:c r="I967" s="7" t="str">
        <x:v>Was this person reviewed? If rejected, give the actual rule and evidence. If acceptable, correct the omission. Confirm the Life-qualification gate and any record change since selection.</x:v>
      </x:c>
      <x:c r="J967" s="7" t="str">
        <x:v>L1</x:v>
      </x:c>
      <x:c r="K967" s="7" t="str">
        <x:v>Verified qualifications do not include active general Life. Current target-pool mismatch; actual historical omission reason unknown.</x:v>
      </x:c>
      <x:c r="L967" s="7" t="str">
        <x:v>Not supplied; membership is known, motive is not</x:v>
      </x:c>
      <x:c r="M967" s="7" t="n">
        <x:v>7</x:v>
      </x:c>
      <x:c r="N967" s="7" t="str">
        <x:v>Outside current general-Life recruiting pool</x:v>
      </x:c>
      <x:c r="O967" s="7" t="str">
        <x:v>Not displayed</x:v>
      </x:c>
      <x:c r="P967" s="7" t="str"/>
      <x:c r="Q967" s="7" t="str"/>
      <x:c r="R967" s="7" t="str">
        <x:v>Casualty; Property</x:v>
      </x:c>
      <x:c r="S967" s="15" t="str">
        <x:v>714-554-5716</x:v>
      </x:c>
      <x:c r="T967" s="7" t="str">
        <x:v>Current CDI</x:v>
      </x:c>
      <x:c r="U967" s="7" t="str">
        <x:v>12510 WESTMINSTER AVE. SANTA ANA CA, 92706</x:v>
      </x:c>
      <x:c r="V967" s="7" t="str">
        <x:v>Resident</x:v>
      </x:c>
      <x:c r="W967" s="7" t="str">
        <x:v>CA</x:v>
      </x:c>
      <x:c r="X967" s="7" t="str"/>
      <x:c r="Y967" s="7" t="str">
        <x:v>AMERICAN CONTRACTORS INDEMNITY COMPANY / Casualty / 02/22/2006
AMERICAN CONTRACTORS INDEMNITY COMPANY / Property / 02/22/2006
AMERICAN MODERN HOME INSURANCE COMPANY / Casualty / 06/15/2020
AMERICAN MODERN HOME INSURANCE COMPANY / Property / 06/15/2020
AMERICAN MODERN PROPERTY AND CASUALTY INSURANCE COMPANY / Casualty / 06/16/2020
AMERICAN MODERN PROPERTY AND CASUALTY INSURANCE COMPANY / Property / 06/16/2020
EQUITY INSURANCE COMPANY / Casualty / 03/26/2024
EQUITY INSURANCE COMPANY / Property / 03/26/2024
U.S. SPECIALTY INSURANCE COMPANY / Casualty / 09/15/2005
U.S. SPECIALTY INSURANCE COMPANY / Property / 09/15/2005</x:v>
      </x:c>
      <x:c r="Z967" s="7" t="str">
        <x:v>ORDER ID: &lt;LBB003742&gt; A LICENSE AND LICENSING RIGHTS OF RESPONDENT ARE HEREBY REVOKED; ISSUE IN LIEU THEREOF A RESTRICTED LICENSE. / 03/11/2008</x:v>
      </x:c>
      <x:c r="AA967" s="7" t="str"/>
      <x:c r="AB967" s="7" t="str"/>
      <x:c r="AC967" s="7" t="str"/>
      <x:c r="AD967" s="7" t="str"/>
      <x:c r="AE967" s="7" t="str">
        <x:v>P&amp;C/Personal Lines authority without displayed core Life appointments; mixed profile requires review | Enforcement order requires direct review; latest displayed order is not a removal order</x:v>
      </x:c>
      <x:c r="AF967" s="16" t="str"/>
      <x:c r="AG967" s="17" t="str"/>
      <x:c r="AH967" s="7" t="str"/>
      <x:c r="AI967" s="7" t="str">
        <x:v>English</x:v>
      </x:c>
      <x:c r="AJ967" s="7" t="str"/>
      <x:c r="AK967" s="15" t="str"/>
      <x:c r="AL967" s="7" t="str"/>
      <x:c r="AM967" s="7" t="str">
        <x:v>AGUILAR CIELO OLEGARIO</x:v>
      </x:c>
      <x:c r="AN967" s="7" t="str">
        <x:v>https://cdicloud.insurance.ca.gov/cal/LicenseDetail?SearchType=IND&amp;SearchLicNbr=0C30056&amp;SearchIndvId=305170</x:v>
      </x:c>
      <x:c r="AO967" s="7" t="str">
        <x:v>2026-10-08</x:v>
      </x:c>
      <x:c r="AP967" s="7" t="str">
        <x:v>595f727a2e744c0e063c60de2562be4ac8a5a292df6fa8ed6d6aa2e103770145</x:v>
      </x:c>
      <x:c r="AQ967" s="7" t="str">
        <x:v>Casualty / Active / 05/14/1998 / 05/14/1998 / 05/31/2028
Property / Active / 05/14/1998 / 05/14/1998 / 05/31/2028</x:v>
      </x:c>
      <x:c r="AR967" s="7" t="str">
        <x:v>Active</x:v>
      </x:c>
      <x:c r="AS967" s="7" t="str">
        <x:v>Current detail page</x:v>
      </x:c>
    </x:row>
    <x:row r="968" ht="52" customHeight="1">
      <x:c r="A968" s="7" t="str">
        <x:v>AGUILAR OLGA ALICIA</x:v>
      </x:c>
      <x:c r="B968" s="14" t="str">
        <x:f>"0D06642"</x:f>
        <x:v>0D06642</x:v>
      </x:c>
      <x:c r="C968" s="7" t="str">
        <x:v>Omitted</x:v>
      </x:c>
      <x:c r="D968" s="7" t="str">
        <x:v>FAIL</x:v>
      </x:c>
      <x:c r="E968" s="13" t="str">
        <x:v>Pending</x:v>
      </x:c>
      <x:c r="F968" s="13" t="str"/>
      <x:c r="G968" s="13" t="str"/>
      <x:c r="H968" s="13" t="str"/>
      <x:c r="I968" s="7" t="str">
        <x:v>Was this person reviewed? If rejected, give the actual rule and evidence. If acceptable, correct the omission. Confirm the Life-qualification gate and any record change since selection.</x:v>
      </x:c>
      <x:c r="J968" s="7" t="str">
        <x:v>L1</x:v>
      </x:c>
      <x:c r="K968" s="7" t="str">
        <x:v>Verified qualifications do not include active general Life. Current target-pool mismatch; actual historical omission reason unknown.</x:v>
      </x:c>
      <x:c r="L968" s="7" t="str">
        <x:v>Not supplied; membership is known, motive is not</x:v>
      </x:c>
      <x:c r="M968" s="7" t="n">
        <x:v>7</x:v>
      </x:c>
      <x:c r="N968" s="7" t="str">
        <x:v>Outside current general-Life recruiting pool</x:v>
      </x:c>
      <x:c r="O968" s="7" t="str">
        <x:v>Not displayed</x:v>
      </x:c>
      <x:c r="P968" s="7" t="str"/>
      <x:c r="Q968" s="7" t="str"/>
      <x:c r="R968" s="7" t="str"/>
      <x:c r="S968" s="15" t="str"/>
      <x:c r="T968" s="7" t="str">
        <x:v>No public business phone in collected record</x:v>
      </x:c>
      <x:c r="U968" s="7" t="str"/>
      <x:c r="V968" s="7" t="str">
        <x:v>Resident</x:v>
      </x:c>
      <x:c r="W968" s="7" t="str">
        <x:v>CA</x:v>
      </x:c>
      <x:c r="X968" s="7" t="str">
        <x:v>PRIMERICA FINANCIAL SERVICES INSURANCE MARKETING, INC. / Accident and Health / 10/24/2000
PRIMERICA FINANCIAL SERVICES INSURANCE MARKETING, INC. / Life-Only / 10/24/2000</x:v>
      </x:c>
      <x:c r="Y968" s="7" t="str"/>
      <x:c r="Z968" s="7" t="str"/>
      <x:c r="AA968" s="7" t="str"/>
      <x:c r="AB968" s="7" t="str"/>
      <x:c r="AC968" s="7" t="str"/>
      <x:c r="AD968" s="7" t="str">
        <x:v>Primerica relationship: matches an explicitly targeted recruiting segment</x:v>
      </x:c>
      <x:c r="AE968" s="7" t="str">
        <x:v>No public business phone: contact enrichment needed, not proof of poor recruiting fit</x:v>
      </x:c>
      <x:c r="AF968" s="16" t="str"/>
      <x:c r="AG968" s="17" t="str"/>
      <x:c r="AH968" s="7" t="str"/>
      <x:c r="AI968" s="7" t="str"/>
      <x:c r="AJ968" s="7" t="str"/>
      <x:c r="AK968" s="15" t="str"/>
      <x:c r="AL968" s="7" t="str"/>
      <x:c r="AM968" s="7" t="str">
        <x:v>AGUILAR ALICIA OLGA</x:v>
      </x:c>
      <x:c r="AN968" s="7" t="str">
        <x:v>https://cdicloud.insurance.ca.gov/cal/LicenseDetail?SearchType=IND&amp;SearchLicNbr=0D06642&amp;SearchIndvId=507099</x:v>
      </x:c>
      <x:c r="AO968" s="7" t="str">
        <x:v>2026-10-08</x:v>
      </x:c>
      <x:c r="AP968" s="7" t="str">
        <x:v>cbbecc2cacf02653c4906778b22ef690982c40a9ef5a166be069bab8faad285f</x:v>
      </x:c>
      <x:c r="AQ968" s="7" t="str">
        <x:v>Accident and Health / Inactive / 10/24/2000 / 10/31/2002 / 10/31/2002
Life-Only / Inactive / 10/24/2000 / 10/31/2002 / 10/31/2002</x:v>
      </x:c>
      <x:c r="AR968" s="7" t="str">
        <x:v>Inactive</x:v>
      </x:c>
      <x:c r="AS968" s="7" t="str">
        <x:v>Current detail page</x:v>
      </x:c>
    </x:row>
    <x:row r="969" ht="52" customHeight="1">
      <x:c r="A969" s="7" t="str">
        <x:v>AGUILAR OLGA INDIRA</x:v>
      </x:c>
      <x:c r="B969" s="14" t="str">
        <x:f>"0H25119"</x:f>
        <x:v>0H25119</x:v>
      </x:c>
      <x:c r="C969" s="7" t="str">
        <x:v>Omitted</x:v>
      </x:c>
      <x:c r="D969" s="7" t="str">
        <x:v>FAIL</x:v>
      </x:c>
      <x:c r="E969" s="13" t="str">
        <x:v>Pending</x:v>
      </x:c>
      <x:c r="F969" s="13" t="str"/>
      <x:c r="G969" s="13" t="str"/>
      <x:c r="H969" s="13" t="str"/>
      <x:c r="I969" s="7" t="str">
        <x:v>Was this person reviewed? If rejected, give the actual rule and evidence. If acceptable, correct the omission. Confirm the Life-qualification gate and any record change since selection.</x:v>
      </x:c>
      <x:c r="J969" s="7" t="str">
        <x:v>L1</x:v>
      </x:c>
      <x:c r="K969" s="7" t="str">
        <x:v>Verified qualifications do not include active general Life. Current target-pool mismatch; actual historical omission reason unknown.</x:v>
      </x:c>
      <x:c r="L969" s="7" t="str">
        <x:v>Not supplied; membership is known, motive is not</x:v>
      </x:c>
      <x:c r="M969" s="7" t="n">
        <x:v>7</x:v>
      </x:c>
      <x:c r="N969" s="7" t="str">
        <x:v>Outside current general-Life recruiting pool</x:v>
      </x:c>
      <x:c r="O969" s="7" t="str">
        <x:v>Not displayed</x:v>
      </x:c>
      <x:c r="P969" s="7" t="str"/>
      <x:c r="Q969" s="7" t="str"/>
      <x:c r="R969" s="7" t="str"/>
      <x:c r="S969" s="15" t="str">
        <x:v>213-746-8400</x:v>
      </x:c>
      <x:c r="T969" s="7" t="str">
        <x:v>Current CDI</x:v>
      </x:c>
      <x:c r="U969" s="7" t="str">
        <x:v>2538 S FIGUEROA ST LOS ANGELES CA, 90007-2549</x:v>
      </x:c>
      <x:c r="V969" s="7" t="str">
        <x:v>Resident</x:v>
      </x:c>
      <x:c r="W969" s="7" t="str">
        <x:v>CA</x:v>
      </x:c>
      <x:c r="X969" s="7" t="str"/>
      <x:c r="Y969" s="7" t="str"/>
      <x:c r="Z969" s="7" t="str"/>
      <x:c r="AA969" s="7" t="str"/>
      <x:c r="AB969" s="7" t="str"/>
      <x:c r="AC969" s="7" t="str"/>
      <x:c r="AD969" s="7" t="str">
        <x:v>No agency or insurer displayed: onboarding opportunity possible; existing business unknown</x:v>
      </x:c>
      <x:c r="AE969" s="7" t="str"/>
      <x:c r="AF969" s="16" t="str"/>
      <x:c r="AG969" s="17" t="str"/>
      <x:c r="AH969" s="7" t="str"/>
      <x:c r="AI969" s="7" t="str">
        <x:v>English</x:v>
      </x:c>
      <x:c r="AJ969" s="7" t="str"/>
      <x:c r="AK969" s="15" t="str"/>
      <x:c r="AL969" s="7" t="str"/>
      <x:c r="AM969" s="7" t="str">
        <x:v>AGUILAR INDIRA OLGA</x:v>
      </x:c>
      <x:c r="AN969" s="7" t="str">
        <x:v>https://cdicloud.insurance.ca.gov/cal/LicenseDetail?SearchType=IND&amp;SearchLicNbr=0H25119&amp;SearchIndvId=1364733</x:v>
      </x:c>
      <x:c r="AO969" s="7" t="str">
        <x:v>2026-10-08</x:v>
      </x:c>
      <x:c r="AP969" s="7" t="str">
        <x:v>9712c6014a83c8d313e55c93397d23d33c961e54a6efc5ca4e25b5ec508528a8</x:v>
      </x:c>
      <x:c r="AQ969" s="7" t="str">
        <x:v>Accident &amp; Health or Sickness / Inactive / 08/06/2021 / 08/31/2023 / 08/31/2023
Limited Lines Automobile / Inactive / 11/22/2010 / 08/01/2011 / 08/01/2011
Personal Lines / Inactive / 08/01/2011 / 08/31/2023 / 08/31/2023</x:v>
      </x:c>
      <x:c r="AR969" s="7" t="str">
        <x:v>Inactive</x:v>
      </x:c>
      <x:c r="AS969" s="7" t="str">
        <x:v>Current detail page</x:v>
      </x:c>
    </x:row>
    <x:row r="970" ht="52" customHeight="1">
      <x:c r="A970" s="7" t="str">
        <x:v>AGUILAR OLIVAS TANYA</x:v>
      </x:c>
      <x:c r="B970" s="14" t="str">
        <x:f>"4458887"</x:f>
        <x:v>4458887</x:v>
      </x:c>
      <x:c r="C970" s="7" t="str">
        <x:v>Omitted</x:v>
      </x:c>
      <x:c r="D970" s="7" t="str">
        <x:v>FAIL</x:v>
      </x:c>
      <x:c r="E970" s="13" t="str">
        <x:v>Pending</x:v>
      </x:c>
      <x:c r="F970" s="13" t="str"/>
      <x:c r="G970" s="13" t="str"/>
      <x:c r="H970" s="13" t="str"/>
      <x:c r="I970" s="7" t="str">
        <x:v>Was this person reviewed? If rejected, give the actual rule and evidence. If acceptable, correct the omission. Confirm the Life-qualification gate and any record change since selection.</x:v>
      </x:c>
      <x:c r="J970" s="7" t="str">
        <x:v>L1</x:v>
      </x:c>
      <x:c r="K970" s="7" t="str">
        <x:v>Verified qualifications do not include active general Life. Current target-pool mismatch; actual historical omission reason unknown.</x:v>
      </x:c>
      <x:c r="L970" s="7" t="str">
        <x:v>Not supplied; membership is known, motive is not</x:v>
      </x:c>
      <x:c r="M970" s="7" t="n">
        <x:v>7</x:v>
      </x:c>
      <x:c r="N970" s="7" t="str">
        <x:v>Outside current general-Life recruiting pool</x:v>
      </x:c>
      <x:c r="O970" s="7" t="str">
        <x:v>Not displayed</x:v>
      </x:c>
      <x:c r="P970" s="7" t="str"/>
      <x:c r="Q970" s="7" t="str"/>
      <x:c r="R970" s="7" t="str">
        <x:v>Personal Lines</x:v>
      </x:c>
      <x:c r="S970" s="15" t="str"/>
      <x:c r="T970" s="7" t="str">
        <x:v>No public business phone in collected record</x:v>
      </x:c>
      <x:c r="U970" s="7" t="str">
        <x:v>1430 N ZAMORA AVE SAN LUIS AZ, 85336</x:v>
      </x:c>
      <x:c r="V970" s="7" t="str">
        <x:v>Non-resident</x:v>
      </x:c>
      <x:c r="W970" s="7" t="str">
        <x:v>AZ</x:v>
      </x:c>
      <x:c r="X970" s="7" t="str"/>
      <x:c r="Y970" s="7" t="str">
        <x:v>GARRISON PROPERTY AND CASUALTY INSURANCE COMPANY / Personal Lines / 04/24/2025
UNITED SERVICES AUTOMOBILE ASSOCIATION / Personal Lines / 04/24/2025
USAA CASUALTY INSURANCE COMPANY / Personal Lines / 04/24/2025
USAA GENERAL INDEMNITY COMPANY / Personal Lines / 04/24/2025</x:v>
      </x:c>
      <x:c r="Z970" s="7" t="str"/>
      <x:c r="AA970" s="7" t="str"/>
      <x:c r="AB970" s="7" t="str"/>
      <x:c r="AC970" s="7" t="str"/>
      <x:c r="AD970" s="7" t="str"/>
      <x:c r="AE970"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970" s="16" t="str"/>
      <x:c r="AG970" s="17" t="str"/>
      <x:c r="AH970" s="7" t="str"/>
      <x:c r="AI970" s="7" t="str"/>
      <x:c r="AJ970" s="7" t="str"/>
      <x:c r="AK970" s="15" t="str"/>
      <x:c r="AL970" s="7" t="str"/>
      <x:c r="AM970" s="7" t="str">
        <x:v>AGUILAR OLIVAS  TANYA</x:v>
      </x:c>
      <x:c r="AN970" s="7" t="str">
        <x:v>https://cdicloud.insurance.ca.gov/cal/LicenseDetail?SearchType=IND&amp;SearchLicNbr=4458887&amp;SearchIndvId=4458887</x:v>
      </x:c>
      <x:c r="AO970" s="7" t="str">
        <x:v>2026-10-08</x:v>
      </x:c>
      <x:c r="AP970" s="7" t="str">
        <x:v>c08696fbe2053dc3876590403f90ad35dce6bf944a371f86d3138c47ea8d52e6</x:v>
      </x:c>
      <x:c r="AQ970" s="7" t="str">
        <x:v>Personal Lines / Active / 04/22/2025 / 04/22/2025 / 04/30/2027</x:v>
      </x:c>
      <x:c r="AR970" s="7" t="str">
        <x:v>Active</x:v>
      </x:c>
      <x:c r="AS970" s="7" t="str">
        <x:v>Current detail page</x:v>
      </x:c>
    </x:row>
    <x:row r="971" ht="52" customHeight="1">
      <x:c r="A971" s="7" t="str">
        <x:v>AGUILAR OMAR</x:v>
      </x:c>
      <x:c r="B971" s="14" t="str">
        <x:f>"0K99617"</x:f>
        <x:v>0K99617</x:v>
      </x:c>
      <x:c r="C971" s="7" t="str">
        <x:v>Omitted</x:v>
      </x:c>
      <x:c r="D971" s="7" t="str">
        <x:v>FAIL</x:v>
      </x:c>
      <x:c r="E971" s="13" t="str">
        <x:v>Pending</x:v>
      </x:c>
      <x:c r="F971" s="13" t="str"/>
      <x:c r="G971" s="13" t="str"/>
      <x:c r="H971" s="13" t="str"/>
      <x:c r="I971" s="7" t="str">
        <x:v>Was this person reviewed? If rejected, give the actual rule and evidence. If acceptable, correct the omission. Confirm the Life-qualification gate and any record change since selection.</x:v>
      </x:c>
      <x:c r="J971" s="7" t="str">
        <x:v>L1</x:v>
      </x:c>
      <x:c r="K971" s="7" t="str">
        <x:v>Verified qualifications do not include active general Life. Current target-pool mismatch; actual historical omission reason unknown.</x:v>
      </x:c>
      <x:c r="L971" s="7" t="str">
        <x:v>Not supplied; membership is known, motive is not</x:v>
      </x:c>
      <x:c r="M971" s="7" t="n">
        <x:v>7</x:v>
      </x:c>
      <x:c r="N971" s="7" t="str">
        <x:v>Outside current general-Life recruiting pool</x:v>
      </x:c>
      <x:c r="O971" s="7" t="str">
        <x:v>Inactive</x:v>
      </x:c>
      <x:c r="P971" s="7" t="str">
        <x:v>07/14/2016</x:v>
      </x:c>
      <x:c r="Q971" s="7" t="str">
        <x:v>07/31/2022</x:v>
      </x:c>
      <x:c r="R971" s="7" t="str"/>
      <x:c r="S971" s="15" t="str"/>
      <x:c r="T971" s="7" t="str">
        <x:v>No public business phone in collected record</x:v>
      </x:c>
      <x:c r="U971" s="7" t="str">
        <x:v>1 FIRSTCOMM PLZ FORT WORTH TX, 76109</x:v>
      </x:c>
      <x:c r="V971" s="7" t="str">
        <x:v>Non-resident</x:v>
      </x:c>
      <x:c r="W971" s="7" t="str">
        <x:v>TX</x:v>
      </x:c>
      <x:c r="X971" s="7" t="str"/>
      <x:c r="Y971" s="7" t="str"/>
      <x:c r="Z971" s="7" t="str"/>
      <x:c r="AA971" s="7" t="str"/>
      <x:c r="AB971" s="7" t="str"/>
      <x:c r="AC971" s="7" t="str"/>
      <x:c r="AD971" s="7" t="str">
        <x:v>No agency or insurer displayed: onboarding opportunity possible; existing business unknown</x:v>
      </x:c>
      <x:c r="AE971" s="7" t="str">
        <x:v>Nonresident or address state outside CA; confirm geographic recruiting scope | No public business phone: contact enrichment needed, not proof of poor recruiting fit</x:v>
      </x:c>
      <x:c r="AF971" s="16" t="str"/>
      <x:c r="AG971" s="17" t="str"/>
      <x:c r="AH971" s="7" t="str"/>
      <x:c r="AI971" s="7" t="str"/>
      <x:c r="AJ971" s="7" t="str"/>
      <x:c r="AK971" s="15" t="str"/>
      <x:c r="AL971" s="7" t="str"/>
      <x:c r="AM971" s="7" t="str">
        <x:v>AGUILAR  OMAR</x:v>
      </x:c>
      <x:c r="AN971" s="7" t="str">
        <x:v>https://cdicloud.insurance.ca.gov/cal/LicenseDetail?SearchType=IND&amp;SearchLicNbr=0K99617&amp;SearchIndvId=1851115</x:v>
      </x:c>
      <x:c r="AO971" s="7" t="str">
        <x:v>2026-10-08</x:v>
      </x:c>
      <x:c r="AP971" s="7" t="str">
        <x:v>847cc78ad08ea0241c5598e4f100b67c23781bf6fddc927e8a389df93a9d7f69</x:v>
      </x:c>
      <x:c r="AQ971" s="7" t="str">
        <x:v>Accident &amp; Health or Sickness / Inactive / 07/14/2016 / 07/31/2022 / 07/31/2022
Life / Inactive / 07/14/2016 / 07/31/2022 / 07/31/2022
Var Life and Var Annuity / Inactive / 07/14/2016 / 07/31/2022 / 07/31/2022</x:v>
      </x:c>
      <x:c r="AR971" s="7" t="str">
        <x:v>Inactive</x:v>
      </x:c>
      <x:c r="AS971" s="7" t="str">
        <x:v>Current detail page</x:v>
      </x:c>
    </x:row>
    <x:row r="972" ht="52" customHeight="1">
      <x:c r="A972" s="7" t="str">
        <x:v>AGUILAR ORLANDO</x:v>
      </x:c>
      <x:c r="B972" s="14" t="str">
        <x:f>"0H11880"</x:f>
        <x:v>0H11880</x:v>
      </x:c>
      <x:c r="C972" s="7" t="str">
        <x:v>Omitted</x:v>
      </x:c>
      <x:c r="D972" s="7" t="str">
        <x:v>FAIL</x:v>
      </x:c>
      <x:c r="E972" s="13" t="str">
        <x:v>Pending</x:v>
      </x:c>
      <x:c r="F972" s="13" t="str"/>
      <x:c r="G972" s="13" t="str"/>
      <x:c r="H972" s="13" t="str"/>
      <x:c r="I972" s="7" t="str">
        <x:v>Was this person reviewed? If rejected, give the actual rule and evidence. If acceptable, correct the omission. Confirm the Life-qualification gate and any record change since selection.</x:v>
      </x:c>
      <x:c r="J972" s="7" t="str">
        <x:v>L1</x:v>
      </x:c>
      <x:c r="K972" s="7" t="str">
        <x:v>Verified qualifications do not include active general Life. Current target-pool mismatch; actual historical omission reason unknown.</x:v>
      </x:c>
      <x:c r="L972" s="7" t="str">
        <x:v>Not supplied; membership is known, motive is not</x:v>
      </x:c>
      <x:c r="M972" s="7" t="n">
        <x:v>7</x:v>
      </x:c>
      <x:c r="N972" s="7" t="str">
        <x:v>Outside current general-Life recruiting pool</x:v>
      </x:c>
      <x:c r="O972" s="7" t="str">
        <x:v>Not displayed</x:v>
      </x:c>
      <x:c r="P972" s="7" t="str"/>
      <x:c r="Q972" s="7" t="str"/>
      <x:c r="R972" s="7" t="str"/>
      <x:c r="S972" s="15" t="str"/>
      <x:c r="T972" s="7" t="str">
        <x:v>No public business phone in collected record</x:v>
      </x:c>
      <x:c r="U972" s="7" t="str"/>
      <x:c r="V972" s="7" t="str">
        <x:v>Resident</x:v>
      </x:c>
      <x:c r="W972" s="7" t="str">
        <x:v>CA</x:v>
      </x:c>
      <x:c r="X972" s="7" t="str"/>
      <x:c r="Y972" s="7" t="str"/>
      <x:c r="Z972" s="7" t="str"/>
      <x:c r="AA972" s="7" t="str"/>
      <x:c r="AB972" s="7" t="str"/>
      <x:c r="AC972" s="7" t="str"/>
      <x:c r="AD972" s="7" t="str">
        <x:v>No agency or insurer displayed: onboarding opportunity possible; existing business unknown</x:v>
      </x:c>
      <x:c r="AE972" s="7" t="str">
        <x:v>No public business phone: contact enrichment needed, not proof of poor recruiting fit</x:v>
      </x:c>
      <x:c r="AF972" s="16" t="str"/>
      <x:c r="AG972" s="17" t="str"/>
      <x:c r="AH972" s="7" t="str"/>
      <x:c r="AI972" s="7" t="str"/>
      <x:c r="AJ972" s="7" t="str"/>
      <x:c r="AK972" s="15" t="str"/>
      <x:c r="AL972" s="7" t="str"/>
      <x:c r="AM972" s="7" t="str">
        <x:v>AGUILAR  ORLANDO</x:v>
      </x:c>
      <x:c r="AN972" s="7" t="str">
        <x:v>https://cdicloud.insurance.ca.gov/cal/LicenseDetail?SearchType=IND&amp;SearchLicNbr=0H11880&amp;SearchIndvId=1350112</x:v>
      </x:c>
      <x:c r="AO972" s="7" t="str">
        <x:v>2026-10-08</x:v>
      </x:c>
      <x:c r="AP972" s="7" t="str">
        <x:v>3db76d284fcc15b39b295d602ee64baed1a67a7bd25b4160895ad69aab235928</x:v>
      </x:c>
      <x:c r="AQ972" s="7" t="str">
        <x:v>Life-Only / Inactive / 08/26/2010 / 08/31/2012 / 08/31/2012</x:v>
      </x:c>
      <x:c r="AR972" s="7" t="str">
        <x:v>Inactive</x:v>
      </x:c>
      <x:c r="AS972" s="7" t="str">
        <x:v>Current detail page</x:v>
      </x:c>
    </x:row>
    <x:row r="973" ht="52" customHeight="1">
      <x:c r="A973" s="7" t="str">
        <x:v>AGUILAR ORLANDO</x:v>
      </x:c>
      <x:c r="B973" s="14" t="str">
        <x:f>"4130651"</x:f>
        <x:v>4130651</x:v>
      </x:c>
      <x:c r="C973" s="7" t="str">
        <x:v>Omitted</x:v>
      </x:c>
      <x:c r="D973" s="7" t="str">
        <x:v>FAIL</x:v>
      </x:c>
      <x:c r="E973" s="13" t="str">
        <x:v>Pending</x:v>
      </x:c>
      <x:c r="F973" s="13" t="str"/>
      <x:c r="G973" s="13" t="str"/>
      <x:c r="H973" s="13" t="str"/>
      <x:c r="I973" s="7" t="str">
        <x:v>Was this person reviewed? If rejected, give the actual rule and evidence. If acceptable, correct the omission. Confirm the Life-qualification gate and any record change since selection.</x:v>
      </x:c>
      <x:c r="J973" s="7" t="str">
        <x:v>L1</x:v>
      </x:c>
      <x:c r="K973" s="7" t="str">
        <x:v>Verified qualifications do not include active general Life. Current target-pool mismatch; actual historical omission reason unknown.</x:v>
      </x:c>
      <x:c r="L973" s="7" t="str">
        <x:v>Not supplied; membership is known, motive is not</x:v>
      </x:c>
      <x:c r="M973" s="7" t="n">
        <x:v>7</x:v>
      </x:c>
      <x:c r="N973" s="7" t="str">
        <x:v>Outside current general-Life recruiting pool</x:v>
      </x:c>
      <x:c r="O973" s="7" t="str">
        <x:v>Inactive</x:v>
      </x:c>
      <x:c r="P973" s="7" t="str">
        <x:v>07/26/2022</x:v>
      </x:c>
      <x:c r="Q973" s="7" t="str">
        <x:v>07/31/2024</x:v>
      </x:c>
      <x:c r="R973" s="7" t="str"/>
      <x:c r="S973" s="15" t="str"/>
      <x:c r="T973" s="7" t="str">
        <x:v>No public business phone in collected record</x:v>
      </x:c>
      <x:c r="U973" s="7" t="str">
        <x:v>1460 N LAKE AVE UNIT 105 PASADENA CA, 91104</x:v>
      </x:c>
      <x:c r="V973" s="7" t="str">
        <x:v>Resident</x:v>
      </x:c>
      <x:c r="W973" s="7" t="str">
        <x:v>CA</x:v>
      </x:c>
      <x:c r="X973" s="7" t="str"/>
      <x:c r="Y973" s="7" t="str"/>
      <x:c r="Z973" s="7" t="str"/>
      <x:c r="AA973" s="7" t="str"/>
      <x:c r="AB973" s="7" t="str"/>
      <x:c r="AC973" s="7" t="str"/>
      <x:c r="AD973" s="7" t="str">
        <x:v>No agency or insurer displayed: onboarding opportunity possible; existing business unknown</x:v>
      </x:c>
      <x:c r="AE973" s="7" t="str">
        <x:v>No public business phone: contact enrichment needed, not proof of poor recruiting fit</x:v>
      </x:c>
      <x:c r="AF973" s="16" t="str"/>
      <x:c r="AG973" s="17" t="str"/>
      <x:c r="AH973" s="7" t="str"/>
      <x:c r="AI973" s="7" t="str"/>
      <x:c r="AJ973" s="7" t="str"/>
      <x:c r="AK973" s="15" t="str"/>
      <x:c r="AL973" s="7" t="str"/>
      <x:c r="AM973" s="7" t="str">
        <x:v>AGUILAR  ORLANDO</x:v>
      </x:c>
      <x:c r="AN973" s="7" t="str">
        <x:v>https://cdicloud.insurance.ca.gov/cal/LicenseDetail?SearchType=IND&amp;SearchLicNbr=4130651&amp;SearchIndvId=4130651</x:v>
      </x:c>
      <x:c r="AO973" s="7" t="str">
        <x:v>2026-10-08</x:v>
      </x:c>
      <x:c r="AP973" s="7" t="str">
        <x:v>6451e3fc327a6e904ccc60fe59fc2f115c89b1c18cf0c02caa278baafd361096</x:v>
      </x:c>
      <x:c r="AQ973" s="7" t="str">
        <x:v>Accident &amp; Health or Sickness / Inactive / 07/26/2022 / 07/31/2024 / 07/31/2024
Life / Inactive / 07/26/2022 / 07/31/2024 / 07/31/2024</x:v>
      </x:c>
      <x:c r="AR973" s="7" t="str">
        <x:v>Inactive</x:v>
      </x:c>
      <x:c r="AS973" s="7" t="str">
        <x:v>Current detail page</x:v>
      </x:c>
    </x:row>
    <x:row r="974" ht="52" customHeight="1">
      <x:c r="A974" s="7" t="str">
        <x:v>AGUILAR OSCAR EDUARDO</x:v>
      </x:c>
      <x:c r="B974" s="14" t="str">
        <x:f>"0E80102"</x:f>
        <x:v>0E80102</x:v>
      </x:c>
      <x:c r="C974" s="7" t="str">
        <x:v>Omitted</x:v>
      </x:c>
      <x:c r="D974" s="7" t="str">
        <x:v>FAIL</x:v>
      </x:c>
      <x:c r="E974" s="13" t="str">
        <x:v>Pending</x:v>
      </x:c>
      <x:c r="F974" s="13" t="str"/>
      <x:c r="G974" s="13" t="str"/>
      <x:c r="H974" s="13" t="str"/>
      <x:c r="I974" s="7" t="str">
        <x:v>Was this person reviewed? If rejected, give the actual rule and evidence. If acceptable, correct the omission. Confirm the Life-qualification gate and any record change since selection.</x:v>
      </x:c>
      <x:c r="J974" s="7" t="str">
        <x:v>L1</x:v>
      </x:c>
      <x:c r="K974" s="7" t="str">
        <x:v>Verified qualifications do not include active general Life. Current target-pool mismatch; actual historical omission reason unknown.</x:v>
      </x:c>
      <x:c r="L974" s="7" t="str">
        <x:v>Not supplied; membership is known, motive is not</x:v>
      </x:c>
      <x:c r="M974" s="7" t="n">
        <x:v>7</x:v>
      </x:c>
      <x:c r="N974" s="7" t="str">
        <x:v>Outside current general-Life recruiting pool</x:v>
      </x:c>
      <x:c r="O974" s="7" t="str">
        <x:v>Not displayed</x:v>
      </x:c>
      <x:c r="P974" s="7" t="str"/>
      <x:c r="Q974" s="7" t="str"/>
      <x:c r="R974" s="7" t="str"/>
      <x:c r="S974" s="15" t="str"/>
      <x:c r="T974" s="7" t="str">
        <x:v>No public business phone in collected record</x:v>
      </x:c>
      <x:c r="U974" s="7" t="str"/>
      <x:c r="V974" s="7" t="str">
        <x:v>Resident</x:v>
      </x:c>
      <x:c r="W974" s="7" t="str">
        <x:v>CA</x:v>
      </x:c>
      <x:c r="X974" s="7" t="str"/>
      <x:c r="Y974" s="7" t="str"/>
      <x:c r="Z974" s="7" t="str"/>
      <x:c r="AA974" s="7" t="str"/>
      <x:c r="AB974" s="7" t="str"/>
      <x:c r="AC974" s="7" t="str"/>
      <x:c r="AD974" s="7" t="str">
        <x:v>No agency or insurer displayed: onboarding opportunity possible; existing business unknown</x:v>
      </x:c>
      <x:c r="AE974" s="7" t="str">
        <x:v>No public business phone: contact enrichment needed, not proof of poor recruiting fit</x:v>
      </x:c>
      <x:c r="AF974" s="16" t="str"/>
      <x:c r="AG974" s="17" t="str"/>
      <x:c r="AH974" s="7" t="str"/>
      <x:c r="AI974" s="7" t="str"/>
      <x:c r="AJ974" s="7" t="str"/>
      <x:c r="AK974" s="15" t="str"/>
      <x:c r="AL974" s="7" t="str"/>
      <x:c r="AM974" s="7" t="str">
        <x:v>AGUILAR EDUARDO OSCAR</x:v>
      </x:c>
      <x:c r="AN974" s="7" t="str">
        <x:v>https://cdicloud.insurance.ca.gov/cal/LicenseDetail?SearchType=IND&amp;SearchLicNbr=0E80102&amp;SearchIndvId=951728</x:v>
      </x:c>
      <x:c r="AO974" s="7" t="str">
        <x:v>2026-10-08</x:v>
      </x:c>
      <x:c r="AP974" s="7" t="str">
        <x:v>18b3fa8a5fd4310e141e29e078355542841a2e4ef71fd0ba1d718b0788ccfcb6</x:v>
      </x:c>
      <x:c r="AQ974" s="7" t="str">
        <x:v>Accident and Health / Inactive / 05/19/2005 / 05/31/2007 / 05/31/2007
Life-Only / Inactive / 05/19/2005 / 05/31/2007 / 05/31/2007</x:v>
      </x:c>
      <x:c r="AR974" s="7" t="str">
        <x:v>Inactive</x:v>
      </x:c>
      <x:c r="AS974" s="7" t="str">
        <x:v>Current detail page</x:v>
      </x:c>
    </x:row>
    <x:row r="975" ht="52" customHeight="1">
      <x:c r="A975" s="7" t="str">
        <x:v>AGUILAR OSCAR ENRIQUE</x:v>
      </x:c>
      <x:c r="B975" s="14" t="str">
        <x:f>"2C21270"</x:f>
        <x:v>2C21270</x:v>
      </x:c>
      <x:c r="C975" s="7" t="str">
        <x:v>Omitted</x:v>
      </x:c>
      <x:c r="D975" s="7" t="str">
        <x:v>FAIL</x:v>
      </x:c>
      <x:c r="E975" s="13" t="str">
        <x:v>Pending</x:v>
      </x:c>
      <x:c r="F975" s="13" t="str"/>
      <x:c r="G975" s="13" t="str"/>
      <x:c r="H975" s="13" t="str"/>
      <x:c r="I975" s="7" t="str">
        <x:v>Was this person reviewed? If rejected, give the actual rule and evidence. If acceptable, correct the omission. Confirm the Life-qualification gate and any record change since selection.</x:v>
      </x:c>
      <x:c r="J975" s="7" t="str">
        <x:v>L1</x:v>
      </x:c>
      <x:c r="K975" s="7" t="str">
        <x:v>Verified qualifications do not include active general Life. Current target-pool mismatch; actual historical omission reason unknown.</x:v>
      </x:c>
      <x:c r="L975" s="7" t="str">
        <x:v>Not supplied; membership is known, motive is not</x:v>
      </x:c>
      <x:c r="M975" s="7" t="n">
        <x:v>7</x:v>
      </x:c>
      <x:c r="N975" s="7" t="str">
        <x:v>Outside current general-Life recruiting pool</x:v>
      </x:c>
      <x:c r="O975" s="7" t="str">
        <x:v>Not displayed</x:v>
      </x:c>
      <x:c r="P975" s="7" t="str"/>
      <x:c r="Q975" s="7" t="str"/>
      <x:c r="R975" s="7" t="str">
        <x:v>Independent Adjuster</x:v>
      </x:c>
      <x:c r="S975" s="15" t="str"/>
      <x:c r="T975" s="7" t="str">
        <x:v>No public business phone in collected record</x:v>
      </x:c>
      <x:c r="U975" s="7" t="str">
        <x:v>10427 STAMPS RD DOWNEY CA, 90241</x:v>
      </x:c>
      <x:c r="V975" s="7" t="str">
        <x:v>Resident</x:v>
      </x:c>
      <x:c r="W975" s="7" t="str">
        <x:v>CA</x:v>
      </x:c>
      <x:c r="X975" s="7" t="str"/>
      <x:c r="Y975" s="7" t="str"/>
      <x:c r="Z975" s="7" t="str"/>
      <x:c r="AA975" s="7" t="str"/>
      <x:c r="AB975" s="7" t="str"/>
      <x:c r="AC975" s="7" t="str"/>
      <x:c r="AD975" s="7" t="str">
        <x:v>No agency or insurer displayed: onboarding opportunity possible; existing business unknown</x:v>
      </x:c>
      <x:c r="AE975" s="7" t="str">
        <x:v>No public business phone: contact enrichment needed, not proof of poor recruiting fit</x:v>
      </x:c>
      <x:c r="AF975" s="16" t="str"/>
      <x:c r="AG975" s="17" t="str"/>
      <x:c r="AH975" s="7" t="str"/>
      <x:c r="AI975" s="7" t="str">
        <x:v>English</x:v>
      </x:c>
      <x:c r="AJ975" s="7" t="str"/>
      <x:c r="AK975" s="15" t="str"/>
      <x:c r="AL975" s="7" t="str"/>
      <x:c r="AM975" s="7" t="str">
        <x:v>AGUILAR ENRIQUE OSCAR</x:v>
      </x:c>
      <x:c r="AN975" s="7" t="str">
        <x:v>https://cdicloud.insurance.ca.gov/cal/LicenseDetail?SearchType=IND&amp;SearchLicNbr=2C21270&amp;SearchIndvId=296845</x:v>
      </x:c>
      <x:c r="AO975" s="7" t="str">
        <x:v>2026-10-08</x:v>
      </x:c>
      <x:c r="AP975" s="7" t="str">
        <x:v>4b8dff852e5fbc0433780f26ca4e145e4c43eef4dfd57b8454f02508457159e7</x:v>
      </x:c>
      <x:c r="AQ975" s="7" t="str">
        <x:v>Independent Adjuster / Active / 01/20/1998 / 01/20/1998 / 05/31/2028</x:v>
      </x:c>
      <x:c r="AR975" s="7" t="str">
        <x:v>Active</x:v>
      </x:c>
      <x:c r="AS975" s="7" t="str">
        <x:v>Current detail page</x:v>
      </x:c>
    </x:row>
    <x:row r="976" ht="52" customHeight="1">
      <x:c r="A976" s="7" t="str">
        <x:v>AGUILAR OSCAR MANUEL</x:v>
      </x:c>
      <x:c r="B976" s="14" t="str">
        <x:f>"0I93479"</x:f>
        <x:v>0I93479</x:v>
      </x:c>
      <x:c r="C976" s="7" t="str">
        <x:v>Omitted</x:v>
      </x:c>
      <x:c r="D976" s="7" t="str">
        <x:v>FAIL</x:v>
      </x:c>
      <x:c r="E976" s="13" t="str">
        <x:v>Pending</x:v>
      </x:c>
      <x:c r="F976" s="13" t="str"/>
      <x:c r="G976" s="13" t="str"/>
      <x:c r="H976" s="13" t="str"/>
      <x:c r="I976" s="7" t="str">
        <x:v>Was this person reviewed? If rejected, give the actual rule and evidence. If acceptable, correct the omission. Confirm the Life-qualification gate and any record change since selection.</x:v>
      </x:c>
      <x:c r="J976" s="7" t="str">
        <x:v>L1</x:v>
      </x:c>
      <x:c r="K976" s="7" t="str">
        <x:v>Verified qualifications do not include active general Life. Current target-pool mismatch; actual historical omission reason unknown.</x:v>
      </x:c>
      <x:c r="L976" s="7" t="str">
        <x:v>Not supplied; membership is known, motive is not</x:v>
      </x:c>
      <x:c r="M976" s="7" t="n">
        <x:v>7</x:v>
      </x:c>
      <x:c r="N976" s="7" t="str">
        <x:v>Outside current general-Life recruiting pool</x:v>
      </x:c>
      <x:c r="O976" s="7" t="str">
        <x:v>Not displayed</x:v>
      </x:c>
      <x:c r="P976" s="7" t="str"/>
      <x:c r="Q976" s="7" t="str"/>
      <x:c r="R976" s="7" t="str"/>
      <x:c r="S976" s="15" t="str"/>
      <x:c r="T976" s="7" t="str">
        <x:v>No public business phone in collected record</x:v>
      </x:c>
      <x:c r="U976" s="7" t="str"/>
      <x:c r="V976" s="7" t="str">
        <x:v>Resident</x:v>
      </x:c>
      <x:c r="W976" s="7" t="str">
        <x:v>CA</x:v>
      </x:c>
      <x:c r="X976" s="7" t="str"/>
      <x:c r="Y976" s="7" t="str"/>
      <x:c r="Z976" s="7" t="str"/>
      <x:c r="AA976" s="7" t="str"/>
      <x:c r="AB976" s="7" t="str"/>
      <x:c r="AC976" s="7" t="str"/>
      <x:c r="AD976" s="7" t="str">
        <x:v>No agency or insurer displayed: onboarding opportunity possible; existing business unknown</x:v>
      </x:c>
      <x:c r="AE976" s="7" t="str">
        <x:v>No public business phone: contact enrichment needed, not proof of poor recruiting fit</x:v>
      </x:c>
      <x:c r="AF976" s="16" t="str"/>
      <x:c r="AG976" s="17" t="str"/>
      <x:c r="AH976" s="7" t="str"/>
      <x:c r="AI976" s="7" t="str"/>
      <x:c r="AJ976" s="7" t="str"/>
      <x:c r="AK976" s="15" t="str"/>
      <x:c r="AL976" s="7" t="str"/>
      <x:c r="AM976" s="7" t="str">
        <x:v>Aguilar M Oscar | AGUILAR MANUEL OSCAR</x:v>
      </x:c>
      <x:c r="AN976" s="7" t="str">
        <x:v>https://cdicloud.insurance.ca.gov/cal/LicenseDetail?SearchType=IND&amp;SearchLicNbr=0I93479&amp;SearchIndvId=1676139</x:v>
      </x:c>
      <x:c r="AO976" s="7" t="str">
        <x:v>2026-10-08</x:v>
      </x:c>
      <x:c r="AP976" s="7" t="str">
        <x:v>dccc9bd16ae067f23306f1a4fdeaaa958143111692e4b39f6a20d91d639bb14c</x:v>
      </x:c>
      <x:c r="AQ976" s="7" t="str">
        <x:v>Life-Only / Inactive / 06/13/2014 / 06/30/2016 / 06/30/2016</x:v>
      </x:c>
      <x:c r="AR976" s="7" t="str">
        <x:v>Inactive</x:v>
      </x:c>
      <x:c r="AS976" s="7" t="str">
        <x:v>Current detail page</x:v>
      </x:c>
    </x:row>
    <x:row r="977" ht="52" customHeight="1">
      <x:c r="A977" s="7" t="str">
        <x:v>AGUILAR OSCAR NARCISO</x:v>
      </x:c>
      <x:c r="B977" s="14" t="str">
        <x:f>"0E59270"</x:f>
        <x:v>0E59270</x:v>
      </x:c>
      <x:c r="C977" s="7" t="str">
        <x:v>Omitted</x:v>
      </x:c>
      <x:c r="D977" s="7" t="str">
        <x:v>FAIL</x:v>
      </x:c>
      <x:c r="E977" s="13" t="str">
        <x:v>Pending</x:v>
      </x:c>
      <x:c r="F977" s="13" t="str"/>
      <x:c r="G977" s="13" t="str"/>
      <x:c r="H977" s="13" t="str"/>
      <x:c r="I977" s="7" t="str">
        <x:v>Was this person reviewed? If rejected, give the actual rule and evidence. If acceptable, correct the omission. Confirm the Life-qualification gate and any record change since selection.</x:v>
      </x:c>
      <x:c r="J977" s="7" t="str">
        <x:v>L1</x:v>
      </x:c>
      <x:c r="K977" s="7" t="str">
        <x:v>Verified qualifications do not include active general Life. Current target-pool mismatch; actual historical omission reason unknown.</x:v>
      </x:c>
      <x:c r="L977" s="7" t="str">
        <x:v>Not supplied; membership is known, motive is not</x:v>
      </x:c>
      <x:c r="M977" s="7" t="n">
        <x:v>7</x:v>
      </x:c>
      <x:c r="N977" s="7" t="str">
        <x:v>Outside current general-Life recruiting pool</x:v>
      </x:c>
      <x:c r="O977" s="7" t="str">
        <x:v>Not displayed</x:v>
      </x:c>
      <x:c r="P977" s="7" t="str"/>
      <x:c r="Q977" s="7" t="str"/>
      <x:c r="R977" s="7" t="str">
        <x:v>Casualty; Property; Surplus Lines Broker</x:v>
      </x:c>
      <x:c r="S977" s="15" t="str">
        <x:v>517-555-1212</x:v>
      </x:c>
      <x:c r="T977" s="7" t="str">
        <x:v>Current CDI</x:v>
      </x:c>
      <x:c r="U977" s="7" t="str">
        <x:v>255 CALIFORNIA ST STE 950 SAN FRANCISCO CA, 94111-9000</x:v>
      </x:c>
      <x:c r="V977" s="7" t="str">
        <x:v>Resident</x:v>
      </x:c>
      <x:c r="W977" s="7" t="str">
        <x:v>CA</x:v>
      </x:c>
      <x:c r="X977" s="7" t="str">
        <x:v>LIU SPECIALTY INSURANCE AGENCY INC. / Surplus Lines Broker / 06/03/2026
IRONSHORE INSURANCE SERVICES, LLC / Surplus Lines Broker / 12/13/2018</x:v>
      </x:c>
      <x:c r="Y977" s="7" t="str">
        <x:v>MIC PROPERTY AND CASUALTY INSURANCE CORPORATION / Casualty / 09/01/2007
MIC PROPERTY AND CASUALTY INSURANCE CORPORATION / Property / 09/01/2007
MOTORS INSURANCE CORPORATION / Casualty / 09/01/2007
MOTORS INSURANCE CORPORATION / Property / 09/01/2007</x:v>
      </x:c>
      <x:c r="Z977" s="7" t="str"/>
      <x:c r="AA977" s="7" t="str"/>
      <x:c r="AB977" s="7" t="str"/>
      <x:c r="AC977" s="7" t="str"/>
      <x:c r="AD977" s="7" t="str"/>
      <x:c r="AE977" s="7" t="str">
        <x:v>P&amp;C/Personal Lines authority without displayed core Life appointments; mixed profile requires review</x:v>
      </x:c>
      <x:c r="AF977" s="16" t="str"/>
      <x:c r="AG977" s="17" t="str"/>
      <x:c r="AH977" s="7" t="str"/>
      <x:c r="AI977" s="7" t="str">
        <x:v>English, Spanish, Spanish</x:v>
      </x:c>
      <x:c r="AJ977" s="7" t="str"/>
      <x:c r="AK977" s="15" t="str"/>
      <x:c r="AL977" s="7" t="str"/>
      <x:c r="AM977" s="7" t="str">
        <x:v>AGUILAR NARCISO OSCAR</x:v>
      </x:c>
      <x:c r="AN977" s="7" t="str">
        <x:v>https://cdicloud.insurance.ca.gov/cal/LicenseDetail?SearchType=IND&amp;SearchLicNbr=0E59270&amp;SearchIndvId=433470</x:v>
      </x:c>
      <x:c r="AO977" s="7" t="str">
        <x:v>2026-10-08</x:v>
      </x:c>
      <x:c r="AP977" s="7" t="str">
        <x:v>b86cf2b623b2111e5945deb43c98c77980f5c713cce3a96a8fc2e61c1f132689</x:v>
      </x:c>
      <x:c r="AQ977" s="7" t="str">
        <x:v>Casualty / Active / 10/28/2004 / 10/28/2004 / 10/31/2026
Property / Active / 10/28/2004 / 10/28/2004 / 10/31/2026
Surplus Lines Broker / Active / 01/01/2008 / 01/01/2008 / 10/31/2026</x:v>
      </x:c>
      <x:c r="AR977" s="7" t="str">
        <x:v>Active</x:v>
      </x:c>
      <x:c r="AS977" s="7" t="str">
        <x:v>Current detail page</x:v>
      </x:c>
    </x:row>
    <x:row r="978" ht="52" customHeight="1">
      <x:c r="A978" s="7" t="str">
        <x:v>AGUILAR OSMAR</x:v>
      </x:c>
      <x:c r="B978" s="14" t="str">
        <x:f>"0B30592"</x:f>
        <x:v>0B30592</x:v>
      </x:c>
      <x:c r="C978" s="7" t="str">
        <x:v>Omitted</x:v>
      </x:c>
      <x:c r="D978" s="7" t="str">
        <x:v>FAIL</x:v>
      </x:c>
      <x:c r="E978" s="13" t="str">
        <x:v>Pending</x:v>
      </x:c>
      <x:c r="F978" s="13" t="str"/>
      <x:c r="G978" s="13" t="str"/>
      <x:c r="H978" s="13" t="str"/>
      <x:c r="I978" s="7" t="str">
        <x:v>Was this person reviewed? If rejected, give the actual rule and evidence. If acceptable, correct the omission. Confirm the Life-qualification gate and any record change since selection.</x:v>
      </x:c>
      <x:c r="J978" s="7" t="str">
        <x:v>L1</x:v>
      </x:c>
      <x:c r="K978" s="7" t="str">
        <x:v>Verified qualifications do not include active general Life. Current target-pool mismatch; actual historical omission reason unknown.</x:v>
      </x:c>
      <x:c r="L978" s="7" t="str">
        <x:v>Not supplied; membership is known, motive is not</x:v>
      </x:c>
      <x:c r="M978" s="7" t="n">
        <x:v>7</x:v>
      </x:c>
      <x:c r="N978" s="7" t="str">
        <x:v>Outside current general-Life recruiting pool</x:v>
      </x:c>
      <x:c r="O978" s="7" t="str">
        <x:v>Not displayed</x:v>
      </x:c>
      <x:c r="P978" s="7" t="str"/>
      <x:c r="Q978" s="7" t="str"/>
      <x:c r="R978" s="7" t="str"/>
      <x:c r="S978" s="15" t="str"/>
      <x:c r="T978" s="7" t="str">
        <x:v>No public business phone in collected record</x:v>
      </x:c>
      <x:c r="U978" s="7" t="str"/>
      <x:c r="V978" s="7" t="str">
        <x:v>Resident</x:v>
      </x:c>
      <x:c r="W978" s="7" t="str">
        <x:v>CA</x:v>
      </x:c>
      <x:c r="X978" s="7" t="str"/>
      <x:c r="Y978" s="7" t="str"/>
      <x:c r="Z978" s="7" t="str"/>
      <x:c r="AA978" s="7" t="str"/>
      <x:c r="AB978" s="7" t="str"/>
      <x:c r="AC978" s="7" t="str"/>
      <x:c r="AD978" s="7" t="str">
        <x:v>No agency or insurer displayed: onboarding opportunity possible; existing business unknown</x:v>
      </x:c>
      <x:c r="AE978" s="7" t="str">
        <x:v>No public business phone: contact enrichment needed, not proof of poor recruiting fit</x:v>
      </x:c>
      <x:c r="AF978" s="16" t="str"/>
      <x:c r="AG978" s="17" t="str"/>
      <x:c r="AH978" s="7" t="str"/>
      <x:c r="AI978" s="7" t="str"/>
      <x:c r="AJ978" s="7" t="str"/>
      <x:c r="AK978" s="15" t="str"/>
      <x:c r="AL978" s="7" t="str"/>
      <x:c r="AM978" s="7" t="str">
        <x:v>AGUILAR  OSMAR</x:v>
      </x:c>
      <x:c r="AN978" s="7" t="str">
        <x:v>https://cdicloud.insurance.ca.gov/cal/LicenseDetail?SearchType=IND&amp;SearchLicNbr=0B30592&amp;SearchIndvId=210987</x:v>
      </x:c>
      <x:c r="AO978" s="7" t="str">
        <x:v>2026-10-08</x:v>
      </x:c>
      <x:c r="AP978" s="7" t="str">
        <x:v>0ddd01951a4a9929cd097b10b27e7d4c6e4a6907f5b5ed59706489affe4c0f4a</x:v>
      </x:c>
      <x:c r="AQ978" s="7" t="str">
        <x:v>Accident and Health / Inactive / 02/02/1994 / 02/29/1996 / 02/29/1996
Life-Only / Inactive / 02/02/1994 / 02/29/1996 / 02/29/1996</x:v>
      </x:c>
      <x:c r="AR978" s="7" t="str">
        <x:v>Inactive</x:v>
      </x:c>
      <x:c r="AS978" s="7" t="str">
        <x:v>Current detail page</x:v>
      </x:c>
    </x:row>
    <x:row r="979" ht="52" customHeight="1">
      <x:c r="A979" s="7" t="str">
        <x:v>AGUILAR OSWALDO ANTONIO</x:v>
      </x:c>
      <x:c r="B979" s="14" t="str">
        <x:f>"0B64911"</x:f>
        <x:v>0B64911</x:v>
      </x:c>
      <x:c r="C979" s="7" t="str">
        <x:v>Omitted</x:v>
      </x:c>
      <x:c r="D979" s="7" t="str">
        <x:v>FAIL</x:v>
      </x:c>
      <x:c r="E979" s="13" t="str">
        <x:v>Pending</x:v>
      </x:c>
      <x:c r="F979" s="13" t="str"/>
      <x:c r="G979" s="13" t="str"/>
      <x:c r="H979" s="13" t="str"/>
      <x:c r="I979" s="7" t="str">
        <x:v>Was this person reviewed? If rejected, give the actual rule and evidence. If acceptable, correct the omission. Confirm the Life-qualification gate and any record change since selection.</x:v>
      </x:c>
      <x:c r="J979" s="7" t="str">
        <x:v>L1</x:v>
      </x:c>
      <x:c r="K979" s="7" t="str">
        <x:v>Verified qualifications do not include active general Life. Current target-pool mismatch; actual historical omission reason unknown.</x:v>
      </x:c>
      <x:c r="L979" s="7" t="str">
        <x:v>Not supplied; membership is known, motive is not</x:v>
      </x:c>
      <x:c r="M979" s="7" t="n">
        <x:v>7</x:v>
      </x:c>
      <x:c r="N979" s="7" t="str">
        <x:v>Outside current general-Life recruiting pool</x:v>
      </x:c>
      <x:c r="O979" s="7" t="str">
        <x:v>Not displayed</x:v>
      </x:c>
      <x:c r="P979" s="7" t="str"/>
      <x:c r="Q979" s="7" t="str"/>
      <x:c r="R979" s="7" t="str"/>
      <x:c r="S979" s="15" t="str"/>
      <x:c r="T979" s="7" t="str">
        <x:v>No public business phone in collected record</x:v>
      </x:c>
      <x:c r="U979" s="7" t="str"/>
      <x:c r="V979" s="7" t="str">
        <x:v>Resident</x:v>
      </x:c>
      <x:c r="W979" s="7" t="str">
        <x:v>CA</x:v>
      </x:c>
      <x:c r="X979" s="7" t="str">
        <x:v>PRIMERICA FINANCIAL SERVICES INSURANCE MARKETING, INC. / Life-Only / 02/02/2000
PRIMERICA FINANCIAL SERVICES INSURANCE MARKETING, INC. / Accident and Health / 02/02/2000
PRIMERICA FINANCIAL SERVICES INSURANCE MARKETING, INC. / Variable Contracts / 02/02/2000</x:v>
      </x:c>
      <x:c r="Y979" s="7" t="str"/>
      <x:c r="Z979" s="7" t="str"/>
      <x:c r="AA979" s="7" t="str"/>
      <x:c r="AB979" s="7" t="str"/>
      <x:c r="AC979" s="7" t="str"/>
      <x:c r="AD979" s="7" t="str">
        <x:v>Primerica relationship: matches an explicitly targeted recruiting segment</x:v>
      </x:c>
      <x:c r="AE979" s="7" t="str">
        <x:v>No public business phone: contact enrichment needed, not proof of poor recruiting fit</x:v>
      </x:c>
      <x:c r="AF979" s="16" t="str"/>
      <x:c r="AG979" s="17" t="str"/>
      <x:c r="AH979" s="7" t="str"/>
      <x:c r="AI979" s="7" t="str"/>
      <x:c r="AJ979" s="7" t="str"/>
      <x:c r="AK979" s="15" t="str"/>
      <x:c r="AL979" s="7" t="str"/>
      <x:c r="AM979" s="7" t="str">
        <x:v>AGUILAR ANTONIO OSWALDO</x:v>
      </x:c>
      <x:c r="AN979" s="7" t="str">
        <x:v>https://cdicloud.insurance.ca.gov/cal/LicenseDetail?SearchType=IND&amp;SearchLicNbr=0B64911&amp;SearchIndvId=243391</x:v>
      </x:c>
      <x:c r="AO979" s="7" t="str">
        <x:v>2026-10-08</x:v>
      </x:c>
      <x:c r="AP979" s="7" t="str">
        <x:v>8c29adbbe525670a28ba2d2595c2a409c2e986d7e4b1ac33461b532850b86e20</x:v>
      </x:c>
      <x:c r="AQ979" s="7" t="str">
        <x:v>Accident and Health / Inactive / 09/08/1995 / 09/30/2001 / 09/30/2001
Life-Only / Inactive / 09/08/1995 / 09/30/2001 / 09/30/2001
Variable Contracts / Inactive / 04/16/1997 / 09/30/2001 / 09/30/2001</x:v>
      </x:c>
      <x:c r="AR979" s="7" t="str">
        <x:v>Inactive</x:v>
      </x:c>
      <x:c r="AS979" s="7" t="str">
        <x:v>Current detail page</x:v>
      </x:c>
    </x:row>
    <x:row r="980" ht="52" customHeight="1">
      <x:c r="A980" s="7" t="str">
        <x:v>AGUILAR PACITA CABREROS</x:v>
      </x:c>
      <x:c r="B980" s="14" t="str">
        <x:f>"0677609"</x:f>
        <x:v>0677609</x:v>
      </x:c>
      <x:c r="C980" s="7" t="str">
        <x:v>Omitted</x:v>
      </x:c>
      <x:c r="D980" s="7" t="str">
        <x:v>FAIL</x:v>
      </x:c>
      <x:c r="E980" s="13" t="str">
        <x:v>Pending</x:v>
      </x:c>
      <x:c r="F980" s="13" t="str"/>
      <x:c r="G980" s="13" t="str"/>
      <x:c r="H980" s="13" t="str"/>
      <x:c r="I980" s="7" t="str">
        <x:v>Was this person reviewed? If rejected, give the actual rule and evidence. If acceptable, correct the omission. Confirm the Life-qualification gate and any record change since selection.</x:v>
      </x:c>
      <x:c r="J980" s="7" t="str">
        <x:v>L1</x:v>
      </x:c>
      <x:c r="K980" s="7" t="str">
        <x:v>Verified qualifications do not include active general Life. Current target-pool mismatch; actual historical omission reason unknown.</x:v>
      </x:c>
      <x:c r="L980" s="7" t="str">
        <x:v>Not supplied; membership is known, motive is not</x:v>
      </x:c>
      <x:c r="M980" s="7" t="n">
        <x:v>7</x:v>
      </x:c>
      <x:c r="N980" s="7" t="str">
        <x:v>Outside current general-Life recruiting pool</x:v>
      </x:c>
      <x:c r="O980" s="7" t="str">
        <x:v>Inactive</x:v>
      </x:c>
      <x:c r="P980" s="7" t="str">
        <x:v>12/28/1984</x:v>
      </x:c>
      <x:c r="Q980" s="7" t="str">
        <x:v>04/30/2023</x:v>
      </x:c>
      <x:c r="R980" s="7" t="str"/>
      <x:c r="S980" s="15" t="str">
        <x:v>415-236-1598</x:v>
      </x:c>
      <x:c r="T980" s="7" t="str">
        <x:v>Current CDI</x:v>
      </x:c>
      <x:c r="U980" s="7" t="str">
        <x:v>962 GENEVA AVE 2ND FLOOR SAN FRANCISCO CA, 94112</x:v>
      </x:c>
      <x:c r="V980" s="7" t="str">
        <x:v>Resident</x:v>
      </x:c>
      <x:c r="W980" s="7" t="str">
        <x:v>CA</x:v>
      </x:c>
      <x:c r="X980" s="7" t="str"/>
      <x:c r="Y980" s="7" t="str"/>
      <x:c r="Z980" s="7" t="str"/>
      <x:c r="AA980" s="7" t="str"/>
      <x:c r="AB980" s="7" t="str"/>
      <x:c r="AC980" s="7" t="str"/>
      <x:c r="AD980" s="7" t="str">
        <x:v>No agency or insurer displayed: onboarding opportunity possible; existing business unknown</x:v>
      </x:c>
      <x:c r="AE980" s="7" t="str"/>
      <x:c r="AF980" s="16" t="str"/>
      <x:c r="AG980" s="17" t="str"/>
      <x:c r="AH980" s="7" t="str"/>
      <x:c r="AI980" s="7" t="str">
        <x:v>English</x:v>
      </x:c>
      <x:c r="AJ980" s="7" t="str"/>
      <x:c r="AK980" s="15" t="str"/>
      <x:c r="AL980" s="7" t="str"/>
      <x:c r="AM980" s="7" t="str">
        <x:v>AGUILAR CABREROS PACITA</x:v>
      </x:c>
      <x:c r="AN980" s="7" t="str">
        <x:v>https://cdicloud.insurance.ca.gov/cal/LicenseDetail?SearchType=IND&amp;SearchLicNbr=0677609&amp;SearchIndvId=408635</x:v>
      </x:c>
      <x:c r="AO980" s="7" t="str">
        <x:v>2026-10-08</x:v>
      </x:c>
      <x:c r="AP980" s="7" t="str">
        <x:v>8a406337a899c8a692d3c4590880add92af0d5c42c2061040b9a6155e8e33989</x:v>
      </x:c>
      <x:c r="AQ980" s="7" t="str">
        <x:v>Life / Inactive / 12/28/1984 / 04/30/2023 / 04/30/2023</x:v>
      </x:c>
      <x:c r="AR980" s="7" t="str">
        <x:v>Inactive</x:v>
      </x:c>
      <x:c r="AS980" s="7" t="str">
        <x:v>Current detail page</x:v>
      </x:c>
    </x:row>
    <x:row r="981" ht="52" customHeight="1">
      <x:c r="A981" s="7" t="str">
        <x:v>AGUILAR PAMELA</x:v>
      </x:c>
      <x:c r="B981" s="14" t="str">
        <x:f>"0L44486"</x:f>
        <x:v>0L44486</x:v>
      </x:c>
      <x:c r="C981" s="7" t="str">
        <x:v>Omitted</x:v>
      </x:c>
      <x:c r="D981" s="7" t="str">
        <x:v>FAIL</x:v>
      </x:c>
      <x:c r="E981" s="13" t="str">
        <x:v>Pending</x:v>
      </x:c>
      <x:c r="F981" s="13" t="str"/>
      <x:c r="G981" s="13" t="str"/>
      <x:c r="H981" s="13" t="str"/>
      <x:c r="I981" s="7" t="str">
        <x:v>Was this person reviewed? If rejected, give the actual rule and evidence. If acceptable, correct the omission. Confirm the Life-qualification gate and any record change since selection.</x:v>
      </x:c>
      <x:c r="J981" s="7" t="str">
        <x:v>L1</x:v>
      </x:c>
      <x:c r="K981" s="7" t="str">
        <x:v>Verified qualifications do not include active general Life. Current target-pool mismatch; actual historical omission reason unknown.</x:v>
      </x:c>
      <x:c r="L981" s="7" t="str">
        <x:v>Not supplied; membership is known, motive is not</x:v>
      </x:c>
      <x:c r="M981" s="7" t="n">
        <x:v>7</x:v>
      </x:c>
      <x:c r="N981" s="7" t="str">
        <x:v>Outside current general-Life recruiting pool</x:v>
      </x:c>
      <x:c r="O981" s="7" t="str">
        <x:v>Not displayed</x:v>
      </x:c>
      <x:c r="P981" s="7" t="str"/>
      <x:c r="Q981" s="7" t="str"/>
      <x:c r="R981" s="7" t="str"/>
      <x:c r="S981" s="15" t="str"/>
      <x:c r="T981" s="7" t="str">
        <x:v>No public business phone in collected record</x:v>
      </x:c>
      <x:c r="U981" s="7" t="str"/>
      <x:c r="V981" s="7" t="str">
        <x:v>Resident</x:v>
      </x:c>
      <x:c r="W981" s="7" t="str">
        <x:v>CA</x:v>
      </x:c>
      <x:c r="X981" s="7" t="str"/>
      <x:c r="Y981" s="7" t="str"/>
      <x:c r="Z981" s="7" t="str"/>
      <x:c r="AA981" s="7" t="str"/>
      <x:c r="AB981" s="7" t="str"/>
      <x:c r="AC981" s="7" t="str"/>
      <x:c r="AD981" s="7" t="str">
        <x:v>No agency or insurer displayed: onboarding opportunity possible; existing business unknown</x:v>
      </x:c>
      <x:c r="AE981" s="7" t="str">
        <x:v>No public business phone: contact enrichment needed, not proof of poor recruiting fit</x:v>
      </x:c>
      <x:c r="AF981" s="16" t="str"/>
      <x:c r="AG981" s="17" t="str"/>
      <x:c r="AH981" s="7" t="str"/>
      <x:c r="AI981" s="7" t="str"/>
      <x:c r="AJ981" s="7" t="str"/>
      <x:c r="AK981" s="15" t="str"/>
      <x:c r="AL981" s="7" t="str"/>
      <x:c r="AM981" s="7" t="str">
        <x:v>AGUILAR  PAMELA</x:v>
      </x:c>
      <x:c r="AN981" s="7" t="str">
        <x:v>https://cdicloud.insurance.ca.gov/cal/LicenseDetail?SearchType=IND&amp;SearchLicNbr=0L44486&amp;SearchIndvId=1894002</x:v>
      </x:c>
      <x:c r="AO981" s="7" t="str">
        <x:v>2026-10-08</x:v>
      </x:c>
      <x:c r="AP981" s="7" t="str">
        <x:v>df7157919ae59da0827b4cb4e53ff8e59f11da781d923e976f613a7542302950</x:v>
      </x:c>
      <x:c r="AQ981" s="7" t="str">
        <x:v>Life-Only / Inactive / 12/13/2016 / 12/31/2018 / 12/31/2018</x:v>
      </x:c>
      <x:c r="AR981" s="7" t="str">
        <x:v>Inactive</x:v>
      </x:c>
      <x:c r="AS981" s="7" t="str">
        <x:v>Current detail page</x:v>
      </x:c>
    </x:row>
    <x:row r="982" ht="52" customHeight="1">
      <x:c r="A982" s="7" t="str">
        <x:v>AGUILAR PAMELA IBAY</x:v>
      </x:c>
      <x:c r="B982" s="14" t="str">
        <x:f>"4033165"</x:f>
        <x:v>4033165</x:v>
      </x:c>
      <x:c r="C982" s="7" t="str">
        <x:v>Omitted</x:v>
      </x:c>
      <x:c r="D982" s="7" t="str">
        <x:v>FAIL</x:v>
      </x:c>
      <x:c r="E982" s="13" t="str">
        <x:v>Pending</x:v>
      </x:c>
      <x:c r="F982" s="13" t="str"/>
      <x:c r="G982" s="13" t="str"/>
      <x:c r="H982" s="13" t="str"/>
      <x:c r="I982" s="7" t="str">
        <x:v>Was this person reviewed? If rejected, give the actual rule and evidence. If acceptable, correct the omission. Confirm the Life-qualification gate and any record change since selection.</x:v>
      </x:c>
      <x:c r="J982" s="7" t="str">
        <x:v>L1</x:v>
      </x:c>
      <x:c r="K982" s="7" t="str">
        <x:v>Verified qualifications do not include active general Life. Current target-pool mismatch; actual historical omission reason unknown.</x:v>
      </x:c>
      <x:c r="L982" s="7" t="str">
        <x:v>Not supplied; membership is known, motive is not</x:v>
      </x:c>
      <x:c r="M982" s="7" t="n">
        <x:v>7</x:v>
      </x:c>
      <x:c r="N982" s="7" t="str">
        <x:v>Outside current general-Life recruiting pool</x:v>
      </x:c>
      <x:c r="O982" s="7" t="str">
        <x:v>Inactive</x:v>
      </x:c>
      <x:c r="P982" s="7" t="str">
        <x:v>04/02/2020</x:v>
      </x:c>
      <x:c r="Q982" s="7" t="str">
        <x:v>04/30/2022</x:v>
      </x:c>
      <x:c r="R982" s="7" t="str"/>
      <x:c r="S982" s="15" t="str">
        <x:v>408-275-9192</x:v>
      </x:c>
      <x:c r="T982" s="7" t="str">
        <x:v>Current CDI</x:v>
      </x:c>
      <x:c r="U982" s="7" t="str">
        <x:v>5201 GREAT AMERICA PARKWAY STE 320 SANTA CLARA CA, 95054</x:v>
      </x:c>
      <x:c r="V982" s="7" t="str">
        <x:v>Resident</x:v>
      </x:c>
      <x:c r="W982" s="7" t="str">
        <x:v>CA</x:v>
      </x:c>
      <x:c r="X982" s="7" t="str"/>
      <x:c r="Y982" s="7" t="str"/>
      <x:c r="Z982" s="7" t="str"/>
      <x:c r="AA982" s="7" t="str"/>
      <x:c r="AB982" s="7" t="str"/>
      <x:c r="AC982" s="7" t="str"/>
      <x:c r="AD982" s="7" t="str">
        <x:v>No agency or insurer displayed: onboarding opportunity possible; existing business unknown</x:v>
      </x:c>
      <x:c r="AE982" s="7" t="str"/>
      <x:c r="AF982" s="16" t="str"/>
      <x:c r="AG982" s="17" t="str"/>
      <x:c r="AH982" s="7" t="str"/>
      <x:c r="AI982" s="7" t="str">
        <x:v>English</x:v>
      </x:c>
      <x:c r="AJ982" s="7" t="str"/>
      <x:c r="AK982" s="15" t="str"/>
      <x:c r="AL982" s="7" t="str"/>
      <x:c r="AM982" s="7" t="str">
        <x:v>Aguilar I Pamela | AGUILAR IBAY PAMELA</x:v>
      </x:c>
      <x:c r="AN982" s="7" t="str">
        <x:v>https://cdicloud.insurance.ca.gov/cal/LicenseDetail?SearchType=IND&amp;SearchLicNbr=4033165&amp;SearchIndvId=4033165</x:v>
      </x:c>
      <x:c r="AO982" s="7" t="str">
        <x:v>2026-10-08</x:v>
      </x:c>
      <x:c r="AP982" s="7" t="str">
        <x:v>cf60441c92ccf1cd755058c2e7198c2e09af1e4dc63c9ec101b93c0fce705e71</x:v>
      </x:c>
      <x:c r="AQ982" s="7" t="str">
        <x:v>Life / Inactive / 04/02/2020 / 04/30/2022 / 04/30/2022</x:v>
      </x:c>
      <x:c r="AR982" s="7" t="str">
        <x:v>Inactive</x:v>
      </x:c>
      <x:c r="AS982" s="7" t="str">
        <x:v>Current detail page</x:v>
      </x:c>
    </x:row>
    <x:row r="983" ht="52" customHeight="1">
      <x:c r="A983" s="7" t="str">
        <x:v>AGUILAR PATRICIA</x:v>
      </x:c>
      <x:c r="B983" s="14" t="str">
        <x:f>"0J02153"</x:f>
        <x:v>0J02153</x:v>
      </x:c>
      <x:c r="C983" s="7" t="str">
        <x:v>Omitted</x:v>
      </x:c>
      <x:c r="D983" s="7" t="str">
        <x:v>FAIL</x:v>
      </x:c>
      <x:c r="E983" s="13" t="str">
        <x:v>Pending</x:v>
      </x:c>
      <x:c r="F983" s="13" t="str"/>
      <x:c r="G983" s="13" t="str"/>
      <x:c r="H983" s="13" t="str"/>
      <x:c r="I983" s="7" t="str">
        <x:v>Was this person reviewed? If rejected, give the actual rule and evidence. If acceptable, correct the omission. Confirm the Life-qualification gate and any record change since selection.</x:v>
      </x:c>
      <x:c r="J983" s="7" t="str">
        <x:v>L1</x:v>
      </x:c>
      <x:c r="K983" s="7" t="str">
        <x:v>Verified qualifications do not include active general Life. Current target-pool mismatch; actual historical omission reason unknown.</x:v>
      </x:c>
      <x:c r="L983" s="7" t="str">
        <x:v>Not supplied; membership is known, motive is not</x:v>
      </x:c>
      <x:c r="M983" s="7" t="n">
        <x:v>7</x:v>
      </x:c>
      <x:c r="N983" s="7" t="str">
        <x:v>Outside current general-Life recruiting pool</x:v>
      </x:c>
      <x:c r="O983" s="7" t="str">
        <x:v>Not displayed</x:v>
      </x:c>
      <x:c r="P983" s="7" t="str"/>
      <x:c r="Q983" s="7" t="str"/>
      <x:c r="R983" s="7" t="str"/>
      <x:c r="S983" s="15" t="str"/>
      <x:c r="T983" s="7" t="str">
        <x:v>No public business phone in collected record</x:v>
      </x:c>
      <x:c r="U983" s="7" t="str"/>
      <x:c r="V983" s="7" t="str">
        <x:v>Resident</x:v>
      </x:c>
      <x:c r="W983" s="7" t="str">
        <x:v>CA</x:v>
      </x:c>
      <x:c r="X983" s="7" t="str"/>
      <x:c r="Y983" s="7" t="str"/>
      <x:c r="Z983" s="7" t="str"/>
      <x:c r="AA983" s="7" t="str"/>
      <x:c r="AB983" s="7" t="str"/>
      <x:c r="AC983" s="7" t="str"/>
      <x:c r="AD983" s="7" t="str">
        <x:v>No agency or insurer displayed: onboarding opportunity possible; existing business unknown</x:v>
      </x:c>
      <x:c r="AE983" s="7" t="str">
        <x:v>No public business phone: contact enrichment needed, not proof of poor recruiting fit</x:v>
      </x:c>
      <x:c r="AF983" s="16" t="str"/>
      <x:c r="AG983" s="17" t="str"/>
      <x:c r="AH983" s="7" t="str"/>
      <x:c r="AI983" s="7" t="str"/>
      <x:c r="AJ983" s="7" t="str"/>
      <x:c r="AK983" s="15" t="str"/>
      <x:c r="AL983" s="7" t="str"/>
      <x:c r="AM983" s="7" t="str">
        <x:v>AGUILAR  PATRICIA | AGUILAR  PATRIICA</x:v>
      </x:c>
      <x:c r="AN983" s="7" t="str">
        <x:v>https://cdicloud.insurance.ca.gov/cal/LicenseDetail?SearchType=IND&amp;SearchLicNbr=0J02153&amp;SearchIndvId=1688580</x:v>
      </x:c>
      <x:c r="AO983" s="7" t="str">
        <x:v>2026-10-08</x:v>
      </x:c>
      <x:c r="AP983" s="7" t="str">
        <x:v>5dee6d82e7c908ef9eadb9736ba2731e212aaf3ee4f2988954ec519cf8783094</x:v>
      </x:c>
      <x:c r="AQ983" s="7" t="str">
        <x:v>Personal Lines Broker-Agent / Inactive / 08/22/2014 / 08/31/2016 / 08/31/2016</x:v>
      </x:c>
      <x:c r="AR983" s="7" t="str">
        <x:v>Inactive</x:v>
      </x:c>
      <x:c r="AS983" s="7" t="str">
        <x:v>Current detail page</x:v>
      </x:c>
    </x:row>
    <x:row r="984" ht="52" customHeight="1">
      <x:c r="A984" s="7" t="str">
        <x:v>AGUILAR PATRICIA</x:v>
      </x:c>
      <x:c r="B984" s="14" t="str">
        <x:f>"0M18063"</x:f>
        <x:v>0M18063</x:v>
      </x:c>
      <x:c r="C984" s="7" t="str">
        <x:v>Omitted</x:v>
      </x:c>
      <x:c r="D984" s="7" t="str">
        <x:v>FAIL</x:v>
      </x:c>
      <x:c r="E984" s="13" t="str">
        <x:v>Pending</x:v>
      </x:c>
      <x:c r="F984" s="13" t="str"/>
      <x:c r="G984" s="13" t="str"/>
      <x:c r="H984" s="13" t="str"/>
      <x:c r="I984" s="7" t="str">
        <x:v>Was this person reviewed? If rejected, give the actual rule and evidence. If acceptable, correct the omission. Confirm the Life-qualification gate and any record change since selection.</x:v>
      </x:c>
      <x:c r="J984" s="7" t="str">
        <x:v>L1</x:v>
      </x:c>
      <x:c r="K984" s="7" t="str">
        <x:v>Verified qualifications do not include active general Life. Current target-pool mismatch; actual historical omission reason unknown.</x:v>
      </x:c>
      <x:c r="L984" s="7" t="str">
        <x:v>Not supplied; membership is known, motive is not</x:v>
      </x:c>
      <x:c r="M984" s="7" t="n">
        <x:v>7</x:v>
      </x:c>
      <x:c r="N984" s="7" t="str">
        <x:v>Outside current general-Life recruiting pool</x:v>
      </x:c>
      <x:c r="O984" s="7" t="str">
        <x:v>Not displayed</x:v>
      </x:c>
      <x:c r="P984" s="7" t="str"/>
      <x:c r="Q984" s="7" t="str"/>
      <x:c r="R984" s="7" t="str">
        <x:v>Casualty; Property</x:v>
      </x:c>
      <x:c r="S984" s="15" t="str">
        <x:v>714-929-8666</x:v>
      </x:c>
      <x:c r="T984" s="7" t="str">
        <x:v>Current CDI</x:v>
      </x:c>
      <x:c r="U984" s="7" t="str">
        <x:v>216 CONTESSA IRVINE CA, 92620</x:v>
      </x:c>
      <x:c r="V984" s="7" t="str">
        <x:v>Resident</x:v>
      </x:c>
      <x:c r="W984" s="7" t="str">
        <x:v>CA</x:v>
      </x:c>
      <x:c r="X984" s="7" t="str"/>
      <x:c r="Y984" s="7" t="str"/>
      <x:c r="Z984" s="7" t="str"/>
      <x:c r="AA984" s="7" t="str"/>
      <x:c r="AB984" s="7" t="str"/>
      <x:c r="AC984" s="7" t="str"/>
      <x:c r="AD984" s="7" t="str">
        <x:v>No agency or insurer displayed: onboarding opportunity possible; existing business unknown</x:v>
      </x:c>
      <x:c r="AE984" s="7" t="str">
        <x:v>P&amp;C/Personal Lines authority without displayed core Life appointments; mixed profile requires review</x:v>
      </x:c>
      <x:c r="AF984" s="16" t="str"/>
      <x:c r="AG984" s="17" t="str"/>
      <x:c r="AH984" s="7" t="str"/>
      <x:c r="AI984" s="7" t="str">
        <x:v>English</x:v>
      </x:c>
      <x:c r="AJ984" s="7" t="str"/>
      <x:c r="AK984" s="15" t="str"/>
      <x:c r="AL984" s="7" t="str"/>
      <x:c r="AM984" s="7" t="str">
        <x:v>AGUILAR  PATRICIA</x:v>
      </x:c>
      <x:c r="AN984" s="7" t="str">
        <x:v>https://cdicloud.insurance.ca.gov/cal/LicenseDetail?SearchType=IND&amp;SearchLicNbr=0M18063&amp;SearchIndvId=1994927</x:v>
      </x:c>
      <x:c r="AO984" s="7" t="str">
        <x:v>2026-10-08</x:v>
      </x:c>
      <x:c r="AP984" s="7" t="str">
        <x:v>1759c0bb70e2939181cf3c18cb741627d9f34e6036ab10c0db56da047990442d</x:v>
      </x:c>
      <x:c r="AQ984" s="7" t="str">
        <x:v>Casualty / Active / 01/31/2018 / 03/07/2026 / 01/31/2028
Property / Active / 01/31/2018 / 03/07/2026 / 01/31/2028</x:v>
      </x:c>
      <x:c r="AR984" s="7" t="str">
        <x:v>Active</x:v>
      </x:c>
      <x:c r="AS984" s="7" t="str">
        <x:v>Current detail page</x:v>
      </x:c>
    </x:row>
    <x:row r="985" ht="52" customHeight="1">
      <x:c r="A985" s="7" t="str">
        <x:v>AGUILAR PATRICIA</x:v>
      </x:c>
      <x:c r="B985" s="14" t="str">
        <x:f>"4239332"</x:f>
        <x:v>4239332</x:v>
      </x:c>
      <x:c r="C985" s="7" t="str">
        <x:v>Omitted</x:v>
      </x:c>
      <x:c r="D985" s="7" t="str">
        <x:v>FAIL</x:v>
      </x:c>
      <x:c r="E985" s="13" t="str">
        <x:v>Pending</x:v>
      </x:c>
      <x:c r="F985" s="13" t="str"/>
      <x:c r="G985" s="13" t="str"/>
      <x:c r="H985" s="13" t="str"/>
      <x:c r="I985" s="7" t="str">
        <x:v>Was this person reviewed? If rejected, give the actual rule and evidence. If acceptable, correct the omission. Confirm the Life-qualification gate and any record change since selection.</x:v>
      </x:c>
      <x:c r="J985" s="7" t="str">
        <x:v>L1</x:v>
      </x:c>
      <x:c r="K985" s="7" t="str">
        <x:v>Verified qualifications do not include active general Life. Current target-pool mismatch; actual historical omission reason unknown.</x:v>
      </x:c>
      <x:c r="L985" s="7" t="str">
        <x:v>Not supplied; membership is known, motive is not</x:v>
      </x:c>
      <x:c r="M985" s="7" t="n">
        <x:v>7</x:v>
      </x:c>
      <x:c r="N985" s="7" t="str">
        <x:v>Outside current general-Life recruiting pool</x:v>
      </x:c>
      <x:c r="O985" s="7" t="str">
        <x:v>Inactive</x:v>
      </x:c>
      <x:c r="P985" s="7" t="str">
        <x:v>09/23/2022</x:v>
      </x:c>
      <x:c r="Q985" s="7" t="str">
        <x:v>09/30/2024</x:v>
      </x:c>
      <x:c r="R985" s="7" t="str"/>
      <x:c r="S985" s="15" t="str"/>
      <x:c r="T985" s="7" t="str">
        <x:v>No public business phone in collected record</x:v>
      </x:c>
      <x:c r="U985" s="7" t="str">
        <x:v>8673 HAYDEN PLACE CULVER CITY CA, 90232</x:v>
      </x:c>
      <x:c r="V985" s="7" t="str">
        <x:v>Resident</x:v>
      </x:c>
      <x:c r="W985" s="7" t="str">
        <x:v>CA</x:v>
      </x:c>
      <x:c r="X985" s="7" t="str"/>
      <x:c r="Y985" s="7" t="str"/>
      <x:c r="Z985" s="7" t="str"/>
      <x:c r="AA985" s="7" t="str"/>
      <x:c r="AB985" s="7" t="str"/>
      <x:c r="AC985" s="7" t="str"/>
      <x:c r="AD985" s="7" t="str">
        <x:v>No agency or insurer displayed: onboarding opportunity possible; existing business unknown</x:v>
      </x:c>
      <x:c r="AE985" s="7" t="str">
        <x:v>No public business phone: contact enrichment needed, not proof of poor recruiting fit</x:v>
      </x:c>
      <x:c r="AF985" s="16" t="str"/>
      <x:c r="AG985" s="17" t="str"/>
      <x:c r="AH985" s="7" t="str"/>
      <x:c r="AI985" s="7" t="str"/>
      <x:c r="AJ985" s="7" t="str"/>
      <x:c r="AK985" s="15" t="str"/>
      <x:c r="AL985" s="7" t="str"/>
      <x:c r="AM985" s="7" t="str">
        <x:v>AGUILAR  PATRICIA</x:v>
      </x:c>
      <x:c r="AN985" s="7" t="str">
        <x:v>https://cdicloud.insurance.ca.gov/cal/LicenseDetail?SearchType=IND&amp;SearchLicNbr=4239332&amp;SearchIndvId=4239332</x:v>
      </x:c>
      <x:c r="AO985" s="7" t="str">
        <x:v>2026-10-08</x:v>
      </x:c>
      <x:c r="AP985" s="7" t="str">
        <x:v>e79472ee3eead8740b9cbf2ac00045e86518cfe3a051a33c3ebc2735e74a27cd</x:v>
      </x:c>
      <x:c r="AQ985" s="7" t="str">
        <x:v>Life / Inactive / 09/23/2022 / 09/30/2024 / 09/30/2024</x:v>
      </x:c>
      <x:c r="AR985" s="7" t="str">
        <x:v>Inactive</x:v>
      </x:c>
      <x:c r="AS985" s="7" t="str">
        <x:v>Current detail page</x:v>
      </x:c>
    </x:row>
    <x:row r="986" ht="52" customHeight="1">
      <x:c r="A986" s="7" t="str">
        <x:v>AGUILAR PATRICIA ANN</x:v>
      </x:c>
      <x:c r="B986" s="14" t="str">
        <x:f>"0B61640"</x:f>
        <x:v>0B61640</x:v>
      </x:c>
      <x:c r="C986" s="7" t="str">
        <x:v>Omitted</x:v>
      </x:c>
      <x:c r="D986" s="7" t="str">
        <x:v>FAIL</x:v>
      </x:c>
      <x:c r="E986" s="13" t="str">
        <x:v>Pending</x:v>
      </x:c>
      <x:c r="F986" s="13" t="str"/>
      <x:c r="G986" s="13" t="str"/>
      <x:c r="H986" s="13" t="str"/>
      <x:c r="I986" s="7" t="str">
        <x:v>Was this person reviewed? If rejected, give the actual rule and evidence. If acceptable, correct the omission. Confirm the Life-qualification gate and any record change since selection.</x:v>
      </x:c>
      <x:c r="J986" s="7" t="str">
        <x:v>L1</x:v>
      </x:c>
      <x:c r="K986" s="7" t="str">
        <x:v>Verified qualifications do not include active general Life. Current target-pool mismatch; actual historical omission reason unknown.</x:v>
      </x:c>
      <x:c r="L986" s="7" t="str">
        <x:v>Not supplied; membership is known, motive is not</x:v>
      </x:c>
      <x:c r="M986" s="7" t="n">
        <x:v>7</x:v>
      </x:c>
      <x:c r="N986" s="7" t="str">
        <x:v>Outside current general-Life recruiting pool</x:v>
      </x:c>
      <x:c r="O986" s="7" t="str">
        <x:v>Not displayed</x:v>
      </x:c>
      <x:c r="P986" s="7" t="str"/>
      <x:c r="Q986" s="7" t="str"/>
      <x:c r="R986" s="7" t="str"/>
      <x:c r="S986" s="15" t="str"/>
      <x:c r="T986" s="7" t="str">
        <x:v>No public business phone in collected record</x:v>
      </x:c>
      <x:c r="U986" s="7" t="str"/>
      <x:c r="V986" s="7" t="str">
        <x:v>Non-resident</x:v>
      </x:c>
      <x:c r="W986" s="7" t="str">
        <x:v>VA</x:v>
      </x:c>
      <x:c r="X986" s="7" t="str"/>
      <x:c r="Y986" s="7" t="str"/>
      <x:c r="Z986" s="7" t="str"/>
      <x:c r="AA986" s="7" t="str"/>
      <x:c r="AB986" s="7" t="str"/>
      <x:c r="AC986" s="7" t="str"/>
      <x:c r="AD986" s="7" t="str">
        <x:v>No agency or insurer displayed: onboarding opportunity possible; existing business unknown</x:v>
      </x:c>
      <x:c r="AE986" s="7" t="str">
        <x:v>Nonresident or address state outside CA; confirm geographic recruiting scope | No public business phone: contact enrichment needed, not proof of poor recruiting fit</x:v>
      </x:c>
      <x:c r="AF986" s="16" t="str"/>
      <x:c r="AG986" s="17" t="str"/>
      <x:c r="AH986" s="7" t="str"/>
      <x:c r="AI986" s="7" t="str"/>
      <x:c r="AJ986" s="7" t="str"/>
      <x:c r="AK986" s="15" t="str"/>
      <x:c r="AL986" s="7" t="str"/>
      <x:c r="AM986" s="7" t="str">
        <x:v>AGUILAR ANN PATRICIA</x:v>
      </x:c>
      <x:c r="AN986" s="7" t="str">
        <x:v>https://cdicloud.insurance.ca.gov/cal/LicenseDetail?SearchType=IND&amp;SearchLicNbr=0B61640&amp;SearchIndvId=240333</x:v>
      </x:c>
      <x:c r="AO986" s="7" t="str">
        <x:v>2026-10-08</x:v>
      </x:c>
      <x:c r="AP986" s="7" t="str">
        <x:v>b307d3b59fc122c1efe438008061b406c3e5d1afe91016994b3e0ef836af5608</x:v>
      </x:c>
      <x:c r="AQ986" s="7" t="str">
        <x:v>Casualty Broker-Agent / Inactive / 06/26/1995 / 11/20/2009 / 11/20/2009
Property Broker-Agent / Inactive / 06/26/1995 / 11/20/2009 / 11/20/2009</x:v>
      </x:c>
      <x:c r="AR986" s="7" t="str">
        <x:v>Inactive</x:v>
      </x:c>
      <x:c r="AS986" s="7" t="str">
        <x:v>Current detail page</x:v>
      </x:c>
    </x:row>
    <x:row r="987" ht="52" customHeight="1">
      <x:c r="A987" s="7" t="str">
        <x:v>AGUILAR PATRICIA ANNE</x:v>
      </x:c>
      <x:c r="B987" s="14" t="str">
        <x:f>"0C72763"</x:f>
        <x:v>0C72763</x:v>
      </x:c>
      <x:c r="C987" s="7" t="str">
        <x:v>Omitted</x:v>
      </x:c>
      <x:c r="D987" s="7" t="str">
        <x:v>FAIL</x:v>
      </x:c>
      <x:c r="E987" s="13" t="str">
        <x:v>Pending</x:v>
      </x:c>
      <x:c r="F987" s="13" t="str"/>
      <x:c r="G987" s="13" t="str"/>
      <x:c r="H987" s="13" t="str"/>
      <x:c r="I987" s="7" t="str">
        <x:v>Was this person reviewed? If rejected, give the actual rule and evidence. If acceptable, correct the omission. Confirm the Life-qualification gate and any record change since selection.</x:v>
      </x:c>
      <x:c r="J987" s="7" t="str">
        <x:v>L1</x:v>
      </x:c>
      <x:c r="K987" s="7" t="str">
        <x:v>Verified qualifications do not include active general Life. Current target-pool mismatch; actual historical omission reason unknown.</x:v>
      </x:c>
      <x:c r="L987" s="7" t="str">
        <x:v>Not supplied; membership is known, motive is not</x:v>
      </x:c>
      <x:c r="M987" s="7" t="n">
        <x:v>7</x:v>
      </x:c>
      <x:c r="N987" s="7" t="str">
        <x:v>Outside current general-Life recruiting pool</x:v>
      </x:c>
      <x:c r="O987" s="7" t="str">
        <x:v>Not displayed</x:v>
      </x:c>
      <x:c r="P987" s="7" t="str"/>
      <x:c r="Q987" s="7" t="str"/>
      <x:c r="R987" s="7" t="str"/>
      <x:c r="S987" s="15" t="str"/>
      <x:c r="T987" s="7" t="str">
        <x:v>No public business phone in collected record</x:v>
      </x:c>
      <x:c r="U987" s="7" t="str"/>
      <x:c r="V987" s="7" t="str">
        <x:v>Resident</x:v>
      </x:c>
      <x:c r="W987" s="7" t="str">
        <x:v>CA</x:v>
      </x:c>
      <x:c r="X987" s="7" t="str"/>
      <x:c r="Y987" s="7" t="str"/>
      <x:c r="Z987" s="7" t="str"/>
      <x:c r="AA987" s="7" t="str"/>
      <x:c r="AB987" s="7" t="str"/>
      <x:c r="AC987" s="7" t="str"/>
      <x:c r="AD987" s="7" t="str">
        <x:v>No agency or insurer displayed: onboarding opportunity possible; existing business unknown</x:v>
      </x:c>
      <x:c r="AE987" s="7" t="str">
        <x:v>No public business phone: contact enrichment needed, not proof of poor recruiting fit</x:v>
      </x:c>
      <x:c r="AF987" s="16" t="str"/>
      <x:c r="AG987" s="17" t="str"/>
      <x:c r="AH987" s="7" t="str"/>
      <x:c r="AI987" s="7" t="str"/>
      <x:c r="AJ987" s="7" t="str"/>
      <x:c r="AK987" s="15" t="str"/>
      <x:c r="AL987" s="7" t="str"/>
      <x:c r="AM987" s="7" t="str">
        <x:v>AGUILAR ANNE PATRICIA</x:v>
      </x:c>
      <x:c r="AN987" s="7" t="str">
        <x:v>https://cdicloud.insurance.ca.gov/cal/LicenseDetail?SearchType=IND&amp;SearchLicNbr=0C72763&amp;SearchIndvId=455719</x:v>
      </x:c>
      <x:c r="AO987" s="7" t="str">
        <x:v>2026-10-08</x:v>
      </x:c>
      <x:c r="AP987" s="7" t="str">
        <x:v>602f32f0284d07be1e14bcd8ce08e234f22729d26ecc9884266158f0979da74b</x:v>
      </x:c>
      <x:c r="AQ987" s="7" t="str">
        <x:v>Accident and Health / Inactive / 09/10/1999 / 09/30/2007 / 09/30/2007
Life-Only / Inactive / 09/10/1999 / 09/30/2007 / 09/30/2007
Variable Contracts / Inactive / 09/10/1999 / 09/30/2007 / 09/30/2007</x:v>
      </x:c>
      <x:c r="AR987" s="7" t="str">
        <x:v>Inactive</x:v>
      </x:c>
      <x:c r="AS987" s="7" t="str">
        <x:v>Current detail page</x:v>
      </x:c>
    </x:row>
    <x:row r="988" ht="52" customHeight="1">
      <x:c r="A988" s="7" t="str">
        <x:v>AGUILAR PATRICK</x:v>
      </x:c>
      <x:c r="B988" s="14" t="str">
        <x:f>"4571412"</x:f>
        <x:v>4571412</x:v>
      </x:c>
      <x:c r="C988" s="7" t="str">
        <x:v>Omitted</x:v>
      </x:c>
      <x:c r="D988" s="7" t="str">
        <x:v>FAIL</x:v>
      </x:c>
      <x:c r="E988" s="13" t="str">
        <x:v>Pending</x:v>
      </x:c>
      <x:c r="F988" s="13" t="str"/>
      <x:c r="G988" s="13" t="str"/>
      <x:c r="H988" s="13" t="str"/>
      <x:c r="I988" s="7" t="str">
        <x:v>Was this person reviewed? If rejected, give the actual rule and evidence. If acceptable, correct the omission. Confirm the Life-qualification gate and any record change since selection.</x:v>
      </x:c>
      <x:c r="J988" s="7" t="str">
        <x:v>L1</x:v>
      </x:c>
      <x:c r="K988" s="7" t="str">
        <x:v>Verified qualifications do not include active general Life. Current target-pool mismatch; actual historical omission reason unknown.</x:v>
      </x:c>
      <x:c r="L988" s="7" t="str">
        <x:v>Not supplied; membership is known, motive is not</x:v>
      </x:c>
      <x:c r="M988" s="7" t="n">
        <x:v>7</x:v>
      </x:c>
      <x:c r="N988" s="7" t="str">
        <x:v>Outside current general-Life recruiting pool</x:v>
      </x:c>
      <x:c r="O988" s="7" t="str">
        <x:v>Not displayed</x:v>
      </x:c>
      <x:c r="P988" s="7" t="str"/>
      <x:c r="Q988" s="7" t="str"/>
      <x:c r="R988" s="7" t="str">
        <x:v>Accident &amp; Health or Sickness</x:v>
      </x:c>
      <x:c r="S988" s="15" t="str"/>
      <x:c r="T988" s="7" t="str">
        <x:v>No public business phone in collected record</x:v>
      </x:c>
      <x:c r="U988" s="7" t="str">
        <x:v>1615 MARUMBI CT WESLEY CHAPEL FL, 33544</x:v>
      </x:c>
      <x:c r="V988" s="7" t="str">
        <x:v>Non-resident</x:v>
      </x:c>
      <x:c r="W988" s="7" t="str">
        <x:v>FL</x:v>
      </x:c>
      <x:c r="X988" s="7" t="str"/>
      <x:c r="Y988" s="7" t="str">
        <x:v>ANTHEM BLUE CROSS LIFE AND HEALTH INSURANCE COMPANY / Accident &amp; Health or Sickness / 09/16/2026
ANTHEM INSURANCE COMPANIES, INC. / Accident &amp; Health or Sickness / 09/16/2026</x:v>
      </x:c>
      <x:c r="Z988" s="7" t="str"/>
      <x:c r="AA988" s="7" t="str"/>
      <x:c r="AB988" s="7" t="str"/>
      <x:c r="AC988" s="7" t="str"/>
      <x:c r="AD988" s="7" t="str">
        <x:v>Active A&amp;H supports optional cross-selling; not necessary for target products</x:v>
      </x:c>
      <x:c r="AE988" s="7" t="str">
        <x:v>Displayed insurer appointments are A&amp;H/disability only despite active Life authority | Nonresident or address state outside CA; confirm geographic recruiting scope | No public business phone: contact enrichment needed, not proof of poor recruiting fit</x:v>
      </x:c>
      <x:c r="AF988" s="16" t="str"/>
      <x:c r="AG988" s="17" t="str"/>
      <x:c r="AH988" s="7" t="str"/>
      <x:c r="AI988" s="7" t="str"/>
      <x:c r="AJ988" s="7" t="str"/>
      <x:c r="AK988" s="15" t="str"/>
      <x:c r="AL988" s="7" t="str"/>
      <x:c r="AM988" s="7" t="str">
        <x:v>AGUILAR  PATRICK</x:v>
      </x:c>
      <x:c r="AN988" s="7" t="str">
        <x:v>https://cdicloud.insurance.ca.gov/cal/LicenseDetail?SearchType=IND&amp;SearchLicNbr=4571412&amp;SearchIndvId=4571412</x:v>
      </x:c>
      <x:c r="AO988" s="7" t="str">
        <x:v>2026-10-08</x:v>
      </x:c>
      <x:c r="AP988" s="7" t="str">
        <x:v>0f89d6d138b667b7f1e845635439e97d35a33db085e6503586a1ff9318cb6c96</x:v>
      </x:c>
      <x:c r="AQ988" s="7" t="str">
        <x:v>Accident &amp; Health or Sickness / Active / 08/12/2026 / 08/12/2026 / 08/31/2028</x:v>
      </x:c>
      <x:c r="AR988" s="7" t="str">
        <x:v>Active</x:v>
      </x:c>
      <x:c r="AS988" s="7" t="str">
        <x:v>Current detail page</x:v>
      </x:c>
    </x:row>
    <x:row r="989" ht="52" customHeight="1">
      <x:c r="A989" s="7" t="str">
        <x:v>AGUILAR PAUL</x:v>
      </x:c>
      <x:c r="B989" s="14" t="str">
        <x:f>"0K96289"</x:f>
        <x:v>0K96289</x:v>
      </x:c>
      <x:c r="C989" s="7" t="str">
        <x:v>Omitted</x:v>
      </x:c>
      <x:c r="D989" s="7" t="str">
        <x:v>FAIL</x:v>
      </x:c>
      <x:c r="E989" s="13" t="str">
        <x:v>Pending</x:v>
      </x:c>
      <x:c r="F989" s="13" t="str"/>
      <x:c r="G989" s="13" t="str"/>
      <x:c r="H989" s="13" t="str"/>
      <x:c r="I989" s="7" t="str">
        <x:v>Was this person reviewed? If rejected, give the actual rule and evidence. If acceptable, correct the omission. Confirm the Life-qualification gate and any record change since selection.</x:v>
      </x:c>
      <x:c r="J989" s="7" t="str">
        <x:v>L1</x:v>
      </x:c>
      <x:c r="K989" s="7" t="str">
        <x:v>Verified qualifications do not include active general Life. Current target-pool mismatch; actual historical omission reason unknown.</x:v>
      </x:c>
      <x:c r="L989" s="7" t="str">
        <x:v>Not supplied; membership is known, motive is not</x:v>
      </x:c>
      <x:c r="M989" s="7" t="n">
        <x:v>7</x:v>
      </x:c>
      <x:c r="N989" s="7" t="str">
        <x:v>Outside current general-Life recruiting pool</x:v>
      </x:c>
      <x:c r="O989" s="7" t="str">
        <x:v>Not displayed</x:v>
      </x:c>
      <x:c r="P989" s="7" t="str"/>
      <x:c r="Q989" s="7" t="str"/>
      <x:c r="R989" s="7" t="str"/>
      <x:c r="S989" s="15" t="str"/>
      <x:c r="T989" s="7" t="str">
        <x:v>No public business phone in collected record</x:v>
      </x:c>
      <x:c r="U989" s="7" t="str"/>
      <x:c r="V989" s="7" t="str">
        <x:v>Resident</x:v>
      </x:c>
      <x:c r="W989" s="7" t="str">
        <x:v>CA</x:v>
      </x:c>
      <x:c r="X989" s="7" t="str"/>
      <x:c r="Y989" s="7" t="str"/>
      <x:c r="Z989" s="7" t="str"/>
      <x:c r="AA989" s="7" t="str"/>
      <x:c r="AB989" s="7" t="str"/>
      <x:c r="AC989" s="7" t="str"/>
      <x:c r="AD989" s="7" t="str">
        <x:v>No agency or insurer displayed: onboarding opportunity possible; existing business unknown</x:v>
      </x:c>
      <x:c r="AE989" s="7" t="str">
        <x:v>No public business phone: contact enrichment needed, not proof of poor recruiting fit</x:v>
      </x:c>
      <x:c r="AF989" s="16" t="str"/>
      <x:c r="AG989" s="17" t="str"/>
      <x:c r="AH989" s="7" t="str"/>
      <x:c r="AI989" s="7" t="str"/>
      <x:c r="AJ989" s="7" t="str"/>
      <x:c r="AK989" s="15" t="str"/>
      <x:c r="AL989" s="7" t="str"/>
      <x:c r="AM989" s="7" t="str">
        <x:v>AGUILAR  PAUL</x:v>
      </x:c>
      <x:c r="AN989" s="7" t="str">
        <x:v>https://cdicloud.insurance.ca.gov/cal/LicenseDetail?SearchType=IND&amp;SearchLicNbr=0K96289&amp;SearchIndvId=1843282</x:v>
      </x:c>
      <x:c r="AO989" s="7" t="str">
        <x:v>2026-10-08</x:v>
      </x:c>
      <x:c r="AP989" s="7" t="str">
        <x:v>d35cf124eb101a0a7bf2ba7940da39ef745c1715697c5cc427b7db374101aef9</x:v>
      </x:c>
      <x:c r="AQ989" s="7" t="str">
        <x:v>Life-Only / Inactive / 06/23/2016 / 06/30/2018 / 06/30/2018</x:v>
      </x:c>
      <x:c r="AR989" s="7" t="str">
        <x:v>Inactive</x:v>
      </x:c>
      <x:c r="AS989" s="7" t="str">
        <x:v>Current detail page</x:v>
      </x:c>
    </x:row>
    <x:row r="990" ht="52" customHeight="1">
      <x:c r="A990" s="7" t="str">
        <x:v>AGUILAR PAUL ARIEL</x:v>
      </x:c>
      <x:c r="B990" s="14" t="str">
        <x:f>"0N01870"</x:f>
        <x:v>0N01870</x:v>
      </x:c>
      <x:c r="C990" s="7" t="str">
        <x:v>Omitted</x:v>
      </x:c>
      <x:c r="D990" s="7" t="str">
        <x:v>FAIL</x:v>
      </x:c>
      <x:c r="E990" s="13" t="str">
        <x:v>Pending</x:v>
      </x:c>
      <x:c r="F990" s="13" t="str"/>
      <x:c r="G990" s="13" t="str"/>
      <x:c r="H990" s="13" t="str"/>
      <x:c r="I990" s="7" t="str">
        <x:v>Was this person reviewed? If rejected, give the actual rule and evidence. If acceptable, correct the omission. Confirm the Life-qualification gate and any record change since selection.</x:v>
      </x:c>
      <x:c r="J990" s="7" t="str">
        <x:v>L1</x:v>
      </x:c>
      <x:c r="K990" s="7" t="str">
        <x:v>Verified qualifications do not include active general Life. Current target-pool mismatch; actual historical omission reason unknown.</x:v>
      </x:c>
      <x:c r="L990" s="7" t="str">
        <x:v>Not supplied; membership is known, motive is not</x:v>
      </x:c>
      <x:c r="M990" s="7" t="n">
        <x:v>7</x:v>
      </x:c>
      <x:c r="N990" s="7" t="str">
        <x:v>Outside current general-Life recruiting pool</x:v>
      </x:c>
      <x:c r="O990" s="7" t="str">
        <x:v>Inactive</x:v>
      </x:c>
      <x:c r="P990" s="7" t="str">
        <x:v>06/07/2019</x:v>
      </x:c>
      <x:c r="Q990" s="7" t="str">
        <x:v>06/30/2021</x:v>
      </x:c>
      <x:c r="R990" s="7" t="str"/>
      <x:c r="S990" s="15" t="str"/>
      <x:c r="T990" s="7" t="str">
        <x:v>No public business phone in collected record</x:v>
      </x:c>
      <x:c r="U990" s="7" t="str"/>
      <x:c r="V990" s="7" t="str">
        <x:v>Resident</x:v>
      </x:c>
      <x:c r="W990" s="7" t="str">
        <x:v>CA</x:v>
      </x:c>
      <x:c r="X990" s="7" t="str"/>
      <x:c r="Y990" s="7" t="str"/>
      <x:c r="Z990" s="7" t="str"/>
      <x:c r="AA990" s="7" t="str"/>
      <x:c r="AB990" s="7" t="str"/>
      <x:c r="AC990" s="7" t="str"/>
      <x:c r="AD990" s="7" t="str">
        <x:v>No agency or insurer displayed: onboarding opportunity possible; existing business unknown</x:v>
      </x:c>
      <x:c r="AE990" s="7" t="str">
        <x:v>No public business phone: contact enrichment needed, not proof of poor recruiting fit</x:v>
      </x:c>
      <x:c r="AF990" s="16" t="str"/>
      <x:c r="AG990" s="17" t="str"/>
      <x:c r="AH990" s="7" t="str"/>
      <x:c r="AI990" s="7" t="str"/>
      <x:c r="AJ990" s="7" t="str"/>
      <x:c r="AK990" s="15" t="str"/>
      <x:c r="AL990" s="7" t="str"/>
      <x:c r="AM990" s="7" t="str">
        <x:v>Aguilar a Paul | AGUILAR ARIEL PAUL</x:v>
      </x:c>
      <x:c r="AN990" s="7" t="str">
        <x:v>https://cdicloud.insurance.ca.gov/cal/LicenseDetail?SearchType=IND&amp;SearchLicNbr=0N01870&amp;SearchIndvId=2111015</x:v>
      </x:c>
      <x:c r="AO990" s="7" t="str">
        <x:v>2026-10-08</x:v>
      </x:c>
      <x:c r="AP990" s="7" t="str">
        <x:v>49322f0c5d6fe4bab9a68a3e4b07bafab2a851563b181e24de4844118c8dd829</x:v>
      </x:c>
      <x:c r="AQ990" s="7" t="str">
        <x:v>Life / Inactive / 06/07/2019 / 06/30/2021 / 06/30/2021</x:v>
      </x:c>
      <x:c r="AR990" s="7" t="str">
        <x:v>Inactive</x:v>
      </x:c>
      <x:c r="AS990" s="7" t="str">
        <x:v>Current detail page</x:v>
      </x:c>
    </x:row>
    <x:row r="991" ht="52" customHeight="1">
      <x:c r="A991" s="7" t="str">
        <x:v>AGUILAR PAUL AUSTIN</x:v>
      </x:c>
      <x:c r="B991" s="14" t="str">
        <x:f>"0M00275"</x:f>
        <x:v>0M00275</x:v>
      </x:c>
      <x:c r="C991" s="7" t="str">
        <x:v>Omitted</x:v>
      </x:c>
      <x:c r="D991" s="7" t="str">
        <x:v>FAIL</x:v>
      </x:c>
      <x:c r="E991" s="13" t="str">
        <x:v>Pending</x:v>
      </x:c>
      <x:c r="F991" s="13" t="str"/>
      <x:c r="G991" s="13" t="str"/>
      <x:c r="H991" s="13" t="str"/>
      <x:c r="I991" s="7" t="str">
        <x:v>Was this person reviewed? If rejected, give the actual rule and evidence. If acceptable, correct the omission. Confirm the Life-qualification gate and any record change since selection.</x:v>
      </x:c>
      <x:c r="J991" s="7" t="str">
        <x:v>L1</x:v>
      </x:c>
      <x:c r="K991" s="7" t="str">
        <x:v>Verified qualifications do not include active general Life. Current target-pool mismatch; actual historical omission reason unknown.</x:v>
      </x:c>
      <x:c r="L991" s="7" t="str">
        <x:v>Not supplied; membership is known, motive is not</x:v>
      </x:c>
      <x:c r="M991" s="7" t="n">
        <x:v>7</x:v>
      </x:c>
      <x:c r="N991" s="7" t="str">
        <x:v>Outside current general-Life recruiting pool</x:v>
      </x:c>
      <x:c r="O991" s="7" t="str">
        <x:v>Not displayed</x:v>
      </x:c>
      <x:c r="P991" s="7" t="str"/>
      <x:c r="Q991" s="7" t="str"/>
      <x:c r="R991" s="7" t="str"/>
      <x:c r="S991" s="15" t="str"/>
      <x:c r="T991" s="7" t="str">
        <x:v>No public business phone in collected record</x:v>
      </x:c>
      <x:c r="U991" s="7" t="str"/>
      <x:c r="V991" s="7" t="str">
        <x:v>Resident</x:v>
      </x:c>
      <x:c r="W991" s="7" t="str">
        <x:v>CA</x:v>
      </x:c>
      <x:c r="X991" s="7" t="str"/>
      <x:c r="Y991" s="7" t="str"/>
      <x:c r="Z991" s="7" t="str"/>
      <x:c r="AA991" s="7" t="str"/>
      <x:c r="AB991" s="7" t="str"/>
      <x:c r="AC991" s="7" t="str"/>
      <x:c r="AD991" s="7" t="str">
        <x:v>No agency or insurer displayed: onboarding opportunity possible; existing business unknown</x:v>
      </x:c>
      <x:c r="AE991" s="7" t="str">
        <x:v>No public business phone: contact enrichment needed, not proof of poor recruiting fit</x:v>
      </x:c>
      <x:c r="AF991" s="16" t="str"/>
      <x:c r="AG991" s="17" t="str"/>
      <x:c r="AH991" s="7" t="str"/>
      <x:c r="AI991" s="7" t="str"/>
      <x:c r="AJ991" s="7" t="str"/>
      <x:c r="AK991" s="15" t="str"/>
      <x:c r="AL991" s="7" t="str"/>
      <x:c r="AM991" s="7" t="str">
        <x:v>Aguilar A Paul | AGUILAR AUSTIN PAUL</x:v>
      </x:c>
      <x:c r="AN991" s="7" t="str">
        <x:v>https://cdicloud.insurance.ca.gov/cal/LicenseDetail?SearchType=IND&amp;SearchLicNbr=0M00275&amp;SearchIndvId=1974939</x:v>
      </x:c>
      <x:c r="AO991" s="7" t="str">
        <x:v>2026-10-08</x:v>
      </x:c>
      <x:c r="AP991" s="7" t="str">
        <x:v>c58b7658869c21235d33a98d8466de979f4a3edf8a66cd7f78182e5216393186</x:v>
      </x:c>
      <x:c r="AQ991" s="7" t="str">
        <x:v>Life-Only / Inactive / 10/19/2017 / 10/31/2019 / 10/31/2019</x:v>
      </x:c>
      <x:c r="AR991" s="7" t="str">
        <x:v>Inactive</x:v>
      </x:c>
      <x:c r="AS991" s="7" t="str">
        <x:v>Current detail page</x:v>
      </x:c>
    </x:row>
    <x:row r="992" ht="52" customHeight="1">
      <x:c r="A992" s="7" t="str">
        <x:v>AGUILAR PAUL GIFFORD</x:v>
      </x:c>
      <x:c r="B992" s="14" t="str">
        <x:f>"0E48703"</x:f>
        <x:v>0E48703</x:v>
      </x:c>
      <x:c r="C992" s="7" t="str">
        <x:v>Omitted</x:v>
      </x:c>
      <x:c r="D992" s="7" t="str">
        <x:v>FAIL</x:v>
      </x:c>
      <x:c r="E992" s="13" t="str">
        <x:v>Pending</x:v>
      </x:c>
      <x:c r="F992" s="13" t="str"/>
      <x:c r="G992" s="13" t="str"/>
      <x:c r="H992" s="13" t="str"/>
      <x:c r="I992" s="7" t="str">
        <x:v>Was this person reviewed? If rejected, give the actual rule and evidence. If acceptable, correct the omission. Confirm the Life-qualification gate and any record change since selection.</x:v>
      </x:c>
      <x:c r="J992" s="7" t="str">
        <x:v>L1</x:v>
      </x:c>
      <x:c r="K992" s="7" t="str">
        <x:v>Verified qualifications do not include active general Life. Current target-pool mismatch; actual historical omission reason unknown.</x:v>
      </x:c>
      <x:c r="L992" s="7" t="str">
        <x:v>Not supplied; membership is known, motive is not</x:v>
      </x:c>
      <x:c r="M992" s="7" t="n">
        <x:v>7</x:v>
      </x:c>
      <x:c r="N992" s="7" t="str">
        <x:v>Outside current general-Life recruiting pool</x:v>
      </x:c>
      <x:c r="O992" s="7" t="str">
        <x:v>Not displayed</x:v>
      </x:c>
      <x:c r="P992" s="7" t="str"/>
      <x:c r="Q992" s="7" t="str"/>
      <x:c r="R992" s="7" t="str"/>
      <x:c r="S992" s="15" t="str"/>
      <x:c r="T992" s="7" t="str">
        <x:v>No public business phone in collected record</x:v>
      </x:c>
      <x:c r="U992" s="7" t="str"/>
      <x:c r="V992" s="7" t="str">
        <x:v>Resident</x:v>
      </x:c>
      <x:c r="W992" s="7" t="str">
        <x:v>CA</x:v>
      </x:c>
      <x:c r="X992" s="7" t="str"/>
      <x:c r="Y992" s="7" t="str"/>
      <x:c r="Z992" s="7" t="str"/>
      <x:c r="AA992" s="7" t="str"/>
      <x:c r="AB992" s="7" t="str"/>
      <x:c r="AC992" s="7" t="str"/>
      <x:c r="AD992" s="7" t="str">
        <x:v>No agency or insurer displayed: onboarding opportunity possible; existing business unknown</x:v>
      </x:c>
      <x:c r="AE992" s="7" t="str">
        <x:v>No public business phone: contact enrichment needed, not proof of poor recruiting fit</x:v>
      </x:c>
      <x:c r="AF992" s="16" t="str"/>
      <x:c r="AG992" s="17" t="str"/>
      <x:c r="AH992" s="7" t="str"/>
      <x:c r="AI992" s="7" t="str"/>
      <x:c r="AJ992" s="7" t="str"/>
      <x:c r="AK992" s="15" t="str"/>
      <x:c r="AL992" s="7" t="str"/>
      <x:c r="AM992" s="7" t="str">
        <x:v>AGUILAR GIFFORD PAUL</x:v>
      </x:c>
      <x:c r="AN992" s="7" t="str">
        <x:v>https://cdicloud.insurance.ca.gov/cal/LicenseDetail?SearchType=IND&amp;SearchLicNbr=0E48703&amp;SearchIndvId=903645</x:v>
      </x:c>
      <x:c r="AO992" s="7" t="str">
        <x:v>2026-10-08</x:v>
      </x:c>
      <x:c r="AP992" s="7" t="str">
        <x:v>1fc76258161b492b79a9a75b6a8e285e402271b8a2f11451cc4b5f574a0883b7</x:v>
      </x:c>
      <x:c r="AQ992" s="7" t="str">
        <x:v>Accident and Health / Inactive / 06/28/2004 / 12/31/2012 / 12/31/2012
Life-Only / Inactive / 06/28/2004 / 12/31/2012 / 12/31/2012</x:v>
      </x:c>
      <x:c r="AR992" s="7" t="str">
        <x:v>Inactive</x:v>
      </x:c>
      <x:c r="AS992" s="7" t="str">
        <x:v>Current detail page</x:v>
      </x:c>
    </x:row>
    <x:row r="993" ht="52" customHeight="1">
      <x:c r="A993" s="7" t="str">
        <x:v>AGUILAR PAUL HUMBERTO</x:v>
      </x:c>
      <x:c r="B993" s="14" t="str">
        <x:f>"0N10095"</x:f>
        <x:v>0N10095</x:v>
      </x:c>
      <x:c r="C993" s="7" t="str">
        <x:v>Omitted</x:v>
      </x:c>
      <x:c r="D993" s="7" t="str">
        <x:v>FAIL</x:v>
      </x:c>
      <x:c r="E993" s="13" t="str">
        <x:v>Pending</x:v>
      </x:c>
      <x:c r="F993" s="13" t="str"/>
      <x:c r="G993" s="13" t="str"/>
      <x:c r="H993" s="13" t="str"/>
      <x:c r="I993" s="7" t="str">
        <x:v>Was this person reviewed? If rejected, give the actual rule and evidence. If acceptable, correct the omission. Confirm the Life-qualification gate and any record change since selection.</x:v>
      </x:c>
      <x:c r="J993" s="7" t="str">
        <x:v>L1</x:v>
      </x:c>
      <x:c r="K993" s="7" t="str">
        <x:v>Verified qualifications do not include active general Life. Current target-pool mismatch; actual historical omission reason unknown.</x:v>
      </x:c>
      <x:c r="L993" s="7" t="str">
        <x:v>Not supplied; membership is known, motive is not</x:v>
      </x:c>
      <x:c r="M993" s="7" t="n">
        <x:v>7</x:v>
      </x:c>
      <x:c r="N993" s="7" t="str">
        <x:v>Outside current general-Life recruiting pool</x:v>
      </x:c>
      <x:c r="O993" s="7" t="str">
        <x:v>Inactive</x:v>
      </x:c>
      <x:c r="P993" s="7" t="str">
        <x:v>07/25/2019</x:v>
      </x:c>
      <x:c r="Q993" s="7" t="str">
        <x:v>07/31/2021</x:v>
      </x:c>
      <x:c r="R993" s="7" t="str"/>
      <x:c r="S993" s="15" t="str"/>
      <x:c r="T993" s="7" t="str">
        <x:v>No public business phone in collected record</x:v>
      </x:c>
      <x:c r="U993" s="7" t="str"/>
      <x:c r="V993" s="7" t="str">
        <x:v>Resident</x:v>
      </x:c>
      <x:c r="W993" s="7" t="str">
        <x:v>CA</x:v>
      </x:c>
      <x:c r="X993" s="7" t="str"/>
      <x:c r="Y993" s="7" t="str"/>
      <x:c r="Z993" s="7" t="str"/>
      <x:c r="AA993" s="7" t="str"/>
      <x:c r="AB993" s="7" t="str"/>
      <x:c r="AC993" s="7" t="str"/>
      <x:c r="AD993" s="7" t="str">
        <x:v>No agency or insurer displayed: onboarding opportunity possible; existing business unknown</x:v>
      </x:c>
      <x:c r="AE993" s="7" t="str">
        <x:v>No public business phone: contact enrichment needed, not proof of poor recruiting fit</x:v>
      </x:c>
      <x:c r="AF993" s="16" t="str"/>
      <x:c r="AG993" s="17" t="str"/>
      <x:c r="AH993" s="7" t="str"/>
      <x:c r="AI993" s="7" t="str"/>
      <x:c r="AJ993" s="7" t="str"/>
      <x:c r="AK993" s="15" t="str"/>
      <x:c r="AL993" s="7" t="str"/>
      <x:c r="AM993" s="7" t="str">
        <x:v>Aguilar H Paul | AGUILAR HUMBERTO PAUL</x:v>
      </x:c>
      <x:c r="AN993" s="7" t="str">
        <x:v>https://cdicloud.insurance.ca.gov/cal/LicenseDetail?SearchType=IND&amp;SearchLicNbr=0N10095&amp;SearchIndvId=2121672</x:v>
      </x:c>
      <x:c r="AO993" s="7" t="str">
        <x:v>2026-10-08</x:v>
      </x:c>
      <x:c r="AP993" s="7" t="str">
        <x:v>b088fe862df16cf85e98a6ca85b70a7ec8b5bbb9c91db027c1c93432e6b26ae7</x:v>
      </x:c>
      <x:c r="AQ993" s="7" t="str">
        <x:v>Life / Inactive / 07/25/2019 / 07/31/2021 / 07/31/2021</x:v>
      </x:c>
      <x:c r="AR993" s="7" t="str">
        <x:v>Inactive</x:v>
      </x:c>
      <x:c r="AS993" s="7" t="str">
        <x:v>Current detail page</x:v>
      </x:c>
    </x:row>
    <x:row r="994" ht="52" customHeight="1">
      <x:c r="A994" s="7" t="str">
        <x:v>AGUILAR PAULA</x:v>
      </x:c>
      <x:c r="B994" s="14" t="str">
        <x:f>"0H45844"</x:f>
        <x:v>0H45844</x:v>
      </x:c>
      <x:c r="C994" s="7" t="str">
        <x:v>Omitted</x:v>
      </x:c>
      <x:c r="D994" s="7" t="str">
        <x:v>FAIL</x:v>
      </x:c>
      <x:c r="E994" s="13" t="str">
        <x:v>Pending</x:v>
      </x:c>
      <x:c r="F994" s="13" t="str"/>
      <x:c r="G994" s="13" t="str"/>
      <x:c r="H994" s="13" t="str"/>
      <x:c r="I994" s="7" t="str">
        <x:v>Was this person reviewed? If rejected, give the actual rule and evidence. If acceptable, correct the omission. Confirm the Life-qualification gate and any record change since selection.</x:v>
      </x:c>
      <x:c r="J994" s="7" t="str">
        <x:v>L1</x:v>
      </x:c>
      <x:c r="K994" s="7" t="str">
        <x:v>Verified qualifications do not include active general Life. Current target-pool mismatch; actual historical omission reason unknown.</x:v>
      </x:c>
      <x:c r="L994" s="7" t="str">
        <x:v>Not supplied; membership is known, motive is not</x:v>
      </x:c>
      <x:c r="M994" s="7" t="n">
        <x:v>7</x:v>
      </x:c>
      <x:c r="N994" s="7" t="str">
        <x:v>Outside current general-Life recruiting pool</x:v>
      </x:c>
      <x:c r="O994" s="7" t="str">
        <x:v>Not displayed</x:v>
      </x:c>
      <x:c r="P994" s="7" t="str"/>
      <x:c r="Q994" s="7" t="str"/>
      <x:c r="R994" s="7" t="str">
        <x:v>Title Marketing Representative</x:v>
      </x:c>
      <x:c r="S994" s="15" t="str"/>
      <x:c r="T994" s="7" t="str">
        <x:v>No public business phone in collected record</x:v>
      </x:c>
      <x:c r="U994" s="7" t="str">
        <x:v>3900 COFFEE RD SUITE 7 BAKERSFIELD CA, 93308</x:v>
      </x:c>
      <x:c r="V994" s="7" t="str">
        <x:v>Resident</x:v>
      </x:c>
      <x:c r="W994" s="7" t="str">
        <x:v>CA</x:v>
      </x:c>
      <x:c r="X994" s="7" t="str"/>
      <x:c r="Y994" s="7" t="str">
        <x:v>PLACER TITLE COMPANY / Title Marketing Representative / 04/29/2024</x:v>
      </x:c>
      <x:c r="Z994" s="7" t="str"/>
      <x:c r="AA994" s="7" t="str"/>
      <x:c r="AB994" s="7" t="str"/>
      <x:c r="AC994" s="7" t="str"/>
      <x:c r="AD994" s="7" t="str"/>
      <x:c r="AE994" s="7" t="str">
        <x:v>No public business phone: contact enrichment needed, not proof of poor recruiting fit</x:v>
      </x:c>
      <x:c r="AF994" s="16" t="str"/>
      <x:c r="AG994" s="17" t="str"/>
      <x:c r="AH994" s="7" t="str"/>
      <x:c r="AI994" s="7" t="str">
        <x:v>English</x:v>
      </x:c>
      <x:c r="AJ994" s="7" t="str"/>
      <x:c r="AK994" s="15" t="str"/>
      <x:c r="AL994" s="7" t="str"/>
      <x:c r="AM994" s="7" t="str">
        <x:v>AGUILAR  PAULA</x:v>
      </x:c>
      <x:c r="AN994" s="7" t="str">
        <x:v>https://cdicloud.insurance.ca.gov/cal/LicenseDetail?SearchType=IND&amp;SearchLicNbr=0H45844&amp;SearchIndvId=1461323</x:v>
      </x:c>
      <x:c r="AO994" s="7" t="str">
        <x:v>2026-10-08</x:v>
      </x:c>
      <x:c r="AP994" s="7" t="str">
        <x:v>d8ed70eee6158da5f5caf83b0a99224812a777a7cb78cfe7947378d0da4d4afa</x:v>
      </x:c>
      <x:c r="AQ994" s="7" t="str">
        <x:v>Title Marketing Representative / Active / 07/07/2011 / 07/07/2011 / 07/31/2029</x:v>
      </x:c>
      <x:c r="AR994" s="7" t="str">
        <x:v>Active</x:v>
      </x:c>
      <x:c r="AS994" s="7" t="str">
        <x:v>Current detail page</x:v>
      </x:c>
    </x:row>
    <x:row r="995" ht="52" customHeight="1">
      <x:c r="A995" s="7" t="str">
        <x:v>AGUILAR PAULA GUADALUPE</x:v>
      </x:c>
      <x:c r="B995" s="14" t="str">
        <x:f>"0D13807"</x:f>
        <x:v>0D13807</x:v>
      </x:c>
      <x:c r="C995" s="7" t="str">
        <x:v>Omitted</x:v>
      </x:c>
      <x:c r="D995" s="7" t="str">
        <x:v>FAIL</x:v>
      </x:c>
      <x:c r="E995" s="13" t="str">
        <x:v>Pending</x:v>
      </x:c>
      <x:c r="F995" s="13" t="str"/>
      <x:c r="G995" s="13" t="str"/>
      <x:c r="H995" s="13" t="str"/>
      <x:c r="I995" s="7" t="str">
        <x:v>Was this person reviewed? If rejected, give the actual rule and evidence. If acceptable, correct the omission. Confirm the Life-qualification gate and any record change since selection.</x:v>
      </x:c>
      <x:c r="J995" s="7" t="str">
        <x:v>L1</x:v>
      </x:c>
      <x:c r="K995" s="7" t="str">
        <x:v>Verified qualifications do not include active general Life. Current target-pool mismatch; actual historical omission reason unknown.</x:v>
      </x:c>
      <x:c r="L995" s="7" t="str">
        <x:v>Not supplied; membership is known, motive is not</x:v>
      </x:c>
      <x:c r="M995" s="7" t="n">
        <x:v>7</x:v>
      </x:c>
      <x:c r="N995" s="7" t="str">
        <x:v>Outside current general-Life recruiting pool</x:v>
      </x:c>
      <x:c r="O995" s="7" t="str">
        <x:v>Not displayed</x:v>
      </x:c>
      <x:c r="P995" s="7" t="str"/>
      <x:c r="Q995" s="7" t="str"/>
      <x:c r="R995" s="7" t="str"/>
      <x:c r="S995" s="15" t="str"/>
      <x:c r="T995" s="7" t="str">
        <x:v>No public business phone in collected record</x:v>
      </x:c>
      <x:c r="U995" s="7" t="str"/>
      <x:c r="V995" s="7" t="str">
        <x:v>Resident</x:v>
      </x:c>
      <x:c r="W995" s="7" t="str">
        <x:v>CA</x:v>
      </x:c>
      <x:c r="X995" s="7" t="str"/>
      <x:c r="Y995" s="7" t="str"/>
      <x:c r="Z995" s="7" t="str"/>
      <x:c r="AA995" s="7" t="str"/>
      <x:c r="AB995" s="7" t="str"/>
      <x:c r="AC995" s="7" t="str"/>
      <x:c r="AD995" s="7" t="str">
        <x:v>No agency or insurer displayed: onboarding opportunity possible; existing business unknown</x:v>
      </x:c>
      <x:c r="AE995" s="7" t="str">
        <x:v>No public business phone: contact enrichment needed, not proof of poor recruiting fit</x:v>
      </x:c>
      <x:c r="AF995" s="16" t="str"/>
      <x:c r="AG995" s="17" t="str"/>
      <x:c r="AH995" s="7" t="str"/>
      <x:c r="AI995" s="7" t="str"/>
      <x:c r="AJ995" s="7" t="str"/>
      <x:c r="AK995" s="15" t="str"/>
      <x:c r="AL995" s="7" t="str"/>
      <x:c r="AM995" s="7" t="str">
        <x:v>AGUILAR GUADALUPE PAULA</x:v>
      </x:c>
      <x:c r="AN995" s="7" t="str">
        <x:v>https://cdicloud.insurance.ca.gov/cal/LicenseDetail?SearchType=IND&amp;SearchLicNbr=0D13807&amp;SearchIndvId=514164</x:v>
      </x:c>
      <x:c r="AO995" s="7" t="str">
        <x:v>2026-10-08</x:v>
      </x:c>
      <x:c r="AP995" s="7" t="str">
        <x:v>9bb5a8da115f330ca9c2428df0f39ec8c149becf66f8ed1944d47e06787458dd</x:v>
      </x:c>
      <x:c r="AQ995" s="7" t="str">
        <x:v>Casualty Broker-Agent / Inactive / 12/06/2000 / 12/31/2002 / 12/31/2002
Property Broker-Agent / Inactive / 12/06/2000 / 12/31/2002 / 12/31/2002</x:v>
      </x:c>
      <x:c r="AR995" s="7" t="str">
        <x:v>Inactive</x:v>
      </x:c>
      <x:c r="AS995" s="7" t="str">
        <x:v>Current detail page</x:v>
      </x:c>
    </x:row>
    <x:row r="996" ht="52" customHeight="1">
      <x:c r="A996" s="7" t="str">
        <x:v>AGUILAR PAULA Y</x:v>
      </x:c>
      <x:c r="B996" s="14" t="str">
        <x:f>"0K58726"</x:f>
        <x:v>0K58726</x:v>
      </x:c>
      <x:c r="C996" s="7" t="str">
        <x:v>Omitted</x:v>
      </x:c>
      <x:c r="D996" s="7" t="str">
        <x:v>FAIL</x:v>
      </x:c>
      <x:c r="E996" s="13" t="str">
        <x:v>Pending</x:v>
      </x:c>
      <x:c r="F996" s="13" t="str"/>
      <x:c r="G996" s="13" t="str"/>
      <x:c r="H996" s="13" t="str"/>
      <x:c r="I996" s="7" t="str">
        <x:v>Was this person reviewed? If rejected, give the actual rule and evidence. If acceptable, correct the omission. Confirm the Life-qualification gate and any record change since selection.</x:v>
      </x:c>
      <x:c r="J996" s="7" t="str">
        <x:v>L1</x:v>
      </x:c>
      <x:c r="K996" s="7" t="str">
        <x:v>Verified qualifications do not include active general Life. Current target-pool mismatch; actual historical omission reason unknown.</x:v>
      </x:c>
      <x:c r="L996" s="7" t="str">
        <x:v>Not supplied; membership is known, motive is not</x:v>
      </x:c>
      <x:c r="M996" s="7" t="n">
        <x:v>7</x:v>
      </x:c>
      <x:c r="N996" s="7" t="str">
        <x:v>Outside current general-Life recruiting pool</x:v>
      </x:c>
      <x:c r="O996" s="7" t="str">
        <x:v>Not displayed</x:v>
      </x:c>
      <x:c r="P996" s="7" t="str"/>
      <x:c r="Q996" s="7" t="str"/>
      <x:c r="R996" s="7" t="str"/>
      <x:c r="S996" s="15" t="str"/>
      <x:c r="T996" s="7" t="str">
        <x:v>No public business phone in collected record</x:v>
      </x:c>
      <x:c r="U996" s="7" t="str"/>
      <x:c r="V996" s="7" t="str">
        <x:v>Non-resident</x:v>
      </x:c>
      <x:c r="W996" s="7" t="str">
        <x:v>PA</x:v>
      </x:c>
      <x:c r="X996" s="7" t="str"/>
      <x:c r="Y996" s="7" t="str"/>
      <x:c r="Z996" s="7" t="str"/>
      <x:c r="AA996" s="7" t="str"/>
      <x:c r="AB996" s="7" t="str"/>
      <x:c r="AC996" s="7" t="str"/>
      <x:c r="AD996" s="7" t="str">
        <x:v>No agency or insurer displayed: onboarding opportunity possible; existing business unknown</x:v>
      </x:c>
      <x:c r="AE996" s="7" t="str">
        <x:v>Nonresident or address state outside CA; confirm geographic recruiting scope | No public business phone: contact enrichment needed, not proof of poor recruiting fit</x:v>
      </x:c>
      <x:c r="AF996" s="16" t="str"/>
      <x:c r="AG996" s="17" t="str"/>
      <x:c r="AH996" s="7" t="str"/>
      <x:c r="AI996" s="7" t="str"/>
      <x:c r="AJ996" s="7" t="str"/>
      <x:c r="AK996" s="15" t="str"/>
      <x:c r="AL996" s="7" t="str"/>
      <x:c r="AM996" s="7" t="str">
        <x:v>AGUILAR Y PAULA</x:v>
      </x:c>
      <x:c r="AN996" s="7" t="str">
        <x:v>https://cdicloud.insurance.ca.gov/cal/LicenseDetail?SearchType=IND&amp;SearchLicNbr=0K58726&amp;SearchIndvId=1802937</x:v>
      </x:c>
      <x:c r="AO996" s="7" t="str">
        <x:v>2026-10-08</x:v>
      </x:c>
      <x:c r="AP996" s="7" t="str">
        <x:v>843280ee3802cf17b84f7e8ca0c9ec735ee5ef953d3b474836193ff08fcfd1c8</x:v>
      </x:c>
      <x:c r="AQ996" s="7" t="str">
        <x:v>Accident and Health / Inactive / 11/06/2015 / 11/30/2017 / 11/30/2017</x:v>
      </x:c>
      <x:c r="AR996" s="7" t="str">
        <x:v>Inactive</x:v>
      </x:c>
      <x:c r="AS996" s="7" t="str">
        <x:v>Current detail page</x:v>
      </x:c>
    </x:row>
    <x:row r="997" ht="52" customHeight="1">
      <x:c r="A997" s="7" t="str">
        <x:v>AGUILAR PEDRO ALEJANDRO</x:v>
      </x:c>
      <x:c r="B997" s="14" t="str">
        <x:f>"4268847"</x:f>
        <x:v>4268847</x:v>
      </x:c>
      <x:c r="C997" s="7" t="str">
        <x:v>Omitted</x:v>
      </x:c>
      <x:c r="D997" s="7" t="str">
        <x:v>FAIL</x:v>
      </x:c>
      <x:c r="E997" s="13" t="str">
        <x:v>Pending</x:v>
      </x:c>
      <x:c r="F997" s="13" t="str"/>
      <x:c r="G997" s="13" t="str"/>
      <x:c r="H997" s="13" t="str"/>
      <x:c r="I997" s="7" t="str">
        <x:v>Was this person reviewed? If rejected, give the actual rule and evidence. If acceptable, correct the omission. Confirm the Life-qualification gate and any record change since selection.</x:v>
      </x:c>
      <x:c r="J997" s="7" t="str">
        <x:v>L1</x:v>
      </x:c>
      <x:c r="K997" s="7" t="str">
        <x:v>Verified qualifications do not include active general Life. Current target-pool mismatch; actual historical omission reason unknown.</x:v>
      </x:c>
      <x:c r="L997" s="7" t="str">
        <x:v>Not supplied; membership is known, motive is not</x:v>
      </x:c>
      <x:c r="M997" s="7" t="n">
        <x:v>7</x:v>
      </x:c>
      <x:c r="N997" s="7" t="str">
        <x:v>Outside current general-Life recruiting pool</x:v>
      </x:c>
      <x:c r="O997" s="7" t="str">
        <x:v>Not displayed</x:v>
      </x:c>
      <x:c r="P997" s="7" t="str"/>
      <x:c r="Q997" s="7" t="str"/>
      <x:c r="R997" s="7" t="str"/>
      <x:c r="S997" s="15" t="str"/>
      <x:c r="T997" s="7" t="str">
        <x:v>No public business phone in collected record</x:v>
      </x:c>
      <x:c r="U997" s="7" t="str">
        <x:v>1110 OHIO AVE APT 1 LONG BEACH CA, 90804-3623</x:v>
      </x:c>
      <x:c r="V997" s="7" t="str">
        <x:v>Resident</x:v>
      </x:c>
      <x:c r="W997" s="7" t="str">
        <x:v>CA</x:v>
      </x:c>
      <x:c r="X997" s="7" t="str"/>
      <x:c r="Y997" s="7" t="str"/>
      <x:c r="Z997" s="7" t="str"/>
      <x:c r="AA997" s="7" t="str"/>
      <x:c r="AB997" s="7" t="str"/>
      <x:c r="AC997" s="7" t="str"/>
      <x:c r="AD997" s="7" t="str">
        <x:v>No agency or insurer displayed: onboarding opportunity possible; existing business unknown</x:v>
      </x:c>
      <x:c r="AE997" s="7" t="str">
        <x:v>No public business phone: contact enrichment needed, not proof of poor recruiting fit</x:v>
      </x:c>
      <x:c r="AF997" s="16" t="str"/>
      <x:c r="AG997" s="17" t="str"/>
      <x:c r="AH997" s="7" t="str"/>
      <x:c r="AI997" s="7" t="str"/>
      <x:c r="AJ997" s="7" t="str"/>
      <x:c r="AK997" s="15" t="str"/>
      <x:c r="AL997" s="7" t="str"/>
      <x:c r="AM997" s="7" t="str">
        <x:v>AGUILAR ALEJANDRO PEDRO</x:v>
      </x:c>
      <x:c r="AN997" s="7" t="str">
        <x:v>https://cdicloud.insurance.ca.gov/cal/LicenseDetail?SearchType=IND&amp;SearchLicNbr=4268847&amp;SearchIndvId=4268847</x:v>
      </x:c>
      <x:c r="AO997" s="7" t="str">
        <x:v>2026-10-08</x:v>
      </x:c>
      <x:c r="AP997" s="7" t="str">
        <x:v>edc359cd1a0d6466e05b06d89cdf3d6ec780477a626d806b076e1201e56c2da4</x:v>
      </x:c>
      <x:c r="AQ997" s="7" t="str">
        <x:v>Apprentice Public Ins Adjuster / Inactive / 03/21/2023 / 03/21/2024 / 03/21/2024</x:v>
      </x:c>
      <x:c r="AR997" s="7" t="str">
        <x:v>Inactive</x:v>
      </x:c>
      <x:c r="AS997" s="7" t="str">
        <x:v>Current detail page</x:v>
      </x:c>
    </x:row>
    <x:row r="998" ht="52" customHeight="1">
      <x:c r="A998" s="7" t="str">
        <x:v>AGUILAR PEDRO GILFREDO</x:v>
      </x:c>
      <x:c r="B998" s="14" t="str">
        <x:f>"0C45659"</x:f>
        <x:v>0C45659</x:v>
      </x:c>
      <x:c r="C998" s="7" t="str">
        <x:v>Omitted</x:v>
      </x:c>
      <x:c r="D998" s="7" t="str">
        <x:v>FAIL</x:v>
      </x:c>
      <x:c r="E998" s="13" t="str">
        <x:v>Pending</x:v>
      </x:c>
      <x:c r="F998" s="13" t="str"/>
      <x:c r="G998" s="13" t="str"/>
      <x:c r="H998" s="13" t="str"/>
      <x:c r="I998" s="7" t="str">
        <x:v>Was this person reviewed? If rejected, give the actual rule and evidence. If acceptable, correct the omission. Confirm the Life-qualification gate and any record change since selection.</x:v>
      </x:c>
      <x:c r="J998" s="7" t="str">
        <x:v>L1</x:v>
      </x:c>
      <x:c r="K998" s="7" t="str">
        <x:v>Verified qualifications do not include active general Life. Current target-pool mismatch; actual historical omission reason unknown.</x:v>
      </x:c>
      <x:c r="L998" s="7" t="str">
        <x:v>Not supplied; membership is known, motive is not</x:v>
      </x:c>
      <x:c r="M998" s="7" t="n">
        <x:v>7</x:v>
      </x:c>
      <x:c r="N998" s="7" t="str">
        <x:v>Outside current general-Life recruiting pool</x:v>
      </x:c>
      <x:c r="O998" s="7" t="str">
        <x:v>Not displayed</x:v>
      </x:c>
      <x:c r="P998" s="7" t="str"/>
      <x:c r="Q998" s="7" t="str"/>
      <x:c r="R998" s="7" t="str"/>
      <x:c r="S998" s="15" t="str"/>
      <x:c r="T998" s="7" t="str">
        <x:v>No public business phone in collected record</x:v>
      </x:c>
      <x:c r="U998" s="7" t="str"/>
      <x:c r="V998" s="7" t="str">
        <x:v>Resident</x:v>
      </x:c>
      <x:c r="W998" s="7" t="str">
        <x:v>CA</x:v>
      </x:c>
      <x:c r="X998" s="7" t="str"/>
      <x:c r="Y998" s="7" t="str"/>
      <x:c r="Z998" s="7" t="str"/>
      <x:c r="AA998" s="7" t="str"/>
      <x:c r="AB998" s="7" t="str"/>
      <x:c r="AC998" s="7" t="str"/>
      <x:c r="AD998" s="7" t="str">
        <x:v>No agency or insurer displayed: onboarding opportunity possible; existing business unknown</x:v>
      </x:c>
      <x:c r="AE998" s="7" t="str">
        <x:v>No public business phone: contact enrichment needed, not proof of poor recruiting fit</x:v>
      </x:c>
      <x:c r="AF998" s="16" t="str"/>
      <x:c r="AG998" s="17" t="str"/>
      <x:c r="AH998" s="7" t="str"/>
      <x:c r="AI998" s="7" t="str"/>
      <x:c r="AJ998" s="7" t="str"/>
      <x:c r="AK998" s="15" t="str"/>
      <x:c r="AL998" s="7" t="str"/>
      <x:c r="AM998" s="7" t="str">
        <x:v>AGUILAR GILFREDO PEDRO</x:v>
      </x:c>
      <x:c r="AN998" s="7" t="str">
        <x:v>https://cdicloud.insurance.ca.gov/cal/LicenseDetail?SearchType=IND&amp;SearchLicNbr=0C45659&amp;SearchIndvId=320055</x:v>
      </x:c>
      <x:c r="AO998" s="7" t="str">
        <x:v>2026-10-08</x:v>
      </x:c>
      <x:c r="AP998" s="7" t="str">
        <x:v>558b4692fe2c5efe869cd9251ae92710cc42676bbed2d7b5f1b0f68d9073206f</x:v>
      </x:c>
      <x:c r="AQ998" s="7" t="str">
        <x:v>Casualty Broker-Agent / Inactive / 10/20/1998 / 10/31/2010 / 10/31/2010
Property Broker-Agent / Inactive / 10/20/1998 / 10/31/2010 / 10/31/2010</x:v>
      </x:c>
      <x:c r="AR998" s="7" t="str">
        <x:v>Inactive</x:v>
      </x:c>
      <x:c r="AS998" s="7" t="str">
        <x:v>Current detail page</x:v>
      </x:c>
    </x:row>
    <x:row r="999" ht="52" customHeight="1">
      <x:c r="A999" s="7" t="str">
        <x:v>AGUILAR PEDRO MAX</x:v>
      </x:c>
      <x:c r="B999" s="14" t="str">
        <x:f>"4141062"</x:f>
        <x:v>4141062</x:v>
      </x:c>
      <x:c r="C999" s="7" t="str">
        <x:v>Omitted</x:v>
      </x:c>
      <x:c r="D999" s="7" t="str">
        <x:v>FAIL</x:v>
      </x:c>
      <x:c r="E999" s="13" t="str">
        <x:v>Pending</x:v>
      </x:c>
      <x:c r="F999" s="13" t="str"/>
      <x:c r="G999" s="13" t="str"/>
      <x:c r="H999" s="13" t="str"/>
      <x:c r="I999" s="7" t="str">
        <x:v>Was this person reviewed? If rejected, give the actual rule and evidence. If acceptable, correct the omission. Confirm the Life-qualification gate and any record change since selection.</x:v>
      </x:c>
      <x:c r="J999" s="7" t="str">
        <x:v>L1</x:v>
      </x:c>
      <x:c r="K999" s="7" t="str">
        <x:v>Verified qualifications do not include active general Life. Current target-pool mismatch; actual historical omission reason unknown.</x:v>
      </x:c>
      <x:c r="L999" s="7" t="str">
        <x:v>Not supplied; membership is known, motive is not</x:v>
      </x:c>
      <x:c r="M999" s="7" t="n">
        <x:v>7</x:v>
      </x:c>
      <x:c r="N999" s="7" t="str">
        <x:v>Outside current general-Life recruiting pool</x:v>
      </x:c>
      <x:c r="O999" s="7" t="str">
        <x:v>Inactive</x:v>
      </x:c>
      <x:c r="P999" s="7" t="str">
        <x:v>07/27/2021</x:v>
      </x:c>
      <x:c r="Q999" s="7" t="str">
        <x:v>07/31/2023</x:v>
      </x:c>
      <x:c r="R999" s="7" t="str"/>
      <x:c r="S999" s="15" t="str">
        <x:v>213-604-5893</x:v>
      </x:c>
      <x:c r="T999" s="7" t="str">
        <x:v>Current CDI</x:v>
      </x:c>
      <x:c r="U999" s="7" t="str">
        <x:v>1315 CORONA POINTE CT SUITE 102 CORONA CA, 92879</x:v>
      </x:c>
      <x:c r="V999" s="7" t="str">
        <x:v>Resident</x:v>
      </x:c>
      <x:c r="W999" s="7" t="str">
        <x:v>CA</x:v>
      </x:c>
      <x:c r="X999" s="7" t="str"/>
      <x:c r="Y999" s="7" t="str"/>
      <x:c r="Z999" s="7" t="str"/>
      <x:c r="AA999" s="7" t="str"/>
      <x:c r="AB999" s="7" t="str"/>
      <x:c r="AC999" s="7" t="str"/>
      <x:c r="AD999" s="7" t="str">
        <x:v>No agency or insurer displayed: onboarding opportunity possible; existing business unknown</x:v>
      </x:c>
      <x:c r="AE999" s="7" t="str"/>
      <x:c r="AF999" s="16" t="str"/>
      <x:c r="AG999" s="17" t="str"/>
      <x:c r="AH999" s="7" t="str"/>
      <x:c r="AI999" s="7" t="str">
        <x:v>English</x:v>
      </x:c>
      <x:c r="AJ999" s="7" t="str"/>
      <x:c r="AK999" s="15" t="str"/>
      <x:c r="AL999" s="7" t="str"/>
      <x:c r="AM999" s="7" t="str">
        <x:v>AGUILAR Max PEDRO</x:v>
      </x:c>
      <x:c r="AN999" s="7" t="str">
        <x:v>https://cdicloud.insurance.ca.gov/cal/LicenseDetail?SearchType=IND&amp;SearchLicNbr=4141062&amp;SearchIndvId=4141062</x:v>
      </x:c>
      <x:c r="AO999" s="7" t="str">
        <x:v>2026-10-08</x:v>
      </x:c>
      <x:c r="AP999" s="7" t="str">
        <x:v>328ffc817697e33076f82fa91d492bddc1bb288344e1a5aa6771052fa494febb</x:v>
      </x:c>
      <x:c r="AQ999" s="7" t="str">
        <x:v>Accident &amp; Health or Sickness / Inactive / 07/27/2021 / 07/31/2023 / 07/31/2023
Life / Inactive / 07/27/2021 / 07/31/2023 / 07/31/2023</x:v>
      </x:c>
      <x:c r="AR999" s="7" t="str">
        <x:v>Inactive</x:v>
      </x:c>
      <x:c r="AS999" s="7" t="str">
        <x:v>Current detail page</x:v>
      </x:c>
    </x:row>
    <x:row r="1000" ht="52" customHeight="1">
      <x:c r="A1000" s="7" t="str">
        <x:v>AGUILAR PEDRO PONCE</x:v>
      </x:c>
      <x:c r="B1000" s="14" t="str">
        <x:f>"0D90993"</x:f>
        <x:v>0D90993</x:v>
      </x:c>
      <x:c r="C1000" s="7" t="str">
        <x:v>Omitted</x:v>
      </x:c>
      <x:c r="D1000" s="7" t="str">
        <x:v>FAIL</x:v>
      </x:c>
      <x:c r="E1000" s="13" t="str">
        <x:v>Pending</x:v>
      </x:c>
      <x:c r="F1000" s="13" t="str"/>
      <x:c r="G1000" s="13" t="str"/>
      <x:c r="H1000" s="13" t="str"/>
      <x:c r="I1000" s="7" t="str">
        <x:v>Was this person reviewed? If rejected, give the actual rule and evidence. If acceptable, correct the omission. Confirm the Life-qualification gate and any record change since selection.</x:v>
      </x:c>
      <x:c r="J1000" s="7" t="str">
        <x:v>L1</x:v>
      </x:c>
      <x:c r="K1000" s="7" t="str">
        <x:v>Verified qualifications do not include active general Life. Current target-pool mismatch; actual historical omission reason unknown.</x:v>
      </x:c>
      <x:c r="L1000" s="7" t="str">
        <x:v>Not supplied; membership is known, motive is not</x:v>
      </x:c>
      <x:c r="M1000" s="7" t="n">
        <x:v>7</x:v>
      </x:c>
      <x:c r="N1000" s="7" t="str">
        <x:v>Outside current general-Life recruiting pool</x:v>
      </x:c>
      <x:c r="O1000" s="7" t="str">
        <x:v>Not displayed</x:v>
      </x:c>
      <x:c r="P1000" s="7" t="str"/>
      <x:c r="Q1000" s="7" t="str"/>
      <x:c r="R1000" s="7" t="str"/>
      <x:c r="S1000" s="15" t="str"/>
      <x:c r="T1000" s="7" t="str">
        <x:v>No public business phone in collected record</x:v>
      </x:c>
      <x:c r="U1000" s="7" t="str"/>
      <x:c r="V1000" s="7" t="str">
        <x:v>Resident</x:v>
      </x:c>
      <x:c r="W1000" s="7" t="str">
        <x:v>CA</x:v>
      </x:c>
      <x:c r="X1000" s="7" t="str"/>
      <x:c r="Y1000" s="7" t="str"/>
      <x:c r="Z1000" s="7" t="str"/>
      <x:c r="AA1000" s="7" t="str"/>
      <x:c r="AB1000" s="7" t="str"/>
      <x:c r="AC1000" s="7" t="str"/>
      <x:c r="AD1000" s="7" t="str">
        <x:v>No agency or insurer displayed: onboarding opportunity possible; existing business unknown</x:v>
      </x:c>
      <x:c r="AE1000" s="7" t="str">
        <x:v>No public business phone: contact enrichment needed, not proof of poor recruiting fit</x:v>
      </x:c>
      <x:c r="AF1000" s="16" t="str"/>
      <x:c r="AG1000" s="17" t="str"/>
      <x:c r="AH1000" s="7" t="str"/>
      <x:c r="AI1000" s="7" t="str"/>
      <x:c r="AJ1000" s="7" t="str"/>
      <x:c r="AK1000" s="15" t="str"/>
      <x:c r="AL1000" s="7" t="str"/>
      <x:c r="AM1000" s="7" t="str">
        <x:v>AGUILAR PONCE PEDRO</x:v>
      </x:c>
      <x:c r="AN1000" s="7" t="str">
        <x:v>https://cdicloud.insurance.ca.gov/cal/LicenseDetail?SearchType=IND&amp;SearchLicNbr=0D90993&amp;SearchIndvId=832075</x:v>
      </x:c>
      <x:c r="AO1000" s="7" t="str">
        <x:v>2026-10-08</x:v>
      </x:c>
      <x:c r="AP1000" s="7" t="str">
        <x:v>f47e2719d06609670c5fdde9ba7896f2b4a884535bef625dfc07a83c021736a0</x:v>
      </x:c>
      <x:c r="AQ1000" s="7" t="str">
        <x:v>Accident and Health / Inactive / 03/05/2003 / 03/31/2005 / 03/31/2005
Life-Only / Inactive / 03/05/2003 / 03/31/2005 / 03/31/2005</x:v>
      </x:c>
      <x:c r="AR1000" s="7" t="str">
        <x:v>Inactive</x:v>
      </x:c>
      <x:c r="AS1000" s="7" t="str">
        <x:v>Current detail page</x:v>
      </x:c>
    </x:row>
    <x:row r="1001" ht="52" customHeight="1">
      <x:c r="A1001" s="7" t="str">
        <x:v>AGUILAR PEREZ AGNIEL</x:v>
      </x:c>
      <x:c r="B1001" s="14" t="str">
        <x:f>"4397895"</x:f>
        <x:v>4397895</x:v>
      </x:c>
      <x:c r="C1001" s="7" t="str">
        <x:v>Omitted</x:v>
      </x:c>
      <x:c r="D1001" s="7" t="str">
        <x:v>FAIL</x:v>
      </x:c>
      <x:c r="E1001" s="13" t="str">
        <x:v>Pending</x:v>
      </x:c>
      <x:c r="F1001" s="13" t="str"/>
      <x:c r="G1001" s="13" t="str"/>
      <x:c r="H1001" s="13" t="str"/>
      <x:c r="I1001" s="7" t="str">
        <x:v>Was this person reviewed? If rejected, give the actual rule and evidence. If acceptable, correct the omission. Confirm the Life-qualification gate and any record change since selection.</x:v>
      </x:c>
      <x:c r="J1001" s="7" t="str">
        <x:v>L1</x:v>
      </x:c>
      <x:c r="K1001" s="7" t="str">
        <x:v>Verified qualifications do not include active general Life. Current target-pool mismatch; actual historical omission reason unknown.</x:v>
      </x:c>
      <x:c r="L1001" s="7" t="str">
        <x:v>Not supplied; membership is known, motive is not</x:v>
      </x:c>
      <x:c r="M1001" s="7" t="n">
        <x:v>7</x:v>
      </x:c>
      <x:c r="N1001" s="7" t="str">
        <x:v>Outside current general-Life recruiting pool</x:v>
      </x:c>
      <x:c r="O1001" s="7" t="str"/>
      <x:c r="P1001" s="7" t="str">
        <x:v>08/02/2024</x:v>
      </x:c>
      <x:c r="Q1001" s="7" t="str">
        <x:v>08/31/2026</x:v>
      </x:c>
      <x:c r="R1001" s="7" t="str"/>
      <x:c r="S1001" s="15" t="str"/>
      <x:c r="T1001" s="7" t="str">
        <x:v>No public business phone in collected record</x:v>
      </x:c>
      <x:c r="U1001" s="7" t="str"/>
      <x:c r="V1001" s="7" t="str">
        <x:v>Non-resident</x:v>
      </x:c>
      <x:c r="W1001" s="7" t="str">
        <x:v>TX</x:v>
      </x:c>
      <x:c r="X1001" s="7" t="str"/>
      <x:c r="Y1001" s="7" t="str"/>
      <x:c r="Z1001" s="7" t="str"/>
      <x:c r="AA1001" s="7" t="str"/>
      <x:c r="AB1001" s="7" t="str"/>
      <x:c r="AC1001" s="7" t="str"/>
      <x:c r="AD1001" s="7" t="str">
        <x:v>No agency or insurer displayed: onboarding opportunity possible; existing business unknown</x:v>
      </x:c>
      <x:c r="AE1001" s="7" t="str">
        <x:v>Nonresident or address state outside CA; confirm geographic recruiting scope | No public business phone: contact enrichment needed, not proof of poor recruiting fit</x:v>
      </x:c>
      <x:c r="AF1001" s="16" t="str"/>
      <x:c r="AG1001" s="17" t="str"/>
      <x:c r="AH1001" s="7" t="str"/>
      <x:c r="AI1001" s="7" t="str"/>
      <x:c r="AJ1001" s="7" t="str"/>
      <x:c r="AK1001" s="15" t="str"/>
      <x:c r="AL1001" s="7" t="str"/>
      <x:c r="AM1001" s="7" t="str">
        <x:v>AGUILAR PEREZ  AGNIEL</x:v>
      </x:c>
      <x:c r="AN1001" s="7" t="str">
        <x:v>https://cdicloud.insurance.ca.gov/cal/LicenseDetail?SearchType=IND&amp;SearchLicNbr=4397895&amp;SearchIndvId=4397895</x:v>
      </x:c>
      <x:c r="AO1001" s="7" t="str">
        <x:v>2026-10-08</x:v>
      </x:c>
      <x:c r="AP1001" s="7" t="str">
        <x:v>7501356e70882f77b3bf55e14242edbfcd4f60855e1afcd17c361f75d096c4b7</x:v>
      </x:c>
      <x:c r="AQ1001" s="7" t="str">
        <x:v>Accident &amp; Health or Sickness /  / 08/02/2024 / 08/31/2026 / 08/31/2026
Life /  / 08/02/2024 / 08/31/2026 / 08/31/2026</x:v>
      </x:c>
      <x:c r="AR1001" s="7" t="str"/>
      <x:c r="AS1001" s="7" t="str">
        <x:v>Current detail page</x:v>
      </x:c>
    </x:row>
    <x:row r="1002" ht="52" customHeight="1">
      <x:c r="A1002" s="7" t="str">
        <x:v>AGUILAR PEREZ ROBERTO ALEXANDER</x:v>
      </x:c>
      <x:c r="B1002" s="14" t="str">
        <x:f>"4232607"</x:f>
        <x:v>4232607</x:v>
      </x:c>
      <x:c r="C1002" s="7" t="str">
        <x:v>Omitted</x:v>
      </x:c>
      <x:c r="D1002" s="7" t="str">
        <x:v>FAIL</x:v>
      </x:c>
      <x:c r="E1002" s="13" t="str">
        <x:v>Pending</x:v>
      </x:c>
      <x:c r="F1002" s="13" t="str"/>
      <x:c r="G1002" s="13" t="str"/>
      <x:c r="H1002" s="13" t="str"/>
      <x:c r="I1002" s="7" t="str">
        <x:v>Was this person reviewed? If rejected, give the actual rule and evidence. If acceptable, correct the omission. Confirm the Life-qualification gate and any record change since selection.</x:v>
      </x:c>
      <x:c r="J1002" s="7" t="str">
        <x:v>L1</x:v>
      </x:c>
      <x:c r="K1002" s="7" t="str">
        <x:v>Verified qualifications do not include active general Life. Current target-pool mismatch; actual historical omission reason unknown.</x:v>
      </x:c>
      <x:c r="L1002" s="7" t="str">
        <x:v>Not supplied; membership is known, motive is not</x:v>
      </x:c>
      <x:c r="M1002" s="7" t="n">
        <x:v>7</x:v>
      </x:c>
      <x:c r="N1002" s="7" t="str">
        <x:v>Outside current general-Life recruiting pool</x:v>
      </x:c>
      <x:c r="O1002" s="7" t="str">
        <x:v>Inactive</x:v>
      </x:c>
      <x:c r="P1002" s="7" t="str">
        <x:v>08/30/2022</x:v>
      </x:c>
      <x:c r="Q1002" s="7" t="str">
        <x:v>08/31/2024</x:v>
      </x:c>
      <x:c r="R1002" s="7" t="str"/>
      <x:c r="S1002" s="15" t="str"/>
      <x:c r="T1002" s="7" t="str">
        <x:v>No public business phone in collected record</x:v>
      </x:c>
      <x:c r="U1002" s="7" t="str">
        <x:v>10922 BIGGE ST SAN LEANDRO CA, 94577</x:v>
      </x:c>
      <x:c r="V1002" s="7" t="str">
        <x:v>Resident</x:v>
      </x:c>
      <x:c r="W1002" s="7" t="str">
        <x:v>CA</x:v>
      </x:c>
      <x:c r="X1002" s="7" t="str"/>
      <x:c r="Y1002" s="7" t="str"/>
      <x:c r="Z1002" s="7" t="str"/>
      <x:c r="AA1002" s="7" t="str"/>
      <x:c r="AB1002" s="7" t="str"/>
      <x:c r="AC1002" s="7" t="str"/>
      <x:c r="AD1002" s="7" t="str">
        <x:v>No agency or insurer displayed: onboarding opportunity possible; existing business unknown</x:v>
      </x:c>
      <x:c r="AE1002" s="7" t="str">
        <x:v>No public business phone: contact enrichment needed, not proof of poor recruiting fit</x:v>
      </x:c>
      <x:c r="AF1002" s="16" t="str"/>
      <x:c r="AG1002" s="17" t="str"/>
      <x:c r="AH1002" s="7" t="str"/>
      <x:c r="AI1002" s="7" t="str"/>
      <x:c r="AJ1002" s="7" t="str"/>
      <x:c r="AK1002" s="15" t="str"/>
      <x:c r="AL1002" s="7" t="str"/>
      <x:c r="AM1002" s="7" t="str">
        <x:v>AGUILAR PEREZ ALEXANDER ROBERTO</x:v>
      </x:c>
      <x:c r="AN1002" s="7" t="str">
        <x:v>https://cdicloud.insurance.ca.gov/cal/LicenseDetail?SearchType=IND&amp;SearchLicNbr=4232607&amp;SearchIndvId=4232607</x:v>
      </x:c>
      <x:c r="AO1002" s="7" t="str">
        <x:v>2026-10-08</x:v>
      </x:c>
      <x:c r="AP1002" s="7" t="str">
        <x:v>a6535ed52c4710058aebff1255d7aef6d2a8112a2b1e23ad6bcac4784b275ae0</x:v>
      </x:c>
      <x:c r="AQ1002" s="7" t="str">
        <x:v>Life / Inactive / 08/30/2022 / 08/31/2024 / 08/31/2024</x:v>
      </x:c>
      <x:c r="AR1002" s="7" t="str">
        <x:v>Inactive</x:v>
      </x:c>
      <x:c r="AS1002" s="7" t="str">
        <x:v>Current detail page</x:v>
      </x:c>
    </x:row>
    <x:row r="1003" ht="52" customHeight="1">
      <x:c r="A1003" s="7" t="str">
        <x:v>AGUILAR PERLA BORREGO</x:v>
      </x:c>
      <x:c r="B1003" s="14" t="str">
        <x:f>"0M27233"</x:f>
        <x:v>0M27233</x:v>
      </x:c>
      <x:c r="C1003" s="7" t="str">
        <x:v>Omitted</x:v>
      </x:c>
      <x:c r="D1003" s="7" t="str">
        <x:v>FAIL</x:v>
      </x:c>
      <x:c r="E1003" s="13" t="str">
        <x:v>Pending</x:v>
      </x:c>
      <x:c r="F1003" s="13" t="str"/>
      <x:c r="G1003" s="13" t="str"/>
      <x:c r="H1003" s="13" t="str"/>
      <x:c r="I1003" s="7" t="str">
        <x:v>Was this person reviewed? If rejected, give the actual rule and evidence. If acceptable, correct the omission. Confirm the Life-qualification gate and any record change since selection.</x:v>
      </x:c>
      <x:c r="J1003" s="7" t="str">
        <x:v>L1</x:v>
      </x:c>
      <x:c r="K1003" s="7" t="str">
        <x:v>Verified qualifications do not include active general Life. Current target-pool mismatch; actual historical omission reason unknown.</x:v>
      </x:c>
      <x:c r="L1003" s="7" t="str">
        <x:v>Not supplied; membership is known, motive is not</x:v>
      </x:c>
      <x:c r="M1003" s="7" t="n">
        <x:v>7</x:v>
      </x:c>
      <x:c r="N1003" s="7" t="str">
        <x:v>Outside current general-Life recruiting pool</x:v>
      </x:c>
      <x:c r="O1003" s="7" t="str">
        <x:v>Inactive</x:v>
      </x:c>
      <x:c r="P1003" s="7" t="str">
        <x:v>03/29/2018</x:v>
      </x:c>
      <x:c r="Q1003" s="7" t="str">
        <x:v>03/31/2022</x:v>
      </x:c>
      <x:c r="R1003" s="7" t="str"/>
      <x:c r="S1003" s="15" t="str"/>
      <x:c r="T1003" s="7" t="str">
        <x:v>No public business phone in collected record</x:v>
      </x:c>
      <x:c r="U1003" s="7" t="str">
        <x:v>7650 SAN FELIPE DR RESLER NORTH BUILDING EL PASO TX, 79912</x:v>
      </x:c>
      <x:c r="V1003" s="7" t="str">
        <x:v>Non-resident</x:v>
      </x:c>
      <x:c r="W1003" s="7" t="str">
        <x:v>TX</x:v>
      </x:c>
      <x:c r="X1003" s="7" t="str"/>
      <x:c r="Y1003" s="7" t="str"/>
      <x:c r="Z1003" s="7" t="str"/>
      <x:c r="AA1003" s="7" t="str"/>
      <x:c r="AB1003" s="7" t="str"/>
      <x:c r="AC1003" s="7" t="str"/>
      <x:c r="AD1003" s="7" t="str">
        <x:v>No agency or insurer displayed: onboarding opportunity possible; existing business unknown</x:v>
      </x:c>
      <x:c r="AE1003" s="7" t="str">
        <x:v>Nonresident or address state outside CA; confirm geographic recruiting scope | No public business phone: contact enrichment needed, not proof of poor recruiting fit</x:v>
      </x:c>
      <x:c r="AF1003" s="16" t="str"/>
      <x:c r="AG1003" s="17" t="str"/>
      <x:c r="AH1003" s="7" t="str"/>
      <x:c r="AI1003" s="7" t="str"/>
      <x:c r="AJ1003" s="7" t="str"/>
      <x:c r="AK1003" s="15" t="str"/>
      <x:c r="AL1003" s="7" t="str"/>
      <x:c r="AM1003" s="7" t="str">
        <x:v>AGUILAR BORREGO PERLA</x:v>
      </x:c>
      <x:c r="AN1003" s="7" t="str">
        <x:v>https://cdicloud.insurance.ca.gov/cal/LicenseDetail?SearchType=IND&amp;SearchLicNbr=0M27233&amp;SearchIndvId=2011563</x:v>
      </x:c>
      <x:c r="AO1003" s="7" t="str">
        <x:v>2026-10-08</x:v>
      </x:c>
      <x:c r="AP1003" s="7" t="str">
        <x:v>9b488b1ae3d9f1dcc508648729d7c57572478c6f42067618deaec491c4339d7b</x:v>
      </x:c>
      <x:c r="AQ1003" s="7" t="str">
        <x:v>Accident &amp; Health or Sickness / Inactive / 03/29/2018 / 03/31/2022 / 03/31/2022
Life / Inactive / 03/29/2018 / 03/31/2022 / 03/31/2022</x:v>
      </x:c>
      <x:c r="AR1003" s="7" t="str">
        <x:v>Inactive</x:v>
      </x:c>
      <x:c r="AS1003" s="7" t="str">
        <x:v>Current detail page</x:v>
      </x:c>
    </x:row>
    <x:row r="1004" ht="52" customHeight="1">
      <x:c r="A1004" s="7" t="str">
        <x:v>AGUILAR PETER FRANZ</x:v>
      </x:c>
      <x:c r="B1004" s="14" t="str">
        <x:f>"0D27769"</x:f>
        <x:v>0D27769</x:v>
      </x:c>
      <x:c r="C1004" s="7" t="str">
        <x:v>Omitted</x:v>
      </x:c>
      <x:c r="D1004" s="7" t="str">
        <x:v>FAIL</x:v>
      </x:c>
      <x:c r="E1004" s="13" t="str">
        <x:v>Pending</x:v>
      </x:c>
      <x:c r="F1004" s="13" t="str"/>
      <x:c r="G1004" s="13" t="str"/>
      <x:c r="H1004" s="13" t="str"/>
      <x:c r="I1004" s="7" t="str">
        <x:v>Was this person reviewed? If rejected, give the actual rule and evidence. If acceptable, correct the omission. Confirm the Life-qualification gate and any record change since selection.</x:v>
      </x:c>
      <x:c r="J1004" s="7" t="str">
        <x:v>L1</x:v>
      </x:c>
      <x:c r="K1004" s="7" t="str">
        <x:v>Verified qualifications do not include active general Life. Current target-pool mismatch; actual historical omission reason unknown.</x:v>
      </x:c>
      <x:c r="L1004" s="7" t="str">
        <x:v>Not supplied; membership is known, motive is not</x:v>
      </x:c>
      <x:c r="M1004" s="7" t="n">
        <x:v>7</x:v>
      </x:c>
      <x:c r="N1004" s="7" t="str">
        <x:v>Outside current general-Life recruiting pool</x:v>
      </x:c>
      <x:c r="O1004" s="7" t="str">
        <x:v>Not displayed</x:v>
      </x:c>
      <x:c r="P1004" s="7" t="str"/>
      <x:c r="Q1004" s="7" t="str"/>
      <x:c r="R1004" s="7" t="str"/>
      <x:c r="S1004" s="15" t="str"/>
      <x:c r="T1004" s="7" t="str">
        <x:v>No public business phone in collected record</x:v>
      </x:c>
      <x:c r="U1004" s="7" t="str"/>
      <x:c r="V1004" s="7" t="str">
        <x:v>Resident</x:v>
      </x:c>
      <x:c r="W1004" s="7" t="str">
        <x:v>CA</x:v>
      </x:c>
      <x:c r="X1004" s="7" t="str"/>
      <x:c r="Y1004" s="7" t="str"/>
      <x:c r="Z1004" s="7" t="str"/>
      <x:c r="AA1004" s="7" t="str"/>
      <x:c r="AB1004" s="7" t="str"/>
      <x:c r="AC1004" s="7" t="str"/>
      <x:c r="AD1004" s="7" t="str">
        <x:v>No agency or insurer displayed: onboarding opportunity possible; existing business unknown</x:v>
      </x:c>
      <x:c r="AE1004" s="7" t="str">
        <x:v>No public business phone: contact enrichment needed, not proof of poor recruiting fit</x:v>
      </x:c>
      <x:c r="AF1004" s="16" t="str"/>
      <x:c r="AG1004" s="17" t="str"/>
      <x:c r="AH1004" s="7" t="str"/>
      <x:c r="AI1004" s="7" t="str"/>
      <x:c r="AJ1004" s="7" t="str"/>
      <x:c r="AK1004" s="15" t="str"/>
      <x:c r="AL1004" s="7" t="str"/>
      <x:c r="AM1004" s="7" t="str">
        <x:v>AGUILAR FRANZ PETER</x:v>
      </x:c>
      <x:c r="AN1004" s="7" t="str">
        <x:v>https://cdicloud.insurance.ca.gov/cal/LicenseDetail?SearchType=IND&amp;SearchLicNbr=0D27769&amp;SearchIndvId=552177</x:v>
      </x:c>
      <x:c r="AO1004" s="7" t="str">
        <x:v>2026-10-08</x:v>
      </x:c>
      <x:c r="AP1004" s="7" t="str">
        <x:v>ed30d65fc17d8b3f67779b55ae430270fa282c556a2b05c0138c0a293e405386</x:v>
      </x:c>
      <x:c r="AQ1004" s="7" t="str">
        <x:v>Accident and Health / Inactive / 04/23/2001 / 04/30/2005 / 04/30/2005
Life-Only / Inactive / 04/23/2001 / 04/30/2005 / 04/30/2005
Variable Contracts / Inactive / 02/04/2003 / 04/30/2005 / 04/30/2005</x:v>
      </x:c>
      <x:c r="AR1004" s="7" t="str">
        <x:v>Inactive</x:v>
      </x:c>
      <x:c r="AS1004" s="7" t="str">
        <x:v>Current detail page</x:v>
      </x:c>
    </x:row>
    <x:row r="1005" ht="52" customHeight="1">
      <x:c r="A1005" s="7" t="str">
        <x:v>AGUILAR PETER JAMES</x:v>
      </x:c>
      <x:c r="B1005" s="14" t="str">
        <x:f>"0M13987"</x:f>
        <x:v>0M13987</x:v>
      </x:c>
      <x:c r="C1005" s="7" t="str">
        <x:v>Omitted</x:v>
      </x:c>
      <x:c r="D1005" s="7" t="str">
        <x:v>FAIL</x:v>
      </x:c>
      <x:c r="E1005" s="13" t="str">
        <x:v>Pending</x:v>
      </x:c>
      <x:c r="F1005" s="13" t="str"/>
      <x:c r="G1005" s="13" t="str"/>
      <x:c r="H1005" s="13" t="str"/>
      <x:c r="I1005" s="7" t="str">
        <x:v>Was this person reviewed? If rejected, give the actual rule and evidence. If acceptable, correct the omission. Confirm the Life-qualification gate and any record change since selection.</x:v>
      </x:c>
      <x:c r="J1005" s="7" t="str">
        <x:v>L1</x:v>
      </x:c>
      <x:c r="K1005" s="7" t="str">
        <x:v>Verified qualifications do not include active general Life. Current target-pool mismatch; actual historical omission reason unknown.</x:v>
      </x:c>
      <x:c r="L1005" s="7" t="str">
        <x:v>Not supplied; membership is known, motive is not</x:v>
      </x:c>
      <x:c r="M1005" s="7" t="n">
        <x:v>7</x:v>
      </x:c>
      <x:c r="N1005" s="7" t="str">
        <x:v>Outside current general-Life recruiting pool</x:v>
      </x:c>
      <x:c r="O1005" s="7" t="str">
        <x:v>Not displayed</x:v>
      </x:c>
      <x:c r="P1005" s="7" t="str"/>
      <x:c r="Q1005" s="7" t="str"/>
      <x:c r="R1005" s="7" t="str"/>
      <x:c r="S1005" s="15" t="str">
        <x:v>657-341-3030</x:v>
      </x:c>
      <x:c r="T1005" s="7" t="str">
        <x:v>Current CDI</x:v>
      </x:c>
      <x:c r="U1005" s="7" t="str">
        <x:v>13130 ROBIN CT CHINO CA, 91710-3892</x:v>
      </x:c>
      <x:c r="V1005" s="7" t="str">
        <x:v>Resident</x:v>
      </x:c>
      <x:c r="W1005" s="7" t="str">
        <x:v>CA</x:v>
      </x:c>
      <x:c r="X1005" s="7" t="str"/>
      <x:c r="Y1005" s="7" t="str"/>
      <x:c r="Z1005" s="7" t="str"/>
      <x:c r="AA1005" s="7" t="str"/>
      <x:c r="AB1005" s="7" t="str"/>
      <x:c r="AC1005" s="7" t="str"/>
      <x:c r="AD1005" s="7" t="str">
        <x:v>No agency or insurer displayed: onboarding opportunity possible; existing business unknown</x:v>
      </x:c>
      <x:c r="AE1005" s="7" t="str"/>
      <x:c r="AF1005" s="16" t="str"/>
      <x:c r="AG1005" s="17" t="str"/>
      <x:c r="AH1005" s="7" t="str"/>
      <x:c r="AI1005" s="7" t="str">
        <x:v>English, Spanish, Spanish</x:v>
      </x:c>
      <x:c r="AJ1005" s="7" t="str"/>
      <x:c r="AK1005" s="15" t="str"/>
      <x:c r="AL1005" s="7" t="str"/>
      <x:c r="AM1005" s="7" t="str">
        <x:v>AGUILAR JAMES PETER | AGUILAR-MADRID  PEDRO</x:v>
      </x:c>
      <x:c r="AN1005" s="7" t="str">
        <x:v>https://cdicloud.insurance.ca.gov/cal/LicenseDetail?SearchType=IND&amp;SearchLicNbr=0M13987&amp;SearchIndvId=1949020</x:v>
      </x:c>
      <x:c r="AO1005" s="7" t="str">
        <x:v>2026-10-08</x:v>
      </x:c>
      <x:c r="AP1005" s="7" t="str">
        <x:v>156acfb9bb2c923c6be2ae53318bba55ff66d093250cc738cb7cd78f3f546cef</x:v>
      </x:c>
      <x:c r="AQ1005" s="7" t="str">
        <x:v>Casualty / Inactive / 01/03/2018 / 01/31/2022 / 01/31/2022
Property / Inactive / 01/03/2018 / 01/31/2022 / 01/31/2022</x:v>
      </x:c>
      <x:c r="AR1005" s="7" t="str">
        <x:v>Inactive</x:v>
      </x:c>
      <x:c r="AS1005" s="7" t="str">
        <x:v>Current detail page</x:v>
      </x:c>
    </x:row>
    <x:row r="1006" ht="52" customHeight="1">
      <x:c r="A1006" s="7" t="str">
        <x:v>AGUILAR PETER JOHN</x:v>
      </x:c>
      <x:c r="B1006" s="14" t="str">
        <x:f>"0B63637"</x:f>
        <x:v>0B63637</x:v>
      </x:c>
      <x:c r="C1006" s="7" t="str">
        <x:v>Omitted</x:v>
      </x:c>
      <x:c r="D1006" s="7" t="str">
        <x:v>FAIL</x:v>
      </x:c>
      <x:c r="E1006" s="13" t="str">
        <x:v>Pending</x:v>
      </x:c>
      <x:c r="F1006" s="13" t="str"/>
      <x:c r="G1006" s="13" t="str"/>
      <x:c r="H1006" s="13" t="str"/>
      <x:c r="I1006" s="7" t="str">
        <x:v>Was this person reviewed? If rejected, give the actual rule and evidence. If acceptable, correct the omission. Confirm the Life-qualification gate and any record change since selection.</x:v>
      </x:c>
      <x:c r="J1006" s="7" t="str">
        <x:v>L1</x:v>
      </x:c>
      <x:c r="K1006" s="7" t="str">
        <x:v>Verified qualifications do not include active general Life. Current target-pool mismatch; actual historical omission reason unknown.</x:v>
      </x:c>
      <x:c r="L1006" s="7" t="str">
        <x:v>Not supplied; membership is known, motive is not</x:v>
      </x:c>
      <x:c r="M1006" s="7" t="n">
        <x:v>7</x:v>
      </x:c>
      <x:c r="N1006" s="7" t="str">
        <x:v>Outside current general-Life recruiting pool</x:v>
      </x:c>
      <x:c r="O1006" s="7" t="str">
        <x:v>Not displayed</x:v>
      </x:c>
      <x:c r="P1006" s="7" t="str"/>
      <x:c r="Q1006" s="7" t="str"/>
      <x:c r="R1006" s="7" t="str"/>
      <x:c r="S1006" s="15" t="str"/>
      <x:c r="T1006" s="7" t="str">
        <x:v>No public business phone in collected record</x:v>
      </x:c>
      <x:c r="U1006" s="7" t="str"/>
      <x:c r="V1006" s="7" t="str">
        <x:v>Resident</x:v>
      </x:c>
      <x:c r="W1006" s="7" t="str">
        <x:v>CA</x:v>
      </x:c>
      <x:c r="X1006" s="7" t="str"/>
      <x:c r="Y1006" s="7" t="str"/>
      <x:c r="Z1006" s="7" t="str"/>
      <x:c r="AA1006" s="7" t="str"/>
      <x:c r="AB1006" s="7" t="str"/>
      <x:c r="AC1006" s="7" t="str"/>
      <x:c r="AD1006" s="7" t="str">
        <x:v>No agency or insurer displayed: onboarding opportunity possible; existing business unknown</x:v>
      </x:c>
      <x:c r="AE1006" s="7" t="str">
        <x:v>No public business phone: contact enrichment needed, not proof of poor recruiting fit</x:v>
      </x:c>
      <x:c r="AF1006" s="16" t="str"/>
      <x:c r="AG1006" s="17" t="str"/>
      <x:c r="AH1006" s="7" t="str"/>
      <x:c r="AI1006" s="7" t="str"/>
      <x:c r="AJ1006" s="7" t="str"/>
      <x:c r="AK1006" s="15" t="str"/>
      <x:c r="AL1006" s="7" t="str"/>
      <x:c r="AM1006" s="7" t="str">
        <x:v>AGUILAR JOHN PETER</x:v>
      </x:c>
      <x:c r="AN1006" s="7" t="str">
        <x:v>https://cdicloud.insurance.ca.gov/cal/LicenseDetail?SearchType=IND&amp;SearchLicNbr=0B63637&amp;SearchIndvId=242223</x:v>
      </x:c>
      <x:c r="AO1006" s="7" t="str">
        <x:v>2026-10-08</x:v>
      </x:c>
      <x:c r="AP1006" s="7" t="str">
        <x:v>f67bea0fc8e5b928cb9b957743b2ed75bca5bbb309448f9ae1b4426a67738341</x:v>
      </x:c>
      <x:c r="AQ1006" s="7" t="str">
        <x:v>Accident and Health / Inactive / 08/09/1995 / 08/31/2015 / 08/31/2015
Life-Only / Inactive / 08/09/1995 / 08/31/2015 / 08/31/2015</x:v>
      </x:c>
      <x:c r="AR1006" s="7" t="str">
        <x:v>Inactive</x:v>
      </x:c>
      <x:c r="AS1006" s="7" t="str">
        <x:v>Current detail page</x:v>
      </x:c>
    </x:row>
    <x:row r="1007" ht="52" customHeight="1">
      <x:c r="A1007" s="7" t="str">
        <x:v>AGUILAR PETER ONORIO MR.</x:v>
      </x:c>
      <x:c r="B1007" s="14" t="str">
        <x:f>"4218137"</x:f>
        <x:v>4218137</x:v>
      </x:c>
      <x:c r="C1007" s="7" t="str">
        <x:v>Omitted</x:v>
      </x:c>
      <x:c r="D1007" s="7" t="str">
        <x:v>FAIL</x:v>
      </x:c>
      <x:c r="E1007" s="13" t="str">
        <x:v>Pending</x:v>
      </x:c>
      <x:c r="F1007" s="13" t="str"/>
      <x:c r="G1007" s="13" t="str"/>
      <x:c r="H1007" s="13" t="str"/>
      <x:c r="I1007" s="7" t="str">
        <x:v>Was this person reviewed? If rejected, give the actual rule and evidence. If acceptable, correct the omission. Confirm the Life-qualification gate and any record change since selection.</x:v>
      </x:c>
      <x:c r="J1007" s="7" t="str">
        <x:v>L1</x:v>
      </x:c>
      <x:c r="K1007" s="7" t="str">
        <x:v>Verified qualifications do not include active general Life. Current target-pool mismatch; actual historical omission reason unknown.</x:v>
      </x:c>
      <x:c r="L1007" s="7" t="str">
        <x:v>Not supplied; membership is known, motive is not</x:v>
      </x:c>
      <x:c r="M1007" s="7" t="n">
        <x:v>7</x:v>
      </x:c>
      <x:c r="N1007" s="7" t="str">
        <x:v>Outside current general-Life recruiting pool</x:v>
      </x:c>
      <x:c r="O1007" s="7" t="str">
        <x:v>Inactive</x:v>
      </x:c>
      <x:c r="P1007" s="7" t="str">
        <x:v>06/28/2022</x:v>
      </x:c>
      <x:c r="Q1007" s="7" t="str">
        <x:v>06/30/2024</x:v>
      </x:c>
      <x:c r="R1007" s="7" t="str"/>
      <x:c r="S1007" s="15" t="str"/>
      <x:c r="T1007" s="7" t="str">
        <x:v>No public business phone in collected record</x:v>
      </x:c>
      <x:c r="U1007" s="7" t="str">
        <x:v>16384 FOOTHILL BLVD APT 12 SAN LEANDRO CA, 94578</x:v>
      </x:c>
      <x:c r="V1007" s="7" t="str">
        <x:v>Resident</x:v>
      </x:c>
      <x:c r="W1007" s="7" t="str">
        <x:v>CA</x:v>
      </x:c>
      <x:c r="X1007" s="7" t="str"/>
      <x:c r="Y1007" s="7" t="str"/>
      <x:c r="Z1007" s="7" t="str"/>
      <x:c r="AA1007" s="7" t="str"/>
      <x:c r="AB1007" s="7" t="str"/>
      <x:c r="AC1007" s="7" t="str"/>
      <x:c r="AD1007" s="7" t="str">
        <x:v>No agency or insurer displayed: onboarding opportunity possible; existing business unknown</x:v>
      </x:c>
      <x:c r="AE1007" s="7" t="str">
        <x:v>No public business phone: contact enrichment needed, not proof of poor recruiting fit</x:v>
      </x:c>
      <x:c r="AF1007" s="16" t="str"/>
      <x:c r="AG1007" s="17" t="str"/>
      <x:c r="AH1007" s="7" t="str"/>
      <x:c r="AI1007" s="7" t="str"/>
      <x:c r="AJ1007" s="7" t="str"/>
      <x:c r="AK1007" s="15" t="str"/>
      <x:c r="AL1007" s="7" t="str"/>
      <x:c r="AM1007" s="7" t="str">
        <x:v>AGUILAR ONORIO PETER</x:v>
      </x:c>
      <x:c r="AN1007" s="7" t="str">
        <x:v>https://cdicloud.insurance.ca.gov/cal/LicenseDetail?SearchType=IND&amp;SearchLicNbr=4218137&amp;SearchIndvId=4218137</x:v>
      </x:c>
      <x:c r="AO1007" s="7" t="str">
        <x:v>2026-10-08</x:v>
      </x:c>
      <x:c r="AP1007" s="7" t="str">
        <x:v>2ffa3b1427fdf8362a08a93208716cf4935e46aee4f8643dcb9b16e94871079f</x:v>
      </x:c>
      <x:c r="AQ1007" s="7" t="str">
        <x:v>Accident &amp; Health or Sickness / Inactive / 06/28/2022 / 06/30/2024 / 06/30/2024
Life / Inactive / 06/28/2022 / 06/30/2024 / 06/30/2024</x:v>
      </x:c>
      <x:c r="AR1007" s="7" t="str">
        <x:v>Inactive</x:v>
      </x:c>
      <x:c r="AS1007" s="7" t="str">
        <x:v>Current detail page</x:v>
      </x:c>
    </x:row>
    <x:row r="1008" ht="52" customHeight="1">
      <x:c r="A1008" s="7" t="str">
        <x:v>AGUILAR PHILLIP GERARD</x:v>
      </x:c>
      <x:c r="B1008" s="14" t="str">
        <x:f>"0D38135"</x:f>
        <x:v>0D38135</x:v>
      </x:c>
      <x:c r="C1008" s="7" t="str">
        <x:v>Omitted</x:v>
      </x:c>
      <x:c r="D1008" s="7" t="str">
        <x:v>FAIL</x:v>
      </x:c>
      <x:c r="E1008" s="13" t="str">
        <x:v>Pending</x:v>
      </x:c>
      <x:c r="F1008" s="13" t="str"/>
      <x:c r="G1008" s="13" t="str"/>
      <x:c r="H1008" s="13" t="str"/>
      <x:c r="I1008" s="7" t="str">
        <x:v>Was this person reviewed? If rejected, give the actual rule and evidence. If acceptable, correct the omission. Confirm the Life-qualification gate and any record change since selection.</x:v>
      </x:c>
      <x:c r="J1008" s="7" t="str">
        <x:v>L1</x:v>
      </x:c>
      <x:c r="K1008" s="7" t="str">
        <x:v>Verified qualifications do not include active general Life. Current target-pool mismatch; actual historical omission reason unknown.</x:v>
      </x:c>
      <x:c r="L1008" s="7" t="str">
        <x:v>Not supplied; membership is known, motive is not</x:v>
      </x:c>
      <x:c r="M1008" s="7" t="n">
        <x:v>7</x:v>
      </x:c>
      <x:c r="N1008" s="7" t="str">
        <x:v>Outside current general-Life recruiting pool</x:v>
      </x:c>
      <x:c r="O1008" s="7" t="str">
        <x:v>Not displayed</x:v>
      </x:c>
      <x:c r="P1008" s="7" t="str"/>
      <x:c r="Q1008" s="7" t="str"/>
      <x:c r="R1008" s="7" t="str"/>
      <x:c r="S1008" s="15" t="str">
        <x:v>559-686-6777</x:v>
      </x:c>
      <x:c r="T1008" s="7" t="str">
        <x:v>Current CDI</x:v>
      </x:c>
      <x:c r="U1008" s="7" t="str">
        <x:v>449 N K ST TULARE CA, 93274</x:v>
      </x:c>
      <x:c r="V1008" s="7" t="str">
        <x:v>Resident</x:v>
      </x:c>
      <x:c r="W1008" s="7" t="str">
        <x:v>CA</x:v>
      </x:c>
      <x:c r="X1008" s="7" t="str"/>
      <x:c r="Y1008" s="7" t="str"/>
      <x:c r="Z1008" s="7" t="str"/>
      <x:c r="AA1008" s="7" t="str"/>
      <x:c r="AB1008" s="7" t="str"/>
      <x:c r="AC1008" s="7" t="str"/>
      <x:c r="AD1008" s="7" t="str">
        <x:v>No agency or insurer displayed: onboarding opportunity possible; existing business unknown</x:v>
      </x:c>
      <x:c r="AE1008" s="7" t="str"/>
      <x:c r="AF1008" s="16" t="str"/>
      <x:c r="AG1008" s="17" t="str"/>
      <x:c r="AH1008" s="7" t="str"/>
      <x:c r="AI1008" s="7" t="str">
        <x:v>English</x:v>
      </x:c>
      <x:c r="AJ1008" s="7" t="str"/>
      <x:c r="AK1008" s="15" t="str"/>
      <x:c r="AL1008" s="7" t="str"/>
      <x:c r="AM1008" s="7" t="str">
        <x:v>AGUILAR GERARD PHILLIP</x:v>
      </x:c>
      <x:c r="AN1008" s="7" t="str">
        <x:v>https://cdicloud.insurance.ca.gov/cal/LicenseDetail?SearchType=IND&amp;SearchLicNbr=0D38135&amp;SearchIndvId=574628</x:v>
      </x:c>
      <x:c r="AO1008" s="7" t="str">
        <x:v>2026-10-08</x:v>
      </x:c>
      <x:c r="AP1008" s="7" t="str">
        <x:v>ce0cc5a391022e43f1af7f62cfc8ea1b5908105cec8933f507a730fb4d66aa37</x:v>
      </x:c>
      <x:c r="AQ1008" s="7" t="str">
        <x:v>Casualty / Inactive / 08/03/2001 / 08/31/2025 / 08/31/2025
Property / Inactive / 08/03/2001 / 08/31/2025 / 08/31/2025</x:v>
      </x:c>
      <x:c r="AR1008" s="7" t="str">
        <x:v>Inactive</x:v>
      </x:c>
      <x:c r="AS1008" s="7" t="str">
        <x:v>Current detail page</x:v>
      </x:c>
    </x:row>
    <x:row r="1009" ht="52" customHeight="1">
      <x:c r="A1009" s="7" t="str">
        <x:v>AGUILAR PONCE LILIANA</x:v>
      </x:c>
      <x:c r="B1009" s="14" t="str">
        <x:f>"E4532989"</x:f>
        <x:v>E4532989</x:v>
      </x:c>
      <x:c r="C1009" s="7" t="str">
        <x:v>Omitted</x:v>
      </x:c>
      <x:c r="D1009" s="7" t="str">
        <x:v>REVIEW</x:v>
      </x:c>
      <x:c r="E1009" s="13" t="str">
        <x:v>Pending</x:v>
      </x:c>
      <x:c r="F1009" s="13" t="str"/>
      <x:c r="G1009" s="13" t="str"/>
      <x:c r="H1009" s="13" t="str"/>
      <x:c r="I1009" s="7" t="str">
        <x:v>Was this record reviewed? The detail page provides no qualifications. Verify the actual license type and Life authority before deciding; do not reject for missing data.</x:v>
      </x:c>
      <x:c r="J1009" s="7" t="str">
        <x:v>L1</x:v>
      </x:c>
      <x:c r="K1009" s="7" t="str">
        <x:v>Detail page displays no qualification information. Life authority cannot be verified; missing data is not a qualification failure. Historical omission reason unknown.</x:v>
      </x:c>
      <x:c r="L1009" s="7" t="str">
        <x:v>Not supplied; membership is known, motive is not</x:v>
      </x:c>
      <x:c r="M1009" s="7" t="n">
        <x:v>7</x:v>
      </x:c>
      <x:c r="N1009" s="7" t="str">
        <x:v>Outside current general-Life recruiting pool</x:v>
      </x:c>
      <x:c r="O1009" s="7" t="str">
        <x:v>Not displayed</x:v>
      </x:c>
      <x:c r="P1009" s="7" t="str"/>
      <x:c r="Q1009" s="7" t="str"/>
      <x:c r="R1009" s="7" t="str"/>
      <x:c r="S1009" s="15" t="str"/>
      <x:c r="T1009" s="7" t="str">
        <x:v>No public business phone in collected record</x:v>
      </x:c>
      <x:c r="U1009" s="7" t="str"/>
      <x:c r="V1009" s="7" t="str">
        <x:v>Resident</x:v>
      </x:c>
      <x:c r="W1009" s="7" t="str">
        <x:v>CA</x:v>
      </x:c>
      <x:c r="X1009" s="7" t="str"/>
      <x:c r="Y1009" s="7" t="str"/>
      <x:c r="Z1009" s="7" t="str"/>
      <x:c r="AA1009" s="7" t="str"/>
      <x:c r="AB1009" s="7" t="str"/>
      <x:c r="AC1009" s="7" t="str"/>
      <x:c r="AD1009" s="7" t="str">
        <x:v>No agency or insurer displayed: onboarding opportunity possible; existing business unknown</x:v>
      </x:c>
      <x:c r="AE1009" s="7" t="str">
        <x:v>No public business phone: contact enrichment needed, not proof of poor recruiting fit</x:v>
      </x:c>
      <x:c r="AF1009" s="16" t="str"/>
      <x:c r="AG1009" s="17" t="str"/>
      <x:c r="AH1009" s="7" t="str"/>
      <x:c r="AI1009" s="7" t="str">
        <x:v>English</x:v>
      </x:c>
      <x:c r="AJ1009" s="7" t="str"/>
      <x:c r="AK1009" s="15" t="str"/>
      <x:c r="AL1009" s="7" t="str"/>
      <x:c r="AM1009" s="7" t="str">
        <x:v>AGUILAR PONCE  LILIANA</x:v>
      </x:c>
      <x:c r="AN1009" s="7" t="str">
        <x:v>https://cdicloud.insurance.ca.gov/cal/LicenseDetail?SearchType=IND&amp;SearchLicNbr=E4532989&amp;SearchIndvId=4532989</x:v>
      </x:c>
      <x:c r="AO1009" s="7" t="str">
        <x:v>2026-10-08</x:v>
      </x:c>
      <x:c r="AP1009" s="7" t="str">
        <x:v>1a7f61222ecbae1838a76b0a40bae4df0726967c23889caf23c98ee5e9ea8e99</x:v>
      </x:c>
      <x:c r="AQ1009" s="7" t="str"/>
      <x:c r="AR1009" s="7" t="str">
        <x:v>Active</x:v>
      </x:c>
      <x:c r="AS1009" s="7" t="str">
        <x:v>Current detail page</x:v>
      </x:c>
    </x:row>
    <x:row r="1010" ht="52" customHeight="1">
      <x:c r="A1010" s="7" t="str">
        <x:v>AGUILAR PORFIRIO ANGEL</x:v>
      </x:c>
      <x:c r="B1010" s="14" t="str">
        <x:f>"0I85551"</x:f>
        <x:v>0I85551</x:v>
      </x:c>
      <x:c r="C1010" s="7" t="str">
        <x:v>Omitted</x:v>
      </x:c>
      <x:c r="D1010" s="7" t="str">
        <x:v>FAIL</x:v>
      </x:c>
      <x:c r="E1010" s="13" t="str">
        <x:v>Pending</x:v>
      </x:c>
      <x:c r="F1010" s="13" t="str"/>
      <x:c r="G1010" s="13" t="str"/>
      <x:c r="H1010" s="13" t="str"/>
      <x:c r="I1010" s="7" t="str">
        <x:v>Was this person reviewed? If rejected, give the actual rule and evidence. If acceptable, correct the omission. Confirm the Life-qualification gate and any record change since selection.</x:v>
      </x:c>
      <x:c r="J1010" s="7" t="str">
        <x:v>L1</x:v>
      </x:c>
      <x:c r="K1010" s="7" t="str">
        <x:v>Verified qualifications do not include active general Life. Current target-pool mismatch; actual historical omission reason unknown.</x:v>
      </x:c>
      <x:c r="L1010" s="7" t="str">
        <x:v>Not supplied; membership is known, motive is not</x:v>
      </x:c>
      <x:c r="M1010" s="7" t="n">
        <x:v>7</x:v>
      </x:c>
      <x:c r="N1010" s="7" t="str">
        <x:v>Outside current general-Life recruiting pool</x:v>
      </x:c>
      <x:c r="O1010" s="7" t="str">
        <x:v>Not displayed</x:v>
      </x:c>
      <x:c r="P1010" s="7" t="str"/>
      <x:c r="Q1010" s="7" t="str"/>
      <x:c r="R1010" s="7" t="str"/>
      <x:c r="S1010" s="15" t="str"/>
      <x:c r="T1010" s="7" t="str">
        <x:v>No public business phone in collected record</x:v>
      </x:c>
      <x:c r="U1010" s="7" t="str"/>
      <x:c r="V1010" s="7" t="str">
        <x:v>Resident</x:v>
      </x:c>
      <x:c r="W1010" s="7" t="str">
        <x:v>CA</x:v>
      </x:c>
      <x:c r="X1010" s="7" t="str"/>
      <x:c r="Y1010" s="7" t="str"/>
      <x:c r="Z1010" s="7" t="str"/>
      <x:c r="AA1010" s="7" t="str"/>
      <x:c r="AB1010" s="7" t="str"/>
      <x:c r="AC1010" s="7" t="str"/>
      <x:c r="AD1010" s="7" t="str">
        <x:v>No agency or insurer displayed: onboarding opportunity possible; existing business unknown</x:v>
      </x:c>
      <x:c r="AE1010" s="7" t="str">
        <x:v>No public business phone: contact enrichment needed, not proof of poor recruiting fit</x:v>
      </x:c>
      <x:c r="AF1010" s="16" t="str"/>
      <x:c r="AG1010" s="17" t="str"/>
      <x:c r="AH1010" s="7" t="str"/>
      <x:c r="AI1010" s="7" t="str"/>
      <x:c r="AJ1010" s="7" t="str"/>
      <x:c r="AK1010" s="15" t="str"/>
      <x:c r="AL1010" s="7" t="str"/>
      <x:c r="AM1010" s="7" t="str">
        <x:v>AGUILAR  PORF | Aguilar A Porfirio | AGUILAR ANGEL PORFIRIO</x:v>
      </x:c>
      <x:c r="AN1010" s="7" t="str">
        <x:v>https://cdicloud.insurance.ca.gov/cal/LicenseDetail?SearchType=IND&amp;SearchLicNbr=0I85551&amp;SearchIndvId=1669400</x:v>
      </x:c>
      <x:c r="AO1010" s="7" t="str">
        <x:v>2026-10-08</x:v>
      </x:c>
      <x:c r="AP1010" s="7" t="str">
        <x:v>fb85216c4556a06514ba37469fd49bab8265f90628f7f0cbf148bb25e04587a4</x:v>
      </x:c>
      <x:c r="AQ1010" s="7" t="str">
        <x:v>Accident and Health / Inactive / 05/01/2014 / 05/31/2016 / 05/31/2016
Life-Only / Inactive / 05/01/2014 / 05/31/2016 / 05/31/2016</x:v>
      </x:c>
      <x:c r="AR1010" s="7" t="str">
        <x:v>Inactive</x:v>
      </x:c>
      <x:c r="AS1010" s="7" t="str">
        <x:v>Current detail page</x:v>
      </x:c>
    </x:row>
    <x:row r="1011" ht="52" customHeight="1">
      <x:c r="A1011" s="7" t="str">
        <x:v>AGUILAR PRESTON MICHAEL</x:v>
      </x:c>
      <x:c r="B1011" s="14" t="str">
        <x:f>"0K74955"</x:f>
        <x:v>0K74955</x:v>
      </x:c>
      <x:c r="C1011" s="7" t="str">
        <x:v>Omitted</x:v>
      </x:c>
      <x:c r="D1011" s="7" t="str">
        <x:v>FAIL</x:v>
      </x:c>
      <x:c r="E1011" s="13" t="str">
        <x:v>Pending</x:v>
      </x:c>
      <x:c r="F1011" s="13" t="str"/>
      <x:c r="G1011" s="13" t="str"/>
      <x:c r="H1011" s="13" t="str"/>
      <x:c r="I1011" s="7" t="str">
        <x:v>Was this person reviewed? If rejected, give the actual rule and evidence. If acceptable, correct the omission. Confirm the Life-qualification gate and any record change since selection.</x:v>
      </x:c>
      <x:c r="J1011" s="7" t="str">
        <x:v>L1</x:v>
      </x:c>
      <x:c r="K1011" s="7" t="str">
        <x:v>Verified qualifications do not include active general Life. Current target-pool mismatch; actual historical omission reason unknown.</x:v>
      </x:c>
      <x:c r="L1011" s="7" t="str">
        <x:v>Not supplied; membership is known, motive is not</x:v>
      </x:c>
      <x:c r="M1011" s="7" t="n">
        <x:v>7</x:v>
      </x:c>
      <x:c r="N1011" s="7" t="str">
        <x:v>Outside current general-Life recruiting pool</x:v>
      </x:c>
      <x:c r="O1011" s="7" t="str">
        <x:v>Not displayed</x:v>
      </x:c>
      <x:c r="P1011" s="7" t="str"/>
      <x:c r="Q1011" s="7" t="str"/>
      <x:c r="R1011" s="7" t="str"/>
      <x:c r="S1011" s="15" t="str"/>
      <x:c r="T1011" s="7" t="str">
        <x:v>No public business phone in collected record</x:v>
      </x:c>
      <x:c r="U1011" s="7" t="str"/>
      <x:c r="V1011" s="7" t="str">
        <x:v>Resident</x:v>
      </x:c>
      <x:c r="W1011" s="7" t="str">
        <x:v>CA</x:v>
      </x:c>
      <x:c r="X1011" s="7" t="str"/>
      <x:c r="Y1011" s="7" t="str"/>
      <x:c r="Z1011" s="7" t="str"/>
      <x:c r="AA1011" s="7" t="str"/>
      <x:c r="AB1011" s="7" t="str"/>
      <x:c r="AC1011" s="7" t="str"/>
      <x:c r="AD1011" s="7" t="str">
        <x:v>No agency or insurer displayed: onboarding opportunity possible; existing business unknown</x:v>
      </x:c>
      <x:c r="AE1011" s="7" t="str">
        <x:v>No public business phone: contact enrichment needed, not proof of poor recruiting fit</x:v>
      </x:c>
      <x:c r="AF1011" s="16" t="str"/>
      <x:c r="AG1011" s="17" t="str"/>
      <x:c r="AH1011" s="7" t="str"/>
      <x:c r="AI1011" s="7" t="str"/>
      <x:c r="AJ1011" s="7" t="str"/>
      <x:c r="AK1011" s="15" t="str"/>
      <x:c r="AL1011" s="7" t="str"/>
      <x:c r="AM1011" s="7" t="str">
        <x:v>Aguilar M Preston | AGUILAR MICHAEL PRESTON</x:v>
      </x:c>
      <x:c r="AN1011" s="7" t="str">
        <x:v>https://cdicloud.insurance.ca.gov/cal/LicenseDetail?SearchType=IND&amp;SearchLicNbr=0K74955&amp;SearchIndvId=1776178</x:v>
      </x:c>
      <x:c r="AO1011" s="7" t="str">
        <x:v>2026-10-08</x:v>
      </x:c>
      <x:c r="AP1011" s="7" t="str">
        <x:v>5b0673b74a2d25e406ffbeb6e1b470ad961c2181be3d618932b9ba54d84be189</x:v>
      </x:c>
      <x:c r="AQ1011" s="7" t="str">
        <x:v>Life-Only / Inactive / 02/18/2016 / 02/28/2018 / 02/28/2018</x:v>
      </x:c>
      <x:c r="AR1011" s="7" t="str">
        <x:v>Inactive</x:v>
      </x:c>
      <x:c r="AS1011" s="7" t="str">
        <x:v>Current detail page</x:v>
      </x:c>
    </x:row>
    <x:row r="1012" ht="52" customHeight="1">
      <x:c r="A1012" s="7" t="str">
        <x:v>AGUILAR PRISCILLA</x:v>
      </x:c>
      <x:c r="B1012" s="14" t="str">
        <x:f>"4245311"</x:f>
        <x:v>4245311</x:v>
      </x:c>
      <x:c r="C1012" s="7" t="str">
        <x:v>Omitted</x:v>
      </x:c>
      <x:c r="D1012" s="7" t="str">
        <x:v>FAIL</x:v>
      </x:c>
      <x:c r="E1012" s="13" t="str">
        <x:v>Pending</x:v>
      </x:c>
      <x:c r="F1012" s="13" t="str"/>
      <x:c r="G1012" s="13" t="str"/>
      <x:c r="H1012" s="13" t="str"/>
      <x:c r="I1012" s="7" t="str">
        <x:v>Was this person reviewed? If rejected, give the actual rule and evidence. If acceptable, correct the omission. Confirm the Life-qualification gate and any record change since selection.</x:v>
      </x:c>
      <x:c r="J1012" s="7" t="str">
        <x:v>L1</x:v>
      </x:c>
      <x:c r="K1012" s="7" t="str">
        <x:v>Verified qualifications do not include active general Life. Current target-pool mismatch; actual historical omission reason unknown.</x:v>
      </x:c>
      <x:c r="L1012" s="7" t="str">
        <x:v>Not supplied; membership is known, motive is not</x:v>
      </x:c>
      <x:c r="M1012" s="7" t="n">
        <x:v>7</x:v>
      </x:c>
      <x:c r="N1012" s="7" t="str">
        <x:v>Outside current general-Life recruiting pool</x:v>
      </x:c>
      <x:c r="O1012" s="7" t="str">
        <x:v>Not displayed</x:v>
      </x:c>
      <x:c r="P1012" s="7" t="str"/>
      <x:c r="Q1012" s="7" t="str"/>
      <x:c r="R1012" s="7" t="str">
        <x:v>Personal Lines</x:v>
      </x:c>
      <x:c r="S1012" s="15" t="str"/>
      <x:c r="T1012" s="7" t="str">
        <x:v>No public business phone in collected record</x:v>
      </x:c>
      <x:c r="U1012" s="7" t="str">
        <x:v>FIESTA AUTO INSURANCE &amp; TAX SERVICES 1099 3RD AVE, SUITE 2 CHULA VISTA CA, 91911</x:v>
      </x:c>
      <x:c r="V1012" s="7" t="str">
        <x:v>Resident</x:v>
      </x:c>
      <x:c r="W1012" s="7" t="str">
        <x:v>CA</x:v>
      </x:c>
      <x:c r="X1012" s="7" t="str">
        <x:v>SAMEDAY INSURANCE SERVICES, INC. / Personal Lines / 07/13/2026</x:v>
      </x:c>
      <x:c r="Y1012" s="7" t="str"/>
      <x:c r="Z1012" s="7" t="str"/>
      <x:c r="AA1012" s="7" t="str"/>
      <x:c r="AB1012" s="7" t="str"/>
      <x:c r="AC1012" s="7" t="str"/>
      <x:c r="AD1012" s="7" t="str"/>
      <x:c r="AE1012" s="7" t="str">
        <x:v>P&amp;C/Personal Lines authority without displayed core Life appointments; mixed profile requires review | No public business phone: contact enrichment needed, not proof of poor recruiting fit</x:v>
      </x:c>
      <x:c r="AF1012" s="16" t="str"/>
      <x:c r="AG1012" s="17" t="str"/>
      <x:c r="AH1012" s="7" t="str"/>
      <x:c r="AI1012" s="7" t="str">
        <x:v>English, Spanish, Spanish</x:v>
      </x:c>
      <x:c r="AJ1012" s="7" t="str"/>
      <x:c r="AK1012" s="15" t="str"/>
      <x:c r="AL1012" s="7" t="str"/>
      <x:c r="AM1012" s="7" t="str">
        <x:v>AGUILAR  PRISCILLA</x:v>
      </x:c>
      <x:c r="AN1012" s="7" t="str">
        <x:v>https://cdicloud.insurance.ca.gov/cal/LicenseDetail?SearchType=IND&amp;SearchLicNbr=4245311&amp;SearchIndvId=4245311</x:v>
      </x:c>
      <x:c r="AO1012" s="7" t="str">
        <x:v>2026-10-08</x:v>
      </x:c>
      <x:c r="AP1012" s="7" t="str">
        <x:v>7d3745c75d4894a7ab7600854e1a565c6ed9222d547d1ecebb211a53802927b9</x:v>
      </x:c>
      <x:c r="AQ1012" s="7" t="str">
        <x:v>Personal Lines / Active / 08/17/2023 / 09/04/2025 / 08/31/2027</x:v>
      </x:c>
      <x:c r="AR1012" s="7" t="str">
        <x:v>Active</x:v>
      </x:c>
      <x:c r="AS1012" s="7" t="str">
        <x:v>Current detail page</x:v>
      </x:c>
    </x:row>
    <x:row r="1013" ht="52" customHeight="1">
      <x:c r="A1013" s="7" t="str">
        <x:v>AGUILAR PRISCILLA ANGELICA</x:v>
      </x:c>
      <x:c r="B1013" s="14" t="str">
        <x:f>"0I08562"</x:f>
        <x:v>0I08562</x:v>
      </x:c>
      <x:c r="C1013" s="7" t="str">
        <x:v>Omitted</x:v>
      </x:c>
      <x:c r="D1013" s="7" t="str">
        <x:v>FAIL</x:v>
      </x:c>
      <x:c r="E1013" s="13" t="str">
        <x:v>Pending</x:v>
      </x:c>
      <x:c r="F1013" s="13" t="str"/>
      <x:c r="G1013" s="13" t="str"/>
      <x:c r="H1013" s="13" t="str"/>
      <x:c r="I1013" s="7" t="str">
        <x:v>Was this person reviewed? If rejected, give the actual rule and evidence. If acceptable, correct the omission. Confirm the Life-qualification gate and any record change since selection.</x:v>
      </x:c>
      <x:c r="J1013" s="7" t="str">
        <x:v>L1</x:v>
      </x:c>
      <x:c r="K1013" s="7" t="str">
        <x:v>Verified qualifications do not include active general Life. Current target-pool mismatch; actual historical omission reason unknown.</x:v>
      </x:c>
      <x:c r="L1013" s="7" t="str">
        <x:v>Not supplied; membership is known, motive is not</x:v>
      </x:c>
      <x:c r="M1013" s="7" t="n">
        <x:v>7</x:v>
      </x:c>
      <x:c r="N1013" s="7" t="str">
        <x:v>Outside current general-Life recruiting pool</x:v>
      </x:c>
      <x:c r="O1013" s="7" t="str">
        <x:v>Not displayed</x:v>
      </x:c>
      <x:c r="P1013" s="7" t="str"/>
      <x:c r="Q1013" s="7" t="str"/>
      <x:c r="R1013" s="7" t="str"/>
      <x:c r="S1013" s="15" t="str"/>
      <x:c r="T1013" s="7" t="str">
        <x:v>No public business phone in collected record</x:v>
      </x:c>
      <x:c r="U1013" s="7" t="str"/>
      <x:c r="V1013" s="7" t="str">
        <x:v>Non-resident</x:v>
      </x:c>
      <x:c r="W1013" s="7" t="str">
        <x:v>FL</x:v>
      </x:c>
      <x:c r="X1013" s="7" t="str"/>
      <x:c r="Y1013" s="7" t="str"/>
      <x:c r="Z1013" s="7" t="str"/>
      <x:c r="AA1013" s="7" t="str"/>
      <x:c r="AB1013" s="7" t="str"/>
      <x:c r="AC1013" s="7" t="str"/>
      <x:c r="AD1013" s="7" t="str">
        <x:v>No agency or insurer displayed: onboarding opportunity possible; existing business unknown</x:v>
      </x:c>
      <x:c r="AE1013" s="7" t="str">
        <x:v>Nonresident or address state outside CA; confirm geographic recruiting scope | No public business phone: contact enrichment needed, not proof of poor recruiting fit</x:v>
      </x:c>
      <x:c r="AF1013" s="16" t="str"/>
      <x:c r="AG1013" s="17" t="str"/>
      <x:c r="AH1013" s="7" t="str"/>
      <x:c r="AI1013" s="7" t="str"/>
      <x:c r="AJ1013" s="7" t="str"/>
      <x:c r="AK1013" s="15" t="str"/>
      <x:c r="AL1013" s="7" t="str"/>
      <x:c r="AM1013" s="7" t="str">
        <x:v>AGUILAR ANGELICA PRISCILLA</x:v>
      </x:c>
      <x:c r="AN1013" s="7" t="str">
        <x:v>https://cdicloud.insurance.ca.gov/cal/LicenseDetail?SearchType=IND&amp;SearchLicNbr=0I08562&amp;SearchIndvId=1535069</x:v>
      </x:c>
      <x:c r="AO1013" s="7" t="str">
        <x:v>2026-10-08</x:v>
      </x:c>
      <x:c r="AP1013" s="7" t="str">
        <x:v>7b2f59bb7a327f04dc8cb2cf2bef4bd6058298b1766d48e1fe9c05b99e971510</x:v>
      </x:c>
      <x:c r="AQ1013" s="7" t="str">
        <x:v>Accident and Health / Inactive / 10/17/2012 / 10/31/2014 / 10/31/2014
Life-Only / Inactive / 10/17/2012 / 10/31/2014 / 10/31/2014</x:v>
      </x:c>
      <x:c r="AR1013" s="7" t="str">
        <x:v>Inactive</x:v>
      </x:c>
      <x:c r="AS1013" s="7" t="str">
        <x:v>Current detail page</x:v>
      </x:c>
    </x:row>
    <x:row r="1014" ht="52" customHeight="1">
      <x:c r="A1014" s="7" t="str">
        <x:v>AGUILAR PRISCILLA GARCIA</x:v>
      </x:c>
      <x:c r="B1014" s="14" t="str">
        <x:f>"0L95245"</x:f>
        <x:v>0L95245</x:v>
      </x:c>
      <x:c r="C1014" s="7" t="str">
        <x:v>Omitted</x:v>
      </x:c>
      <x:c r="D1014" s="7" t="str">
        <x:v>FAIL</x:v>
      </x:c>
      <x:c r="E1014" s="13" t="str">
        <x:v>Pending</x:v>
      </x:c>
      <x:c r="F1014" s="13" t="str"/>
      <x:c r="G1014" s="13" t="str"/>
      <x:c r="H1014" s="13" t="str"/>
      <x:c r="I1014" s="7" t="str">
        <x:v>Was this person reviewed? If rejected, give the actual rule and evidence. If acceptable, correct the omission. Confirm the Life-qualification gate and any record change since selection.</x:v>
      </x:c>
      <x:c r="J1014" s="7" t="str">
        <x:v>L1</x:v>
      </x:c>
      <x:c r="K1014" s="7" t="str">
        <x:v>Verified qualifications do not include active general Life. Current target-pool mismatch; actual historical omission reason unknown.</x:v>
      </x:c>
      <x:c r="L1014" s="7" t="str">
        <x:v>Not supplied; membership is known, motive is not</x:v>
      </x:c>
      <x:c r="M1014" s="7" t="n">
        <x:v>7</x:v>
      </x:c>
      <x:c r="N1014" s="7" t="str">
        <x:v>Outside current general-Life recruiting pool</x:v>
      </x:c>
      <x:c r="O1014" s="7" t="str">
        <x:v>Not displayed</x:v>
      </x:c>
      <x:c r="P1014" s="7" t="str"/>
      <x:c r="Q1014" s="7" t="str"/>
      <x:c r="R1014" s="7" t="str"/>
      <x:c r="S1014" s="15" t="str"/>
      <x:c r="T1014" s="7" t="str">
        <x:v>No public business phone in collected record</x:v>
      </x:c>
      <x:c r="U1014" s="7" t="str"/>
      <x:c r="V1014" s="7" t="str">
        <x:v>Resident</x:v>
      </x:c>
      <x:c r="W1014" s="7" t="str">
        <x:v>CA</x:v>
      </x:c>
      <x:c r="X1014" s="7" t="str"/>
      <x:c r="Y1014" s="7" t="str"/>
      <x:c r="Z1014" s="7" t="str"/>
      <x:c r="AA1014" s="7" t="str"/>
      <x:c r="AB1014" s="7" t="str"/>
      <x:c r="AC1014" s="7" t="str"/>
      <x:c r="AD1014" s="7" t="str">
        <x:v>No agency or insurer displayed: onboarding opportunity possible; existing business unknown</x:v>
      </x:c>
      <x:c r="AE1014" s="7" t="str">
        <x:v>No public business phone: contact enrichment needed, not proof of poor recruiting fit</x:v>
      </x:c>
      <x:c r="AF1014" s="16" t="str"/>
      <x:c r="AG1014" s="17" t="str"/>
      <x:c r="AH1014" s="7" t="str"/>
      <x:c r="AI1014" s="7" t="str"/>
      <x:c r="AJ1014" s="7" t="str"/>
      <x:c r="AK1014" s="15" t="str"/>
      <x:c r="AL1014" s="7" t="str"/>
      <x:c r="AM1014" s="7" t="str">
        <x:v>Aguilar G Priscilla | AGUILAR GARCIA PRISCILLA</x:v>
      </x:c>
      <x:c r="AN1014" s="7" t="str">
        <x:v>https://cdicloud.insurance.ca.gov/cal/LicenseDetail?SearchType=IND&amp;SearchLicNbr=0L95245&amp;SearchIndvId=1961522</x:v>
      </x:c>
      <x:c r="AO1014" s="7" t="str">
        <x:v>2026-10-08</x:v>
      </x:c>
      <x:c r="AP1014" s="7" t="str">
        <x:v>ec17f2165b14c6fb5fff6fd3b113a71122bdec37a143e6034f978a723d0320ef</x:v>
      </x:c>
      <x:c r="AQ1014" s="7" t="str">
        <x:v>Life-Only / Inactive / 09/21/2017 / 09/30/2019 / 09/30/2019</x:v>
      </x:c>
      <x:c r="AR1014" s="7" t="str">
        <x:v>Inactive</x:v>
      </x:c>
      <x:c r="AS1014" s="7" t="str">
        <x:v>Current detail page</x:v>
      </x:c>
    </x:row>
    <x:row r="1015" ht="52" customHeight="1">
      <x:c r="A1015" s="7" t="str">
        <x:v>AGUILAR PRISCILLA MARIE</x:v>
      </x:c>
      <x:c r="B1015" s="14" t="str">
        <x:f>"0L33369"</x:f>
        <x:v>0L33369</x:v>
      </x:c>
      <x:c r="C1015" s="7" t="str">
        <x:v>Omitted</x:v>
      </x:c>
      <x:c r="D1015" s="7" t="str">
        <x:v>FAIL</x:v>
      </x:c>
      <x:c r="E1015" s="13" t="str">
        <x:v>Pending</x:v>
      </x:c>
      <x:c r="F1015" s="13" t="str"/>
      <x:c r="G1015" s="13" t="str"/>
      <x:c r="H1015" s="13" t="str"/>
      <x:c r="I1015" s="7" t="str">
        <x:v>Was this person reviewed? If rejected, give the actual rule and evidence. If acceptable, correct the omission. Confirm the Life-qualification gate and any record change since selection.</x:v>
      </x:c>
      <x:c r="J1015" s="7" t="str">
        <x:v>L1</x:v>
      </x:c>
      <x:c r="K1015" s="7" t="str">
        <x:v>Verified qualifications do not include active general Life. Current target-pool mismatch; actual historical omission reason unknown.</x:v>
      </x:c>
      <x:c r="L1015" s="7" t="str">
        <x:v>Not supplied; membership is known, motive is not</x:v>
      </x:c>
      <x:c r="M1015" s="7" t="n">
        <x:v>7</x:v>
      </x:c>
      <x:c r="N1015" s="7" t="str">
        <x:v>Outside current general-Life recruiting pool</x:v>
      </x:c>
      <x:c r="O1015" s="7" t="str">
        <x:v>Not displayed</x:v>
      </x:c>
      <x:c r="P1015" s="7" t="str"/>
      <x:c r="Q1015" s="7" t="str"/>
      <x:c r="R1015" s="7" t="str"/>
      <x:c r="S1015" s="15" t="str"/>
      <x:c r="T1015" s="7" t="str">
        <x:v>No public business phone in collected record</x:v>
      </x:c>
      <x:c r="U1015" s="7" t="str"/>
      <x:c r="V1015" s="7" t="str">
        <x:v>Non-resident</x:v>
      </x:c>
      <x:c r="W1015" s="7" t="str">
        <x:v>TX</x:v>
      </x:c>
      <x:c r="X1015" s="7" t="str"/>
      <x:c r="Y1015" s="7" t="str"/>
      <x:c r="Z1015" s="7" t="str"/>
      <x:c r="AA1015" s="7" t="str"/>
      <x:c r="AB1015" s="7" t="str"/>
      <x:c r="AC1015" s="7" t="str"/>
      <x:c r="AD1015" s="7" t="str">
        <x:v>No agency or insurer displayed: onboarding opportunity possible; existing business unknown</x:v>
      </x:c>
      <x:c r="AE1015" s="7" t="str">
        <x:v>Nonresident or address state outside CA; confirm geographic recruiting scope | No public business phone: contact enrichment needed, not proof of poor recruiting fit</x:v>
      </x:c>
      <x:c r="AF1015" s="16" t="str"/>
      <x:c r="AG1015" s="17" t="str"/>
      <x:c r="AH1015" s="7" t="str"/>
      <x:c r="AI1015" s="7" t="str"/>
      <x:c r="AJ1015" s="7" t="str"/>
      <x:c r="AK1015" s="15" t="str"/>
      <x:c r="AL1015" s="7" t="str"/>
      <x:c r="AM1015" s="7" t="str">
        <x:v>AGUILAR MARIE PRISCILLA</x:v>
      </x:c>
      <x:c r="AN1015" s="7" t="str">
        <x:v>https://cdicloud.insurance.ca.gov/cal/LicenseDetail?SearchType=IND&amp;SearchLicNbr=0L33369&amp;SearchIndvId=1885166</x:v>
      </x:c>
      <x:c r="AO1015" s="7" t="str">
        <x:v>2026-10-08</x:v>
      </x:c>
      <x:c r="AP1015" s="7" t="str">
        <x:v>c0e9d8bc4a8a153b9e5b8f2babf6d275b20763acd321679fdfd072732aa9c0cc</x:v>
      </x:c>
      <x:c r="AQ1015" s="7" t="str">
        <x:v>Accident and Health / Inactive / 11/08/2016 / 11/30/2018 / 11/30/2018
Life-Only / Inactive / 11/08/2016 / 11/30/2018 / 11/30/2018</x:v>
      </x:c>
      <x:c r="AR1015" s="7" t="str">
        <x:v>Inactive</x:v>
      </x:c>
      <x:c r="AS1015" s="7" t="str">
        <x:v>Current detail page</x:v>
      </x:c>
    </x:row>
    <x:row r="1016" ht="52" customHeight="1">
      <x:c r="A1016" s="7" t="str">
        <x:v>AGUILAR PRISCILLA VANESSA</x:v>
      </x:c>
      <x:c r="B1016" s="14" t="str">
        <x:f>"0K25745"</x:f>
        <x:v>0K25745</x:v>
      </x:c>
      <x:c r="C1016" s="7" t="str">
        <x:v>Omitted</x:v>
      </x:c>
      <x:c r="D1016" s="7" t="str">
        <x:v>FAIL</x:v>
      </x:c>
      <x:c r="E1016" s="13" t="str">
        <x:v>Pending</x:v>
      </x:c>
      <x:c r="F1016" s="13" t="str"/>
      <x:c r="G1016" s="13" t="str"/>
      <x:c r="H1016" s="13" t="str"/>
      <x:c r="I1016" s="7" t="str">
        <x:v>Was this person reviewed? If rejected, give the actual rule and evidence. If acceptable, correct the omission. Confirm the Life-qualification gate and any record change since selection.</x:v>
      </x:c>
      <x:c r="J1016" s="7" t="str">
        <x:v>L1</x:v>
      </x:c>
      <x:c r="K1016" s="7" t="str">
        <x:v>Verified qualifications do not include active general Life. Current target-pool mismatch; actual historical omission reason unknown.</x:v>
      </x:c>
      <x:c r="L1016" s="7" t="str">
        <x:v>Not supplied; membership is known, motive is not</x:v>
      </x:c>
      <x:c r="M1016" s="7" t="n">
        <x:v>7</x:v>
      </x:c>
      <x:c r="N1016" s="7" t="str">
        <x:v>Outside current general-Life recruiting pool</x:v>
      </x:c>
      <x:c r="O1016" s="7" t="str">
        <x:v>Inactive</x:v>
      </x:c>
      <x:c r="P1016" s="7" t="str">
        <x:v>05/20/2015</x:v>
      </x:c>
      <x:c r="Q1016" s="7" t="str">
        <x:v>05/31/2023</x:v>
      </x:c>
      <x:c r="R1016" s="7" t="str"/>
      <x:c r="S1016" s="15" t="str">
        <x:v>760-534-2125</x:v>
      </x:c>
      <x:c r="T1016" s="7" t="str">
        <x:v>Current CDI</x:v>
      </x:c>
      <x:c r="U1016" s="7" t="str">
        <x:v>44750 VILLAGE COURT PALM DESERT CA, 92260</x:v>
      </x:c>
      <x:c r="V1016" s="7" t="str">
        <x:v>Resident</x:v>
      </x:c>
      <x:c r="W1016" s="7" t="str">
        <x:v>CA</x:v>
      </x:c>
      <x:c r="X1016" s="7" t="str"/>
      <x:c r="Y1016" s="7" t="str"/>
      <x:c r="Z1016" s="7" t="str"/>
      <x:c r="AA1016" s="7" t="str"/>
      <x:c r="AB1016" s="7" t="str"/>
      <x:c r="AC1016" s="7" t="str"/>
      <x:c r="AD1016" s="7" t="str">
        <x:v>No agency or insurer displayed: onboarding opportunity possible; existing business unknown</x:v>
      </x:c>
      <x:c r="AE1016" s="7" t="str"/>
      <x:c r="AF1016" s="16" t="str"/>
      <x:c r="AG1016" s="17" t="str"/>
      <x:c r="AH1016" s="7" t="str"/>
      <x:c r="AI1016" s="7" t="str">
        <x:v>English</x:v>
      </x:c>
      <x:c r="AJ1016" s="7" t="str"/>
      <x:c r="AK1016" s="15" t="str"/>
      <x:c r="AL1016" s="7" t="str"/>
      <x:c r="AM1016" s="7" t="str">
        <x:v>AGUILAR VANESSA PRISCILLA | AGUILAR  PRISCILLA V</x:v>
      </x:c>
      <x:c r="AN1016" s="7" t="str">
        <x:v>https://cdicloud.insurance.ca.gov/cal/LicenseDetail?SearchType=IND&amp;SearchLicNbr=0K25745&amp;SearchIndvId=1761311</x:v>
      </x:c>
      <x:c r="AO1016" s="7" t="str">
        <x:v>2026-10-08</x:v>
      </x:c>
      <x:c r="AP1016" s="7" t="str">
        <x:v>85c19affa825c4ae4ff6f08d0ccf8518d1c4a8f993758e9ab56a0817398b8362</x:v>
      </x:c>
      <x:c r="AQ1016" s="7" t="str">
        <x:v>Accident &amp; Health or Sickness / Inactive / 05/20/2015 / 05/31/2023 / 05/31/2023
Life / Inactive / 05/20/2015 / 05/31/2023 / 05/31/2023</x:v>
      </x:c>
      <x:c r="AR1016" s="7" t="str">
        <x:v>Inactive</x:v>
      </x:c>
      <x:c r="AS1016" s="7" t="str">
        <x:v>Current detail page</x:v>
      </x:c>
    </x:row>
    <x:row r="1017" ht="52" customHeight="1">
      <x:c r="A1017" s="7" t="str">
        <x:v>AGUILAR RACHEL ELVIRA</x:v>
      </x:c>
      <x:c r="B1017" s="14" t="str">
        <x:f>"0E29091"</x:f>
        <x:v>0E29091</x:v>
      </x:c>
      <x:c r="C1017" s="7" t="str">
        <x:v>Omitted</x:v>
      </x:c>
      <x:c r="D1017" s="7" t="str">
        <x:v>FAIL</x:v>
      </x:c>
      <x:c r="E1017" s="13" t="str">
        <x:v>Pending</x:v>
      </x:c>
      <x:c r="F1017" s="13" t="str"/>
      <x:c r="G1017" s="13" t="str"/>
      <x:c r="H1017" s="13" t="str"/>
      <x:c r="I1017" s="7" t="str">
        <x:v>Was this person reviewed? If rejected, give the actual rule and evidence. If acceptable, correct the omission. Confirm the Life-qualification gate and any record change since selection.</x:v>
      </x:c>
      <x:c r="J1017" s="7" t="str">
        <x:v>L1</x:v>
      </x:c>
      <x:c r="K1017" s="7" t="str">
        <x:v>Verified qualifications do not include active general Life. Current target-pool mismatch; actual historical omission reason unknown.</x:v>
      </x:c>
      <x:c r="L1017" s="7" t="str">
        <x:v>Not supplied; membership is known, motive is not</x:v>
      </x:c>
      <x:c r="M1017" s="7" t="n">
        <x:v>7</x:v>
      </x:c>
      <x:c r="N1017" s="7" t="str">
        <x:v>Outside current general-Life recruiting pool</x:v>
      </x:c>
      <x:c r="O1017" s="7" t="str">
        <x:v>Not displayed</x:v>
      </x:c>
      <x:c r="P1017" s="7" t="str"/>
      <x:c r="Q1017" s="7" t="str"/>
      <x:c r="R1017" s="7" t="str"/>
      <x:c r="S1017" s="15" t="str"/>
      <x:c r="T1017" s="7" t="str">
        <x:v>No public business phone in collected record</x:v>
      </x:c>
      <x:c r="U1017" s="7" t="str"/>
      <x:c r="V1017" s="7" t="str">
        <x:v>Resident</x:v>
      </x:c>
      <x:c r="W1017" s="7" t="str">
        <x:v>CA</x:v>
      </x:c>
      <x:c r="X1017" s="7" t="str"/>
      <x:c r="Y1017" s="7" t="str"/>
      <x:c r="Z1017" s="7" t="str"/>
      <x:c r="AA1017" s="7" t="str"/>
      <x:c r="AB1017" s="7" t="str"/>
      <x:c r="AC1017" s="7" t="str"/>
      <x:c r="AD1017" s="7" t="str">
        <x:v>No agency or insurer displayed: onboarding opportunity possible; existing business unknown</x:v>
      </x:c>
      <x:c r="AE1017" s="7" t="str">
        <x:v>No public business phone: contact enrichment needed, not proof of poor recruiting fit</x:v>
      </x:c>
      <x:c r="AF1017" s="16" t="str"/>
      <x:c r="AG1017" s="17" t="str"/>
      <x:c r="AH1017" s="7" t="str"/>
      <x:c r="AI1017" s="7" t="str"/>
      <x:c r="AJ1017" s="7" t="str"/>
      <x:c r="AK1017" s="15" t="str"/>
      <x:c r="AL1017" s="7" t="str"/>
      <x:c r="AM1017" s="7" t="str">
        <x:v>AGUILAR ELVIRA RACHEL</x:v>
      </x:c>
      <x:c r="AN1017" s="7" t="str">
        <x:v>https://cdicloud.insurance.ca.gov/cal/LicenseDetail?SearchType=IND&amp;SearchLicNbr=0E29091&amp;SearchIndvId=880445</x:v>
      </x:c>
      <x:c r="AO1017" s="7" t="str">
        <x:v>2026-10-08</x:v>
      </x:c>
      <x:c r="AP1017" s="7" t="str">
        <x:v>ca83c46b68482bf14179df0dd83a870a668207807159a899993bc64c489fa409</x:v>
      </x:c>
      <x:c r="AQ1017" s="7" t="str">
        <x:v>Accident and Health / Inactive / 01/20/2004 / 01/31/2006 / 01/31/2006
Life-Only / Inactive / 01/20/2004 / 01/31/2006 / 01/31/2006</x:v>
      </x:c>
      <x:c r="AR1017" s="7" t="str">
        <x:v>Inactive</x:v>
      </x:c>
      <x:c r="AS1017" s="7" t="str">
        <x:v>Current detail page</x:v>
      </x:c>
    </x:row>
    <x:row r="1018" ht="52" customHeight="1">
      <x:c r="A1018" s="7" t="str">
        <x:v>AGUILAR RACHEL MARIE</x:v>
      </x:c>
      <x:c r="B1018" s="14" t="str">
        <x:f>"0F52618"</x:f>
        <x:v>0F52618</x:v>
      </x:c>
      <x:c r="C1018" s="7" t="str">
        <x:v>Omitted</x:v>
      </x:c>
      <x:c r="D1018" s="7" t="str">
        <x:v>FAIL</x:v>
      </x:c>
      <x:c r="E1018" s="13" t="str">
        <x:v>Pending</x:v>
      </x:c>
      <x:c r="F1018" s="13" t="str"/>
      <x:c r="G1018" s="13" t="str"/>
      <x:c r="H1018" s="13" t="str"/>
      <x:c r="I1018" s="7" t="str">
        <x:v>Was this person reviewed? If rejected, give the actual rule and evidence. If acceptable, correct the omission. Confirm the Life-qualification gate and any record change since selection.</x:v>
      </x:c>
      <x:c r="J1018" s="7" t="str">
        <x:v>L1</x:v>
      </x:c>
      <x:c r="K1018" s="7" t="str">
        <x:v>Verified qualifications do not include active general Life. Current target-pool mismatch; actual historical omission reason unknown.</x:v>
      </x:c>
      <x:c r="L1018" s="7" t="str">
        <x:v>Not supplied; membership is known, motive is not</x:v>
      </x:c>
      <x:c r="M1018" s="7" t="n">
        <x:v>7</x:v>
      </x:c>
      <x:c r="N1018" s="7" t="str">
        <x:v>Outside current general-Life recruiting pool</x:v>
      </x:c>
      <x:c r="O1018" s="7" t="str">
        <x:v>Not displayed</x:v>
      </x:c>
      <x:c r="P1018" s="7" t="str"/>
      <x:c r="Q1018" s="7" t="str"/>
      <x:c r="R1018" s="7" t="str">
        <x:v>Accident &amp; Health or Sickness</x:v>
      </x:c>
      <x:c r="S1018" s="15" t="str"/>
      <x:c r="T1018" s="7" t="str">
        <x:v>No public business phone in collected record</x:v>
      </x:c>
      <x:c r="U1018" s="7" t="str">
        <x:v>8954 RIO SAN DIEGO DRIVE SAN DIEGO CA, 92108</x:v>
      </x:c>
      <x:c r="V1018" s="7" t="str">
        <x:v>Resident</x:v>
      </x:c>
      <x:c r="W1018" s="7" t="str">
        <x:v>CA</x:v>
      </x:c>
      <x:c r="X1018" s="7" t="str"/>
      <x:c r="Y1018" s="7" t="str">
        <x:v>KAISER PERMANENTE INSURANCE COMPANY / Accident &amp; Health or Sickness / 09/28/2020</x:v>
      </x:c>
      <x:c r="Z1018" s="7" t="str"/>
      <x:c r="AA1018" s="7" t="str"/>
      <x:c r="AB1018" s="7" t="str"/>
      <x:c r="AC1018" s="7" t="str"/>
      <x:c r="AD1018" s="7" t="str">
        <x:v>Active A&amp;H supports optional cross-selling; not necessary for target products</x:v>
      </x:c>
      <x:c r="AE1018" s="7" t="str">
        <x:v>Displayed insurer appointments are A&amp;H/disability only despite active Life authority | No public business phone: contact enrichment needed, not proof of poor recruiting fit</x:v>
      </x:c>
      <x:c r="AF1018" s="16" t="str"/>
      <x:c r="AG1018" s="17" t="str"/>
      <x:c r="AH1018" s="7" t="str"/>
      <x:c r="AI1018" s="7" t="str">
        <x:v>English</x:v>
      </x:c>
      <x:c r="AJ1018" s="7" t="str"/>
      <x:c r="AK1018" s="15" t="str"/>
      <x:c r="AL1018" s="7" t="str"/>
      <x:c r="AM1018" s="7" t="str">
        <x:v>AGUILAR MARIE RACHEL</x:v>
      </x:c>
      <x:c r="AN1018" s="7" t="str">
        <x:v>https://cdicloud.insurance.ca.gov/cal/LicenseDetail?SearchType=IND&amp;SearchLicNbr=0F52618&amp;SearchIndvId=1065832</x:v>
      </x:c>
      <x:c r="AO1018" s="7" t="str">
        <x:v>2026-10-08</x:v>
      </x:c>
      <x:c r="AP1018" s="7" t="str">
        <x:v>0bcdedb757444b1e0927989a46eae2a5fde92dc691ef74e8566e6c4a06d33b71</x:v>
      </x:c>
      <x:c r="AQ1018" s="7" t="str">
        <x:v>Accident &amp; Health or Sickness / Active / 01/25/2007 / 09/02/2020 / 09/30/2028</x:v>
      </x:c>
      <x:c r="AR1018" s="7" t="str">
        <x:v>Active</x:v>
      </x:c>
      <x:c r="AS1018" s="7" t="str">
        <x:v>Current detail page</x:v>
      </x:c>
    </x:row>
    <x:row r="1019" ht="52" customHeight="1">
      <x:c r="A1019" s="7" t="str">
        <x:v>AGUILAR RANDI</x:v>
      </x:c>
      <x:c r="B1019" s="14" t="str">
        <x:f>"0I66254"</x:f>
        <x:v>0I66254</x:v>
      </x:c>
      <x:c r="C1019" s="7" t="str">
        <x:v>Omitted</x:v>
      </x:c>
      <x:c r="D1019" s="7" t="str">
        <x:v>FAIL</x:v>
      </x:c>
      <x:c r="E1019" s="13" t="str">
        <x:v>Pending</x:v>
      </x:c>
      <x:c r="F1019" s="13" t="str"/>
      <x:c r="G1019" s="13" t="str"/>
      <x:c r="H1019" s="13" t="str"/>
      <x:c r="I1019" s="7" t="str">
        <x:v>Was this person reviewed? If rejected, give the actual rule and evidence. If acceptable, correct the omission. Confirm the Life-qualification gate and any record change since selection.</x:v>
      </x:c>
      <x:c r="J1019" s="7" t="str">
        <x:v>L1</x:v>
      </x:c>
      <x:c r="K1019" s="7" t="str">
        <x:v>Verified qualifications do not include active general Life. Current target-pool mismatch; actual historical omission reason unknown.</x:v>
      </x:c>
      <x:c r="L1019" s="7" t="str">
        <x:v>Not supplied; membership is known, motive is not</x:v>
      </x:c>
      <x:c r="M1019" s="7" t="n">
        <x:v>7</x:v>
      </x:c>
      <x:c r="N1019" s="7" t="str">
        <x:v>Outside current general-Life recruiting pool</x:v>
      </x:c>
      <x:c r="O1019" s="7" t="str">
        <x:v>Not displayed</x:v>
      </x:c>
      <x:c r="P1019" s="7" t="str"/>
      <x:c r="Q1019" s="7" t="str"/>
      <x:c r="R1019" s="7" t="str"/>
      <x:c r="S1019" s="15" t="str">
        <x:v>210-620-1425</x:v>
      </x:c>
      <x:c r="T1019" s="7" t="str">
        <x:v>Current CDI</x:v>
      </x:c>
      <x:c r="U1019" s="7" t="str">
        <x:v>538 W MULBERRY AVE SAN ANTONIO TX, 78212-3222</x:v>
      </x:c>
      <x:c r="V1019" s="7" t="str">
        <x:v>Non-resident</x:v>
      </x:c>
      <x:c r="W1019" s="7" t="str">
        <x:v>TX</x:v>
      </x:c>
      <x:c r="X1019" s="7" t="str"/>
      <x:c r="Y1019" s="7" t="str"/>
      <x:c r="Z1019" s="7" t="str"/>
      <x:c r="AA1019" s="7" t="str"/>
      <x:c r="AB1019" s="7" t="str"/>
      <x:c r="AC1019" s="7" t="str"/>
      <x:c r="AD1019" s="7" t="str">
        <x:v>No agency or insurer displayed: onboarding opportunity possible; existing business unknown</x:v>
      </x:c>
      <x:c r="AE1019" s="7" t="str">
        <x:v>Nonresident or address state outside CA; confirm geographic recruiting scope</x:v>
      </x:c>
      <x:c r="AF1019" s="16" t="str"/>
      <x:c r="AG1019" s="17" t="str"/>
      <x:c r="AH1019" s="7" t="str"/>
      <x:c r="AI1019" s="7" t="str">
        <x:v>English</x:v>
      </x:c>
      <x:c r="AJ1019" s="7" t="str"/>
      <x:c r="AK1019" s="15" t="str"/>
      <x:c r="AL1019" s="7" t="str"/>
      <x:c r="AM1019" s="7" t="str">
        <x:v>AGUILAR  RANDI</x:v>
      </x:c>
      <x:c r="AN1019" s="7" t="str">
        <x:v>https://cdicloud.insurance.ca.gov/cal/LicenseDetail?SearchType=IND&amp;SearchLicNbr=0I66254&amp;SearchIndvId=1643115</x:v>
      </x:c>
      <x:c r="AO1019" s="7" t="str">
        <x:v>2026-10-08</x:v>
      </x:c>
      <x:c r="AP1019" s="7" t="str">
        <x:v>5806fcf894e737c0f485c69037fa0770ae4b48c0f56b98853ef1cb65e06038d2</x:v>
      </x:c>
      <x:c r="AQ1019" s="7" t="str">
        <x:v>Casualty / Inactive / 01/08/2014 / 01/31/2022 / 01/31/2022
Property / Inactive / 01/08/2014 / 01/31/2022 / 01/31/2022</x:v>
      </x:c>
      <x:c r="AR1019" s="7" t="str">
        <x:v>Inactive</x:v>
      </x:c>
      <x:c r="AS1019" s="7" t="str">
        <x:v>Current detail page</x:v>
      </x:c>
    </x:row>
    <x:row r="1020" ht="52" customHeight="1">
      <x:c r="A1020" s="7" t="str">
        <x:v>AGUILAR RANDY WEE</x:v>
      </x:c>
      <x:c r="B1020" s="14" t="str">
        <x:f>"0E19574"</x:f>
        <x:v>0E19574</x:v>
      </x:c>
      <x:c r="C1020" s="7" t="str">
        <x:v>Omitted</x:v>
      </x:c>
      <x:c r="D1020" s="7" t="str">
        <x:v>FAIL</x:v>
      </x:c>
      <x:c r="E1020" s="13" t="str">
        <x:v>Pending</x:v>
      </x:c>
      <x:c r="F1020" s="13" t="str"/>
      <x:c r="G1020" s="13" t="str"/>
      <x:c r="H1020" s="13" t="str"/>
      <x:c r="I1020" s="7" t="str">
        <x:v>Was this person reviewed? If rejected, give the actual rule and evidence. If acceptable, correct the omission. Confirm the Life-qualification gate and any record change since selection.</x:v>
      </x:c>
      <x:c r="J1020" s="7" t="str">
        <x:v>L1</x:v>
      </x:c>
      <x:c r="K1020" s="7" t="str">
        <x:v>Verified qualifications do not include active general Life. Current target-pool mismatch; actual historical omission reason unknown.</x:v>
      </x:c>
      <x:c r="L1020" s="7" t="str">
        <x:v>Not supplied; membership is known, motive is not</x:v>
      </x:c>
      <x:c r="M1020" s="7" t="n">
        <x:v>7</x:v>
      </x:c>
      <x:c r="N1020" s="7" t="str">
        <x:v>Outside current general-Life recruiting pool</x:v>
      </x:c>
      <x:c r="O1020" s="7" t="str">
        <x:v>Not displayed</x:v>
      </x:c>
      <x:c r="P1020" s="7" t="str"/>
      <x:c r="Q1020" s="7" t="str"/>
      <x:c r="R1020" s="7" t="str"/>
      <x:c r="S1020" s="15" t="str"/>
      <x:c r="T1020" s="7" t="str">
        <x:v>No public business phone in collected record</x:v>
      </x:c>
      <x:c r="U1020" s="7" t="str"/>
      <x:c r="V1020" s="7" t="str">
        <x:v>Resident</x:v>
      </x:c>
      <x:c r="W1020" s="7" t="str">
        <x:v>CA</x:v>
      </x:c>
      <x:c r="X1020" s="7" t="str"/>
      <x:c r="Y1020" s="7" t="str"/>
      <x:c r="Z1020" s="7" t="str"/>
      <x:c r="AA1020" s="7" t="str"/>
      <x:c r="AB1020" s="7" t="str"/>
      <x:c r="AC1020" s="7" t="str"/>
      <x:c r="AD1020" s="7" t="str">
        <x:v>No agency or insurer displayed: onboarding opportunity possible; existing business unknown</x:v>
      </x:c>
      <x:c r="AE1020" s="7" t="str">
        <x:v>No public business phone: contact enrichment needed, not proof of poor recruiting fit</x:v>
      </x:c>
      <x:c r="AF1020" s="16" t="str"/>
      <x:c r="AG1020" s="17" t="str"/>
      <x:c r="AH1020" s="7" t="str"/>
      <x:c r="AI1020" s="7" t="str"/>
      <x:c r="AJ1020" s="7" t="str"/>
      <x:c r="AK1020" s="15" t="str"/>
      <x:c r="AL1020" s="7" t="str"/>
      <x:c r="AM1020" s="7" t="str">
        <x:v>AGUILAR WEE RANDY</x:v>
      </x:c>
      <x:c r="AN1020" s="7" t="str">
        <x:v>https://cdicloud.insurance.ca.gov/cal/LicenseDetail?SearchType=IND&amp;SearchLicNbr=0E19574&amp;SearchIndvId=867936</x:v>
      </x:c>
      <x:c r="AO1020" s="7" t="str">
        <x:v>2026-10-08</x:v>
      </x:c>
      <x:c r="AP1020" s="7" t="str">
        <x:v>8c53c4146f5312baed00ae9d2268463a110a8746d2769fdcb746621c113cb1a7</x:v>
      </x:c>
      <x:c r="AQ1020" s="7" t="str">
        <x:v>Accident and Health / Voluntary Surrender / 10/23/2003 / 04/21/2004 / 04/21/2004
Life-Only / Voluntary Surrender / 10/23/2003 / 04/21/2004 / 04/21/2004</x:v>
      </x:c>
      <x:c r="AR1020" s="7" t="str">
        <x:v>Voluntary Surrender</x:v>
      </x:c>
      <x:c r="AS1020" s="7" t="str">
        <x:v>Current detail page</x:v>
      </x:c>
    </x:row>
    <x:row r="1021" ht="52" customHeight="1">
      <x:c r="A1021" s="7" t="str">
        <x:v>AGUILAR RANULFO AYALA</x:v>
      </x:c>
      <x:c r="B1021" s="14" t="str">
        <x:f>"0K61632"</x:f>
        <x:v>0K61632</x:v>
      </x:c>
      <x:c r="C1021" s="7" t="str">
        <x:v>Omitted</x:v>
      </x:c>
      <x:c r="D1021" s="7" t="str">
        <x:v>FAIL</x:v>
      </x:c>
      <x:c r="E1021" s="13" t="str">
        <x:v>Pending</x:v>
      </x:c>
      <x:c r="F1021" s="13" t="str"/>
      <x:c r="G1021" s="13" t="str"/>
      <x:c r="H1021" s="13" t="str"/>
      <x:c r="I1021" s="7" t="str">
        <x:v>Was this person reviewed? If rejected, give the actual rule and evidence. If acceptable, correct the omission. Confirm the Life-qualification gate and any record change since selection.</x:v>
      </x:c>
      <x:c r="J1021" s="7" t="str">
        <x:v>L1</x:v>
      </x:c>
      <x:c r="K1021" s="7" t="str">
        <x:v>Verified qualifications do not include active general Life. Current target-pool mismatch; actual historical omission reason unknown.</x:v>
      </x:c>
      <x:c r="L1021" s="7" t="str">
        <x:v>Not supplied; membership is known, motive is not</x:v>
      </x:c>
      <x:c r="M1021" s="7" t="n">
        <x:v>7</x:v>
      </x:c>
      <x:c r="N1021" s="7" t="str">
        <x:v>Outside current general-Life recruiting pool</x:v>
      </x:c>
      <x:c r="O1021" s="7" t="str">
        <x:v>Not displayed</x:v>
      </x:c>
      <x:c r="P1021" s="7" t="str"/>
      <x:c r="Q1021" s="7" t="str"/>
      <x:c r="R1021" s="7" t="str"/>
      <x:c r="S1021" s="15" t="str"/>
      <x:c r="T1021" s="7" t="str">
        <x:v>No public business phone in collected record</x:v>
      </x:c>
      <x:c r="U1021" s="7" t="str"/>
      <x:c r="V1021" s="7" t="str">
        <x:v>Resident</x:v>
      </x:c>
      <x:c r="W1021" s="7" t="str">
        <x:v>CA</x:v>
      </x:c>
      <x:c r="X1021" s="7" t="str"/>
      <x:c r="Y1021" s="7" t="str"/>
      <x:c r="Z1021" s="7" t="str"/>
      <x:c r="AA1021" s="7" t="str"/>
      <x:c r="AB1021" s="7" t="str"/>
      <x:c r="AC1021" s="7" t="str"/>
      <x:c r="AD1021" s="7" t="str">
        <x:v>No agency or insurer displayed: onboarding opportunity possible; existing business unknown</x:v>
      </x:c>
      <x:c r="AE1021" s="7" t="str">
        <x:v>No public business phone: contact enrichment needed, not proof of poor recruiting fit</x:v>
      </x:c>
      <x:c r="AF1021" s="16" t="str"/>
      <x:c r="AG1021" s="17" t="str"/>
      <x:c r="AH1021" s="7" t="str"/>
      <x:c r="AI1021" s="7" t="str"/>
      <x:c r="AJ1021" s="7" t="str"/>
      <x:c r="AK1021" s="15" t="str"/>
      <x:c r="AL1021" s="7" t="str"/>
      <x:c r="AM1021" s="7" t="str">
        <x:v>Aguilar A Ranulfo | AGUILAR AYALA RANULFO | AGUILAR  RONY</x:v>
      </x:c>
      <x:c r="AN1021" s="7" t="str">
        <x:v>https://cdicloud.insurance.ca.gov/cal/LicenseDetail?SearchType=IND&amp;SearchLicNbr=0K61632&amp;SearchIndvId=1799422</x:v>
      </x:c>
      <x:c r="AO1021" s="7" t="str">
        <x:v>2026-10-08</x:v>
      </x:c>
      <x:c r="AP1021" s="7" t="str">
        <x:v>ad8ec36d5774244f57f0a744ab06dc31b89909657b2f92d240d64fc9d7345d36</x:v>
      </x:c>
      <x:c r="AQ1021" s="7" t="str">
        <x:v>Accident and Health / Inactive / 11/23/2015 / 11/30/2019 / 11/30/2019
Life-Only / Inactive / 11/23/2015 / 11/30/2019 / 11/30/2019</x:v>
      </x:c>
      <x:c r="AR1021" s="7" t="str">
        <x:v>Inactive</x:v>
      </x:c>
      <x:c r="AS1021" s="7" t="str">
        <x:v>Current detail page</x:v>
      </x:c>
    </x:row>
    <x:row r="1022" ht="52" customHeight="1">
      <x:c r="A1022" s="7" t="str">
        <x:v>AGUILAR RAQUEL</x:v>
      </x:c>
      <x:c r="B1022" s="14" t="str">
        <x:f>"0E72457"</x:f>
        <x:v>0E72457</x:v>
      </x:c>
      <x:c r="C1022" s="7" t="str">
        <x:v>Omitted</x:v>
      </x:c>
      <x:c r="D1022" s="7" t="str">
        <x:v>FAIL</x:v>
      </x:c>
      <x:c r="E1022" s="13" t="str">
        <x:v>Pending</x:v>
      </x:c>
      <x:c r="F1022" s="13" t="str"/>
      <x:c r="G1022" s="13" t="str"/>
      <x:c r="H1022" s="13" t="str"/>
      <x:c r="I1022" s="7" t="str">
        <x:v>Was this person reviewed? If rejected, give the actual rule and evidence. If acceptable, correct the omission. Confirm the Life-qualification gate and any record change since selection.</x:v>
      </x:c>
      <x:c r="J1022" s="7" t="str">
        <x:v>L1</x:v>
      </x:c>
      <x:c r="K1022" s="7" t="str">
        <x:v>Verified qualifications do not include active general Life. Current target-pool mismatch; actual historical omission reason unknown.</x:v>
      </x:c>
      <x:c r="L1022" s="7" t="str">
        <x:v>Not supplied; membership is known, motive is not</x:v>
      </x:c>
      <x:c r="M1022" s="7" t="n">
        <x:v>7</x:v>
      </x:c>
      <x:c r="N1022" s="7" t="str">
        <x:v>Outside current general-Life recruiting pool</x:v>
      </x:c>
      <x:c r="O1022" s="7" t="str">
        <x:v>Not displayed</x:v>
      </x:c>
      <x:c r="P1022" s="7" t="str"/>
      <x:c r="Q1022" s="7" t="str"/>
      <x:c r="R1022" s="7" t="str"/>
      <x:c r="S1022" s="15" t="str"/>
      <x:c r="T1022" s="7" t="str">
        <x:v>No public business phone in collected record</x:v>
      </x:c>
      <x:c r="U1022" s="7" t="str"/>
      <x:c r="V1022" s="7" t="str">
        <x:v>Non-resident</x:v>
      </x:c>
      <x:c r="W1022" s="7" t="str">
        <x:v>TX</x:v>
      </x:c>
      <x:c r="X1022" s="7" t="str"/>
      <x:c r="Y1022" s="7" t="str"/>
      <x:c r="Z1022" s="7" t="str"/>
      <x:c r="AA1022" s="7" t="str"/>
      <x:c r="AB1022" s="7" t="str"/>
      <x:c r="AC1022" s="7" t="str"/>
      <x:c r="AD1022" s="7" t="str">
        <x:v>No agency or insurer displayed: onboarding opportunity possible; existing business unknown</x:v>
      </x:c>
      <x:c r="AE1022" s="7" t="str">
        <x:v>Nonresident or address state outside CA; confirm geographic recruiting scope | No public business phone: contact enrichment needed, not proof of poor recruiting fit</x:v>
      </x:c>
      <x:c r="AF1022" s="16" t="str"/>
      <x:c r="AG1022" s="17" t="str"/>
      <x:c r="AH1022" s="7" t="str"/>
      <x:c r="AI1022" s="7" t="str"/>
      <x:c r="AJ1022" s="7" t="str"/>
      <x:c r="AK1022" s="15" t="str"/>
      <x:c r="AL1022" s="7" t="str"/>
      <x:c r="AM1022" s="7" t="str">
        <x:v>AGUILAR  RAQUEL</x:v>
      </x:c>
      <x:c r="AN1022" s="7" t="str">
        <x:v>https://cdicloud.insurance.ca.gov/cal/LicenseDetail?SearchType=IND&amp;SearchLicNbr=0E72457&amp;SearchIndvId=947123</x:v>
      </x:c>
      <x:c r="AO1022" s="7" t="str">
        <x:v>2026-10-08</x:v>
      </x:c>
      <x:c r="AP1022" s="7" t="str">
        <x:v>fd3a71e51bec1dc0f523fe1f1b2df167900cc69238287da72b7597ddc5654b6d</x:v>
      </x:c>
      <x:c r="AQ1022" s="7" t="str">
        <x:v>Casualty Broker-Agent / Inactive / 04/18/2005 / 04/30/2007 / 04/30/2007
Property Broker-Agent / Inactive / 04/18/2005 / 04/30/2007 / 04/30/2007</x:v>
      </x:c>
      <x:c r="AR1022" s="7" t="str">
        <x:v>Inactive</x:v>
      </x:c>
      <x:c r="AS1022" s="7" t="str">
        <x:v>Current detail page</x:v>
      </x:c>
    </x:row>
    <x:row r="1023" ht="52" customHeight="1">
      <x:c r="A1023" s="7" t="str">
        <x:v>AGUILAR RAQUEL GUADALUPE</x:v>
      </x:c>
      <x:c r="B1023" s="14" t="str">
        <x:f>"0K85451"</x:f>
        <x:v>0K85451</x:v>
      </x:c>
      <x:c r="C1023" s="7" t="str">
        <x:v>Omitted</x:v>
      </x:c>
      <x:c r="D1023" s="7" t="str">
        <x:v>FAIL</x:v>
      </x:c>
      <x:c r="E1023" s="13" t="str">
        <x:v>Pending</x:v>
      </x:c>
      <x:c r="F1023" s="13" t="str"/>
      <x:c r="G1023" s="13" t="str"/>
      <x:c r="H1023" s="13" t="str"/>
      <x:c r="I1023" s="7" t="str">
        <x:v>Was this person reviewed? If rejected, give the actual rule and evidence. If acceptable, correct the omission. Confirm the Life-qualification gate and any record change since selection.</x:v>
      </x:c>
      <x:c r="J1023" s="7" t="str">
        <x:v>L1</x:v>
      </x:c>
      <x:c r="K1023" s="7" t="str">
        <x:v>Verified qualifications do not include active general Life. Current target-pool mismatch; actual historical omission reason unknown.</x:v>
      </x:c>
      <x:c r="L1023" s="7" t="str">
        <x:v>Not supplied; membership is known, motive is not</x:v>
      </x:c>
      <x:c r="M1023" s="7" t="n">
        <x:v>7</x:v>
      </x:c>
      <x:c r="N1023" s="7" t="str">
        <x:v>Outside current general-Life recruiting pool</x:v>
      </x:c>
      <x:c r="O1023" s="7" t="str">
        <x:v>Not displayed</x:v>
      </x:c>
      <x:c r="P1023" s="7" t="str"/>
      <x:c r="Q1023" s="7" t="str"/>
      <x:c r="R1023" s="7" t="str"/>
      <x:c r="S1023" s="15" t="str"/>
      <x:c r="T1023" s="7" t="str">
        <x:v>No public business phone in collected record</x:v>
      </x:c>
      <x:c r="U1023" s="7" t="str"/>
      <x:c r="V1023" s="7" t="str">
        <x:v>Resident</x:v>
      </x:c>
      <x:c r="W1023" s="7" t="str">
        <x:v>CA</x:v>
      </x:c>
      <x:c r="X1023" s="7" t="str"/>
      <x:c r="Y1023" s="7" t="str"/>
      <x:c r="Z1023" s="7" t="str"/>
      <x:c r="AA1023" s="7" t="str"/>
      <x:c r="AB1023" s="7" t="str"/>
      <x:c r="AC1023" s="7" t="str"/>
      <x:c r="AD1023" s="7" t="str">
        <x:v>No agency or insurer displayed: onboarding opportunity possible; existing business unknown</x:v>
      </x:c>
      <x:c r="AE1023" s="7" t="str">
        <x:v>No public business phone: contact enrichment needed, not proof of poor recruiting fit</x:v>
      </x:c>
      <x:c r="AF1023" s="16" t="str"/>
      <x:c r="AG1023" s="17" t="str"/>
      <x:c r="AH1023" s="7" t="str"/>
      <x:c r="AI1023" s="7" t="str"/>
      <x:c r="AJ1023" s="7" t="str"/>
      <x:c r="AK1023" s="15" t="str"/>
      <x:c r="AL1023" s="7" t="str"/>
      <x:c r="AM1023" s="7" t="str">
        <x:v>Aguilar G Raquel | AGUILAR GUADALUPE RAQUEL</x:v>
      </x:c>
      <x:c r="AN1023" s="7" t="str">
        <x:v>https://cdicloud.insurance.ca.gov/cal/LicenseDetail?SearchType=IND&amp;SearchLicNbr=0K85451&amp;SearchIndvId=1833009</x:v>
      </x:c>
      <x:c r="AO1023" s="7" t="str">
        <x:v>2026-10-08</x:v>
      </x:c>
      <x:c r="AP1023" s="7" t="str">
        <x:v>fa12e2773aae66a9346fd0c412238b20c413d61796fb636a301036cb4b17023d</x:v>
      </x:c>
      <x:c r="AQ1023" s="7" t="str">
        <x:v>Accident and Health / Inactive / 04/19/2016 / 04/30/2018 / 04/30/2018
Life-Only / Inactive / 04/19/2016 / 04/30/2018 / 04/30/2018</x:v>
      </x:c>
      <x:c r="AR1023" s="7" t="str">
        <x:v>Inactive</x:v>
      </x:c>
      <x:c r="AS1023" s="7" t="str">
        <x:v>Current detail page</x:v>
      </x:c>
    </x:row>
    <x:row r="1024" ht="52" customHeight="1">
      <x:c r="A1024" s="7" t="str">
        <x:v>AGUILAR RAUL</x:v>
      </x:c>
      <x:c r="B1024" s="14" t="str">
        <x:f>"0B43404"</x:f>
        <x:v>0B43404</x:v>
      </x:c>
      <x:c r="C1024" s="7" t="str">
        <x:v>Omitted</x:v>
      </x:c>
      <x:c r="D1024" s="7" t="str">
        <x:v>FAIL</x:v>
      </x:c>
      <x:c r="E1024" s="13" t="str">
        <x:v>Pending</x:v>
      </x:c>
      <x:c r="F1024" s="13" t="str"/>
      <x:c r="G1024" s="13" t="str"/>
      <x:c r="H1024" s="13" t="str"/>
      <x:c r="I1024" s="7" t="str">
        <x:v>Was this person reviewed? If rejected, give the actual rule and evidence. If acceptable, correct the omission. Confirm the Life-qualification gate and any record change since selection.</x:v>
      </x:c>
      <x:c r="J1024" s="7" t="str">
        <x:v>L1</x:v>
      </x:c>
      <x:c r="K1024" s="7" t="str">
        <x:v>Verified qualifications do not include active general Life. Current target-pool mismatch; actual historical omission reason unknown.</x:v>
      </x:c>
      <x:c r="L1024" s="7" t="str">
        <x:v>Not supplied; membership is known, motive is not</x:v>
      </x:c>
      <x:c r="M1024" s="7" t="n">
        <x:v>7</x:v>
      </x:c>
      <x:c r="N1024" s="7" t="str">
        <x:v>Outside current general-Life recruiting pool</x:v>
      </x:c>
      <x:c r="O1024" s="7" t="str">
        <x:v>Inactive</x:v>
      </x:c>
      <x:c r="P1024" s="7" t="str">
        <x:v>08/11/2021</x:v>
      </x:c>
      <x:c r="Q1024" s="7" t="str">
        <x:v>08/31/2023</x:v>
      </x:c>
      <x:c r="R1024" s="7" t="str"/>
      <x:c r="S1024" s="15" t="str"/>
      <x:c r="T1024" s="7" t="str">
        <x:v>No public business phone in collected record</x:v>
      </x:c>
      <x:c r="U1024" s="7" t="str">
        <x:v>5533 N 187TH LANE LITCHFIELD PARK AZ, 85340</x:v>
      </x:c>
      <x:c r="V1024" s="7" t="str">
        <x:v>Non-resident</x:v>
      </x:c>
      <x:c r="W1024" s="7" t="str">
        <x:v>AZ</x:v>
      </x:c>
      <x:c r="X1024" s="7" t="str"/>
      <x:c r="Y1024" s="7" t="str"/>
      <x:c r="Z1024" s="7" t="str"/>
      <x:c r="AA1024" s="7" t="str"/>
      <x:c r="AB1024" s="7" t="str"/>
      <x:c r="AC1024" s="7" t="str"/>
      <x:c r="AD1024" s="7" t="str">
        <x:v>No agency or insurer displayed: onboarding opportunity possible; existing business unknown</x:v>
      </x:c>
      <x:c r="AE1024" s="7" t="str">
        <x:v>Nonresident or address state outside CA; confirm geographic recruiting scope | No public business phone: contact enrichment needed, not proof of poor recruiting fit</x:v>
      </x:c>
      <x:c r="AF1024" s="16" t="str"/>
      <x:c r="AG1024" s="17" t="str"/>
      <x:c r="AH1024" s="7" t="str"/>
      <x:c r="AI1024" s="7" t="str"/>
      <x:c r="AJ1024" s="7" t="str"/>
      <x:c r="AK1024" s="15" t="str"/>
      <x:c r="AL1024" s="7" t="str"/>
      <x:c r="AM1024" s="7" t="str">
        <x:v>AGUILAR  RAUL</x:v>
      </x:c>
      <x:c r="AN1024" s="7" t="str">
        <x:v>https://cdicloud.insurance.ca.gov/cal/LicenseDetail?SearchType=IND&amp;SearchLicNbr=0B43404&amp;SearchIndvId=223143</x:v>
      </x:c>
      <x:c r="AO1024" s="7" t="str">
        <x:v>2026-10-08</x:v>
      </x:c>
      <x:c r="AP1024" s="7" t="str">
        <x:v>c88558206bebd238845b268d6ad9396980278251d9e8b3e8433456b02fcbafd5</x:v>
      </x:c>
      <x:c r="AQ1024" s="7" t="str">
        <x:v>Accident &amp; Health or Sickness / Inactive / 08/11/2021 / 08/31/2023 / 08/31/2023
Life / Inactive / 08/11/2021 / 08/31/2023 / 08/31/2023</x:v>
      </x:c>
      <x:c r="AR1024" s="7" t="str">
        <x:v>Inactive</x:v>
      </x:c>
      <x:c r="AS1024" s="7" t="str">
        <x:v>Current detail page</x:v>
      </x:c>
    </x:row>
    <x:row r="1025" ht="52" customHeight="1">
      <x:c r="A1025" s="7" t="str">
        <x:v>AGUILAR RAUL</x:v>
      </x:c>
      <x:c r="B1025" s="14" t="str">
        <x:f>"0K90944"</x:f>
        <x:v>0K90944</x:v>
      </x:c>
      <x:c r="C1025" s="7" t="str">
        <x:v>Omitted</x:v>
      </x:c>
      <x:c r="D1025" s="7" t="str">
        <x:v>FAIL</x:v>
      </x:c>
      <x:c r="E1025" s="13" t="str">
        <x:v>Pending</x:v>
      </x:c>
      <x:c r="F1025" s="13" t="str"/>
      <x:c r="G1025" s="13" t="str"/>
      <x:c r="H1025" s="13" t="str"/>
      <x:c r="I1025" s="7" t="str">
        <x:v>Was this person reviewed? If rejected, give the actual rule and evidence. If acceptable, correct the omission. Confirm the Life-qualification gate and any record change since selection.</x:v>
      </x:c>
      <x:c r="J1025" s="7" t="str">
        <x:v>L1</x:v>
      </x:c>
      <x:c r="K1025" s="7" t="str">
        <x:v>Verified qualifications do not include active general Life. Current target-pool mismatch; actual historical omission reason unknown.</x:v>
      </x:c>
      <x:c r="L1025" s="7" t="str">
        <x:v>Not supplied; membership is known, motive is not</x:v>
      </x:c>
      <x:c r="M1025" s="7" t="n">
        <x:v>7</x:v>
      </x:c>
      <x:c r="N1025" s="7" t="str">
        <x:v>Outside current general-Life recruiting pool</x:v>
      </x:c>
      <x:c r="O1025" s="7" t="str">
        <x:v>Not displayed</x:v>
      </x:c>
      <x:c r="P1025" s="7" t="str"/>
      <x:c r="Q1025" s="7" t="str"/>
      <x:c r="R1025" s="7" t="str"/>
      <x:c r="S1025" s="15" t="str"/>
      <x:c r="T1025" s="7" t="str">
        <x:v>No public business phone in collected record</x:v>
      </x:c>
      <x:c r="U1025" s="7" t="str"/>
      <x:c r="V1025" s="7" t="str">
        <x:v>Resident</x:v>
      </x:c>
      <x:c r="W1025" s="7" t="str">
        <x:v>CA</x:v>
      </x:c>
      <x:c r="X1025" s="7" t="str"/>
      <x:c r="Y1025" s="7" t="str"/>
      <x:c r="Z1025" s="7" t="str"/>
      <x:c r="AA1025" s="7" t="str"/>
      <x:c r="AB1025" s="7" t="str"/>
      <x:c r="AC1025" s="7" t="str"/>
      <x:c r="AD1025" s="7" t="str">
        <x:v>No agency or insurer displayed: onboarding opportunity possible; existing business unknown</x:v>
      </x:c>
      <x:c r="AE1025" s="7" t="str">
        <x:v>No public business phone: contact enrichment needed, not proof of poor recruiting fit</x:v>
      </x:c>
      <x:c r="AF1025" s="16" t="str"/>
      <x:c r="AG1025" s="17" t="str"/>
      <x:c r="AH1025" s="7" t="str"/>
      <x:c r="AI1025" s="7" t="str"/>
      <x:c r="AJ1025" s="7" t="str"/>
      <x:c r="AK1025" s="15" t="str"/>
      <x:c r="AL1025" s="7" t="str"/>
      <x:c r="AM1025" s="7" t="str">
        <x:v>AGUILAR  RAUL</x:v>
      </x:c>
      <x:c r="AN1025" s="7" t="str">
        <x:v>https://cdicloud.insurance.ca.gov/cal/LicenseDetail?SearchType=IND&amp;SearchLicNbr=0K90944&amp;SearchIndvId=1835462</x:v>
      </x:c>
      <x:c r="AO1025" s="7" t="str">
        <x:v>2026-10-08</x:v>
      </x:c>
      <x:c r="AP1025" s="7" t="str">
        <x:v>5e109d056264a6ea2937d2d4abfd9d0f428879c692ee3d2036d992c66b20025a</x:v>
      </x:c>
      <x:c r="AQ1025" s="7" t="str">
        <x:v>Accident and Health / Inactive / 05/23/2016 / 07/31/2018 / 07/31/2018
Casualty Broker-Agent / Inactive / 05/23/2016 / 07/31/2018 / 07/31/2018
Life-Only / Inactive / 05/23/2016 / 07/31/2018 / 07/31/2018
Property Broker-Agent / Inactive / 05/23/2016 / 07/31/2018 / 07/31/2018</x:v>
      </x:c>
      <x:c r="AR1025" s="7" t="str">
        <x:v>Inactive</x:v>
      </x:c>
      <x:c r="AS1025" s="7" t="str">
        <x:v>Current detail page</x:v>
      </x:c>
    </x:row>
    <x:row r="1026" ht="52" customHeight="1">
      <x:c r="A1026" s="7" t="str">
        <x:v>AGUILAR REBECCA JANE</x:v>
      </x:c>
      <x:c r="B1026" s="14" t="str">
        <x:f>"0E25944"</x:f>
        <x:v>0E25944</x:v>
      </x:c>
      <x:c r="C1026" s="7" t="str">
        <x:v>Omitted</x:v>
      </x:c>
      <x:c r="D1026" s="7" t="str">
        <x:v>FAIL</x:v>
      </x:c>
      <x:c r="E1026" s="13" t="str">
        <x:v>Pending</x:v>
      </x:c>
      <x:c r="F1026" s="13" t="str"/>
      <x:c r="G1026" s="13" t="str"/>
      <x:c r="H1026" s="13" t="str"/>
      <x:c r="I1026" s="7" t="str">
        <x:v>Was this person reviewed? If rejected, give the actual rule and evidence. If acceptable, correct the omission. Confirm the Life-qualification gate and any record change since selection.</x:v>
      </x:c>
      <x:c r="J1026" s="7" t="str">
        <x:v>L1</x:v>
      </x:c>
      <x:c r="K1026" s="7" t="str">
        <x:v>Verified qualifications do not include active general Life. Current target-pool mismatch; actual historical omission reason unknown.</x:v>
      </x:c>
      <x:c r="L1026" s="7" t="str">
        <x:v>Not supplied; membership is known, motive is not</x:v>
      </x:c>
      <x:c r="M1026" s="7" t="n">
        <x:v>7</x:v>
      </x:c>
      <x:c r="N1026" s="7" t="str">
        <x:v>Outside current general-Life recruiting pool</x:v>
      </x:c>
      <x:c r="O1026" s="7" t="str">
        <x:v>Not displayed</x:v>
      </x:c>
      <x:c r="P1026" s="7" t="str"/>
      <x:c r="Q1026" s="7" t="str"/>
      <x:c r="R1026" s="7" t="str"/>
      <x:c r="S1026" s="15" t="str"/>
      <x:c r="T1026" s="7" t="str">
        <x:v>No public business phone in collected record</x:v>
      </x:c>
      <x:c r="U1026" s="7" t="str"/>
      <x:c r="V1026" s="7" t="str">
        <x:v>Non-resident</x:v>
      </x:c>
      <x:c r="W1026" s="7" t="str">
        <x:v>GA</x:v>
      </x:c>
      <x:c r="X1026" s="7" t="str"/>
      <x:c r="Y1026" s="7" t="str"/>
      <x:c r="Z1026" s="7" t="str"/>
      <x:c r="AA1026" s="7" t="str"/>
      <x:c r="AB1026" s="7" t="str"/>
      <x:c r="AC1026" s="7" t="str"/>
      <x:c r="AD1026" s="7" t="str">
        <x:v>No agency or insurer displayed: onboarding opportunity possible; existing business unknown</x:v>
      </x:c>
      <x:c r="AE1026" s="7" t="str">
        <x:v>Nonresident or address state outside CA; confirm geographic recruiting scope | No public business phone: contact enrichment needed, not proof of poor recruiting fit</x:v>
      </x:c>
      <x:c r="AF1026" s="16" t="str"/>
      <x:c r="AG1026" s="17" t="str"/>
      <x:c r="AH1026" s="7" t="str"/>
      <x:c r="AI1026" s="7" t="str"/>
      <x:c r="AJ1026" s="7" t="str"/>
      <x:c r="AK1026" s="15" t="str"/>
      <x:c r="AL1026" s="7" t="str"/>
      <x:c r="AM1026" s="7" t="str">
        <x:v>AGUILAR JANE REBECCA</x:v>
      </x:c>
      <x:c r="AN1026" s="7" t="str">
        <x:v>https://cdicloud.insurance.ca.gov/cal/LicenseDetail?SearchType=IND&amp;SearchLicNbr=0E25944&amp;SearchIndvId=876061</x:v>
      </x:c>
      <x:c r="AO1026" s="7" t="str">
        <x:v>2026-10-08</x:v>
      </x:c>
      <x:c r="AP1026" s="7" t="str">
        <x:v>9c9706634150c1e47f6a186c72299b56c60671ab1e019475610ea45aa4782ffd</x:v>
      </x:c>
      <x:c r="AQ1026" s="7" t="str">
        <x:v>Casualty Broker-Agent / Inactive / 12/17/2003 / 10/26/2005 / 10/26/2005
Property Broker-Agent / Inactive / 12/17/2003 / 10/26/2005 / 10/26/2005</x:v>
      </x:c>
      <x:c r="AR1026" s="7" t="str">
        <x:v>Inactive</x:v>
      </x:c>
      <x:c r="AS1026" s="7" t="str">
        <x:v>Current detail page</x:v>
      </x:c>
    </x:row>
    <x:row r="1027" ht="52" customHeight="1">
      <x:c r="A1027" s="7" t="str">
        <x:v>AGUILAR REBECCA LELAURIN</x:v>
      </x:c>
      <x:c r="B1027" s="14" t="str">
        <x:f>"4412863"</x:f>
        <x:v>4412863</x:v>
      </x:c>
      <x:c r="C1027" s="7" t="str">
        <x:v>Omitted</x:v>
      </x:c>
      <x:c r="D1027" s="7" t="str">
        <x:v>FAIL</x:v>
      </x:c>
      <x:c r="E1027" s="13" t="str">
        <x:v>Pending</x:v>
      </x:c>
      <x:c r="F1027" s="13" t="str"/>
      <x:c r="G1027" s="13" t="str"/>
      <x:c r="H1027" s="13" t="str"/>
      <x:c r="I1027" s="7" t="str">
        <x:v>Was this person reviewed? If rejected, give the actual rule and evidence. If acceptable, correct the omission. Confirm the Life-qualification gate and any record change since selection.</x:v>
      </x:c>
      <x:c r="J1027" s="7" t="str">
        <x:v>L1</x:v>
      </x:c>
      <x:c r="K1027" s="7" t="str">
        <x:v>Verified qualifications do not include active general Life. Current target-pool mismatch; actual historical omission reason unknown.</x:v>
      </x:c>
      <x:c r="L1027" s="7" t="str">
        <x:v>Not supplied; membership is known, motive is not</x:v>
      </x:c>
      <x:c r="M1027" s="7" t="n">
        <x:v>7</x:v>
      </x:c>
      <x:c r="N1027" s="7" t="str">
        <x:v>Outside current general-Life recruiting pool</x:v>
      </x:c>
      <x:c r="O1027" s="7" t="str">
        <x:v>Not displayed</x:v>
      </x:c>
      <x:c r="P1027" s="7" t="str"/>
      <x:c r="Q1027" s="7" t="str"/>
      <x:c r="R1027" s="7" t="str">
        <x:v>Accident &amp; Health or Sickness</x:v>
      </x:c>
      <x:c r="S1027" s="15" t="str"/>
      <x:c r="T1027" s="7" t="str">
        <x:v>No public business phone in collected record</x:v>
      </x:c>
      <x:c r="U1027" s="7" t="str">
        <x:v>2285 MARSH HAWK LANE 11-301 FLEMING ISLAND FL, 32003</x:v>
      </x:c>
      <x:c r="V1027" s="7" t="str">
        <x:v>Non-resident</x:v>
      </x:c>
      <x:c r="W1027" s="7" t="str">
        <x:v>FL</x:v>
      </x:c>
      <x:c r="X1027" s="7" t="str">
        <x:v>TTEC HEALTHCARE SOLUTIONS, INC. / Accident &amp; Health or Sickness / 10/29/2025</x:v>
      </x:c>
      <x:c r="Y1027" s="7" t="str"/>
      <x:c r="Z1027" s="7" t="str"/>
      <x:c r="AA1027" s="7" t="str"/>
      <x:c r="AB1027" s="7" t="str"/>
      <x:c r="AC1027" s="7" t="str"/>
      <x:c r="AD1027" s="7" t="str">
        <x:v>Active A&amp;H supports optional cross-selling; not necessary for target products</x:v>
      </x:c>
      <x:c r="AE1027" s="7" t="str">
        <x:v>Nonresident or address state outside CA; confirm geographic recruiting scope | No public business phone: contact enrichment needed, not proof of poor recruiting fit</x:v>
      </x:c>
      <x:c r="AF1027" s="16" t="str"/>
      <x:c r="AG1027" s="17" t="str"/>
      <x:c r="AH1027" s="7" t="str"/>
      <x:c r="AI1027" s="7" t="str"/>
      <x:c r="AJ1027" s="7" t="str"/>
      <x:c r="AK1027" s="15" t="str"/>
      <x:c r="AL1027" s="7" t="str"/>
      <x:c r="AM1027" s="7" t="str">
        <x:v>Aguilar Lelaurin Rebecca</x:v>
      </x:c>
      <x:c r="AN1027" s="7" t="str">
        <x:v>https://cdicloud.insurance.ca.gov/cal/LicenseDetail?SearchType=IND&amp;SearchLicNbr=4412863&amp;SearchIndvId=4412863</x:v>
      </x:c>
      <x:c r="AO1027" s="7" t="str">
        <x:v>2026-10-08</x:v>
      </x:c>
      <x:c r="AP1027" s="7" t="str">
        <x:v>1784a46aa5a1d9fd44ae4b5cb10b65b2192185b676d2e1cb591662a721c16ddb</x:v>
      </x:c>
      <x:c r="AQ1027" s="7" t="str">
        <x:v>Accident &amp; Health or Sickness / Active / 09/24/2024 / 09/24/2024 / 09/30/2028</x:v>
      </x:c>
      <x:c r="AR1027" s="7" t="str">
        <x:v>Active</x:v>
      </x:c>
      <x:c r="AS1027" s="7" t="str">
        <x:v>Current detail page</x:v>
      </x:c>
    </x:row>
    <x:row r="1028" ht="52" customHeight="1">
      <x:c r="A1028" s="7" t="str">
        <x:v>AGUILAR REBECCA LETICIA</x:v>
      </x:c>
      <x:c r="B1028" s="14" t="str">
        <x:f>"0B36084"</x:f>
        <x:v>0B36084</x:v>
      </x:c>
      <x:c r="C1028" s="7" t="str">
        <x:v>Omitted</x:v>
      </x:c>
      <x:c r="D1028" s="7" t="str">
        <x:v>FAIL</x:v>
      </x:c>
      <x:c r="E1028" s="13" t="str">
        <x:v>Pending</x:v>
      </x:c>
      <x:c r="F1028" s="13" t="str"/>
      <x:c r="G1028" s="13" t="str"/>
      <x:c r="H1028" s="13" t="str"/>
      <x:c r="I1028" s="7" t="str">
        <x:v>Was this person reviewed? If rejected, give the actual rule and evidence. If acceptable, correct the omission. Confirm the Life-qualification gate and any record change since selection.</x:v>
      </x:c>
      <x:c r="J1028" s="7" t="str">
        <x:v>L1</x:v>
      </x:c>
      <x:c r="K1028" s="7" t="str">
        <x:v>Verified qualifications do not include active general Life. Current target-pool mismatch; actual historical omission reason unknown.</x:v>
      </x:c>
      <x:c r="L1028" s="7" t="str">
        <x:v>Not supplied; membership is known, motive is not</x:v>
      </x:c>
      <x:c r="M1028" s="7" t="n">
        <x:v>7</x:v>
      </x:c>
      <x:c r="N1028" s="7" t="str">
        <x:v>Outside current general-Life recruiting pool</x:v>
      </x:c>
      <x:c r="O1028" s="7" t="str">
        <x:v>Not displayed</x:v>
      </x:c>
      <x:c r="P1028" s="7" t="str"/>
      <x:c r="Q1028" s="7" t="str"/>
      <x:c r="R1028" s="7" t="str"/>
      <x:c r="S1028" s="15" t="str">
        <x:v>213-996-4008</x:v>
      </x:c>
      <x:c r="T1028" s="7" t="str">
        <x:v>Current CDI</x:v>
      </x:c>
      <x:c r="U1028" s="7" t="str">
        <x:v>600 CORPORATE POINTE STE 600 CULVER CITY CA, 90230-7600</x:v>
      </x:c>
      <x:c r="V1028" s="7" t="str">
        <x:v>Resident</x:v>
      </x:c>
      <x:c r="W1028" s="7" t="str">
        <x:v>CA</x:v>
      </x:c>
      <x:c r="X1028" s="7" t="str"/>
      <x:c r="Y1028" s="7" t="str"/>
      <x:c r="Z1028" s="7" t="str"/>
      <x:c r="AA1028" s="7" t="str"/>
      <x:c r="AB1028" s="7" t="str"/>
      <x:c r="AC1028" s="7" t="str"/>
      <x:c r="AD1028" s="7" t="str">
        <x:v>No agency or insurer displayed: onboarding opportunity possible; existing business unknown</x:v>
      </x:c>
      <x:c r="AE1028" s="7" t="str"/>
      <x:c r="AF1028" s="16" t="str"/>
      <x:c r="AG1028" s="17" t="str"/>
      <x:c r="AH1028" s="7" t="str"/>
      <x:c r="AI1028" s="7" t="str">
        <x:v>English</x:v>
      </x:c>
      <x:c r="AJ1028" s="7" t="str"/>
      <x:c r="AK1028" s="15" t="str"/>
      <x:c r="AL1028" s="7" t="str"/>
      <x:c r="AM1028" s="7" t="str">
        <x:v>AGUILAR LETICIA REBECCA</x:v>
      </x:c>
      <x:c r="AN1028" s="7" t="str">
        <x:v>https://cdicloud.insurance.ca.gov/cal/LicenseDetail?SearchType=IND&amp;SearchLicNbr=0B36084&amp;SearchIndvId=216204</x:v>
      </x:c>
      <x:c r="AO1028" s="7" t="str">
        <x:v>2026-10-08</x:v>
      </x:c>
      <x:c r="AP1028" s="7" t="str">
        <x:v>bda26dd6f20a28d74201a5163fc0d95b9096137dc002c1f68a21b780ad5f2ba5</x:v>
      </x:c>
      <x:c r="AQ1028" s="7" t="str">
        <x:v>Casualty / Inactive / 05/05/1994 / 05/31/2026 / 05/31/2026
Property / Inactive / 05/05/1994 / 05/31/2026 / 05/31/2026</x:v>
      </x:c>
      <x:c r="AR1028" s="7" t="str">
        <x:v>Inactive</x:v>
      </x:c>
      <x:c r="AS1028" s="7" t="str">
        <x:v>Current detail page</x:v>
      </x:c>
    </x:row>
    <x:row r="1029" ht="52" customHeight="1">
      <x:c r="A1029" s="7" t="str">
        <x:v>AGUILAR REBECCA MORALES</x:v>
      </x:c>
      <x:c r="B1029" s="14" t="str">
        <x:f>"0K25268"</x:f>
        <x:v>0K25268</x:v>
      </x:c>
      <x:c r="C1029" s="7" t="str">
        <x:v>Omitted</x:v>
      </x:c>
      <x:c r="D1029" s="7" t="str">
        <x:v>FAIL</x:v>
      </x:c>
      <x:c r="E1029" s="13" t="str">
        <x:v>Pending</x:v>
      </x:c>
      <x:c r="F1029" s="13" t="str"/>
      <x:c r="G1029" s="13" t="str"/>
      <x:c r="H1029" s="13" t="str"/>
      <x:c r="I1029" s="7" t="str">
        <x:v>Was this person reviewed? If rejected, give the actual rule and evidence. If acceptable, correct the omission. Confirm the Life-qualification gate and any record change since selection.</x:v>
      </x:c>
      <x:c r="J1029" s="7" t="str">
        <x:v>L1</x:v>
      </x:c>
      <x:c r="K1029" s="7" t="str">
        <x:v>Verified qualifications do not include active general Life. Current target-pool mismatch; actual historical omission reason unknown.</x:v>
      </x:c>
      <x:c r="L1029" s="7" t="str">
        <x:v>Not supplied; membership is known, motive is not</x:v>
      </x:c>
      <x:c r="M1029" s="7" t="n">
        <x:v>7</x:v>
      </x:c>
      <x:c r="N1029" s="7" t="str">
        <x:v>Outside current general-Life recruiting pool</x:v>
      </x:c>
      <x:c r="O1029" s="7" t="str">
        <x:v>Not displayed</x:v>
      </x:c>
      <x:c r="P1029" s="7" t="str"/>
      <x:c r="Q1029" s="7" t="str"/>
      <x:c r="R1029" s="7" t="str"/>
      <x:c r="S1029" s="15" t="str"/>
      <x:c r="T1029" s="7" t="str">
        <x:v>No public business phone in collected record</x:v>
      </x:c>
      <x:c r="U1029" s="7" t="str"/>
      <x:c r="V1029" s="7" t="str">
        <x:v>Resident</x:v>
      </x:c>
      <x:c r="W1029" s="7" t="str">
        <x:v>CA</x:v>
      </x:c>
      <x:c r="X1029" s="7" t="str"/>
      <x:c r="Y1029" s="7" t="str"/>
      <x:c r="Z1029" s="7" t="str"/>
      <x:c r="AA1029" s="7" t="str"/>
      <x:c r="AB1029" s="7" t="str"/>
      <x:c r="AC1029" s="7" t="str"/>
      <x:c r="AD1029" s="7" t="str">
        <x:v>No agency or insurer displayed: onboarding opportunity possible; existing business unknown</x:v>
      </x:c>
      <x:c r="AE1029" s="7" t="str">
        <x:v>No public business phone: contact enrichment needed, not proof of poor recruiting fit</x:v>
      </x:c>
      <x:c r="AF1029" s="16" t="str"/>
      <x:c r="AG1029" s="17" t="str"/>
      <x:c r="AH1029" s="7" t="str"/>
      <x:c r="AI1029" s="7" t="str"/>
      <x:c r="AJ1029" s="7" t="str"/>
      <x:c r="AK1029" s="15" t="str"/>
      <x:c r="AL1029" s="7" t="str"/>
      <x:c r="AM1029" s="7" t="str">
        <x:v>AGUILAR MORALES REBECCA</x:v>
      </x:c>
      <x:c r="AN1029" s="7" t="str">
        <x:v>https://cdicloud.insurance.ca.gov/cal/LicenseDetail?SearchType=IND&amp;SearchLicNbr=0K25268&amp;SearchIndvId=1756743</x:v>
      </x:c>
      <x:c r="AO1029" s="7" t="str">
        <x:v>2026-10-08</x:v>
      </x:c>
      <x:c r="AP1029" s="7" t="str">
        <x:v>948c6d0d154c9d6cdf0e6f7bed76d28825b62c19c29d35e7a4b276cf306ef21d</x:v>
      </x:c>
      <x:c r="AQ1029" s="7" t="str">
        <x:v>Life-Only / Inactive / 05/18/2015 / 05/31/2017 / 05/31/2017</x:v>
      </x:c>
      <x:c r="AR1029" s="7" t="str">
        <x:v>Inactive</x:v>
      </x:c>
      <x:c r="AS1029" s="7" t="str">
        <x:v>Current detail page</x:v>
      </x:c>
    </x:row>
    <x:row r="1030" ht="52" customHeight="1">
      <x:c r="A1030" s="7" t="str">
        <x:v>AGUILAR REBECCA YVONNE</x:v>
      </x:c>
      <x:c r="B1030" s="14" t="str">
        <x:f>"4302642"</x:f>
        <x:v>4302642</x:v>
      </x:c>
      <x:c r="C1030" s="7" t="str">
        <x:v>Omitted</x:v>
      </x:c>
      <x:c r="D1030" s="7" t="str">
        <x:v>FAIL</x:v>
      </x:c>
      <x:c r="E1030" s="13" t="str">
        <x:v>Pending</x:v>
      </x:c>
      <x:c r="F1030" s="13" t="str"/>
      <x:c r="G1030" s="13" t="str"/>
      <x:c r="H1030" s="13" t="str"/>
      <x:c r="I1030" s="7" t="str">
        <x:v>Was this person reviewed? If rejected, give the actual rule and evidence. If acceptable, correct the omission. Confirm the Life-qualification gate and any record change since selection.</x:v>
      </x:c>
      <x:c r="J1030" s="7" t="str">
        <x:v>L1</x:v>
      </x:c>
      <x:c r="K1030" s="7" t="str">
        <x:v>Verified qualifications do not include active general Life. Current target-pool mismatch; actual historical omission reason unknown.</x:v>
      </x:c>
      <x:c r="L1030" s="7" t="str">
        <x:v>Not supplied; membership is known, motive is not</x:v>
      </x:c>
      <x:c r="M1030" s="7" t="n">
        <x:v>7</x:v>
      </x:c>
      <x:c r="N1030" s="7" t="str">
        <x:v>Outside current general-Life recruiting pool</x:v>
      </x:c>
      <x:c r="O1030" s="7" t="str">
        <x:v>Inactive</x:v>
      </x:c>
      <x:c r="P1030" s="7" t="str">
        <x:v>06/15/2023</x:v>
      </x:c>
      <x:c r="Q1030" s="7" t="str">
        <x:v>06/30/2025</x:v>
      </x:c>
      <x:c r="R1030" s="7" t="str"/>
      <x:c r="S1030" s="15" t="str"/>
      <x:c r="T1030" s="7" t="str">
        <x:v>No public business phone in collected record</x:v>
      </x:c>
      <x:c r="U1030" s="7" t="str">
        <x:v>926 W ROSE RD MIAMI AZ, 85539-1541</x:v>
      </x:c>
      <x:c r="V1030" s="7" t="str">
        <x:v>Non-resident</x:v>
      </x:c>
      <x:c r="W1030" s="7" t="str">
        <x:v>AZ</x:v>
      </x:c>
      <x:c r="X1030" s="7" t="str"/>
      <x:c r="Y1030" s="7" t="str"/>
      <x:c r="Z1030" s="7" t="str"/>
      <x:c r="AA1030" s="7" t="str"/>
      <x:c r="AB1030" s="7" t="str"/>
      <x:c r="AC1030" s="7" t="str"/>
      <x:c r="AD1030" s="7" t="str">
        <x:v>No agency or insurer displayed: onboarding opportunity possible; existing business unknown</x:v>
      </x:c>
      <x:c r="AE1030" s="7" t="str">
        <x:v>Nonresident or address state outside CA; confirm geographic recruiting scope | No public business phone: contact enrichment needed, not proof of poor recruiting fit</x:v>
      </x:c>
      <x:c r="AF1030" s="16" t="str"/>
      <x:c r="AG1030" s="17" t="str"/>
      <x:c r="AH1030" s="7" t="str"/>
      <x:c r="AI1030" s="7" t="str"/>
      <x:c r="AJ1030" s="7" t="str"/>
      <x:c r="AK1030" s="15" t="str"/>
      <x:c r="AL1030" s="7" t="str"/>
      <x:c r="AM1030" s="7" t="str">
        <x:v>AGUILAR YVONNE REBECCA</x:v>
      </x:c>
      <x:c r="AN1030" s="7" t="str">
        <x:v>https://cdicloud.insurance.ca.gov/cal/LicenseDetail?SearchType=IND&amp;SearchLicNbr=4302642&amp;SearchIndvId=4302642</x:v>
      </x:c>
      <x:c r="AO1030" s="7" t="str">
        <x:v>2026-10-08</x:v>
      </x:c>
      <x:c r="AP1030" s="7" t="str">
        <x:v>40d6323c2c25d9799355adc5b459ee8ade8bef1727663c5931593b1990464e58</x:v>
      </x:c>
      <x:c r="AQ1030" s="7" t="str">
        <x:v>Accident &amp; Health or Sickness / Inactive / 06/15/2023 / 06/30/2025 / 06/30/2025
Casualty / Inactive / 06/15/2023 / 06/30/2025 / 06/30/2025
Life / Inactive / 06/15/2023 / 06/30/2025 / 06/30/2025
Property / Inactive / 06/15/2023 / 06/30/2025 / 06/30/2025</x:v>
      </x:c>
      <x:c r="AR1030" s="7" t="str">
        <x:v>Inactive</x:v>
      </x:c>
      <x:c r="AS1030" s="7" t="str">
        <x:v>Current detail page</x:v>
      </x:c>
    </x:row>
    <x:row r="1031" ht="52" customHeight="1">
      <x:c r="A1031" s="7" t="str">
        <x:v>AGUILAR REGIE SISON</x:v>
      </x:c>
      <x:c r="B1031" s="14" t="str">
        <x:f>"0D67192"</x:f>
        <x:v>0D67192</x:v>
      </x:c>
      <x:c r="C1031" s="7" t="str">
        <x:v>Omitted</x:v>
      </x:c>
      <x:c r="D1031" s="7" t="str">
        <x:v>FAIL</x:v>
      </x:c>
      <x:c r="E1031" s="13" t="str">
        <x:v>Pending</x:v>
      </x:c>
      <x:c r="F1031" s="13" t="str"/>
      <x:c r="G1031" s="13" t="str"/>
      <x:c r="H1031" s="13" t="str"/>
      <x:c r="I1031" s="7" t="str">
        <x:v>Was this person reviewed? If rejected, give the actual rule and evidence. If acceptable, correct the omission. Confirm the Life-qualification gate and any record change since selection.</x:v>
      </x:c>
      <x:c r="J1031" s="7" t="str">
        <x:v>L1</x:v>
      </x:c>
      <x:c r="K1031" s="7" t="str">
        <x:v>Verified qualifications do not include active general Life. Current target-pool mismatch; actual historical omission reason unknown.</x:v>
      </x:c>
      <x:c r="L1031" s="7" t="str">
        <x:v>Not supplied; membership is known, motive is not</x:v>
      </x:c>
      <x:c r="M1031" s="7" t="n">
        <x:v>7</x:v>
      </x:c>
      <x:c r="N1031" s="7" t="str">
        <x:v>Outside current general-Life recruiting pool</x:v>
      </x:c>
      <x:c r="O1031" s="7" t="str">
        <x:v>Not displayed</x:v>
      </x:c>
      <x:c r="P1031" s="7" t="str"/>
      <x:c r="Q1031" s="7" t="str"/>
      <x:c r="R1031" s="7" t="str"/>
      <x:c r="S1031" s="15" t="str"/>
      <x:c r="T1031" s="7" t="str">
        <x:v>No public business phone in collected record</x:v>
      </x:c>
      <x:c r="U1031" s="7" t="str"/>
      <x:c r="V1031" s="7" t="str">
        <x:v>Resident</x:v>
      </x:c>
      <x:c r="W1031" s="7" t="str">
        <x:v>CA</x:v>
      </x:c>
      <x:c r="X1031" s="7" t="str"/>
      <x:c r="Y1031" s="7" t="str"/>
      <x:c r="Z1031" s="7" t="str"/>
      <x:c r="AA1031" s="7" t="str"/>
      <x:c r="AB1031" s="7" t="str"/>
      <x:c r="AC1031" s="7" t="str"/>
      <x:c r="AD1031" s="7" t="str">
        <x:v>No agency or insurer displayed: onboarding opportunity possible; existing business unknown</x:v>
      </x:c>
      <x:c r="AE1031" s="7" t="str">
        <x:v>No public business phone: contact enrichment needed, not proof of poor recruiting fit</x:v>
      </x:c>
      <x:c r="AF1031" s="16" t="str"/>
      <x:c r="AG1031" s="17" t="str"/>
      <x:c r="AH1031" s="7" t="str"/>
      <x:c r="AI1031" s="7" t="str"/>
      <x:c r="AJ1031" s="7" t="str"/>
      <x:c r="AK1031" s="15" t="str"/>
      <x:c r="AL1031" s="7" t="str"/>
      <x:c r="AM1031" s="7" t="str">
        <x:v>AGUILAR SISON REGIE</x:v>
      </x:c>
      <x:c r="AN1031" s="7" t="str">
        <x:v>https://cdicloud.insurance.ca.gov/cal/LicenseDetail?SearchType=IND&amp;SearchLicNbr=0D67192&amp;SearchIndvId=731406</x:v>
      </x:c>
      <x:c r="AO1031" s="7" t="str">
        <x:v>2026-10-08</x:v>
      </x:c>
      <x:c r="AP1031" s="7" t="str">
        <x:v>226a6fe0feda2d2b763757e1d432f16cd9662fd1fba19d1e589d0c3f47067e45</x:v>
      </x:c>
      <x:c r="AQ1031" s="7" t="str">
        <x:v>Accident and Health / Inactive / 06/11/2002 / 06/30/2004 / 06/30/2004
Life-Only / Inactive / 06/11/2002 / 06/30/2004 / 06/30/2004</x:v>
      </x:c>
      <x:c r="AR1031" s="7" t="str">
        <x:v>Inactive</x:v>
      </x:c>
      <x:c r="AS1031" s="7" t="str">
        <x:v>Current detail page</x:v>
      </x:c>
    </x:row>
    <x:row r="1032" ht="52" customHeight="1">
      <x:c r="A1032" s="7" t="str">
        <x:v>AGUILAR RENE</x:v>
      </x:c>
      <x:c r="B1032" s="14" t="str">
        <x:f>"0B36340"</x:f>
        <x:v>0B36340</x:v>
      </x:c>
      <x:c r="C1032" s="7" t="str">
        <x:v>Omitted</x:v>
      </x:c>
      <x:c r="D1032" s="7" t="str">
        <x:v>FAIL</x:v>
      </x:c>
      <x:c r="E1032" s="13" t="str">
        <x:v>Pending</x:v>
      </x:c>
      <x:c r="F1032" s="13" t="str"/>
      <x:c r="G1032" s="13" t="str"/>
      <x:c r="H1032" s="13" t="str"/>
      <x:c r="I1032" s="7" t="str">
        <x:v>Was this person reviewed? If rejected, give the actual rule and evidence. If acceptable, correct the omission. Confirm the Life-qualification gate and any record change since selection.</x:v>
      </x:c>
      <x:c r="J1032" s="7" t="str">
        <x:v>L1</x:v>
      </x:c>
      <x:c r="K1032" s="7" t="str">
        <x:v>Verified qualifications do not include active general Life. Current target-pool mismatch; actual historical omission reason unknown.</x:v>
      </x:c>
      <x:c r="L1032" s="7" t="str">
        <x:v>Not supplied; membership is known, motive is not</x:v>
      </x:c>
      <x:c r="M1032" s="7" t="n">
        <x:v>7</x:v>
      </x:c>
      <x:c r="N1032" s="7" t="str">
        <x:v>Outside current general-Life recruiting pool</x:v>
      </x:c>
      <x:c r="O1032" s="7" t="str">
        <x:v>Not displayed</x:v>
      </x:c>
      <x:c r="P1032" s="7" t="str"/>
      <x:c r="Q1032" s="7" t="str"/>
      <x:c r="R1032" s="7" t="str"/>
      <x:c r="S1032" s="15" t="str"/>
      <x:c r="T1032" s="7" t="str">
        <x:v>No public business phone in collected record</x:v>
      </x:c>
      <x:c r="U1032" s="7" t="str"/>
      <x:c r="V1032" s="7" t="str">
        <x:v>Resident</x:v>
      </x:c>
      <x:c r="W1032" s="7" t="str">
        <x:v>CA</x:v>
      </x:c>
      <x:c r="X1032" s="7" t="str"/>
      <x:c r="Y1032" s="7" t="str"/>
      <x:c r="Z1032" s="7" t="str"/>
      <x:c r="AA1032" s="7" t="str"/>
      <x:c r="AB1032" s="7" t="str"/>
      <x:c r="AC1032" s="7" t="str"/>
      <x:c r="AD1032" s="7" t="str">
        <x:v>No agency or insurer displayed: onboarding opportunity possible; existing business unknown</x:v>
      </x:c>
      <x:c r="AE1032" s="7" t="str">
        <x:v>No public business phone: contact enrichment needed, not proof of poor recruiting fit</x:v>
      </x:c>
      <x:c r="AF1032" s="16" t="str"/>
      <x:c r="AG1032" s="17" t="str"/>
      <x:c r="AH1032" s="7" t="str"/>
      <x:c r="AI1032" s="7" t="str"/>
      <x:c r="AJ1032" s="7" t="str"/>
      <x:c r="AK1032" s="15" t="str"/>
      <x:c r="AL1032" s="7" t="str"/>
      <x:c r="AM1032" s="7" t="str">
        <x:v>AGUILAR  RENE</x:v>
      </x:c>
      <x:c r="AN1032" s="7" t="str">
        <x:v>https://cdicloud.insurance.ca.gov/cal/LicenseDetail?SearchType=IND&amp;SearchLicNbr=0B36340&amp;SearchIndvId=216359</x:v>
      </x:c>
      <x:c r="AO1032" s="7" t="str">
        <x:v>2026-10-08</x:v>
      </x:c>
      <x:c r="AP1032" s="7" t="str">
        <x:v>e21f40f53fe57868e688aca95c69e18271e6d2f88498ea098570653350985f91</x:v>
      </x:c>
      <x:c r="AQ1032" s="7" t="str">
        <x:v>Accident and Health / Inactive / 05/06/1994 / 10/18/1994 / 10/18/1994
Life-Only / Inactive / 05/06/1994 / 10/18/1994 / 10/18/1994</x:v>
      </x:c>
      <x:c r="AR1032" s="7" t="str">
        <x:v>Inactive</x:v>
      </x:c>
      <x:c r="AS1032" s="7" t="str">
        <x:v>Current detail page</x:v>
      </x:c>
    </x:row>
    <x:row r="1033" ht="52" customHeight="1">
      <x:c r="A1033" s="7" t="str">
        <x:v>AGUILAR RENE</x:v>
      </x:c>
      <x:c r="B1033" s="14" t="str">
        <x:f>"4120163"</x:f>
        <x:v>4120163</x:v>
      </x:c>
      <x:c r="C1033" s="7" t="str">
        <x:v>Omitted</x:v>
      </x:c>
      <x:c r="D1033" s="7" t="str">
        <x:v>FAIL</x:v>
      </x:c>
      <x:c r="E1033" s="13" t="str">
        <x:v>Pending</x:v>
      </x:c>
      <x:c r="F1033" s="13" t="str"/>
      <x:c r="G1033" s="13" t="str"/>
      <x:c r="H1033" s="13" t="str"/>
      <x:c r="I1033" s="7" t="str">
        <x:v>Was this person reviewed? If rejected, give the actual rule and evidence. If acceptable, correct the omission. Confirm the Life-qualification gate and any record change since selection.</x:v>
      </x:c>
      <x:c r="J1033" s="7" t="str">
        <x:v>L1</x:v>
      </x:c>
      <x:c r="K1033" s="7" t="str">
        <x:v>Verified qualifications do not include active general Life. Current target-pool mismatch; actual historical omission reason unknown.</x:v>
      </x:c>
      <x:c r="L1033" s="7" t="str">
        <x:v>Not supplied; membership is known, motive is not</x:v>
      </x:c>
      <x:c r="M1033" s="7" t="n">
        <x:v>7</x:v>
      </x:c>
      <x:c r="N1033" s="7" t="str">
        <x:v>Outside current general-Life recruiting pool</x:v>
      </x:c>
      <x:c r="O1033" s="7" t="str">
        <x:v>Not displayed</x:v>
      </x:c>
      <x:c r="P1033" s="7" t="str"/>
      <x:c r="Q1033" s="7" t="str"/>
      <x:c r="R1033" s="7" t="str">
        <x:v>Personal Lines</x:v>
      </x:c>
      <x:c r="S1033" s="15" t="str">
        <x:v>661-274-7770</x:v>
      </x:c>
      <x:c r="T1033" s="7" t="str">
        <x:v>Current CDI</x:v>
      </x:c>
      <x:c r="U1033" s="7" t="str">
        <x:v>1209 E PALMDALE BLVD PALMDALE CA, 93550</x:v>
      </x:c>
      <x:c r="V1033" s="7" t="str">
        <x:v>Resident</x:v>
      </x:c>
      <x:c r="W1033" s="7" t="str">
        <x:v>CA</x:v>
      </x:c>
      <x:c r="X1033" s="7" t="str"/>
      <x:c r="Y1033" s="7" t="str"/>
      <x:c r="Z1033" s="7" t="str"/>
      <x:c r="AA1033" s="7" t="str"/>
      <x:c r="AB1033" s="7" t="str"/>
      <x:c r="AC1033" s="7" t="str"/>
      <x:c r="AD1033" s="7" t="str">
        <x:v>No agency or insurer displayed: onboarding opportunity possible; existing business unknown</x:v>
      </x:c>
      <x:c r="AE1033" s="7" t="str">
        <x:v>P&amp;C/Personal Lines authority without displayed core Life appointments; mixed profile requires review</x:v>
      </x:c>
      <x:c r="AF1033" s="16" t="str"/>
      <x:c r="AG1033" s="17" t="str"/>
      <x:c r="AH1033" s="7" t="str"/>
      <x:c r="AI1033" s="7" t="str">
        <x:v>English</x:v>
      </x:c>
      <x:c r="AJ1033" s="7" t="str"/>
      <x:c r="AK1033" s="15" t="str"/>
      <x:c r="AL1033" s="7" t="str"/>
      <x:c r="AM1033" s="7" t="str">
        <x:v>AGUILAR  RENE</x:v>
      </x:c>
      <x:c r="AN1033" s="7" t="str">
        <x:v>https://cdicloud.insurance.ca.gov/cal/LicenseDetail?SearchType=IND&amp;SearchLicNbr=4120163&amp;SearchIndvId=4120163</x:v>
      </x:c>
      <x:c r="AO1033" s="7" t="str">
        <x:v>2026-10-08</x:v>
      </x:c>
      <x:c r="AP1033" s="7" t="str">
        <x:v>fd7712f5b297ce6bc166b5cea08fbb06f9ca1d15d5e989406e3b067d5a4f0399</x:v>
      </x:c>
      <x:c r="AQ1033" s="7" t="str">
        <x:v>Personal Lines / Active / 09/18/2024 / 09/18/2024 / 09/30/2028</x:v>
      </x:c>
      <x:c r="AR1033" s="7" t="str">
        <x:v>Active</x:v>
      </x:c>
      <x:c r="AS1033" s="7" t="str">
        <x:v>Current detail page</x:v>
      </x:c>
    </x:row>
    <x:row r="1034" ht="52" customHeight="1">
      <x:c r="A1034" s="7" t="str">
        <x:v>AGUILAR RENE AMADO</x:v>
      </x:c>
      <x:c r="B1034" s="14" t="str">
        <x:f>"0E81236"</x:f>
        <x:v>0E81236</x:v>
      </x:c>
      <x:c r="C1034" s="7" t="str">
        <x:v>Omitted</x:v>
      </x:c>
      <x:c r="D1034" s="7" t="str">
        <x:v>FAIL</x:v>
      </x:c>
      <x:c r="E1034" s="13" t="str">
        <x:v>Pending</x:v>
      </x:c>
      <x:c r="F1034" s="13" t="str"/>
      <x:c r="G1034" s="13" t="str"/>
      <x:c r="H1034" s="13" t="str"/>
      <x:c r="I1034" s="7" t="str">
        <x:v>Was this person reviewed? If rejected, give the actual rule and evidence. If acceptable, correct the omission. Confirm the Life-qualification gate and any record change since selection.</x:v>
      </x:c>
      <x:c r="J1034" s="7" t="str">
        <x:v>L1</x:v>
      </x:c>
      <x:c r="K1034" s="7" t="str">
        <x:v>Verified qualifications do not include active general Life. Current target-pool mismatch; actual historical omission reason unknown.</x:v>
      </x:c>
      <x:c r="L1034" s="7" t="str">
        <x:v>Not supplied; membership is known, motive is not</x:v>
      </x:c>
      <x:c r="M1034" s="7" t="n">
        <x:v>7</x:v>
      </x:c>
      <x:c r="N1034" s="7" t="str">
        <x:v>Outside current general-Life recruiting pool</x:v>
      </x:c>
      <x:c r="O1034" s="7" t="str">
        <x:v>Not displayed</x:v>
      </x:c>
      <x:c r="P1034" s="7" t="str"/>
      <x:c r="Q1034" s="7" t="str"/>
      <x:c r="R1034" s="7" t="str"/>
      <x:c r="S1034" s="15" t="str"/>
      <x:c r="T1034" s="7" t="str">
        <x:v>No public business phone in collected record</x:v>
      </x:c>
      <x:c r="U1034" s="7" t="str"/>
      <x:c r="V1034" s="7" t="str">
        <x:v>Resident</x:v>
      </x:c>
      <x:c r="W1034" s="7" t="str">
        <x:v>CA</x:v>
      </x:c>
      <x:c r="X1034" s="7" t="str"/>
      <x:c r="Y1034" s="7" t="str"/>
      <x:c r="Z1034" s="7" t="str"/>
      <x:c r="AA1034" s="7" t="str"/>
      <x:c r="AB1034" s="7" t="str"/>
      <x:c r="AC1034" s="7" t="str"/>
      <x:c r="AD1034" s="7" t="str">
        <x:v>No agency or insurer displayed: onboarding opportunity possible; existing business unknown</x:v>
      </x:c>
      <x:c r="AE1034" s="7" t="str">
        <x:v>No public business phone: contact enrichment needed, not proof of poor recruiting fit</x:v>
      </x:c>
      <x:c r="AF1034" s="16" t="str"/>
      <x:c r="AG1034" s="17" t="str"/>
      <x:c r="AH1034" s="7" t="str"/>
      <x:c r="AI1034" s="7" t="str"/>
      <x:c r="AJ1034" s="7" t="str"/>
      <x:c r="AK1034" s="15" t="str"/>
      <x:c r="AL1034" s="7" t="str"/>
      <x:c r="AM1034" s="7" t="str">
        <x:v>AGUILAR AMADO RENE</x:v>
      </x:c>
      <x:c r="AN1034" s="7" t="str">
        <x:v>https://cdicloud.insurance.ca.gov/cal/LicenseDetail?SearchType=IND&amp;SearchLicNbr=0E81236&amp;SearchIndvId=954085</x:v>
      </x:c>
      <x:c r="AO1034" s="7" t="str">
        <x:v>2026-10-08</x:v>
      </x:c>
      <x:c r="AP1034" s="7" t="str">
        <x:v>0eb43dbfc12bc1207da5edc6bed7b7eda48e2a00f1e764ab448897f2219a1b31</x:v>
      </x:c>
      <x:c r="AQ1034" s="7" t="str">
        <x:v>Accident and Health / Inactive / 06/03/2005 / 06/30/2007 / 06/30/2007
Life-Only / Inactive / 06/03/2005 / 06/30/2007 / 06/30/2007
Variable Contracts / Inactive / 06/03/2005 / 06/30/2007 / 06/30/2007</x:v>
      </x:c>
      <x:c r="AR1034" s="7" t="str">
        <x:v>Inactive</x:v>
      </x:c>
      <x:c r="AS1034" s="7" t="str">
        <x:v>Current detail page</x:v>
      </x:c>
    </x:row>
    <x:row r="1035" ht="52" customHeight="1">
      <x:c r="A1035" s="7" t="str">
        <x:v>AGUILAR RENE JESUS</x:v>
      </x:c>
      <x:c r="B1035" s="14" t="str">
        <x:f>"0C95131"</x:f>
        <x:v>0C95131</x:v>
      </x:c>
      <x:c r="C1035" s="7" t="str">
        <x:v>Omitted</x:v>
      </x:c>
      <x:c r="D1035" s="7" t="str">
        <x:v>FAIL</x:v>
      </x:c>
      <x:c r="E1035" s="13" t="str">
        <x:v>Pending</x:v>
      </x:c>
      <x:c r="F1035" s="13" t="str"/>
      <x:c r="G1035" s="13" t="str"/>
      <x:c r="H1035" s="13" t="str"/>
      <x:c r="I1035" s="7" t="str">
        <x:v>Was this person reviewed? If rejected, give the actual rule and evidence. If acceptable, correct the omission. Confirm the Life-qualification gate and any record change since selection.</x:v>
      </x:c>
      <x:c r="J1035" s="7" t="str">
        <x:v>L1</x:v>
      </x:c>
      <x:c r="K1035" s="7" t="str">
        <x:v>Verified qualifications do not include active general Life. Current target-pool mismatch; actual historical omission reason unknown.</x:v>
      </x:c>
      <x:c r="L1035" s="7" t="str">
        <x:v>Not supplied; membership is known, motive is not</x:v>
      </x:c>
      <x:c r="M1035" s="7" t="n">
        <x:v>7</x:v>
      </x:c>
      <x:c r="N1035" s="7" t="str">
        <x:v>Outside current general-Life recruiting pool</x:v>
      </x:c>
      <x:c r="O1035" s="7" t="str">
        <x:v>Inactive</x:v>
      </x:c>
      <x:c r="P1035" s="7" t="str">
        <x:v>04/21/2000</x:v>
      </x:c>
      <x:c r="Q1035" s="7" t="str">
        <x:v>04/30/2024</x:v>
      </x:c>
      <x:c r="R1035" s="7" t="str"/>
      <x:c r="S1035" s="15" t="str">
        <x:v>626-919-2672</x:v>
      </x:c>
      <x:c r="T1035" s="7" t="str">
        <x:v>Current CDI</x:v>
      </x:c>
      <x:c r="U1035" s="7" t="str">
        <x:v>896 W BEVERLY BLVD MONTEBELLO CA, 90640-4213</x:v>
      </x:c>
      <x:c r="V1035" s="7" t="str">
        <x:v>Resident</x:v>
      </x:c>
      <x:c r="W1035" s="7" t="str">
        <x:v>CA</x:v>
      </x:c>
      <x:c r="X1035" s="7" t="str"/>
      <x:c r="Y1035" s="7" t="str"/>
      <x:c r="Z1035" s="7" t="str"/>
      <x:c r="AA1035" s="7" t="str"/>
      <x:c r="AB1035" s="7" t="str"/>
      <x:c r="AC1035" s="7" t="str"/>
      <x:c r="AD1035" s="7" t="str">
        <x:v>No agency or insurer displayed: onboarding opportunity possible; existing business unknown</x:v>
      </x:c>
      <x:c r="AE1035" s="7" t="str"/>
      <x:c r="AF1035" s="16" t="str"/>
      <x:c r="AG1035" s="17" t="str"/>
      <x:c r="AH1035" s="7" t="str"/>
      <x:c r="AI1035" s="7" t="str">
        <x:v>English</x:v>
      </x:c>
      <x:c r="AJ1035" s="7" t="str"/>
      <x:c r="AK1035" s="15" t="str"/>
      <x:c r="AL1035" s="7" t="str"/>
      <x:c r="AM1035" s="7" t="str">
        <x:v>AGUILAR JESUS RENE</x:v>
      </x:c>
      <x:c r="AN1035" s="7" t="str">
        <x:v>https://cdicloud.insurance.ca.gov/cal/LicenseDetail?SearchType=IND&amp;SearchLicNbr=0C95131&amp;SearchIndvId=473575</x:v>
      </x:c>
      <x:c r="AO1035" s="7" t="str">
        <x:v>2026-10-08</x:v>
      </x:c>
      <x:c r="AP1035" s="7" t="str">
        <x:v>9fa92ffbd38e307c7d6841ff514b28b5eb2aed3f2c3add049f0d2030c0b7ad36</x:v>
      </x:c>
      <x:c r="AQ1035" s="7" t="str">
        <x:v>Accident &amp; Health or Sickness / Inactive / 04/21/2000 / 04/30/2024 / 04/30/2024
Life / Inactive / 04/21/2000 / 04/30/2024 / 04/30/2024
Var Life and Var Annuity / Inactive / 08/18/2009 / 04/30/2024 / 04/30/2024</x:v>
      </x:c>
      <x:c r="AR1035" s="7" t="str">
        <x:v>Inactive</x:v>
      </x:c>
      <x:c r="AS1035" s="7" t="str">
        <x:v>Current detail page</x:v>
      </x:c>
    </x:row>
    <x:row r="1036" ht="52" customHeight="1">
      <x:c r="A1036" s="7" t="str">
        <x:v>AGUILAR RENE LUIS</x:v>
      </x:c>
      <x:c r="B1036" s="14" t="str">
        <x:f>"0E71021"</x:f>
        <x:v>0E71021</x:v>
      </x:c>
      <x:c r="C1036" s="7" t="str">
        <x:v>Omitted</x:v>
      </x:c>
      <x:c r="D1036" s="7" t="str">
        <x:v>FAIL</x:v>
      </x:c>
      <x:c r="E1036" s="13" t="str">
        <x:v>Pending</x:v>
      </x:c>
      <x:c r="F1036" s="13" t="str"/>
      <x:c r="G1036" s="13" t="str"/>
      <x:c r="H1036" s="13" t="str"/>
      <x:c r="I1036" s="7" t="str">
        <x:v>Was this person reviewed? If rejected, give the actual rule and evidence. If acceptable, correct the omission. Confirm the Life-qualification gate and any record change since selection.</x:v>
      </x:c>
      <x:c r="J1036" s="7" t="str">
        <x:v>L1</x:v>
      </x:c>
      <x:c r="K1036" s="7" t="str">
        <x:v>Verified qualifications do not include active general Life. Current target-pool mismatch; actual historical omission reason unknown.</x:v>
      </x:c>
      <x:c r="L1036" s="7" t="str">
        <x:v>Not supplied; membership is known, motive is not</x:v>
      </x:c>
      <x:c r="M1036" s="7" t="n">
        <x:v>7</x:v>
      </x:c>
      <x:c r="N1036" s="7" t="str">
        <x:v>Outside current general-Life recruiting pool</x:v>
      </x:c>
      <x:c r="O1036" s="7" t="str">
        <x:v>Not displayed</x:v>
      </x:c>
      <x:c r="P1036" s="7" t="str"/>
      <x:c r="Q1036" s="7" t="str"/>
      <x:c r="R1036" s="7" t="str"/>
      <x:c r="S1036" s="15" t="str"/>
      <x:c r="T1036" s="7" t="str">
        <x:v>No public business phone in collected record</x:v>
      </x:c>
      <x:c r="U1036" s="7" t="str"/>
      <x:c r="V1036" s="7" t="str">
        <x:v>Resident</x:v>
      </x:c>
      <x:c r="W1036" s="7" t="str">
        <x:v>CA</x:v>
      </x:c>
      <x:c r="X1036" s="7" t="str"/>
      <x:c r="Y1036" s="7" t="str"/>
      <x:c r="Z1036" s="7" t="str"/>
      <x:c r="AA1036" s="7" t="str"/>
      <x:c r="AB1036" s="7" t="str"/>
      <x:c r="AC1036" s="7" t="str"/>
      <x:c r="AD1036" s="7" t="str">
        <x:v>No agency or insurer displayed: onboarding opportunity possible; existing business unknown</x:v>
      </x:c>
      <x:c r="AE1036" s="7" t="str">
        <x:v>No public business phone: contact enrichment needed, not proof of poor recruiting fit</x:v>
      </x:c>
      <x:c r="AF1036" s="16" t="str"/>
      <x:c r="AG1036" s="17" t="str"/>
      <x:c r="AH1036" s="7" t="str"/>
      <x:c r="AI1036" s="7" t="str"/>
      <x:c r="AJ1036" s="7" t="str"/>
      <x:c r="AK1036" s="15" t="str"/>
      <x:c r="AL1036" s="7" t="str"/>
      <x:c r="AM1036" s="7" t="str">
        <x:v>AGUILAR LUIS RENE</x:v>
      </x:c>
      <x:c r="AN1036" s="7" t="str">
        <x:v>https://cdicloud.insurance.ca.gov/cal/LicenseDetail?SearchType=IND&amp;SearchLicNbr=0E71021&amp;SearchIndvId=938903</x:v>
      </x:c>
      <x:c r="AO1036" s="7" t="str">
        <x:v>2026-10-08</x:v>
      </x:c>
      <x:c r="AP1036" s="7" t="str">
        <x:v>16ef6428c8bede0ad89cc01f5f983e0805ac31e1a12541e8d00f668d28772260</x:v>
      </x:c>
      <x:c r="AQ1036" s="7" t="str">
        <x:v>Motor Club Agent / Inactive / 02/15/2005 / 02/28/2007 / 02/28/2007</x:v>
      </x:c>
      <x:c r="AR1036" s="7" t="str">
        <x:v>Inactive</x:v>
      </x:c>
      <x:c r="AS1036" s="7" t="str">
        <x:v>Current detail page</x:v>
      </x:c>
    </x:row>
    <x:row r="1037" ht="52" customHeight="1">
      <x:c r="A1037" s="7" t="str">
        <x:v>AGUILAR REYNA ELIZABETH</x:v>
      </x:c>
      <x:c r="B1037" s="14" t="str">
        <x:f>"0F72122"</x:f>
        <x:v>0F72122</x:v>
      </x:c>
      <x:c r="C1037" s="7" t="str">
        <x:v>Omitted</x:v>
      </x:c>
      <x:c r="D1037" s="7" t="str">
        <x:v>FAIL</x:v>
      </x:c>
      <x:c r="E1037" s="13" t="str">
        <x:v>Pending</x:v>
      </x:c>
      <x:c r="F1037" s="13" t="str"/>
      <x:c r="G1037" s="13" t="str"/>
      <x:c r="H1037" s="13" t="str"/>
      <x:c r="I1037" s="7" t="str">
        <x:v>Was this person reviewed? If rejected, give the actual rule and evidence. If acceptable, correct the omission. Confirm the Life-qualification gate and any record change since selection.</x:v>
      </x:c>
      <x:c r="J1037" s="7" t="str">
        <x:v>L1</x:v>
      </x:c>
      <x:c r="K1037" s="7" t="str">
        <x:v>Verified qualifications do not include active general Life. Current target-pool mismatch; actual historical omission reason unknown.</x:v>
      </x:c>
      <x:c r="L1037" s="7" t="str">
        <x:v>Not supplied; membership is known, motive is not</x:v>
      </x:c>
      <x:c r="M1037" s="7" t="n">
        <x:v>7</x:v>
      </x:c>
      <x:c r="N1037" s="7" t="str">
        <x:v>Outside current general-Life recruiting pool</x:v>
      </x:c>
      <x:c r="O1037" s="7" t="str">
        <x:v>Not displayed</x:v>
      </x:c>
      <x:c r="P1037" s="7" t="str"/>
      <x:c r="Q1037" s="7" t="str"/>
      <x:c r="R1037" s="7" t="str"/>
      <x:c r="S1037" s="15" t="str"/>
      <x:c r="T1037" s="7" t="str">
        <x:v>No public business phone in collected record</x:v>
      </x:c>
      <x:c r="U1037" s="7" t="str"/>
      <x:c r="V1037" s="7" t="str">
        <x:v>Resident</x:v>
      </x:c>
      <x:c r="W1037" s="7" t="str">
        <x:v>CA</x:v>
      </x:c>
      <x:c r="X1037" s="7" t="str"/>
      <x:c r="Y1037" s="7" t="str"/>
      <x:c r="Z1037" s="7" t="str"/>
      <x:c r="AA1037" s="7" t="str"/>
      <x:c r="AB1037" s="7" t="str"/>
      <x:c r="AC1037" s="7" t="str"/>
      <x:c r="AD1037" s="7" t="str">
        <x:v>No agency or insurer displayed: onboarding opportunity possible; existing business unknown</x:v>
      </x:c>
      <x:c r="AE1037" s="7" t="str">
        <x:v>No public business phone: contact enrichment needed, not proof of poor recruiting fit</x:v>
      </x:c>
      <x:c r="AF1037" s="16" t="str"/>
      <x:c r="AG1037" s="17" t="str"/>
      <x:c r="AH1037" s="7" t="str"/>
      <x:c r="AI1037" s="7" t="str"/>
      <x:c r="AJ1037" s="7" t="str"/>
      <x:c r="AK1037" s="15" t="str"/>
      <x:c r="AL1037" s="7" t="str"/>
      <x:c r="AM1037" s="7" t="str">
        <x:v>AGUILAR ELIZABETH REYNA</x:v>
      </x:c>
      <x:c r="AN1037" s="7" t="str">
        <x:v>https://cdicloud.insurance.ca.gov/cal/LicenseDetail?SearchType=IND&amp;SearchLicNbr=0F72122&amp;SearchIndvId=1089852</x:v>
      </x:c>
      <x:c r="AO1037" s="7" t="str">
        <x:v>2026-10-08</x:v>
      </x:c>
      <x:c r="AP1037" s="7" t="str">
        <x:v>37e8f95e8362710a28af91bd1a6980094264017dc27f04a26e6bb3331af2025f</x:v>
      </x:c>
      <x:c r="AQ1037" s="7" t="str">
        <x:v>Accident and Health / Inactive / 06/30/2007 / 06/30/2009 / 06/30/2009
Life-Only / Inactive / 06/30/2007 / 06/30/2009 / 06/30/2009</x:v>
      </x:c>
      <x:c r="AR1037" s="7" t="str">
        <x:v>Inactive</x:v>
      </x:c>
      <x:c r="AS1037" s="7" t="str">
        <x:v>Current detail page</x:v>
      </x:c>
    </x:row>
    <x:row r="1038" ht="52" customHeight="1">
      <x:c r="A1038" s="7" t="str">
        <x:v>AGUILAR REYNALDO</x:v>
      </x:c>
      <x:c r="B1038" s="14" t="str">
        <x:f>"0B17807"</x:f>
        <x:v>0B17807</x:v>
      </x:c>
      <x:c r="C1038" s="7" t="str">
        <x:v>Omitted</x:v>
      </x:c>
      <x:c r="D1038" s="7" t="str">
        <x:v>FAIL</x:v>
      </x:c>
      <x:c r="E1038" s="13" t="str">
        <x:v>Pending</x:v>
      </x:c>
      <x:c r="F1038" s="13" t="str"/>
      <x:c r="G1038" s="13" t="str"/>
      <x:c r="H1038" s="13" t="str"/>
      <x:c r="I1038" s="7" t="str">
        <x:v>Was this person reviewed? If rejected, give the actual rule and evidence. If acceptable, correct the omission. Confirm the Life-qualification gate and any record change since selection.</x:v>
      </x:c>
      <x:c r="J1038" s="7" t="str">
        <x:v>L1</x:v>
      </x:c>
      <x:c r="K1038" s="7" t="str">
        <x:v>Verified qualifications do not include active general Life. Current target-pool mismatch; actual historical omission reason unknown.</x:v>
      </x:c>
      <x:c r="L1038" s="7" t="str">
        <x:v>Not supplied; membership is known, motive is not</x:v>
      </x:c>
      <x:c r="M1038" s="7" t="n">
        <x:v>7</x:v>
      </x:c>
      <x:c r="N1038" s="7" t="str">
        <x:v>Outside current general-Life recruiting pool</x:v>
      </x:c>
      <x:c r="O1038" s="7" t="str">
        <x:v>Not displayed</x:v>
      </x:c>
      <x:c r="P1038" s="7" t="str"/>
      <x:c r="Q1038" s="7" t="str"/>
      <x:c r="R1038" s="7" t="str"/>
      <x:c r="S1038" s="15" t="str"/>
      <x:c r="T1038" s="7" t="str">
        <x:v>No public business phone in collected record</x:v>
      </x:c>
      <x:c r="U1038" s="7" t="str"/>
      <x:c r="V1038" s="7" t="str">
        <x:v>Resident</x:v>
      </x:c>
      <x:c r="W1038" s="7" t="str">
        <x:v>CA</x:v>
      </x:c>
      <x:c r="X1038" s="7" t="str"/>
      <x:c r="Y1038" s="7" t="str"/>
      <x:c r="Z1038" s="7" t="str"/>
      <x:c r="AA1038" s="7" t="str"/>
      <x:c r="AB1038" s="7" t="str"/>
      <x:c r="AC1038" s="7" t="str"/>
      <x:c r="AD1038" s="7" t="str">
        <x:v>No agency or insurer displayed: onboarding opportunity possible; existing business unknown</x:v>
      </x:c>
      <x:c r="AE1038" s="7" t="str">
        <x:v>No public business phone: contact enrichment needed, not proof of poor recruiting fit</x:v>
      </x:c>
      <x:c r="AF1038" s="16" t="str"/>
      <x:c r="AG1038" s="17" t="str"/>
      <x:c r="AH1038" s="7" t="str"/>
      <x:c r="AI1038" s="7" t="str"/>
      <x:c r="AJ1038" s="7" t="str"/>
      <x:c r="AK1038" s="15" t="str"/>
      <x:c r="AL1038" s="7" t="str"/>
      <x:c r="AM1038" s="7" t="str">
        <x:v>AGUILAR  REYNALDO</x:v>
      </x:c>
      <x:c r="AN1038" s="7" t="str">
        <x:v>https://cdicloud.insurance.ca.gov/cal/LicenseDetail?SearchType=IND&amp;SearchLicNbr=0B17807&amp;SearchIndvId=198915</x:v>
      </x:c>
      <x:c r="AO1038" s="7" t="str">
        <x:v>2026-10-08</x:v>
      </x:c>
      <x:c r="AP1038" s="7" t="str">
        <x:v>2221b2d9d0f8c1332346a3ddd2b6f9aba3f94e57b70edc0c7760845551f1080e</x:v>
      </x:c>
      <x:c r="AQ1038" s="7" t="str">
        <x:v>Accident and Health / Inactive / 05/20/1993 / 05/31/1999 / 05/31/1999
Life-Only / Inactive / 05/20/1993 / 05/31/1999 / 05/31/1999</x:v>
      </x:c>
      <x:c r="AR1038" s="7" t="str">
        <x:v>Inactive</x:v>
      </x:c>
      <x:c r="AS1038" s="7" t="str">
        <x:v>Current detail page</x:v>
      </x:c>
    </x:row>
    <x:row r="1039" ht="52" customHeight="1">
      <x:c r="A1039" s="7" t="str">
        <x:v>AGUILAR REYNALDO</x:v>
      </x:c>
      <x:c r="B1039" s="14" t="str">
        <x:f>"0D00199"</x:f>
        <x:v>0D00199</x:v>
      </x:c>
      <x:c r="C1039" s="7" t="str">
        <x:v>Omitted</x:v>
      </x:c>
      <x:c r="D1039" s="7" t="str">
        <x:v>FAIL</x:v>
      </x:c>
      <x:c r="E1039" s="13" t="str">
        <x:v>Pending</x:v>
      </x:c>
      <x:c r="F1039" s="13" t="str"/>
      <x:c r="G1039" s="13" t="str"/>
      <x:c r="H1039" s="13" t="str"/>
      <x:c r="I1039" s="7" t="str">
        <x:v>Was this person reviewed? If rejected, give the actual rule and evidence. If acceptable, correct the omission. Confirm the Life-qualification gate and any record change since selection.</x:v>
      </x:c>
      <x:c r="J1039" s="7" t="str">
        <x:v>L1</x:v>
      </x:c>
      <x:c r="K1039" s="7" t="str">
        <x:v>Verified qualifications do not include active general Life. Current target-pool mismatch; actual historical omission reason unknown.</x:v>
      </x:c>
      <x:c r="L1039" s="7" t="str">
        <x:v>Not supplied; membership is known, motive is not</x:v>
      </x:c>
      <x:c r="M1039" s="7" t="n">
        <x:v>7</x:v>
      </x:c>
      <x:c r="N1039" s="7" t="str">
        <x:v>Outside current general-Life recruiting pool</x:v>
      </x:c>
      <x:c r="O1039" s="7" t="str">
        <x:v>Not displayed</x:v>
      </x:c>
      <x:c r="P1039" s="7" t="str"/>
      <x:c r="Q1039" s="7" t="str"/>
      <x:c r="R1039" s="7" t="str"/>
      <x:c r="S1039" s="15" t="str"/>
      <x:c r="T1039" s="7" t="str">
        <x:v>No public business phone in collected record</x:v>
      </x:c>
      <x:c r="U1039" s="7" t="str"/>
      <x:c r="V1039" s="7" t="str">
        <x:v>Resident</x:v>
      </x:c>
      <x:c r="W1039" s="7" t="str">
        <x:v>CA</x:v>
      </x:c>
      <x:c r="X1039" s="7" t="str"/>
      <x:c r="Y1039" s="7" t="str"/>
      <x:c r="Z1039" s="7" t="str"/>
      <x:c r="AA1039" s="7" t="str"/>
      <x:c r="AB1039" s="7" t="str"/>
      <x:c r="AC1039" s="7" t="str"/>
      <x:c r="AD1039" s="7" t="str">
        <x:v>No agency or insurer displayed: onboarding opportunity possible; existing business unknown</x:v>
      </x:c>
      <x:c r="AE1039" s="7" t="str">
        <x:v>No public business phone: contact enrichment needed, not proof of poor recruiting fit</x:v>
      </x:c>
      <x:c r="AF1039" s="16" t="str"/>
      <x:c r="AG1039" s="17" t="str"/>
      <x:c r="AH1039" s="7" t="str"/>
      <x:c r="AI1039" s="7" t="str"/>
      <x:c r="AJ1039" s="7" t="str"/>
      <x:c r="AK1039" s="15" t="str"/>
      <x:c r="AL1039" s="7" t="str"/>
      <x:c r="AM1039" s="7" t="str">
        <x:v>AGUILAR  REYNALDO</x:v>
      </x:c>
      <x:c r="AN1039" s="7" t="str">
        <x:v>https://cdicloud.insurance.ca.gov/cal/LicenseDetail?SearchType=IND&amp;SearchLicNbr=0D00199&amp;SearchIndvId=527111</x:v>
      </x:c>
      <x:c r="AO1039" s="7" t="str">
        <x:v>2026-10-08</x:v>
      </x:c>
      <x:c r="AP1039" s="7" t="str">
        <x:v>55728201c5e221569e4a2a713f838e7acc2be9230966e2cfb3e1ccc2afe112e8</x:v>
      </x:c>
      <x:c r="AQ1039" s="7" t="str">
        <x:v>Accident and Health / Inactive / 12/21/2000 / 12/31/2002 / 12/31/2002
Life-Only / Inactive / 12/21/2000 / 12/31/2002 / 12/31/2002</x:v>
      </x:c>
      <x:c r="AR1039" s="7" t="str">
        <x:v>Inactive</x:v>
      </x:c>
      <x:c r="AS1039" s="7" t="str">
        <x:v>Current detail page</x:v>
      </x:c>
    </x:row>
    <x:row r="1040" ht="52" customHeight="1">
      <x:c r="A1040" s="7" t="str">
        <x:v>AGUILAR RICARDO</x:v>
      </x:c>
      <x:c r="B1040" s="14" t="str">
        <x:f>"0H23821"</x:f>
        <x:v>0H23821</x:v>
      </x:c>
      <x:c r="C1040" s="7" t="str">
        <x:v>Omitted</x:v>
      </x:c>
      <x:c r="D1040" s="7" t="str">
        <x:v>FAIL</x:v>
      </x:c>
      <x:c r="E1040" s="13" t="str">
        <x:v>Pending</x:v>
      </x:c>
      <x:c r="F1040" s="13" t="str"/>
      <x:c r="G1040" s="13" t="str"/>
      <x:c r="H1040" s="13" t="str"/>
      <x:c r="I1040" s="7" t="str">
        <x:v>Was this person reviewed? If rejected, give the actual rule and evidence. If acceptable, correct the omission. Confirm the Life-qualification gate and any record change since selection.</x:v>
      </x:c>
      <x:c r="J1040" s="7" t="str">
        <x:v>L1</x:v>
      </x:c>
      <x:c r="K1040" s="7" t="str">
        <x:v>Verified qualifications do not include active general Life. Current target-pool mismatch; actual historical omission reason unknown.</x:v>
      </x:c>
      <x:c r="L1040" s="7" t="str">
        <x:v>Not supplied; membership is known, motive is not</x:v>
      </x:c>
      <x:c r="M1040" s="7" t="n">
        <x:v>7</x:v>
      </x:c>
      <x:c r="N1040" s="7" t="str">
        <x:v>Outside current general-Life recruiting pool</x:v>
      </x:c>
      <x:c r="O1040" s="7" t="str">
        <x:v>Not displayed</x:v>
      </x:c>
      <x:c r="P1040" s="7" t="str"/>
      <x:c r="Q1040" s="7" t="str"/>
      <x:c r="R1040" s="7" t="str"/>
      <x:c r="S1040" s="15" t="str"/>
      <x:c r="T1040" s="7" t="str">
        <x:v>No public business phone in collected record</x:v>
      </x:c>
      <x:c r="U1040" s="7" t="str"/>
      <x:c r="V1040" s="7" t="str">
        <x:v>Resident</x:v>
      </x:c>
      <x:c r="W1040" s="7" t="str">
        <x:v>CA</x:v>
      </x:c>
      <x:c r="X1040" s="7" t="str"/>
      <x:c r="Y1040" s="7" t="str"/>
      <x:c r="Z1040" s="7" t="str"/>
      <x:c r="AA1040" s="7" t="str"/>
      <x:c r="AB1040" s="7" t="str"/>
      <x:c r="AC1040" s="7" t="str"/>
      <x:c r="AD1040" s="7" t="str">
        <x:v>No agency or insurer displayed: onboarding opportunity possible; existing business unknown</x:v>
      </x:c>
      <x:c r="AE1040" s="7" t="str">
        <x:v>No public business phone: contact enrichment needed, not proof of poor recruiting fit</x:v>
      </x:c>
      <x:c r="AF1040" s="16" t="str"/>
      <x:c r="AG1040" s="17" t="str"/>
      <x:c r="AH1040" s="7" t="str"/>
      <x:c r="AI1040" s="7" t="str"/>
      <x:c r="AJ1040" s="7" t="str"/>
      <x:c r="AK1040" s="15" t="str"/>
      <x:c r="AL1040" s="7" t="str"/>
      <x:c r="AM1040" s="7" t="str">
        <x:v>AGUILAR  RICARDO</x:v>
      </x:c>
      <x:c r="AN1040" s="7" t="str">
        <x:v>https://cdicloud.insurance.ca.gov/cal/LicenseDetail?SearchType=IND&amp;SearchLicNbr=0H23821&amp;SearchIndvId=1363862</x:v>
      </x:c>
      <x:c r="AO1040" s="7" t="str">
        <x:v>2026-10-08</x:v>
      </x:c>
      <x:c r="AP1040" s="7" t="str">
        <x:v>3801b978ac046a3d86c91ef4285b3eba0266a5084eb34932c1ac88184f4ae9d2</x:v>
      </x:c>
      <x:c r="AQ1040" s="7" t="str">
        <x:v>Accident and Health / Inactive / 11/16/2010 / 11/30/2012 / 11/30/2012
Life-Only / Inactive / 11/16/2010 / 11/30/2012 / 11/30/2012</x:v>
      </x:c>
      <x:c r="AR1040" s="7" t="str">
        <x:v>Inactive</x:v>
      </x:c>
      <x:c r="AS1040" s="7" t="str">
        <x:v>Current detail page</x:v>
      </x:c>
    </x:row>
    <x:row r="1041" ht="52" customHeight="1">
      <x:c r="A1041" s="7" t="str">
        <x:v>AGUILAR RICARDO</x:v>
      </x:c>
      <x:c r="B1041" s="14" t="str">
        <x:f>"0H66212"</x:f>
        <x:v>0H66212</x:v>
      </x:c>
      <x:c r="C1041" s="7" t="str">
        <x:v>Omitted</x:v>
      </x:c>
      <x:c r="D1041" s="7" t="str">
        <x:v>FAIL</x:v>
      </x:c>
      <x:c r="E1041" s="13" t="str">
        <x:v>Pending</x:v>
      </x:c>
      <x:c r="F1041" s="13" t="str"/>
      <x:c r="G1041" s="13" t="str"/>
      <x:c r="H1041" s="13" t="str"/>
      <x:c r="I1041" s="7" t="str">
        <x:v>Was this person reviewed? If rejected, give the actual rule and evidence. If acceptable, correct the omission. Confirm the Life-qualification gate and any record change since selection.</x:v>
      </x:c>
      <x:c r="J1041" s="7" t="str">
        <x:v>L1</x:v>
      </x:c>
      <x:c r="K1041" s="7" t="str">
        <x:v>Verified qualifications do not include active general Life. Current target-pool mismatch; actual historical omission reason unknown.</x:v>
      </x:c>
      <x:c r="L1041" s="7" t="str">
        <x:v>Not supplied; membership is known, motive is not</x:v>
      </x:c>
      <x:c r="M1041" s="7" t="n">
        <x:v>7</x:v>
      </x:c>
      <x:c r="N1041" s="7" t="str">
        <x:v>Outside current general-Life recruiting pool</x:v>
      </x:c>
      <x:c r="O1041" s="7" t="str">
        <x:v>Not displayed</x:v>
      </x:c>
      <x:c r="P1041" s="7" t="str"/>
      <x:c r="Q1041" s="7" t="str"/>
      <x:c r="R1041" s="7" t="str"/>
      <x:c r="S1041" s="15" t="str"/>
      <x:c r="T1041" s="7" t="str">
        <x:v>No public business phone in collected record</x:v>
      </x:c>
      <x:c r="U1041" s="7" t="str"/>
      <x:c r="V1041" s="7" t="str">
        <x:v>Resident</x:v>
      </x:c>
      <x:c r="W1041" s="7" t="str">
        <x:v>CA</x:v>
      </x:c>
      <x:c r="X1041" s="7" t="str"/>
      <x:c r="Y1041" s="7" t="str"/>
      <x:c r="Z1041" s="7" t="str"/>
      <x:c r="AA1041" s="7" t="str"/>
      <x:c r="AB1041" s="7" t="str"/>
      <x:c r="AC1041" s="7" t="str"/>
      <x:c r="AD1041" s="7" t="str">
        <x:v>No agency or insurer displayed: onboarding opportunity possible; existing business unknown</x:v>
      </x:c>
      <x:c r="AE1041" s="7" t="str">
        <x:v>No public business phone: contact enrichment needed, not proof of poor recruiting fit</x:v>
      </x:c>
      <x:c r="AF1041" s="16" t="str"/>
      <x:c r="AG1041" s="17" t="str"/>
      <x:c r="AH1041" s="7" t="str"/>
      <x:c r="AI1041" s="7" t="str"/>
      <x:c r="AJ1041" s="7" t="str"/>
      <x:c r="AK1041" s="15" t="str"/>
      <x:c r="AL1041" s="7" t="str"/>
      <x:c r="AM1041" s="7" t="str">
        <x:v>AGUILAR  RICARDO</x:v>
      </x:c>
      <x:c r="AN1041" s="7" t="str">
        <x:v>https://cdicloud.insurance.ca.gov/cal/LicenseDetail?SearchType=IND&amp;SearchLicNbr=0H66212&amp;SearchIndvId=1488154</x:v>
      </x:c>
      <x:c r="AO1041" s="7" t="str">
        <x:v>2026-10-08</x:v>
      </x:c>
      <x:c r="AP1041" s="7" t="str">
        <x:v>2ed768b455e6eae95a37f972d852b68768223bc260793f6b7895850234ad2dac</x:v>
      </x:c>
      <x:c r="AQ1041" s="7" t="str">
        <x:v>Life-Only / Inactive / 11/15/2011 / 11/30/2013 / 11/30/2013</x:v>
      </x:c>
      <x:c r="AR1041" s="7" t="str">
        <x:v>Inactive</x:v>
      </x:c>
      <x:c r="AS1041" s="7" t="str">
        <x:v>Current detail page</x:v>
      </x:c>
    </x:row>
    <x:row r="1042" ht="52" customHeight="1">
      <x:c r="A1042" s="7" t="str">
        <x:v>AGUILAR RICARDO</x:v>
      </x:c>
      <x:c r="B1042" s="14" t="str">
        <x:f>"0I90510"</x:f>
        <x:v>0I90510</x:v>
      </x:c>
      <x:c r="C1042" s="7" t="str">
        <x:v>Omitted</x:v>
      </x:c>
      <x:c r="D1042" s="7" t="str">
        <x:v>FAIL</x:v>
      </x:c>
      <x:c r="E1042" s="13" t="str">
        <x:v>Pending</x:v>
      </x:c>
      <x:c r="F1042" s="13" t="str"/>
      <x:c r="G1042" s="13" t="str"/>
      <x:c r="H1042" s="13" t="str"/>
      <x:c r="I1042" s="7" t="str">
        <x:v>Was this person reviewed? If rejected, give the actual rule and evidence. If acceptable, correct the omission. Confirm the Life-qualification gate and any record change since selection.</x:v>
      </x:c>
      <x:c r="J1042" s="7" t="str">
        <x:v>L1</x:v>
      </x:c>
      <x:c r="K1042" s="7" t="str">
        <x:v>Verified qualifications do not include active general Life. Current target-pool mismatch; actual historical omission reason unknown.</x:v>
      </x:c>
      <x:c r="L1042" s="7" t="str">
        <x:v>Not supplied; membership is known, motive is not</x:v>
      </x:c>
      <x:c r="M1042" s="7" t="n">
        <x:v>7</x:v>
      </x:c>
      <x:c r="N1042" s="7" t="str">
        <x:v>Outside current general-Life recruiting pool</x:v>
      </x:c>
      <x:c r="O1042" s="7" t="str">
        <x:v>Not displayed</x:v>
      </x:c>
      <x:c r="P1042" s="7" t="str"/>
      <x:c r="Q1042" s="7" t="str"/>
      <x:c r="R1042" s="7" t="str"/>
      <x:c r="S1042" s="15" t="str"/>
      <x:c r="T1042" s="7" t="str">
        <x:v>No public business phone in collected record</x:v>
      </x:c>
      <x:c r="U1042" s="7" t="str"/>
      <x:c r="V1042" s="7" t="str">
        <x:v>Non-resident</x:v>
      </x:c>
      <x:c r="W1042" s="7" t="str">
        <x:v>AZ</x:v>
      </x:c>
      <x:c r="X1042" s="7" t="str"/>
      <x:c r="Y1042" s="7" t="str"/>
      <x:c r="Z1042" s="7" t="str"/>
      <x:c r="AA1042" s="7" t="str"/>
      <x:c r="AB1042" s="7" t="str"/>
      <x:c r="AC1042" s="7" t="str"/>
      <x:c r="AD1042" s="7" t="str">
        <x:v>No agency or insurer displayed: onboarding opportunity possible; existing business unknown</x:v>
      </x:c>
      <x:c r="AE1042" s="7" t="str">
        <x:v>Nonresident or address state outside CA; confirm geographic recruiting scope | No public business phone: contact enrichment needed, not proof of poor recruiting fit</x:v>
      </x:c>
      <x:c r="AF1042" s="16" t="str"/>
      <x:c r="AG1042" s="17" t="str"/>
      <x:c r="AH1042" s="7" t="str"/>
      <x:c r="AI1042" s="7" t="str"/>
      <x:c r="AJ1042" s="7" t="str"/>
      <x:c r="AK1042" s="15" t="str"/>
      <x:c r="AL1042" s="7" t="str"/>
      <x:c r="AM1042" s="7" t="str">
        <x:v>AGUILAR  RICARDO</x:v>
      </x:c>
      <x:c r="AN1042" s="7" t="str">
        <x:v>https://cdicloud.insurance.ca.gov/cal/LicenseDetail?SearchType=IND&amp;SearchLicNbr=0I90510&amp;SearchIndvId=1674644</x:v>
      </x:c>
      <x:c r="AO1042" s="7" t="str">
        <x:v>2026-10-08</x:v>
      </x:c>
      <x:c r="AP1042" s="7" t="str">
        <x:v>bf3b6480e38712bf7ef6045ea27bc4f9ad56468df779063b0ce568bc25da6292</x:v>
      </x:c>
      <x:c r="AQ1042" s="7" t="str">
        <x:v>Personal Lines Broker-Agent / Inactive / 05/29/2014 / 05/31/2020 / 05/31/2020</x:v>
      </x:c>
      <x:c r="AR1042" s="7" t="str">
        <x:v>Inactive</x:v>
      </x:c>
      <x:c r="AS1042" s="7" t="str">
        <x:v>Current detail page</x:v>
      </x:c>
    </x:row>
    <x:row r="1043" ht="52" customHeight="1">
      <x:c r="A1043" s="7" t="str">
        <x:v>AGUILAR RICARDO ALFONSO JR</x:v>
      </x:c>
      <x:c r="B1043" s="14" t="str">
        <x:f>"0F30897"</x:f>
        <x:v>0F30897</x:v>
      </x:c>
      <x:c r="C1043" s="7" t="str">
        <x:v>Omitted</x:v>
      </x:c>
      <x:c r="D1043" s="7" t="str">
        <x:v>FAIL</x:v>
      </x:c>
      <x:c r="E1043" s="13" t="str">
        <x:v>Pending</x:v>
      </x:c>
      <x:c r="F1043" s="13" t="str"/>
      <x:c r="G1043" s="13" t="str"/>
      <x:c r="H1043" s="13" t="str"/>
      <x:c r="I1043" s="7" t="str">
        <x:v>Was this person reviewed? If rejected, give the actual rule and evidence. If acceptable, correct the omission. Confirm the Life-qualification gate and any record change since selection.</x:v>
      </x:c>
      <x:c r="J1043" s="7" t="str">
        <x:v>L1</x:v>
      </x:c>
      <x:c r="K1043" s="7" t="str">
        <x:v>Verified qualifications do not include active general Life. Current target-pool mismatch; actual historical omission reason unknown.</x:v>
      </x:c>
      <x:c r="L1043" s="7" t="str">
        <x:v>Not supplied; membership is known, motive is not</x:v>
      </x:c>
      <x:c r="M1043" s="7" t="n">
        <x:v>7</x:v>
      </x:c>
      <x:c r="N1043" s="7" t="str">
        <x:v>Outside current general-Life recruiting pool</x:v>
      </x:c>
      <x:c r="O1043" s="7" t="str">
        <x:v>Not displayed</x:v>
      </x:c>
      <x:c r="P1043" s="7" t="str"/>
      <x:c r="Q1043" s="7" t="str"/>
      <x:c r="R1043" s="7" t="str"/>
      <x:c r="S1043" s="15" t="str"/>
      <x:c r="T1043" s="7" t="str">
        <x:v>No public business phone in collected record</x:v>
      </x:c>
      <x:c r="U1043" s="7" t="str"/>
      <x:c r="V1043" s="7" t="str">
        <x:v>Non-resident</x:v>
      </x:c>
      <x:c r="W1043" s="7" t="str">
        <x:v>NC</x:v>
      </x:c>
      <x:c r="X1043" s="7" t="str"/>
      <x:c r="Y1043" s="7" t="str"/>
      <x:c r="Z1043" s="7" t="str"/>
      <x:c r="AA1043" s="7" t="str"/>
      <x:c r="AB1043" s="7" t="str"/>
      <x:c r="AC1043" s="7" t="str"/>
      <x:c r="AD1043" s="7" t="str">
        <x:v>No agency or insurer displayed: onboarding opportunity possible; existing business unknown</x:v>
      </x:c>
      <x:c r="AE1043" s="7" t="str">
        <x:v>Nonresident or address state outside CA; confirm geographic recruiting scope | No public business phone: contact enrichment needed, not proof of poor recruiting fit</x:v>
      </x:c>
      <x:c r="AF1043" s="16" t="str"/>
      <x:c r="AG1043" s="17" t="str"/>
      <x:c r="AH1043" s="7" t="str"/>
      <x:c r="AI1043" s="7" t="str"/>
      <x:c r="AJ1043" s="7" t="str"/>
      <x:c r="AK1043" s="15" t="str"/>
      <x:c r="AL1043" s="7" t="str"/>
      <x:c r="AM1043" s="7" t="str">
        <x:v>AGUILAR ALFONSO RICARDO</x:v>
      </x:c>
      <x:c r="AN1043" s="7" t="str">
        <x:v>https://cdicloud.insurance.ca.gov/cal/LicenseDetail?SearchType=IND&amp;SearchLicNbr=0F30897&amp;SearchIndvId=1040929</x:v>
      </x:c>
      <x:c r="AO1043" s="7" t="str">
        <x:v>2026-10-08</x:v>
      </x:c>
      <x:c r="AP1043" s="7" t="str">
        <x:v>38c862495bd3e435fc28e951040d78d0f66571467d02d0502d3f029189efd827</x:v>
      </x:c>
      <x:c r="AQ1043" s="7" t="str">
        <x:v>Casualty Broker-Agent / Inactive / 08/16/2006 / 08/31/2008 / 08/31/2008
Property Broker-Agent / Inactive / 08/16/2006 / 08/31/2008 / 08/31/2008</x:v>
      </x:c>
      <x:c r="AR1043" s="7" t="str">
        <x:v>Inactive</x:v>
      </x:c>
      <x:c r="AS1043" s="7" t="str">
        <x:v>Current detail page</x:v>
      </x:c>
    </x:row>
    <x:row r="1044" ht="52" customHeight="1">
      <x:c r="A1044" s="7" t="str">
        <x:v>AGUILAR RICARDO ANTONIO</x:v>
      </x:c>
      <x:c r="B1044" s="14" t="str">
        <x:f>"0H48890"</x:f>
        <x:v>0H48890</x:v>
      </x:c>
      <x:c r="C1044" s="7" t="str">
        <x:v>Omitted</x:v>
      </x:c>
      <x:c r="D1044" s="7" t="str">
        <x:v>FAIL</x:v>
      </x:c>
      <x:c r="E1044" s="13" t="str">
        <x:v>Pending</x:v>
      </x:c>
      <x:c r="F1044" s="13" t="str"/>
      <x:c r="G1044" s="13" t="str"/>
      <x:c r="H1044" s="13" t="str"/>
      <x:c r="I1044" s="7" t="str">
        <x:v>Was this person reviewed? If rejected, give the actual rule and evidence. If acceptable, correct the omission. Confirm the Life-qualification gate and any record change since selection.</x:v>
      </x:c>
      <x:c r="J1044" s="7" t="str">
        <x:v>L1</x:v>
      </x:c>
      <x:c r="K1044" s="7" t="str">
        <x:v>Verified qualifications do not include active general Life. Current target-pool mismatch; actual historical omission reason unknown.</x:v>
      </x:c>
      <x:c r="L1044" s="7" t="str">
        <x:v>Not supplied; membership is known, motive is not</x:v>
      </x:c>
      <x:c r="M1044" s="7" t="n">
        <x:v>7</x:v>
      </x:c>
      <x:c r="N1044" s="7" t="str">
        <x:v>Outside current general-Life recruiting pool</x:v>
      </x:c>
      <x:c r="O1044" s="7" t="str">
        <x:v>Not displayed</x:v>
      </x:c>
      <x:c r="P1044" s="7" t="str"/>
      <x:c r="Q1044" s="7" t="str"/>
      <x:c r="R1044" s="7" t="str"/>
      <x:c r="S1044" s="15" t="str"/>
      <x:c r="T1044" s="7" t="str">
        <x:v>No public business phone in collected record</x:v>
      </x:c>
      <x:c r="U1044" s="7" t="str"/>
      <x:c r="V1044" s="7" t="str">
        <x:v>Resident</x:v>
      </x:c>
      <x:c r="W1044" s="7" t="str">
        <x:v>CA</x:v>
      </x:c>
      <x:c r="X1044" s="7" t="str"/>
      <x:c r="Y1044" s="7" t="str"/>
      <x:c r="Z1044" s="7" t="str"/>
      <x:c r="AA1044" s="7" t="str"/>
      <x:c r="AB1044" s="7" t="str"/>
      <x:c r="AC1044" s="7" t="str"/>
      <x:c r="AD1044" s="7" t="str">
        <x:v>No agency or insurer displayed: onboarding opportunity possible; existing business unknown</x:v>
      </x:c>
      <x:c r="AE1044" s="7" t="str">
        <x:v>No public business phone: contact enrichment needed, not proof of poor recruiting fit</x:v>
      </x:c>
      <x:c r="AF1044" s="16" t="str"/>
      <x:c r="AG1044" s="17" t="str"/>
      <x:c r="AH1044" s="7" t="str"/>
      <x:c r="AI1044" s="7" t="str"/>
      <x:c r="AJ1044" s="7" t="str"/>
      <x:c r="AK1044" s="15" t="str"/>
      <x:c r="AL1044" s="7" t="str"/>
      <x:c r="AM1044" s="7" t="str">
        <x:v>AGUILAR ANTONIO RICARDO</x:v>
      </x:c>
      <x:c r="AN1044" s="7" t="str">
        <x:v>https://cdicloud.insurance.ca.gov/cal/LicenseDetail?SearchType=IND&amp;SearchLicNbr=0H48890&amp;SearchIndvId=1462382</x:v>
      </x:c>
      <x:c r="AO1044" s="7" t="str">
        <x:v>2026-10-08</x:v>
      </x:c>
      <x:c r="AP1044" s="7" t="str">
        <x:v>b82cd6404b748a9d03bd0bdef9bcb844744a364f39f082ed7ff5f657b6a07562</x:v>
      </x:c>
      <x:c r="AQ1044" s="7" t="str">
        <x:v>Life-Only / Inactive / 07/14/2011 / 07/31/2013 / 07/31/2013</x:v>
      </x:c>
      <x:c r="AR1044" s="7" t="str">
        <x:v>Inactive</x:v>
      </x:c>
      <x:c r="AS1044" s="7" t="str">
        <x:v>Current detail page</x:v>
      </x:c>
    </x:row>
    <x:row r="1045" ht="52" customHeight="1">
      <x:c r="A1045" s="7" t="str">
        <x:v>AGUILAR RICARDO ERNESTO</x:v>
      </x:c>
      <x:c r="B1045" s="14" t="str">
        <x:f>"0L81005"</x:f>
        <x:v>0L81005</x:v>
      </x:c>
      <x:c r="C1045" s="7" t="str">
        <x:v>Omitted</x:v>
      </x:c>
      <x:c r="D1045" s="7" t="str">
        <x:v>FAIL</x:v>
      </x:c>
      <x:c r="E1045" s="13" t="str">
        <x:v>Pending</x:v>
      </x:c>
      <x:c r="F1045" s="13" t="str"/>
      <x:c r="G1045" s="13" t="str"/>
      <x:c r="H1045" s="13" t="str"/>
      <x:c r="I1045" s="7" t="str">
        <x:v>Was this person reviewed? If rejected, give the actual rule and evidence. If acceptable, correct the omission. Confirm the Life-qualification gate and any record change since selection.</x:v>
      </x:c>
      <x:c r="J1045" s="7" t="str">
        <x:v>L1</x:v>
      </x:c>
      <x:c r="K1045" s="7" t="str">
        <x:v>Verified qualifications do not include active general Life. Current target-pool mismatch; actual historical omission reason unknown.</x:v>
      </x:c>
      <x:c r="L1045" s="7" t="str">
        <x:v>Not supplied; membership is known, motive is not</x:v>
      </x:c>
      <x:c r="M1045" s="7" t="n">
        <x:v>7</x:v>
      </x:c>
      <x:c r="N1045" s="7" t="str">
        <x:v>Outside current general-Life recruiting pool</x:v>
      </x:c>
      <x:c r="O1045" s="7" t="str">
        <x:v>Not displayed</x:v>
      </x:c>
      <x:c r="P1045" s="7" t="str"/>
      <x:c r="Q1045" s="7" t="str"/>
      <x:c r="R1045" s="7" t="str"/>
      <x:c r="S1045" s="15" t="str"/>
      <x:c r="T1045" s="7" t="str">
        <x:v>No public business phone in collected record</x:v>
      </x:c>
      <x:c r="U1045" s="7" t="str"/>
      <x:c r="V1045" s="7" t="str">
        <x:v>Resident</x:v>
      </x:c>
      <x:c r="W1045" s="7" t="str">
        <x:v>CA</x:v>
      </x:c>
      <x:c r="X1045" s="7" t="str"/>
      <x:c r="Y1045" s="7" t="str"/>
      <x:c r="Z1045" s="7" t="str"/>
      <x:c r="AA1045" s="7" t="str"/>
      <x:c r="AB1045" s="7" t="str"/>
      <x:c r="AC1045" s="7" t="str"/>
      <x:c r="AD1045" s="7" t="str">
        <x:v>No agency or insurer displayed: onboarding opportunity possible; existing business unknown</x:v>
      </x:c>
      <x:c r="AE1045" s="7" t="str">
        <x:v>No public business phone: contact enrichment needed, not proof of poor recruiting fit</x:v>
      </x:c>
      <x:c r="AF1045" s="16" t="str"/>
      <x:c r="AG1045" s="17" t="str"/>
      <x:c r="AH1045" s="7" t="str"/>
      <x:c r="AI1045" s="7" t="str"/>
      <x:c r="AJ1045" s="7" t="str"/>
      <x:c r="AK1045" s="15" t="str"/>
      <x:c r="AL1045" s="7" t="str"/>
      <x:c r="AM1045" s="7" t="str">
        <x:v>Aguilar E Ricardo | AGUILAR ERNESTO RICARDO</x:v>
      </x:c>
      <x:c r="AN1045" s="7" t="str">
        <x:v>https://cdicloud.insurance.ca.gov/cal/LicenseDetail?SearchType=IND&amp;SearchLicNbr=0L81005&amp;SearchIndvId=1939019</x:v>
      </x:c>
      <x:c r="AO1045" s="7" t="str">
        <x:v>2026-10-08</x:v>
      </x:c>
      <x:c r="AP1045" s="7" t="str">
        <x:v>39ec57d7408377fc899fd7ece4cc7de92c9f15be524a429fff7c490723ee2246</x:v>
      </x:c>
      <x:c r="AQ1045" s="7" t="str">
        <x:v>Accident and Health / Inactive / 06/27/2017 / 06/30/2019 / 06/30/2019
Life-Only / Inactive / 06/27/2017 / 06/30/2019 / 06/30/2019</x:v>
      </x:c>
      <x:c r="AR1045" s="7" t="str">
        <x:v>Inactive</x:v>
      </x:c>
      <x:c r="AS1045" s="7" t="str">
        <x:v>Current detail page</x:v>
      </x:c>
    </x:row>
    <x:row r="1046" ht="52" customHeight="1">
      <x:c r="A1046" s="7" t="str">
        <x:v>AGUILAR RICARDO ESPINOZA</x:v>
      </x:c>
      <x:c r="B1046" s="14" t="str">
        <x:f>"1843446"</x:f>
        <x:v>1843446</x:v>
      </x:c>
      <x:c r="C1046" s="7" t="str">
        <x:v>Omitted</x:v>
      </x:c>
      <x:c r="D1046" s="7" t="str">
        <x:v>FAIL</x:v>
      </x:c>
      <x:c r="E1046" s="13" t="str">
        <x:v>Pending</x:v>
      </x:c>
      <x:c r="F1046" s="13" t="str"/>
      <x:c r="G1046" s="13" t="str"/>
      <x:c r="H1046" s="13" t="str"/>
      <x:c r="I1046" s="7" t="str">
        <x:v>Was this person reviewed? If rejected, give the actual rule and evidence. If acceptable, correct the omission. Confirm the Life-qualification gate and any record change since selection.</x:v>
      </x:c>
      <x:c r="J1046" s="7" t="str">
        <x:v>L1</x:v>
      </x:c>
      <x:c r="K1046" s="7" t="str">
        <x:v>Verified qualifications do not include active general Life. Current target-pool mismatch; actual historical omission reason unknown.</x:v>
      </x:c>
      <x:c r="L1046" s="7" t="str">
        <x:v>Not supplied; membership is known, motive is not</x:v>
      </x:c>
      <x:c r="M1046" s="7" t="n">
        <x:v>7</x:v>
      </x:c>
      <x:c r="N1046" s="7" t="str">
        <x:v>Outside current general-Life recruiting pool</x:v>
      </x:c>
      <x:c r="O1046" s="7" t="str">
        <x:v>Not displayed</x:v>
      </x:c>
      <x:c r="P1046" s="7" t="str"/>
      <x:c r="Q1046" s="7" t="str"/>
      <x:c r="R1046" s="7" t="str"/>
      <x:c r="S1046" s="15" t="str"/>
      <x:c r="T1046" s="7" t="str">
        <x:v>No public business phone in collected record</x:v>
      </x:c>
      <x:c r="U1046" s="7" t="str"/>
      <x:c r="V1046" s="7" t="str">
        <x:v>Resident</x:v>
      </x:c>
      <x:c r="W1046" s="7" t="str">
        <x:v>CA</x:v>
      </x:c>
      <x:c r="X1046" s="7" t="str"/>
      <x:c r="Y1046" s="7" t="str"/>
      <x:c r="Z1046" s="7" t="str"/>
      <x:c r="AA1046" s="7" t="str"/>
      <x:c r="AB1046" s="7" t="str"/>
      <x:c r="AC1046" s="7" t="str"/>
      <x:c r="AD1046" s="7" t="str">
        <x:v>No agency or insurer displayed: onboarding opportunity possible; existing business unknown</x:v>
      </x:c>
      <x:c r="AE1046" s="7" t="str">
        <x:v>No public business phone: contact enrichment needed, not proof of poor recruiting fit</x:v>
      </x:c>
      <x:c r="AF1046" s="16" t="str"/>
      <x:c r="AG1046" s="17" t="str"/>
      <x:c r="AH1046" s="7" t="str"/>
      <x:c r="AI1046" s="7" t="str"/>
      <x:c r="AJ1046" s="7" t="str"/>
      <x:c r="AK1046" s="15" t="str"/>
      <x:c r="AL1046" s="7" t="str"/>
      <x:c r="AM1046" s="7" t="str">
        <x:v>AGUILAR ESPINOZA RICARDO</x:v>
      </x:c>
      <x:c r="AN1046" s="7" t="str">
        <x:v>https://cdicloud.insurance.ca.gov/cal/LicenseDetail?SearchType=IND&amp;SearchLicNbr=1843446&amp;SearchIndvId=896809</x:v>
      </x:c>
      <x:c r="AO1046" s="7" t="str">
        <x:v>2026-10-08</x:v>
      </x:c>
      <x:c r="AP1046" s="7" t="str">
        <x:v>aa9985b154698031cf3f1ebd7368f06f29b39b31e498be587dbb4038b7d8b267</x:v>
      </x:c>
      <x:c r="AQ1046" s="7" t="str">
        <x:v>Bail Agent / Inactive / 05/10/2004 / 06/30/2005 / 06/30/2005</x:v>
      </x:c>
      <x:c r="AR1046" s="7" t="str">
        <x:v>Inactive</x:v>
      </x:c>
      <x:c r="AS1046" s="7" t="str">
        <x:v>Current detail page</x:v>
      </x:c>
    </x:row>
    <x:row r="1047" ht="52" customHeight="1">
      <x:c r="A1047" s="7" t="str">
        <x:v>AGUILAR RICHARD EDWARD</x:v>
      </x:c>
      <x:c r="B1047" s="14" t="str">
        <x:f>"0D63662"</x:f>
        <x:v>0D63662</x:v>
      </x:c>
      <x:c r="C1047" s="7" t="str">
        <x:v>Omitted</x:v>
      </x:c>
      <x:c r="D1047" s="7" t="str">
        <x:v>FAIL</x:v>
      </x:c>
      <x:c r="E1047" s="13" t="str">
        <x:v>Pending</x:v>
      </x:c>
      <x:c r="F1047" s="13" t="str"/>
      <x:c r="G1047" s="13" t="str"/>
      <x:c r="H1047" s="13" t="str"/>
      <x:c r="I1047" s="7" t="str">
        <x:v>Was this person reviewed? If rejected, give the actual rule and evidence. If acceptable, correct the omission. Confirm the Life-qualification gate and any record change since selection.</x:v>
      </x:c>
      <x:c r="J1047" s="7" t="str">
        <x:v>L1</x:v>
      </x:c>
      <x:c r="K1047" s="7" t="str">
        <x:v>Verified qualifications do not include active general Life. Current target-pool mismatch; actual historical omission reason unknown.</x:v>
      </x:c>
      <x:c r="L1047" s="7" t="str">
        <x:v>Not supplied; membership is known, motive is not</x:v>
      </x:c>
      <x:c r="M1047" s="7" t="n">
        <x:v>7</x:v>
      </x:c>
      <x:c r="N1047" s="7" t="str">
        <x:v>Outside current general-Life recruiting pool</x:v>
      </x:c>
      <x:c r="O1047" s="7" t="str">
        <x:v>Not displayed</x:v>
      </x:c>
      <x:c r="P1047" s="7" t="str"/>
      <x:c r="Q1047" s="7" t="str"/>
      <x:c r="R1047" s="7" t="str"/>
      <x:c r="S1047" s="15" t="str"/>
      <x:c r="T1047" s="7" t="str">
        <x:v>No public business phone in collected record</x:v>
      </x:c>
      <x:c r="U1047" s="7" t="str"/>
      <x:c r="V1047" s="7" t="str">
        <x:v>Resident</x:v>
      </x:c>
      <x:c r="W1047" s="7" t="str">
        <x:v>CA</x:v>
      </x:c>
      <x:c r="X1047" s="7" t="str"/>
      <x:c r="Y1047" s="7" t="str"/>
      <x:c r="Z1047" s="7" t="str"/>
      <x:c r="AA1047" s="7" t="str"/>
      <x:c r="AB1047" s="7" t="str"/>
      <x:c r="AC1047" s="7" t="str"/>
      <x:c r="AD1047" s="7" t="str">
        <x:v>No agency or insurer displayed: onboarding opportunity possible; existing business unknown</x:v>
      </x:c>
      <x:c r="AE1047" s="7" t="str">
        <x:v>No public business phone: contact enrichment needed, not proof of poor recruiting fit</x:v>
      </x:c>
      <x:c r="AF1047" s="16" t="str"/>
      <x:c r="AG1047" s="17" t="str"/>
      <x:c r="AH1047" s="7" t="str"/>
      <x:c r="AI1047" s="7" t="str"/>
      <x:c r="AJ1047" s="7" t="str"/>
      <x:c r="AK1047" s="15" t="str"/>
      <x:c r="AL1047" s="7" t="str"/>
      <x:c r="AM1047" s="7" t="str">
        <x:v>AGUILAR EDWARD RICHARD</x:v>
      </x:c>
      <x:c r="AN1047" s="7" t="str">
        <x:v>https://cdicloud.insurance.ca.gov/cal/LicenseDetail?SearchType=IND&amp;SearchLicNbr=0D63662&amp;SearchIndvId=682628</x:v>
      </x:c>
      <x:c r="AO1047" s="7" t="str">
        <x:v>2026-10-08</x:v>
      </x:c>
      <x:c r="AP1047" s="7" t="str">
        <x:v>69e1a325e3cc4b6ee25c64c2c2811bfe4a8f130d2a1e3561f916ca6a18669bfd</x:v>
      </x:c>
      <x:c r="AQ1047" s="7" t="str">
        <x:v>Accident and Health / Inactive / 04/18/2002 / 04/30/2006 / 04/30/2006
Life-Only / Inactive / 04/18/2002 / 04/30/2006 / 04/30/2006</x:v>
      </x:c>
      <x:c r="AR1047" s="7" t="str">
        <x:v>Inactive</x:v>
      </x:c>
      <x:c r="AS1047" s="7" t="str">
        <x:v>Current detail page</x:v>
      </x:c>
    </x:row>
    <x:row r="1048" ht="52" customHeight="1">
      <x:c r="A1048" s="7" t="str">
        <x:v>AGUILAR RICHARD MORTY</x:v>
      </x:c>
      <x:c r="B1048" s="14" t="str">
        <x:f>"0C43550"</x:f>
        <x:v>0C43550</x:v>
      </x:c>
      <x:c r="C1048" s="7" t="str">
        <x:v>Omitted</x:v>
      </x:c>
      <x:c r="D1048" s="7" t="str">
        <x:v>FAIL</x:v>
      </x:c>
      <x:c r="E1048" s="13" t="str">
        <x:v>Pending</x:v>
      </x:c>
      <x:c r="F1048" s="13" t="str"/>
      <x:c r="G1048" s="13" t="str"/>
      <x:c r="H1048" s="13" t="str"/>
      <x:c r="I1048" s="7" t="str">
        <x:v>Was this person reviewed? If rejected, give the actual rule and evidence. If acceptable, correct the omission. Confirm the Life-qualification gate and any record change since selection.</x:v>
      </x:c>
      <x:c r="J1048" s="7" t="str">
        <x:v>L1</x:v>
      </x:c>
      <x:c r="K1048" s="7" t="str">
        <x:v>Verified qualifications do not include active general Life. Current target-pool mismatch; actual historical omission reason unknown.</x:v>
      </x:c>
      <x:c r="L1048" s="7" t="str">
        <x:v>Not supplied; membership is known, motive is not</x:v>
      </x:c>
      <x:c r="M1048" s="7" t="n">
        <x:v>7</x:v>
      </x:c>
      <x:c r="N1048" s="7" t="str">
        <x:v>Outside current general-Life recruiting pool</x:v>
      </x:c>
      <x:c r="O1048" s="7" t="str">
        <x:v>Not displayed</x:v>
      </x:c>
      <x:c r="P1048" s="7" t="str"/>
      <x:c r="Q1048" s="7" t="str"/>
      <x:c r="R1048" s="7" t="str"/>
      <x:c r="S1048" s="15" t="str"/>
      <x:c r="T1048" s="7" t="str">
        <x:v>No public business phone in collected record</x:v>
      </x:c>
      <x:c r="U1048" s="7" t="str"/>
      <x:c r="V1048" s="7" t="str">
        <x:v>Resident</x:v>
      </x:c>
      <x:c r="W1048" s="7" t="str">
        <x:v>CA</x:v>
      </x:c>
      <x:c r="X1048" s="7" t="str"/>
      <x:c r="Y1048" s="7" t="str"/>
      <x:c r="Z1048" s="7" t="str"/>
      <x:c r="AA1048" s="7" t="str"/>
      <x:c r="AB1048" s="7" t="str"/>
      <x:c r="AC1048" s="7" t="str"/>
      <x:c r="AD1048" s="7" t="str">
        <x:v>No agency or insurer displayed: onboarding opportunity possible; existing business unknown</x:v>
      </x:c>
      <x:c r="AE1048" s="7" t="str">
        <x:v>No public business phone: contact enrichment needed, not proof of poor recruiting fit</x:v>
      </x:c>
      <x:c r="AF1048" s="16" t="str"/>
      <x:c r="AG1048" s="17" t="str"/>
      <x:c r="AH1048" s="7" t="str"/>
      <x:c r="AI1048" s="7" t="str"/>
      <x:c r="AJ1048" s="7" t="str"/>
      <x:c r="AK1048" s="15" t="str"/>
      <x:c r="AL1048" s="7" t="str"/>
      <x:c r="AM1048" s="7" t="str">
        <x:v>AGUILAR MORTY RICHARD</x:v>
      </x:c>
      <x:c r="AN1048" s="7" t="str">
        <x:v>https://cdicloud.insurance.ca.gov/cal/LicenseDetail?SearchType=IND&amp;SearchLicNbr=0C43550&amp;SearchIndvId=317949</x:v>
      </x:c>
      <x:c r="AO1048" s="7" t="str">
        <x:v>2026-10-08</x:v>
      </x:c>
      <x:c r="AP1048" s="7" t="str">
        <x:v>18b23643369ecacecfc4222bb400e9ae5ba860fe89ed59c7ac27a30a4c40f5b4</x:v>
      </x:c>
      <x:c r="AQ1048" s="7" t="str">
        <x:v>Accident and Health / Inactive / 09/25/1998 / 09/30/2000 / 09/30/2000
Life-Only / Inactive / 09/25/1998 / 09/30/2000 / 09/30/2000</x:v>
      </x:c>
      <x:c r="AR1048" s="7" t="str">
        <x:v>Inactive</x:v>
      </x:c>
      <x:c r="AS1048" s="7" t="str">
        <x:v>Current detail page</x:v>
      </x:c>
    </x:row>
    <x:row r="1049" ht="52" customHeight="1">
      <x:c r="A1049" s="7" t="str">
        <x:v>AGUILAR RIGOR ALANO</x:v>
      </x:c>
      <x:c r="B1049" s="14" t="str">
        <x:f>"0J18666"</x:f>
        <x:v>0J18666</x:v>
      </x:c>
      <x:c r="C1049" s="7" t="str">
        <x:v>Omitted</x:v>
      </x:c>
      <x:c r="D1049" s="7" t="str">
        <x:v>FAIL</x:v>
      </x:c>
      <x:c r="E1049" s="13" t="str">
        <x:v>Pending</x:v>
      </x:c>
      <x:c r="F1049" s="13" t="str"/>
      <x:c r="G1049" s="13" t="str"/>
      <x:c r="H1049" s="13" t="str"/>
      <x:c r="I1049" s="7" t="str">
        <x:v>Was this person reviewed? If rejected, give the actual rule and evidence. If acceptable, correct the omission. Confirm the Life-qualification gate and any record change since selection.</x:v>
      </x:c>
      <x:c r="J1049" s="7" t="str">
        <x:v>L1</x:v>
      </x:c>
      <x:c r="K1049" s="7" t="str">
        <x:v>Verified qualifications do not include active general Life. Current target-pool mismatch; actual historical omission reason unknown.</x:v>
      </x:c>
      <x:c r="L1049" s="7" t="str">
        <x:v>Not supplied; membership is known, motive is not</x:v>
      </x:c>
      <x:c r="M1049" s="7" t="n">
        <x:v>7</x:v>
      </x:c>
      <x:c r="N1049" s="7" t="str">
        <x:v>Outside current general-Life recruiting pool</x:v>
      </x:c>
      <x:c r="O1049" s="7" t="str">
        <x:v>Not displayed</x:v>
      </x:c>
      <x:c r="P1049" s="7" t="str"/>
      <x:c r="Q1049" s="7" t="str"/>
      <x:c r="R1049" s="7" t="str"/>
      <x:c r="S1049" s="15" t="str"/>
      <x:c r="T1049" s="7" t="str">
        <x:v>No public business phone in collected record</x:v>
      </x:c>
      <x:c r="U1049" s="7" t="str"/>
      <x:c r="V1049" s="7" t="str">
        <x:v>Resident</x:v>
      </x:c>
      <x:c r="W1049" s="7" t="str">
        <x:v>CA</x:v>
      </x:c>
      <x:c r="X1049" s="7" t="str"/>
      <x:c r="Y1049" s="7" t="str"/>
      <x:c r="Z1049" s="7" t="str"/>
      <x:c r="AA1049" s="7" t="str"/>
      <x:c r="AB1049" s="7" t="str"/>
      <x:c r="AC1049" s="7" t="str"/>
      <x:c r="AD1049" s="7" t="str">
        <x:v>No agency or insurer displayed: onboarding opportunity possible; existing business unknown</x:v>
      </x:c>
      <x:c r="AE1049" s="7" t="str">
        <x:v>No public business phone: contact enrichment needed, not proof of poor recruiting fit</x:v>
      </x:c>
      <x:c r="AF1049" s="16" t="str"/>
      <x:c r="AG1049" s="17" t="str"/>
      <x:c r="AH1049" s="7" t="str"/>
      <x:c r="AI1049" s="7" t="str"/>
      <x:c r="AJ1049" s="7" t="str"/>
      <x:c r="AK1049" s="15" t="str"/>
      <x:c r="AL1049" s="7" t="str"/>
      <x:c r="AM1049" s="7" t="str">
        <x:v>Aguilar A Rigor | AGUILAR ALANO RIGOR</x:v>
      </x:c>
      <x:c r="AN1049" s="7" t="str">
        <x:v>https://cdicloud.insurance.ca.gov/cal/LicenseDetail?SearchType=IND&amp;SearchLicNbr=0J18666&amp;SearchIndvId=1706203</x:v>
      </x:c>
      <x:c r="AO1049" s="7" t="str">
        <x:v>2026-10-08</x:v>
      </x:c>
      <x:c r="AP1049" s="7" t="str">
        <x:v>c9445fa234716cf59f8f834a17f4b17ae5e3767323d45e7e045209b946e4f561</x:v>
      </x:c>
      <x:c r="AQ1049" s="7" t="str">
        <x:v>Life-Only / Inactive / 11/12/2014 / 11/30/2016 / 11/30/2016</x:v>
      </x:c>
      <x:c r="AR1049" s="7" t="str">
        <x:v>Inactive</x:v>
      </x:c>
      <x:c r="AS1049" s="7" t="str">
        <x:v>Current detail page</x:v>
      </x:c>
    </x:row>
    <x:row r="1050" ht="52" customHeight="1">
      <x:c r="A1050" s="7" t="str">
        <x:v>AGUILAR RIVERA SERGIO BARUC</x:v>
      </x:c>
      <x:c r="B1050" s="14" t="str">
        <x:f>"4162648"</x:f>
        <x:v>4162648</x:v>
      </x:c>
      <x:c r="C1050" s="7" t="str">
        <x:v>Omitted</x:v>
      </x:c>
      <x:c r="D1050" s="7" t="str">
        <x:v>FAIL</x:v>
      </x:c>
      <x:c r="E1050" s="13" t="str">
        <x:v>Pending</x:v>
      </x:c>
      <x:c r="F1050" s="13" t="str"/>
      <x:c r="G1050" s="13" t="str"/>
      <x:c r="H1050" s="13" t="str"/>
      <x:c r="I1050" s="7" t="str">
        <x:v>Was this person reviewed? If rejected, give the actual rule and evidence. If acceptable, correct the omission. Confirm the Life-qualification gate and any record change since selection.</x:v>
      </x:c>
      <x:c r="J1050" s="7" t="str">
        <x:v>L1</x:v>
      </x:c>
      <x:c r="K1050" s="7" t="str">
        <x:v>Verified qualifications do not include active general Life. Current target-pool mismatch; actual historical omission reason unknown.</x:v>
      </x:c>
      <x:c r="L1050" s="7" t="str">
        <x:v>Not supplied; membership is known, motive is not</x:v>
      </x:c>
      <x:c r="M1050" s="7" t="n">
        <x:v>7</x:v>
      </x:c>
      <x:c r="N1050" s="7" t="str">
        <x:v>Outside current general-Life recruiting pool</x:v>
      </x:c>
      <x:c r="O1050" s="7" t="str">
        <x:v>Inactive</x:v>
      </x:c>
      <x:c r="P1050" s="7" t="str">
        <x:v>10/13/2021</x:v>
      </x:c>
      <x:c r="Q1050" s="7" t="str">
        <x:v>10/31/2025</x:v>
      </x:c>
      <x:c r="R1050" s="7" t="str"/>
      <x:c r="S1050" s="15" t="str">
        <x:v>707-227-0830</x:v>
      </x:c>
      <x:c r="T1050" s="7" t="str">
        <x:v>Current CDI</x:v>
      </x:c>
      <x:c r="U1050" s="7" t="str">
        <x:v>2140 JEFFERSON ST NAPA CA, 94559</x:v>
      </x:c>
      <x:c r="V1050" s="7" t="str">
        <x:v>Resident</x:v>
      </x:c>
      <x:c r="W1050" s="7" t="str">
        <x:v>CA</x:v>
      </x:c>
      <x:c r="X1050" s="7" t="str"/>
      <x:c r="Y1050" s="7" t="str"/>
      <x:c r="Z1050" s="7" t="str"/>
      <x:c r="AA1050" s="7" t="str"/>
      <x:c r="AB1050" s="7" t="str"/>
      <x:c r="AC1050" s="7" t="str"/>
      <x:c r="AD1050" s="7" t="str">
        <x:v>No agency or insurer displayed: onboarding opportunity possible; existing business unknown</x:v>
      </x:c>
      <x:c r="AE1050" s="7" t="str"/>
      <x:c r="AF1050" s="16" t="str"/>
      <x:c r="AG1050" s="17" t="str"/>
      <x:c r="AH1050" s="7" t="str"/>
      <x:c r="AI1050" s="7" t="str">
        <x:v>English</x:v>
      </x:c>
      <x:c r="AJ1050" s="7" t="str"/>
      <x:c r="AK1050" s="15" t="str"/>
      <x:c r="AL1050" s="7" t="str"/>
      <x:c r="AM1050" s="7" t="str">
        <x:v>AGUILAR RIVERA BARUC SERGIO</x:v>
      </x:c>
      <x:c r="AN1050" s="7" t="str">
        <x:v>https://cdicloud.insurance.ca.gov/cal/LicenseDetail?SearchType=IND&amp;SearchLicNbr=4162648&amp;SearchIndvId=4162648</x:v>
      </x:c>
      <x:c r="AO1050" s="7" t="str">
        <x:v>2026-10-08</x:v>
      </x:c>
      <x:c r="AP1050" s="7" t="str">
        <x:v>19df76fa64df18ca8fc2de046374811ae60f550e4330d38a8279619685ce7ccc</x:v>
      </x:c>
      <x:c r="AQ1050" s="7" t="str">
        <x:v>Accident &amp; Health or Sickness / Inactive / 10/13/2021 / 10/31/2025 / 10/31/2025
Life / Inactive / 10/13/2021 / 10/31/2025 / 10/31/2025</x:v>
      </x:c>
      <x:c r="AR1050" s="7" t="str">
        <x:v>Inactive</x:v>
      </x:c>
      <x:c r="AS1050" s="7" t="str">
        <x:v>Current detail page</x:v>
      </x:c>
    </x:row>
    <x:row r="1051" ht="52" customHeight="1">
      <x:c r="A1051" s="7" t="str">
        <x:v>AGUILAR RIZPHA</x:v>
      </x:c>
      <x:c r="B1051" s="14" t="str">
        <x:f>"0I84044"</x:f>
        <x:v>0I84044</x:v>
      </x:c>
      <x:c r="C1051" s="7" t="str">
        <x:v>Omitted</x:v>
      </x:c>
      <x:c r="D1051" s="7" t="str">
        <x:v>FAIL</x:v>
      </x:c>
      <x:c r="E1051" s="13" t="str">
        <x:v>Pending</x:v>
      </x:c>
      <x:c r="F1051" s="13" t="str"/>
      <x:c r="G1051" s="13" t="str"/>
      <x:c r="H1051" s="13" t="str"/>
      <x:c r="I1051" s="7" t="str">
        <x:v>Was this person reviewed? If rejected, give the actual rule and evidence. If acceptable, correct the omission. Confirm the Life-qualification gate and any record change since selection.</x:v>
      </x:c>
      <x:c r="J1051" s="7" t="str">
        <x:v>L1</x:v>
      </x:c>
      <x:c r="K1051" s="7" t="str">
        <x:v>Verified qualifications do not include active general Life. Current target-pool mismatch; actual historical omission reason unknown.</x:v>
      </x:c>
      <x:c r="L1051" s="7" t="str">
        <x:v>Not supplied; membership is known, motive is not</x:v>
      </x:c>
      <x:c r="M1051" s="7" t="n">
        <x:v>7</x:v>
      </x:c>
      <x:c r="N1051" s="7" t="str">
        <x:v>Outside current general-Life recruiting pool</x:v>
      </x:c>
      <x:c r="O1051" s="7" t="str">
        <x:v>Not displayed</x:v>
      </x:c>
      <x:c r="P1051" s="7" t="str"/>
      <x:c r="Q1051" s="7" t="str"/>
      <x:c r="R1051" s="7" t="str"/>
      <x:c r="S1051" s="15" t="str"/>
      <x:c r="T1051" s="7" t="str">
        <x:v>No public business phone in collected record</x:v>
      </x:c>
      <x:c r="U1051" s="7" t="str"/>
      <x:c r="V1051" s="7" t="str">
        <x:v>Resident</x:v>
      </x:c>
      <x:c r="W1051" s="7" t="str">
        <x:v>CA</x:v>
      </x:c>
      <x:c r="X1051" s="7" t="str"/>
      <x:c r="Y1051" s="7" t="str"/>
      <x:c r="Z1051" s="7" t="str"/>
      <x:c r="AA1051" s="7" t="str"/>
      <x:c r="AB1051" s="7" t="str"/>
      <x:c r="AC1051" s="7" t="str"/>
      <x:c r="AD1051" s="7" t="str">
        <x:v>No agency or insurer displayed: onboarding opportunity possible; existing business unknown</x:v>
      </x:c>
      <x:c r="AE1051" s="7" t="str">
        <x:v>No public business phone: contact enrichment needed, not proof of poor recruiting fit</x:v>
      </x:c>
      <x:c r="AF1051" s="16" t="str"/>
      <x:c r="AG1051" s="17" t="str"/>
      <x:c r="AH1051" s="7" t="str"/>
      <x:c r="AI1051" s="7" t="str"/>
      <x:c r="AJ1051" s="7" t="str"/>
      <x:c r="AK1051" s="15" t="str"/>
      <x:c r="AL1051" s="7" t="str"/>
      <x:c r="AM1051" s="7" t="str">
        <x:v>AGUILAR  RIZPHA</x:v>
      </x:c>
      <x:c r="AN1051" s="7" t="str">
        <x:v>https://cdicloud.insurance.ca.gov/cal/LicenseDetail?SearchType=IND&amp;SearchLicNbr=0I84044&amp;SearchIndvId=1644798</x:v>
      </x:c>
      <x:c r="AO1051" s="7" t="str">
        <x:v>2026-10-08</x:v>
      </x:c>
      <x:c r="AP1051" s="7" t="str">
        <x:v>7535b522b1d30c418fae9112937e2677b25ae2a32419766c72114cb2dd4e2610</x:v>
      </x:c>
      <x:c r="AQ1051" s="7" t="str">
        <x:v>Accident and Health / Inactive / 04/07/2014 / 04/30/2018 / 04/30/2018
Life-Only / Inactive / 04/07/2014 / 04/30/2018 / 04/30/2018</x:v>
      </x:c>
      <x:c r="AR1051" s="7" t="str">
        <x:v>Inactive</x:v>
      </x:c>
      <x:c r="AS1051" s="7" t="str">
        <x:v>Current detail page</x:v>
      </x:c>
    </x:row>
    <x:row r="1052" ht="52" customHeight="1">
      <x:c r="A1052" s="7" t="str">
        <x:v>AGUILAR ROBERT CHARLES</x:v>
      </x:c>
      <x:c r="B1052" s="14" t="str">
        <x:f>"0E65858"</x:f>
        <x:v>0E65858</x:v>
      </x:c>
      <x:c r="C1052" s="7" t="str">
        <x:v>Omitted</x:v>
      </x:c>
      <x:c r="D1052" s="7" t="str">
        <x:v>FAIL</x:v>
      </x:c>
      <x:c r="E1052" s="13" t="str">
        <x:v>Pending</x:v>
      </x:c>
      <x:c r="F1052" s="13" t="str"/>
      <x:c r="G1052" s="13" t="str"/>
      <x:c r="H1052" s="13" t="str"/>
      <x:c r="I1052" s="7" t="str">
        <x:v>Was this person reviewed? If rejected, give the actual rule and evidence. If acceptable, correct the omission. Confirm the Life-qualification gate and any record change since selection.</x:v>
      </x:c>
      <x:c r="J1052" s="7" t="str">
        <x:v>L1</x:v>
      </x:c>
      <x:c r="K1052" s="7" t="str">
        <x:v>Verified qualifications do not include active general Life. Current target-pool mismatch; actual historical omission reason unknown.</x:v>
      </x:c>
      <x:c r="L1052" s="7" t="str">
        <x:v>Not supplied; membership is known, motive is not</x:v>
      </x:c>
      <x:c r="M1052" s="7" t="n">
        <x:v>7</x:v>
      </x:c>
      <x:c r="N1052" s="7" t="str">
        <x:v>Outside current general-Life recruiting pool</x:v>
      </x:c>
      <x:c r="O1052" s="7" t="str">
        <x:v>Not displayed</x:v>
      </x:c>
      <x:c r="P1052" s="7" t="str"/>
      <x:c r="Q1052" s="7" t="str"/>
      <x:c r="R1052" s="7" t="str"/>
      <x:c r="S1052" s="15" t="str"/>
      <x:c r="T1052" s="7" t="str">
        <x:v>No public business phone in collected record</x:v>
      </x:c>
      <x:c r="U1052" s="7" t="str"/>
      <x:c r="V1052" s="7" t="str">
        <x:v>Resident</x:v>
      </x:c>
      <x:c r="W1052" s="7" t="str">
        <x:v>CA</x:v>
      </x:c>
      <x:c r="X1052" s="7" t="str"/>
      <x:c r="Y1052" s="7" t="str"/>
      <x:c r="Z1052" s="7" t="str"/>
      <x:c r="AA1052" s="7" t="str"/>
      <x:c r="AB1052" s="7" t="str"/>
      <x:c r="AC1052" s="7" t="str"/>
      <x:c r="AD1052" s="7" t="str">
        <x:v>No agency or insurer displayed: onboarding opportunity possible; existing business unknown</x:v>
      </x:c>
      <x:c r="AE1052" s="7" t="str">
        <x:v>No public business phone: contact enrichment needed, not proof of poor recruiting fit</x:v>
      </x:c>
      <x:c r="AF1052" s="16" t="str"/>
      <x:c r="AG1052" s="17" t="str"/>
      <x:c r="AH1052" s="7" t="str"/>
      <x:c r="AI1052" s="7" t="str"/>
      <x:c r="AJ1052" s="7" t="str"/>
      <x:c r="AK1052" s="15" t="str"/>
      <x:c r="AL1052" s="7" t="str"/>
      <x:c r="AM1052" s="7" t="str">
        <x:v>AGUILAR CHARLES ROBERT</x:v>
      </x:c>
      <x:c r="AN1052" s="7" t="str">
        <x:v>https://cdicloud.insurance.ca.gov/cal/LicenseDetail?SearchType=IND&amp;SearchLicNbr=0E65858&amp;SearchIndvId=930148</x:v>
      </x:c>
      <x:c r="AO1052" s="7" t="str">
        <x:v>2026-10-08</x:v>
      </x:c>
      <x:c r="AP1052" s="7" t="str">
        <x:v>6c36d8fae12362b591219b5a7f993d322bc3ef6172e9ea5702525e514e4a72b9</x:v>
      </x:c>
      <x:c r="AQ1052" s="7" t="str">
        <x:v>Accident and Health / Inactive / 12/16/2004 / 12/31/2006 / 12/31/2006
Life-Only / Inactive / 12/16/2004 / 12/31/2006 / 12/31/2006</x:v>
      </x:c>
      <x:c r="AR1052" s="7" t="str">
        <x:v>Inactive</x:v>
      </x:c>
      <x:c r="AS1052" s="7" t="str">
        <x:v>Current detail page</x:v>
      </x:c>
    </x:row>
    <x:row r="1053" ht="52" customHeight="1">
      <x:c r="A1053" s="7" t="str">
        <x:v>AGUILAR ROBERT DAVID</x:v>
      </x:c>
      <x:c r="B1053" s="14" t="str">
        <x:f>"0A31042"</x:f>
        <x:v>0A31042</x:v>
      </x:c>
      <x:c r="C1053" s="7" t="str">
        <x:v>Omitted</x:v>
      </x:c>
      <x:c r="D1053" s="7" t="str">
        <x:v>FAIL</x:v>
      </x:c>
      <x:c r="E1053" s="13" t="str">
        <x:v>Pending</x:v>
      </x:c>
      <x:c r="F1053" s="13" t="str"/>
      <x:c r="G1053" s="13" t="str"/>
      <x:c r="H1053" s="13" t="str"/>
      <x:c r="I1053" s="7" t="str">
        <x:v>Was this person reviewed? If rejected, give the actual rule and evidence. If acceptable, correct the omission. Confirm the Life-qualification gate and any record change since selection.</x:v>
      </x:c>
      <x:c r="J1053" s="7" t="str">
        <x:v>L1</x:v>
      </x:c>
      <x:c r="K1053" s="7" t="str">
        <x:v>Verified qualifications do not include active general Life. Current target-pool mismatch; actual historical omission reason unknown.</x:v>
      </x:c>
      <x:c r="L1053" s="7" t="str">
        <x:v>Not supplied; membership is known, motive is not</x:v>
      </x:c>
      <x:c r="M1053" s="7" t="n">
        <x:v>7</x:v>
      </x:c>
      <x:c r="N1053" s="7" t="str">
        <x:v>Outside current general-Life recruiting pool</x:v>
      </x:c>
      <x:c r="O1053" s="7" t="str">
        <x:v>Not displayed</x:v>
      </x:c>
      <x:c r="P1053" s="7" t="str"/>
      <x:c r="Q1053" s="7" t="str"/>
      <x:c r="R1053" s="7" t="str"/>
      <x:c r="S1053" s="15" t="str"/>
      <x:c r="T1053" s="7" t="str">
        <x:v>No public business phone in collected record</x:v>
      </x:c>
      <x:c r="U1053" s="7" t="str"/>
      <x:c r="V1053" s="7" t="str">
        <x:v>Resident</x:v>
      </x:c>
      <x:c r="W1053" s="7" t="str">
        <x:v>CA</x:v>
      </x:c>
      <x:c r="X1053" s="7" t="str"/>
      <x:c r="Y1053" s="7" t="str"/>
      <x:c r="Z1053" s="7" t="str"/>
      <x:c r="AA1053" s="7" t="str"/>
      <x:c r="AB1053" s="7" t="str"/>
      <x:c r="AC1053" s="7" t="str"/>
      <x:c r="AD1053" s="7" t="str">
        <x:v>No agency or insurer displayed: onboarding opportunity possible; existing business unknown</x:v>
      </x:c>
      <x:c r="AE1053" s="7" t="str">
        <x:v>No public business phone: contact enrichment needed, not proof of poor recruiting fit</x:v>
      </x:c>
      <x:c r="AF1053" s="16" t="str"/>
      <x:c r="AG1053" s="17" t="str"/>
      <x:c r="AH1053" s="7" t="str"/>
      <x:c r="AI1053" s="7" t="str"/>
      <x:c r="AJ1053" s="7" t="str"/>
      <x:c r="AK1053" s="15" t="str"/>
      <x:c r="AL1053" s="7" t="str"/>
      <x:c r="AM1053" s="7" t="str">
        <x:v>AGUILAR DAVID ROBERT</x:v>
      </x:c>
      <x:c r="AN1053" s="7" t="str">
        <x:v>https://cdicloud.insurance.ca.gov/cal/LicenseDetail?SearchType=IND&amp;SearchLicNbr=0A31042&amp;SearchIndvId=154714</x:v>
      </x:c>
      <x:c r="AO1053" s="7" t="str">
        <x:v>2026-10-08</x:v>
      </x:c>
      <x:c r="AP1053" s="7" t="str">
        <x:v>2c4cc4b0270f720b6c78df98a8949e52cb831a490ce8be009f7b5319c0dad094</x:v>
      </x:c>
      <x:c r="AQ1053" s="7" t="str">
        <x:v>Accident and Health / Inactive / 03/08/1990 / 04/30/1995 / 04/30/1995
Life-Only / Inactive / 03/08/1990 / 04/30/1995 / 04/30/1995</x:v>
      </x:c>
      <x:c r="AR1053" s="7" t="str">
        <x:v>Inactive</x:v>
      </x:c>
      <x:c r="AS1053" s="7" t="str">
        <x:v>Current detail page</x:v>
      </x:c>
    </x:row>
    <x:row r="1054" ht="52" customHeight="1">
      <x:c r="A1054" s="7" t="str">
        <x:v>AGUILAR ROBERT ROY</x:v>
      </x:c>
      <x:c r="B1054" s="14" t="str">
        <x:f>"0746212"</x:f>
        <x:v>0746212</x:v>
      </x:c>
      <x:c r="C1054" s="7" t="str">
        <x:v>Omitted</x:v>
      </x:c>
      <x:c r="D1054" s="7" t="str">
        <x:v>FAIL</x:v>
      </x:c>
      <x:c r="E1054" s="13" t="str">
        <x:v>Pending</x:v>
      </x:c>
      <x:c r="F1054" s="13" t="str"/>
      <x:c r="G1054" s="13" t="str"/>
      <x:c r="H1054" s="13" t="str"/>
      <x:c r="I1054" s="7" t="str">
        <x:v>Was this person reviewed? If rejected, give the actual rule and evidence. If acceptable, correct the omission. Confirm the Life-qualification gate and any record change since selection.</x:v>
      </x:c>
      <x:c r="J1054" s="7" t="str">
        <x:v>L1</x:v>
      </x:c>
      <x:c r="K1054" s="7" t="str">
        <x:v>Verified qualifications do not include active general Life. Current target-pool mismatch; actual historical omission reason unknown.</x:v>
      </x:c>
      <x:c r="L1054" s="7" t="str">
        <x:v>Not supplied; membership is known, motive is not</x:v>
      </x:c>
      <x:c r="M1054" s="7" t="n">
        <x:v>7</x:v>
      </x:c>
      <x:c r="N1054" s="7" t="str">
        <x:v>Outside current general-Life recruiting pool</x:v>
      </x:c>
      <x:c r="O1054" s="7" t="str">
        <x:v>Not displayed</x:v>
      </x:c>
      <x:c r="P1054" s="7" t="str"/>
      <x:c r="Q1054" s="7" t="str"/>
      <x:c r="R1054" s="7" t="str"/>
      <x:c r="S1054" s="15" t="str"/>
      <x:c r="T1054" s="7" t="str">
        <x:v>No public business phone in collected record</x:v>
      </x:c>
      <x:c r="U1054" s="7" t="str"/>
      <x:c r="V1054" s="7" t="str">
        <x:v>Non-resident</x:v>
      </x:c>
      <x:c r="W1054" s="7" t="str">
        <x:v>NV</x:v>
      </x:c>
      <x:c r="X1054" s="7" t="str"/>
      <x:c r="Y1054" s="7" t="str"/>
      <x:c r="Z1054" s="7" t="str"/>
      <x:c r="AA1054" s="7" t="str"/>
      <x:c r="AB1054" s="7" t="str"/>
      <x:c r="AC1054" s="7" t="str"/>
      <x:c r="AD1054" s="7" t="str">
        <x:v>No agency or insurer displayed: onboarding opportunity possible; existing business unknown</x:v>
      </x:c>
      <x:c r="AE1054" s="7" t="str">
        <x:v>Nonresident or address state outside CA; confirm geographic recruiting scope | No public business phone: contact enrichment needed, not proof of poor recruiting fit</x:v>
      </x:c>
      <x:c r="AF1054" s="16" t="str"/>
      <x:c r="AG1054" s="17" t="str"/>
      <x:c r="AH1054" s="7" t="str"/>
      <x:c r="AI1054" s="7" t="str"/>
      <x:c r="AJ1054" s="7" t="str"/>
      <x:c r="AK1054" s="15" t="str"/>
      <x:c r="AL1054" s="7" t="str"/>
      <x:c r="AM1054" s="7" t="str">
        <x:v>AGUILAR ROY ROBERT</x:v>
      </x:c>
      <x:c r="AN1054" s="7" t="str">
        <x:v>https://cdicloud.insurance.ca.gov/cal/LicenseDetail?SearchType=IND&amp;SearchLicNbr=0746212&amp;SearchIndvId=103488</x:v>
      </x:c>
      <x:c r="AO1054" s="7" t="str">
        <x:v>2026-10-08</x:v>
      </x:c>
      <x:c r="AP1054" s="7" t="str">
        <x:v>cc74fcab7920590780fa83e216e23883b5d3354378faa05930e2d62b1b8139c3</x:v>
      </x:c>
      <x:c r="AQ1054" s="7" t="str">
        <x:v>Accident and Health / Inactive / 01/07/1997 / 01/31/2001 / 01/31/2001
Life-Only / Inactive / 01/07/1997 / 01/31/2001 / 01/31/2001</x:v>
      </x:c>
      <x:c r="AR1054" s="7" t="str">
        <x:v>Inactive</x:v>
      </x:c>
      <x:c r="AS1054" s="7" t="str">
        <x:v>Current detail page</x:v>
      </x:c>
    </x:row>
    <x:row r="1055" ht="52" customHeight="1">
      <x:c r="A1055" s="7" t="str">
        <x:v>AGUILAR ROBERT SEGURA</x:v>
      </x:c>
      <x:c r="B1055" s="14" t="str">
        <x:f>"0432853"</x:f>
        <x:v>0432853</x:v>
      </x:c>
      <x:c r="C1055" s="7" t="str">
        <x:v>Omitted</x:v>
      </x:c>
      <x:c r="D1055" s="7" t="str">
        <x:v>FAIL</x:v>
      </x:c>
      <x:c r="E1055" s="13" t="str">
        <x:v>Pending</x:v>
      </x:c>
      <x:c r="F1055" s="13" t="str"/>
      <x:c r="G1055" s="13" t="str"/>
      <x:c r="H1055" s="13" t="str"/>
      <x:c r="I1055" s="7" t="str">
        <x:v>Was this person reviewed? If rejected, give the actual rule and evidence. If acceptable, correct the omission. Confirm the Life-qualification gate and any record change since selection.</x:v>
      </x:c>
      <x:c r="J1055" s="7" t="str">
        <x:v>L1</x:v>
      </x:c>
      <x:c r="K1055" s="7" t="str">
        <x:v>Verified qualifications do not include active general Life. Current target-pool mismatch; actual historical omission reason unknown.</x:v>
      </x:c>
      <x:c r="L1055" s="7" t="str">
        <x:v>Not supplied; membership is known, motive is not</x:v>
      </x:c>
      <x:c r="M1055" s="7" t="n">
        <x:v>7</x:v>
      </x:c>
      <x:c r="N1055" s="7" t="str">
        <x:v>Outside current general-Life recruiting pool</x:v>
      </x:c>
      <x:c r="O1055" s="7" t="str">
        <x:v>Not displayed</x:v>
      </x:c>
      <x:c r="P1055" s="7" t="str"/>
      <x:c r="Q1055" s="7" t="str"/>
      <x:c r="R1055" s="7" t="str"/>
      <x:c r="S1055" s="15" t="str"/>
      <x:c r="T1055" s="7" t="str">
        <x:v>No public business phone in collected record</x:v>
      </x:c>
      <x:c r="U1055" s="7" t="str"/>
      <x:c r="V1055" s="7" t="str">
        <x:v>Resident</x:v>
      </x:c>
      <x:c r="W1055" s="7" t="str">
        <x:v>CA</x:v>
      </x:c>
      <x:c r="X1055" s="7" t="str"/>
      <x:c r="Y1055" s="7" t="str"/>
      <x:c r="Z1055" s="7" t="str"/>
      <x:c r="AA1055" s="7" t="str"/>
      <x:c r="AB1055" s="7" t="str"/>
      <x:c r="AC1055" s="7" t="str"/>
      <x:c r="AD1055" s="7" t="str">
        <x:v>No agency or insurer displayed: onboarding opportunity possible; existing business unknown</x:v>
      </x:c>
      <x:c r="AE1055" s="7" t="str">
        <x:v>No public business phone: contact enrichment needed, not proof of poor recruiting fit</x:v>
      </x:c>
      <x:c r="AF1055" s="16" t="str"/>
      <x:c r="AG1055" s="17" t="str"/>
      <x:c r="AH1055" s="7" t="str"/>
      <x:c r="AI1055" s="7" t="str"/>
      <x:c r="AJ1055" s="7" t="str"/>
      <x:c r="AK1055" s="15" t="str"/>
      <x:c r="AL1055" s="7" t="str"/>
      <x:c r="AM1055" s="7" t="str">
        <x:v>AGUILAR SEGURA ROBERT</x:v>
      </x:c>
      <x:c r="AN1055" s="7" t="str">
        <x:v>https://cdicloud.insurance.ca.gov/cal/LicenseDetail?SearchType=IND&amp;SearchLicNbr=0432853&amp;SearchIndvId=369142</x:v>
      </x:c>
      <x:c r="AO1055" s="7" t="str">
        <x:v>2026-10-08</x:v>
      </x:c>
      <x:c r="AP1055" s="7" t="str">
        <x:v>758fb5acb5baf582f66e32a8a2139c83bc190df53fdc1fa8084ada801dc79aae</x:v>
      </x:c>
      <x:c r="AQ1055" s="7" t="str">
        <x:v>Accident and Health / Inactive / 06/01/1972 / 11/30/1996 / 11/30/1996
Casualty Broker-Agent / Inactive / 02/19/1987 / 11/30/1996 / 11/30/1996
Life-Only / Inactive / 06/01/1972 / 11/30/1996 / 11/30/1996
Property Broker-Agent / Inactive / 02/19/1987 / 11/30/1996 / 11/30/1996</x:v>
      </x:c>
      <x:c r="AR1055" s="7" t="str">
        <x:v>Inactive</x:v>
      </x:c>
      <x:c r="AS1055" s="7" t="str">
        <x:v>Current detail page</x:v>
      </x:c>
    </x:row>
    <x:row r="1056" ht="52" customHeight="1">
      <x:c r="A1056" s="7" t="str">
        <x:v>AGUILAR ROBERT VILLAFRANCA</x:v>
      </x:c>
      <x:c r="B1056" s="14" t="str">
        <x:f>"0G80473"</x:f>
        <x:v>0G80473</x:v>
      </x:c>
      <x:c r="C1056" s="7" t="str">
        <x:v>Omitted</x:v>
      </x:c>
      <x:c r="D1056" s="7" t="str">
        <x:v>FAIL</x:v>
      </x:c>
      <x:c r="E1056" s="13" t="str">
        <x:v>Pending</x:v>
      </x:c>
      <x:c r="F1056" s="13" t="str"/>
      <x:c r="G1056" s="13" t="str"/>
      <x:c r="H1056" s="13" t="str"/>
      <x:c r="I1056" s="7" t="str">
        <x:v>Was this person reviewed? If rejected, give the actual rule and evidence. If acceptable, correct the omission. Confirm the Life-qualification gate and any record change since selection.</x:v>
      </x:c>
      <x:c r="J1056" s="7" t="str">
        <x:v>L1</x:v>
      </x:c>
      <x:c r="K1056" s="7" t="str">
        <x:v>Verified qualifications do not include active general Life. Current target-pool mismatch; actual historical omission reason unknown.</x:v>
      </x:c>
      <x:c r="L1056" s="7" t="str">
        <x:v>Not supplied; membership is known, motive is not</x:v>
      </x:c>
      <x:c r="M1056" s="7" t="n">
        <x:v>7</x:v>
      </x:c>
      <x:c r="N1056" s="7" t="str">
        <x:v>Outside current general-Life recruiting pool</x:v>
      </x:c>
      <x:c r="O1056" s="7" t="str">
        <x:v>Not displayed</x:v>
      </x:c>
      <x:c r="P1056" s="7" t="str"/>
      <x:c r="Q1056" s="7" t="str"/>
      <x:c r="R1056" s="7" t="str"/>
      <x:c r="S1056" s="15" t="str"/>
      <x:c r="T1056" s="7" t="str">
        <x:v>No public business phone in collected record</x:v>
      </x:c>
      <x:c r="U1056" s="7" t="str"/>
      <x:c r="V1056" s="7" t="str">
        <x:v>Resident</x:v>
      </x:c>
      <x:c r="W1056" s="7" t="str">
        <x:v>CA</x:v>
      </x:c>
      <x:c r="X1056" s="7" t="str"/>
      <x:c r="Y1056" s="7" t="str"/>
      <x:c r="Z1056" s="7" t="str"/>
      <x:c r="AA1056" s="7" t="str"/>
      <x:c r="AB1056" s="7" t="str"/>
      <x:c r="AC1056" s="7" t="str"/>
      <x:c r="AD1056" s="7" t="str">
        <x:v>No agency or insurer displayed: onboarding opportunity possible; existing business unknown</x:v>
      </x:c>
      <x:c r="AE1056" s="7" t="str">
        <x:v>No public business phone: contact enrichment needed, not proof of poor recruiting fit</x:v>
      </x:c>
      <x:c r="AF1056" s="16" t="str"/>
      <x:c r="AG1056" s="17" t="str"/>
      <x:c r="AH1056" s="7" t="str"/>
      <x:c r="AI1056" s="7" t="str"/>
      <x:c r="AJ1056" s="7" t="str"/>
      <x:c r="AK1056" s="15" t="str"/>
      <x:c r="AL1056" s="7" t="str"/>
      <x:c r="AM1056" s="7" t="str">
        <x:v>AGUILAR VILLAFRANCA ROBERT</x:v>
      </x:c>
      <x:c r="AN1056" s="7" t="str">
        <x:v>https://cdicloud.insurance.ca.gov/cal/LicenseDetail?SearchType=IND&amp;SearchLicNbr=0G80473&amp;SearchIndvId=1310737</x:v>
      </x:c>
      <x:c r="AO1056" s="7" t="str">
        <x:v>2026-10-08</x:v>
      </x:c>
      <x:c r="AP1056" s="7" t="str">
        <x:v>2581890152971bf41cc52c7390326f998b98439708947fb5ad3a95e2324f0c25</x:v>
      </x:c>
      <x:c r="AQ1056" s="7" t="str">
        <x:v>Accident and Health / Inactive / 11/10/2009 / 01/30/2014 / 01/30/2014
Life-Only / Inactive / 11/10/2009 / 01/30/2014 / 01/30/2014</x:v>
      </x:c>
      <x:c r="AR1056" s="7" t="str">
        <x:v>Inactive</x:v>
      </x:c>
      <x:c r="AS1056" s="7" t="str">
        <x:v>Current detail page</x:v>
      </x:c>
    </x:row>
    <x:row r="1057" ht="52" customHeight="1">
      <x:c r="A1057" s="7" t="str">
        <x:v>AGUILAR ROBERT VIRGIL</x:v>
      </x:c>
      <x:c r="B1057" s="14" t="str">
        <x:f>"0C55409"</x:f>
        <x:v>0C55409</x:v>
      </x:c>
      <x:c r="C1057" s="7" t="str">
        <x:v>Omitted</x:v>
      </x:c>
      <x:c r="D1057" s="7" t="str">
        <x:v>FAIL</x:v>
      </x:c>
      <x:c r="E1057" s="13" t="str">
        <x:v>Pending</x:v>
      </x:c>
      <x:c r="F1057" s="13" t="str"/>
      <x:c r="G1057" s="13" t="str"/>
      <x:c r="H1057" s="13" t="str"/>
      <x:c r="I1057" s="7" t="str">
        <x:v>Was this person reviewed? If rejected, give the actual rule and evidence. If acceptable, correct the omission. Confirm the Life-qualification gate and any record change since selection.</x:v>
      </x:c>
      <x:c r="J1057" s="7" t="str">
        <x:v>L1</x:v>
      </x:c>
      <x:c r="K1057" s="7" t="str">
        <x:v>Verified qualifications do not include active general Life. Current target-pool mismatch; actual historical omission reason unknown.</x:v>
      </x:c>
      <x:c r="L1057" s="7" t="str">
        <x:v>Not supplied; membership is known, motive is not</x:v>
      </x:c>
      <x:c r="M1057" s="7" t="n">
        <x:v>7</x:v>
      </x:c>
      <x:c r="N1057" s="7" t="str">
        <x:v>Outside current general-Life recruiting pool</x:v>
      </x:c>
      <x:c r="O1057" s="7" t="str">
        <x:v>Not displayed</x:v>
      </x:c>
      <x:c r="P1057" s="7" t="str"/>
      <x:c r="Q1057" s="7" t="str"/>
      <x:c r="R1057" s="7" t="str"/>
      <x:c r="S1057" s="15" t="str"/>
      <x:c r="T1057" s="7" t="str">
        <x:v>No public business phone in collected record</x:v>
      </x:c>
      <x:c r="U1057" s="7" t="str"/>
      <x:c r="V1057" s="7" t="str">
        <x:v>Resident</x:v>
      </x:c>
      <x:c r="W1057" s="7" t="str">
        <x:v>CA</x:v>
      </x:c>
      <x:c r="X1057" s="7" t="str"/>
      <x:c r="Y1057" s="7" t="str"/>
      <x:c r="Z1057" s="7" t="str"/>
      <x:c r="AA1057" s="7" t="str"/>
      <x:c r="AB1057" s="7" t="str"/>
      <x:c r="AC1057" s="7" t="str"/>
      <x:c r="AD1057" s="7" t="str">
        <x:v>No agency or insurer displayed: onboarding opportunity possible; existing business unknown</x:v>
      </x:c>
      <x:c r="AE1057" s="7" t="str">
        <x:v>No public business phone: contact enrichment needed, not proof of poor recruiting fit</x:v>
      </x:c>
      <x:c r="AF1057" s="16" t="str"/>
      <x:c r="AG1057" s="17" t="str"/>
      <x:c r="AH1057" s="7" t="str"/>
      <x:c r="AI1057" s="7" t="str"/>
      <x:c r="AJ1057" s="7" t="str"/>
      <x:c r="AK1057" s="15" t="str"/>
      <x:c r="AL1057" s="7" t="str"/>
      <x:c r="AM1057" s="7" t="str">
        <x:v>AGUILAR VIRGIL ROBERT</x:v>
      </x:c>
      <x:c r="AN1057" s="7" t="str">
        <x:v>https://cdicloud.insurance.ca.gov/cal/LicenseDetail?SearchType=IND&amp;SearchLicNbr=0C55409&amp;SearchIndvId=328498</x:v>
      </x:c>
      <x:c r="AO1057" s="7" t="str">
        <x:v>2026-10-08</x:v>
      </x:c>
      <x:c r="AP1057" s="7" t="str">
        <x:v>787e242b6b5e45a1a8d6308fa0fbb5e538b02bf5494a7e8a486d875c082857b9</x:v>
      </x:c>
      <x:c r="AQ1057" s="7" t="str">
        <x:v>Life Limited-Funeral &amp; Burial / Inactive / 02/10/1999 / 02/28/2003 / 02/28/2003</x:v>
      </x:c>
      <x:c r="AR1057" s="7" t="str">
        <x:v>Inactive</x:v>
      </x:c>
      <x:c r="AS1057" s="7" t="str">
        <x:v>Current detail page</x:v>
      </x:c>
    </x:row>
    <x:row r="1058" ht="52" customHeight="1">
      <x:c r="A1058" s="7" t="str">
        <x:v>AGUILAR ROBERTO</x:v>
      </x:c>
      <x:c r="B1058" s="14" t="str">
        <x:f>"4013352"</x:f>
        <x:v>4013352</x:v>
      </x:c>
      <x:c r="C1058" s="7" t="str">
        <x:v>Omitted</x:v>
      </x:c>
      <x:c r="D1058" s="7" t="str">
        <x:v>FAIL</x:v>
      </x:c>
      <x:c r="E1058" s="13" t="str">
        <x:v>Pending</x:v>
      </x:c>
      <x:c r="F1058" s="13" t="str"/>
      <x:c r="G1058" s="13" t="str"/>
      <x:c r="H1058" s="13" t="str"/>
      <x:c r="I1058" s="7" t="str">
        <x:v>Was this person reviewed? If rejected, give the actual rule and evidence. If acceptable, correct the omission. Confirm the Life-qualification gate and any record change since selection.</x:v>
      </x:c>
      <x:c r="J1058" s="7" t="str">
        <x:v>L1</x:v>
      </x:c>
      <x:c r="K1058" s="7" t="str">
        <x:v>Verified qualifications do not include active general Life. Current target-pool mismatch; actual historical omission reason unknown.</x:v>
      </x:c>
      <x:c r="L1058" s="7" t="str">
        <x:v>Not supplied; membership is known, motive is not</x:v>
      </x:c>
      <x:c r="M1058" s="7" t="n">
        <x:v>7</x:v>
      </x:c>
      <x:c r="N1058" s="7" t="str">
        <x:v>Outside current general-Life recruiting pool</x:v>
      </x:c>
      <x:c r="O1058" s="7" t="str">
        <x:v>Inactive</x:v>
      </x:c>
      <x:c r="P1058" s="7" t="str">
        <x:v>10/24/2019</x:v>
      </x:c>
      <x:c r="Q1058" s="7" t="str">
        <x:v>10/31/2021</x:v>
      </x:c>
      <x:c r="R1058" s="7" t="str"/>
      <x:c r="S1058" s="15" t="str"/>
      <x:c r="T1058" s="7" t="str">
        <x:v>No public business phone in collected record</x:v>
      </x:c>
      <x:c r="U1058" s="7" t="str">
        <x:v>4991 E MCKINLEY AVE STE 104 FRESNO CA, 93727</x:v>
      </x:c>
      <x:c r="V1058" s="7" t="str">
        <x:v>Resident</x:v>
      </x:c>
      <x:c r="W1058" s="7" t="str">
        <x:v>CA</x:v>
      </x:c>
      <x:c r="X1058" s="7" t="str"/>
      <x:c r="Y1058" s="7" t="str"/>
      <x:c r="Z1058" s="7" t="str"/>
      <x:c r="AA1058" s="7" t="str"/>
      <x:c r="AB1058" s="7" t="str"/>
      <x:c r="AC1058" s="7" t="str"/>
      <x:c r="AD1058" s="7" t="str">
        <x:v>No agency or insurer displayed: onboarding opportunity possible; existing business unknown</x:v>
      </x:c>
      <x:c r="AE1058" s="7" t="str">
        <x:v>No public business phone: contact enrichment needed, not proof of poor recruiting fit</x:v>
      </x:c>
      <x:c r="AF1058" s="16" t="str"/>
      <x:c r="AG1058" s="17" t="str"/>
      <x:c r="AH1058" s="7" t="str"/>
      <x:c r="AI1058" s="7" t="str"/>
      <x:c r="AJ1058" s="7" t="str"/>
      <x:c r="AK1058" s="15" t="str"/>
      <x:c r="AL1058" s="7" t="str"/>
      <x:c r="AM1058" s="7" t="str">
        <x:v>AGUILAR  ROBERTO</x:v>
      </x:c>
      <x:c r="AN1058" s="7" t="str">
        <x:v>https://cdicloud.insurance.ca.gov/cal/LicenseDetail?SearchType=IND&amp;SearchLicNbr=4013352&amp;SearchIndvId=4013352</x:v>
      </x:c>
      <x:c r="AO1058" s="7" t="str">
        <x:v>2026-10-08</x:v>
      </x:c>
      <x:c r="AP1058" s="7" t="str">
        <x:v>ac97bf5e17f7707e3e267596cd8569feae1b7a58bfcd6b8ed9945fcbbd5ca6ae</x:v>
      </x:c>
      <x:c r="AQ1058" s="7" t="str">
        <x:v>Life / Inactive / 10/24/2019 / 10/31/2021 / 10/31/2021</x:v>
      </x:c>
      <x:c r="AR1058" s="7" t="str">
        <x:v>Inactive</x:v>
      </x:c>
      <x:c r="AS1058" s="7" t="str">
        <x:v>Current detail page</x:v>
      </x:c>
    </x:row>
    <x:row r="1059" ht="52" customHeight="1">
      <x:c r="A1059" s="7" t="str">
        <x:v>AGUILAR ROBERTO ANTONIO</x:v>
      </x:c>
      <x:c r="B1059" s="14" t="str">
        <x:f>"1598914"</x:f>
        <x:v>1598914</x:v>
      </x:c>
      <x:c r="C1059" s="7" t="str">
        <x:v>Omitted</x:v>
      </x:c>
      <x:c r="D1059" s="7" t="str">
        <x:v>FAIL</x:v>
      </x:c>
      <x:c r="E1059" s="13" t="str">
        <x:v>Pending</x:v>
      </x:c>
      <x:c r="F1059" s="13" t="str"/>
      <x:c r="G1059" s="13" t="str"/>
      <x:c r="H1059" s="13" t="str"/>
      <x:c r="I1059" s="7" t="str">
        <x:v>Was this person reviewed? If rejected, give the actual rule and evidence. If acceptable, correct the omission. Confirm the Life-qualification gate and any record change since selection.</x:v>
      </x:c>
      <x:c r="J1059" s="7" t="str">
        <x:v>L1</x:v>
      </x:c>
      <x:c r="K1059" s="7" t="str">
        <x:v>Verified qualifications do not include active general Life. Current target-pool mismatch; actual historical omission reason unknown.</x:v>
      </x:c>
      <x:c r="L1059" s="7" t="str">
        <x:v>Not supplied; membership is known, motive is not</x:v>
      </x:c>
      <x:c r="M1059" s="7" t="n">
        <x:v>7</x:v>
      </x:c>
      <x:c r="N1059" s="7" t="str">
        <x:v>Outside current general-Life recruiting pool</x:v>
      </x:c>
      <x:c r="O1059" s="7" t="str">
        <x:v>Not displayed</x:v>
      </x:c>
      <x:c r="P1059" s="7" t="str"/>
      <x:c r="Q1059" s="7" t="str"/>
      <x:c r="R1059" s="7" t="str"/>
      <x:c r="S1059" s="15" t="str"/>
      <x:c r="T1059" s="7" t="str">
        <x:v>No public business phone in collected record</x:v>
      </x:c>
      <x:c r="U1059" s="7" t="str"/>
      <x:c r="V1059" s="7" t="str">
        <x:v>Resident</x:v>
      </x:c>
      <x:c r="W1059" s="7" t="str">
        <x:v>CA</x:v>
      </x:c>
      <x:c r="X1059" s="7" t="str"/>
      <x:c r="Y1059" s="7" t="str"/>
      <x:c r="Z1059" s="7" t="str"/>
      <x:c r="AA1059" s="7" t="str"/>
      <x:c r="AB1059" s="7" t="str"/>
      <x:c r="AC1059" s="7" t="str">
        <x:v>EMPLOYER - JAMES HOLTZCLAW, BA # 1516158; EFF: 04/16/2012</x:v>
      </x:c>
      <x:c r="AD1059" s="7" t="str">
        <x:v>No agency or insurer displayed: onboarding opportunity possible; existing business unknown</x:v>
      </x:c>
      <x:c r="AE1059" s="7" t="str">
        <x:v>No public business phone: contact enrichment needed, not proof of poor recruiting fit</x:v>
      </x:c>
      <x:c r="AF1059" s="16" t="str"/>
      <x:c r="AG1059" s="17" t="str"/>
      <x:c r="AH1059" s="7" t="str"/>
      <x:c r="AI1059" s="7" t="str"/>
      <x:c r="AJ1059" s="7" t="str"/>
      <x:c r="AK1059" s="15" t="str"/>
      <x:c r="AL1059" s="7" t="str"/>
      <x:c r="AM1059" s="7" t="str">
        <x:v>AGUILAR ANTONIO ROBERTO</x:v>
      </x:c>
      <x:c r="AN1059" s="7" t="str">
        <x:v>https://cdicloud.insurance.ca.gov/cal/LicenseDetail?SearchType=IND&amp;SearchLicNbr=1598914&amp;SearchIndvId=389191</x:v>
      </x:c>
      <x:c r="AO1059" s="7" t="str">
        <x:v>2026-10-08</x:v>
      </x:c>
      <x:c r="AP1059" s="7" t="str">
        <x:v>097674c316a7be1b887c32e5c86e75fbb3a206fda0cdc7e51f5d0a9083616c51</x:v>
      </x:c>
      <x:c r="AQ1059" s="7" t="str">
        <x:v>Bail Agent / Inactive / 08/09/1991 / 01/31/2014 / 01/31/2014
Bail Solicitor / Inactive / 05/17/2010 / 08/19/2010 / 08/19/2010</x:v>
      </x:c>
      <x:c r="AR1059" s="7" t="str">
        <x:v>Inactive</x:v>
      </x:c>
      <x:c r="AS1059" s="7" t="str">
        <x:v>Current detail page</x:v>
      </x:c>
    </x:row>
    <x:row r="1060" ht="52" customHeight="1">
      <x:c r="A1060" s="7" t="str">
        <x:v>AGUILAR ROBERTO HERMION</x:v>
      </x:c>
      <x:c r="B1060" s="14" t="str">
        <x:f>"0I06454"</x:f>
        <x:v>0I06454</x:v>
      </x:c>
      <x:c r="C1060" s="7" t="str">
        <x:v>Omitted</x:v>
      </x:c>
      <x:c r="D1060" s="7" t="str">
        <x:v>FAIL</x:v>
      </x:c>
      <x:c r="E1060" s="13" t="str">
        <x:v>Pending</x:v>
      </x:c>
      <x:c r="F1060" s="13" t="str"/>
      <x:c r="G1060" s="13" t="str"/>
      <x:c r="H1060" s="13" t="str"/>
      <x:c r="I1060" s="7" t="str">
        <x:v>Was this person reviewed? If rejected, give the actual rule and evidence. If acceptable, correct the omission. Confirm the Life-qualification gate and any record change since selection.</x:v>
      </x:c>
      <x:c r="J1060" s="7" t="str">
        <x:v>L1</x:v>
      </x:c>
      <x:c r="K1060" s="7" t="str">
        <x:v>Verified qualifications do not include active general Life. Current target-pool mismatch; actual historical omission reason unknown.</x:v>
      </x:c>
      <x:c r="L1060" s="7" t="str">
        <x:v>Not supplied; membership is known, motive is not</x:v>
      </x:c>
      <x:c r="M1060" s="7" t="n">
        <x:v>7</x:v>
      </x:c>
      <x:c r="N1060" s="7" t="str">
        <x:v>Outside current general-Life recruiting pool</x:v>
      </x:c>
      <x:c r="O1060" s="7" t="str">
        <x:v>Not displayed</x:v>
      </x:c>
      <x:c r="P1060" s="7" t="str"/>
      <x:c r="Q1060" s="7" t="str"/>
      <x:c r="R1060" s="7" t="str"/>
      <x:c r="S1060" s="15" t="str"/>
      <x:c r="T1060" s="7" t="str">
        <x:v>No public business phone in collected record</x:v>
      </x:c>
      <x:c r="U1060" s="7" t="str"/>
      <x:c r="V1060" s="7" t="str">
        <x:v>Resident</x:v>
      </x:c>
      <x:c r="W1060" s="7" t="str">
        <x:v>CA</x:v>
      </x:c>
      <x:c r="X1060" s="7" t="str"/>
      <x:c r="Y1060" s="7" t="str"/>
      <x:c r="Z1060" s="7" t="str"/>
      <x:c r="AA1060" s="7" t="str"/>
      <x:c r="AB1060" s="7" t="str"/>
      <x:c r="AC1060" s="7" t="str"/>
      <x:c r="AD1060" s="7" t="str">
        <x:v>No agency or insurer displayed: onboarding opportunity possible; existing business unknown</x:v>
      </x:c>
      <x:c r="AE1060" s="7" t="str">
        <x:v>No public business phone: contact enrichment needed, not proof of poor recruiting fit</x:v>
      </x:c>
      <x:c r="AF1060" s="16" t="str"/>
      <x:c r="AG1060" s="17" t="str"/>
      <x:c r="AH1060" s="7" t="str"/>
      <x:c r="AI1060" s="7" t="str"/>
      <x:c r="AJ1060" s="7" t="str"/>
      <x:c r="AK1060" s="15" t="str"/>
      <x:c r="AL1060" s="7" t="str"/>
      <x:c r="AM1060" s="7" t="str">
        <x:v>AGUILAR HERMION ROBERTO</x:v>
      </x:c>
      <x:c r="AN1060" s="7" t="str">
        <x:v>https://cdicloud.insurance.ca.gov/cal/LicenseDetail?SearchType=IND&amp;SearchLicNbr=0I06454&amp;SearchIndvId=1532738</x:v>
      </x:c>
      <x:c r="AO1060" s="7" t="str">
        <x:v>2026-10-08</x:v>
      </x:c>
      <x:c r="AP1060" s="7" t="str">
        <x:v>ce4ed5c71979add6d63aac3027e751bd7de0181cdb7a80006ad09da141d55b25</x:v>
      </x:c>
      <x:c r="AQ1060" s="7" t="str">
        <x:v>Life-Only / Inactive / 10/03/2012 / 10/31/2014 / 10/31/2014</x:v>
      </x:c>
      <x:c r="AR1060" s="7" t="str">
        <x:v>Inactive</x:v>
      </x:c>
      <x:c r="AS1060" s="7" t="str">
        <x:v>Current detail page</x:v>
      </x:c>
    </x:row>
    <x:row r="1061" ht="52" customHeight="1">
      <x:c r="A1061" s="7" t="str">
        <x:v>AGUILAR ROBLES BERTHA ALICIA</x:v>
      </x:c>
      <x:c r="B1061" s="14" t="str">
        <x:f>"4097363"</x:f>
        <x:v>4097363</x:v>
      </x:c>
      <x:c r="C1061" s="7" t="str">
        <x:v>Omitted</x:v>
      </x:c>
      <x:c r="D1061" s="7" t="str">
        <x:v>FAIL</x:v>
      </x:c>
      <x:c r="E1061" s="13" t="str">
        <x:v>Pending</x:v>
      </x:c>
      <x:c r="F1061" s="13" t="str"/>
      <x:c r="G1061" s="13" t="str"/>
      <x:c r="H1061" s="13" t="str"/>
      <x:c r="I1061" s="7" t="str">
        <x:v>Was this person reviewed? If rejected, give the actual rule and evidence. If acceptable, correct the omission. Confirm the Life-qualification gate and any record change since selection.</x:v>
      </x:c>
      <x:c r="J1061" s="7" t="str">
        <x:v>L1</x:v>
      </x:c>
      <x:c r="K1061" s="7" t="str">
        <x:v>Verified qualifications do not include active general Life. Current target-pool mismatch; actual historical omission reason unknown.</x:v>
      </x:c>
      <x:c r="L1061" s="7" t="str">
        <x:v>Not supplied; membership is known, motive is not</x:v>
      </x:c>
      <x:c r="M1061" s="7" t="n">
        <x:v>7</x:v>
      </x:c>
      <x:c r="N1061" s="7" t="str">
        <x:v>Outside current general-Life recruiting pool</x:v>
      </x:c>
      <x:c r="O1061" s="7" t="str">
        <x:v>Not displayed</x:v>
      </x:c>
      <x:c r="P1061" s="7" t="str"/>
      <x:c r="Q1061" s="7" t="str"/>
      <x:c r="R1061" s="7" t="str"/>
      <x:c r="S1061" s="15" t="str">
        <x:v>626-452-0353</x:v>
      </x:c>
      <x:c r="T1061" s="7" t="str">
        <x:v>Current CDI</x:v>
      </x:c>
      <x:c r="U1061" s="7" t="str">
        <x:v>3560 SANTA ANITA AVE SUITE K EL MONTE CA, 91731</x:v>
      </x:c>
      <x:c r="V1061" s="7" t="str">
        <x:v>Resident</x:v>
      </x:c>
      <x:c r="W1061" s="7" t="str">
        <x:v>CA</x:v>
      </x:c>
      <x:c r="X1061" s="7" t="str"/>
      <x:c r="Y1061" s="7" t="str"/>
      <x:c r="Z1061" s="7" t="str"/>
      <x:c r="AA1061" s="7" t="str"/>
      <x:c r="AB1061" s="7" t="str"/>
      <x:c r="AC1061" s="7" t="str"/>
      <x:c r="AD1061" s="7" t="str">
        <x:v>No agency or insurer displayed: onboarding opportunity possible; existing business unknown</x:v>
      </x:c>
      <x:c r="AE1061" s="7" t="str"/>
      <x:c r="AF1061" s="16" t="str"/>
      <x:c r="AG1061" s="17" t="str"/>
      <x:c r="AH1061" s="7" t="str"/>
      <x:c r="AI1061" s="7" t="str">
        <x:v>English</x:v>
      </x:c>
      <x:c r="AJ1061" s="7" t="str"/>
      <x:c r="AK1061" s="15" t="str"/>
      <x:c r="AL1061" s="7" t="str"/>
      <x:c r="AM1061" s="7" t="str">
        <x:v>AGUILAR ROBLES ALICIA BERTHA</x:v>
      </x:c>
      <x:c r="AN1061" s="7" t="str">
        <x:v>https://cdicloud.insurance.ca.gov/cal/LicenseDetail?SearchType=IND&amp;SearchLicNbr=4097363&amp;SearchIndvId=4097363</x:v>
      </x:c>
      <x:c r="AO1061" s="7" t="str">
        <x:v>2026-10-08</x:v>
      </x:c>
      <x:c r="AP1061" s="7" t="str">
        <x:v>d7afd956455a6e057872cb948dd4265a7fed802e6bff8e5e1fb25bb7fca1006a</x:v>
      </x:c>
      <x:c r="AQ1061" s="7" t="str">
        <x:v>Personal Lines / Inactive / 01/06/2021 / 01/31/2025 / 01/31/2025</x:v>
      </x:c>
      <x:c r="AR1061" s="7" t="str">
        <x:v>Inactive</x:v>
      </x:c>
      <x:c r="AS1061" s="7" t="str">
        <x:v>Current detail page</x:v>
      </x:c>
    </x:row>
    <x:row r="1062" ht="52" customHeight="1">
      <x:c r="A1062" s="7" t="str">
        <x:v>AGUILAR RODOLFO</x:v>
      </x:c>
      <x:c r="B1062" s="14" t="str">
        <x:f>"0B57201"</x:f>
        <x:v>0B57201</x:v>
      </x:c>
      <x:c r="C1062" s="7" t="str">
        <x:v>Omitted</x:v>
      </x:c>
      <x:c r="D1062" s="7" t="str">
        <x:v>FAIL</x:v>
      </x:c>
      <x:c r="E1062" s="13" t="str">
        <x:v>Pending</x:v>
      </x:c>
      <x:c r="F1062" s="13" t="str"/>
      <x:c r="G1062" s="13" t="str"/>
      <x:c r="H1062" s="13" t="str"/>
      <x:c r="I1062" s="7" t="str">
        <x:v>Was this person reviewed? If rejected, give the actual rule and evidence. If acceptable, correct the omission. Confirm the Life-qualification gate and any record change since selection.</x:v>
      </x:c>
      <x:c r="J1062" s="7" t="str">
        <x:v>L1</x:v>
      </x:c>
      <x:c r="K1062" s="7" t="str">
        <x:v>Verified qualifications do not include active general Life. Current target-pool mismatch; actual historical omission reason unknown.</x:v>
      </x:c>
      <x:c r="L1062" s="7" t="str">
        <x:v>Not supplied; membership is known, motive is not</x:v>
      </x:c>
      <x:c r="M1062" s="7" t="n">
        <x:v>7</x:v>
      </x:c>
      <x:c r="N1062" s="7" t="str">
        <x:v>Outside current general-Life recruiting pool</x:v>
      </x:c>
      <x:c r="O1062" s="7" t="str">
        <x:v>Not displayed</x:v>
      </x:c>
      <x:c r="P1062" s="7" t="str"/>
      <x:c r="Q1062" s="7" t="str"/>
      <x:c r="R1062" s="7" t="str"/>
      <x:c r="S1062" s="15" t="str"/>
      <x:c r="T1062" s="7" t="str">
        <x:v>No public business phone in collected record</x:v>
      </x:c>
      <x:c r="U1062" s="7" t="str"/>
      <x:c r="V1062" s="7" t="str">
        <x:v>Resident</x:v>
      </x:c>
      <x:c r="W1062" s="7" t="str">
        <x:v>CA</x:v>
      </x:c>
      <x:c r="X1062" s="7" t="str"/>
      <x:c r="Y1062" s="7" t="str"/>
      <x:c r="Z1062" s="7" t="str"/>
      <x:c r="AA1062" s="7" t="str"/>
      <x:c r="AB1062" s="7" t="str"/>
      <x:c r="AC1062" s="7" t="str"/>
      <x:c r="AD1062" s="7" t="str">
        <x:v>No agency or insurer displayed: onboarding opportunity possible; existing business unknown</x:v>
      </x:c>
      <x:c r="AE1062" s="7" t="str">
        <x:v>No public business phone: contact enrichment needed, not proof of poor recruiting fit</x:v>
      </x:c>
      <x:c r="AF1062" s="16" t="str"/>
      <x:c r="AG1062" s="17" t="str"/>
      <x:c r="AH1062" s="7" t="str"/>
      <x:c r="AI1062" s="7" t="str"/>
      <x:c r="AJ1062" s="7" t="str"/>
      <x:c r="AK1062" s="15" t="str"/>
      <x:c r="AL1062" s="7" t="str"/>
      <x:c r="AM1062" s="7" t="str">
        <x:v>AGUILAR  RODOLFO</x:v>
      </x:c>
      <x:c r="AN1062" s="7" t="str">
        <x:v>https://cdicloud.insurance.ca.gov/cal/LicenseDetail?SearchType=IND&amp;SearchLicNbr=0B57201&amp;SearchIndvId=236148</x:v>
      </x:c>
      <x:c r="AO1062" s="7" t="str">
        <x:v>2026-10-08</x:v>
      </x:c>
      <x:c r="AP1062" s="7" t="str">
        <x:v>46bb4a94a541875f45b05db58b469a5d7366ac5b3014bd015d93561bbfc64279</x:v>
      </x:c>
      <x:c r="AQ1062" s="7" t="str">
        <x:v>Accident and Health / Inactive / 04/18/1995 / 04/30/2011 / 04/30/2011
Casualty Broker-Agent / Inactive / 12/08/1997 / 04/30/2009 / 04/30/2009
Life-Only / Inactive / 04/18/1995 / 04/30/2011 / 04/30/2011
Property Broker-Agent / Inactive / 12/08/1997 / 04/30/2009 / 04/30/2009
Variable Contracts / Inactive / 08/03/1999 / 04/30/2011 / 04/30/2011</x:v>
      </x:c>
      <x:c r="AR1062" s="7" t="str">
        <x:v>Inactive</x:v>
      </x:c>
      <x:c r="AS1062" s="7" t="str">
        <x:v>Current detail page</x:v>
      </x:c>
    </x:row>
    <x:row r="1063" ht="52" customHeight="1">
      <x:c r="A1063" s="7" t="str">
        <x:v>AGUILAR RODOLFO</x:v>
      </x:c>
      <x:c r="B1063" s="14" t="str">
        <x:f>"4216881"</x:f>
        <x:v>4216881</x:v>
      </x:c>
      <x:c r="C1063" s="7" t="str">
        <x:v>Omitted</x:v>
      </x:c>
      <x:c r="D1063" s="7" t="str">
        <x:v>FAIL</x:v>
      </x:c>
      <x:c r="E1063" s="13" t="str">
        <x:v>Pending</x:v>
      </x:c>
      <x:c r="F1063" s="13" t="str"/>
      <x:c r="G1063" s="13" t="str"/>
      <x:c r="H1063" s="13" t="str"/>
      <x:c r="I1063" s="7" t="str">
        <x:v>Was this person reviewed? If rejected, give the actual rule and evidence. If acceptable, correct the omission. Confirm the Life-qualification gate and any record change since selection.</x:v>
      </x:c>
      <x:c r="J1063" s="7" t="str">
        <x:v>L1</x:v>
      </x:c>
      <x:c r="K1063" s="7" t="str">
        <x:v>Verified qualifications do not include active general Life. Current target-pool mismatch; actual historical omission reason unknown.</x:v>
      </x:c>
      <x:c r="L1063" s="7" t="str">
        <x:v>Not supplied; membership is known, motive is not</x:v>
      </x:c>
      <x:c r="M1063" s="7" t="n">
        <x:v>7</x:v>
      </x:c>
      <x:c r="N1063" s="7" t="str">
        <x:v>Outside current general-Life recruiting pool</x:v>
      </x:c>
      <x:c r="O1063" s="7" t="str">
        <x:v>Inactive</x:v>
      </x:c>
      <x:c r="P1063" s="7" t="str">
        <x:v>06/16/2022</x:v>
      </x:c>
      <x:c r="Q1063" s="7" t="str">
        <x:v>06/30/2026</x:v>
      </x:c>
      <x:c r="R1063" s="7" t="str"/>
      <x:c r="S1063" s="15" t="str">
        <x:v>661-477-0330</x:v>
      </x:c>
      <x:c r="T1063" s="7" t="str">
        <x:v>Current CDI</x:v>
      </x:c>
      <x:c r="U1063" s="7" t="str">
        <x:v>208 OAK ST BAKERSFIELD CA, 93304-2433</x:v>
      </x:c>
      <x:c r="V1063" s="7" t="str">
        <x:v>Resident</x:v>
      </x:c>
      <x:c r="W1063" s="7" t="str">
        <x:v>CA</x:v>
      </x:c>
      <x:c r="X1063" s="7" t="str"/>
      <x:c r="Y1063" s="7" t="str"/>
      <x:c r="Z1063" s="7" t="str"/>
      <x:c r="AA1063" s="7" t="str"/>
      <x:c r="AB1063" s="7" t="str"/>
      <x:c r="AC1063" s="7" t="str"/>
      <x:c r="AD1063" s="7" t="str">
        <x:v>No agency or insurer displayed: onboarding opportunity possible; existing business unknown</x:v>
      </x:c>
      <x:c r="AE1063" s="7" t="str"/>
      <x:c r="AF1063" s="16" t="str"/>
      <x:c r="AG1063" s="17" t="str"/>
      <x:c r="AH1063" s="7" t="str"/>
      <x:c r="AI1063" s="7" t="str">
        <x:v>English</x:v>
      </x:c>
      <x:c r="AJ1063" s="7" t="str"/>
      <x:c r="AK1063" s="15" t="str"/>
      <x:c r="AL1063" s="7" t="str"/>
      <x:c r="AM1063" s="7" t="str">
        <x:v>AGUILAR  RODOLFO</x:v>
      </x:c>
      <x:c r="AN1063" s="7" t="str">
        <x:v>https://cdicloud.insurance.ca.gov/cal/LicenseDetail?SearchType=IND&amp;SearchLicNbr=4216881&amp;SearchIndvId=4216881</x:v>
      </x:c>
      <x:c r="AO1063" s="7" t="str">
        <x:v>2026-10-08</x:v>
      </x:c>
      <x:c r="AP1063" s="7" t="str">
        <x:v>6a8dd9ceda4b9847f357a13bd21d90153dff7d583a853d0aedeb5616646d6bbb</x:v>
      </x:c>
      <x:c r="AQ1063" s="7" t="str">
        <x:v>Life / Inactive / 06/16/2022 / 06/30/2026 / 06/30/2026</x:v>
      </x:c>
      <x:c r="AR1063" s="7" t="str">
        <x:v>Inactive</x:v>
      </x:c>
      <x:c r="AS1063" s="7" t="str">
        <x:v>Current detail page</x:v>
      </x:c>
    </x:row>
    <x:row r="1064" ht="52" customHeight="1">
      <x:c r="A1064" s="7" t="str">
        <x:v>AGUILAR RODOLFO MIGUEL</x:v>
      </x:c>
      <x:c r="B1064" s="14" t="str">
        <x:f>"0M38040"</x:f>
        <x:v>0M38040</x:v>
      </x:c>
      <x:c r="C1064" s="7" t="str">
        <x:v>Omitted</x:v>
      </x:c>
      <x:c r="D1064" s="7" t="str">
        <x:v>FAIL</x:v>
      </x:c>
      <x:c r="E1064" s="13" t="str">
        <x:v>Pending</x:v>
      </x:c>
      <x:c r="F1064" s="13" t="str"/>
      <x:c r="G1064" s="13" t="str"/>
      <x:c r="H1064" s="13" t="str"/>
      <x:c r="I1064" s="7" t="str">
        <x:v>Was this person reviewed? If rejected, give the actual rule and evidence. If acceptable, correct the omission. Confirm the Life-qualification gate and any record change since selection.</x:v>
      </x:c>
      <x:c r="J1064" s="7" t="str">
        <x:v>L1</x:v>
      </x:c>
      <x:c r="K1064" s="7" t="str">
        <x:v>Verified qualifications do not include active general Life. Current target-pool mismatch; actual historical omission reason unknown.</x:v>
      </x:c>
      <x:c r="L1064" s="7" t="str">
        <x:v>Not supplied; membership is known, motive is not</x:v>
      </x:c>
      <x:c r="M1064" s="7" t="n">
        <x:v>7</x:v>
      </x:c>
      <x:c r="N1064" s="7" t="str">
        <x:v>Outside current general-Life recruiting pool</x:v>
      </x:c>
      <x:c r="O1064" s="7" t="str">
        <x:v>Not displayed</x:v>
      </x:c>
      <x:c r="P1064" s="7" t="str"/>
      <x:c r="Q1064" s="7" t="str"/>
      <x:c r="R1064" s="7" t="str"/>
      <x:c r="S1064" s="15" t="str"/>
      <x:c r="T1064" s="7" t="str">
        <x:v>No public business phone in collected record</x:v>
      </x:c>
      <x:c r="U1064" s="7" t="str"/>
      <x:c r="V1064" s="7" t="str">
        <x:v>Resident</x:v>
      </x:c>
      <x:c r="W1064" s="7" t="str">
        <x:v>CA</x:v>
      </x:c>
      <x:c r="X1064" s="7" t="str"/>
      <x:c r="Y1064" s="7" t="str"/>
      <x:c r="Z1064" s="7" t="str"/>
      <x:c r="AA1064" s="7" t="str"/>
      <x:c r="AB1064" s="7" t="str"/>
      <x:c r="AC1064" s="7" t="str"/>
      <x:c r="AD1064" s="7" t="str">
        <x:v>No agency or insurer displayed: onboarding opportunity possible; existing business unknown</x:v>
      </x:c>
      <x:c r="AE1064" s="7" t="str">
        <x:v>No public business phone: contact enrichment needed, not proof of poor recruiting fit</x:v>
      </x:c>
      <x:c r="AF1064" s="16" t="str"/>
      <x:c r="AG1064" s="17" t="str"/>
      <x:c r="AH1064" s="7" t="str"/>
      <x:c r="AI1064" s="7" t="str"/>
      <x:c r="AJ1064" s="7" t="str"/>
      <x:c r="AK1064" s="15" t="str"/>
      <x:c r="AL1064" s="7" t="str"/>
      <x:c r="AM1064" s="7" t="str">
        <x:v>Aguilar M Rodolfo | AGUILAR MIGUEL RODOLFO</x:v>
      </x:c>
      <x:c r="AN1064" s="7" t="str">
        <x:v>https://cdicloud.insurance.ca.gov/cal/LicenseDetail?SearchType=IND&amp;SearchLicNbr=0M38040&amp;SearchIndvId=2022849</x:v>
      </x:c>
      <x:c r="AO1064" s="7" t="str">
        <x:v>2026-10-08</x:v>
      </x:c>
      <x:c r="AP1064" s="7" t="str">
        <x:v>cc4de509478ffd389c74f8b027d87a3b48eb77fb377a6a59c9d76ac95c35780f</x:v>
      </x:c>
      <x:c r="AQ1064" s="7" t="str">
        <x:v>Life-Only / Inactive / 06/05/2018 / 06/30/2020 / 06/30/2020</x:v>
      </x:c>
      <x:c r="AR1064" s="7" t="str">
        <x:v>Inactive</x:v>
      </x:c>
      <x:c r="AS1064" s="7" t="str">
        <x:v>Current detail page</x:v>
      </x:c>
    </x:row>
    <x:row r="1065" ht="52" customHeight="1">
      <x:c r="A1065" s="7" t="str">
        <x:v>AGUILAR RODRIGO</x:v>
      </x:c>
      <x:c r="B1065" s="14" t="str">
        <x:f>"4130583"</x:f>
        <x:v>4130583</x:v>
      </x:c>
      <x:c r="C1065" s="7" t="str">
        <x:v>Omitted</x:v>
      </x:c>
      <x:c r="D1065" s="7" t="str">
        <x:v>FAIL</x:v>
      </x:c>
      <x:c r="E1065" s="13" t="str">
        <x:v>Pending</x:v>
      </x:c>
      <x:c r="F1065" s="13" t="str"/>
      <x:c r="G1065" s="13" t="str"/>
      <x:c r="H1065" s="13" t="str"/>
      <x:c r="I1065" s="7" t="str">
        <x:v>Was this person reviewed? If rejected, give the actual rule and evidence. If acceptable, correct the omission. Confirm the Life-qualification gate and any record change since selection.</x:v>
      </x:c>
      <x:c r="J1065" s="7" t="str">
        <x:v>L1</x:v>
      </x:c>
      <x:c r="K1065" s="7" t="str">
        <x:v>Verified qualifications do not include active general Life. Current target-pool mismatch; actual historical omission reason unknown.</x:v>
      </x:c>
      <x:c r="L1065" s="7" t="str">
        <x:v>Not supplied; membership is known, motive is not</x:v>
      </x:c>
      <x:c r="M1065" s="7" t="n">
        <x:v>7</x:v>
      </x:c>
      <x:c r="N1065" s="7" t="str">
        <x:v>Outside current general-Life recruiting pool</x:v>
      </x:c>
      <x:c r="O1065" s="7" t="str">
        <x:v>Not displayed</x:v>
      </x:c>
      <x:c r="P1065" s="7" t="str"/>
      <x:c r="Q1065" s="7" t="str"/>
      <x:c r="R1065" s="7" t="str"/>
      <x:c r="S1065" s="15" t="str">
        <x:v>888-407-7044</x:v>
      </x:c>
      <x:c r="T1065" s="7" t="str">
        <x:v>Current CDI</x:v>
      </x:c>
      <x:c r="U1065" s="7" t="str">
        <x:v>18330 NEELEY RD GUERNEVILLE CA, 95446-9798</x:v>
      </x:c>
      <x:c r="V1065" s="7" t="str">
        <x:v>Resident</x:v>
      </x:c>
      <x:c r="W1065" s="7" t="str">
        <x:v>CA</x:v>
      </x:c>
      <x:c r="X1065" s="7" t="str"/>
      <x:c r="Y1065" s="7" t="str"/>
      <x:c r="Z1065" s="7" t="str"/>
      <x:c r="AA1065" s="7" t="str"/>
      <x:c r="AB1065" s="7" t="str"/>
      <x:c r="AC1065" s="7" t="str"/>
      <x:c r="AD1065" s="7" t="str">
        <x:v>No agency or insurer displayed: onboarding opportunity possible; existing business unknown</x:v>
      </x:c>
      <x:c r="AE1065" s="7" t="str">
        <x:v>Toll-free business number: verify that it reaches the individual rather than a central office</x:v>
      </x:c>
      <x:c r="AF1065" s="16" t="str"/>
      <x:c r="AG1065" s="17" t="str"/>
      <x:c r="AH1065" s="7" t="str"/>
      <x:c r="AI1065" s="7" t="str">
        <x:v>English</x:v>
      </x:c>
      <x:c r="AJ1065" s="7" t="str"/>
      <x:c r="AK1065" s="15" t="str"/>
      <x:c r="AL1065" s="7" t="str"/>
      <x:c r="AM1065" s="7" t="str">
        <x:v>AGUILAR  RODRIGO</x:v>
      </x:c>
      <x:c r="AN1065" s="7" t="str">
        <x:v>https://cdicloud.insurance.ca.gov/cal/LicenseDetail?SearchType=IND&amp;SearchLicNbr=4130583&amp;SearchIndvId=4130583</x:v>
      </x:c>
      <x:c r="AO1065" s="7" t="str">
        <x:v>2026-10-08</x:v>
      </x:c>
      <x:c r="AP1065" s="7" t="str">
        <x:v>adacdce639f5430c0f27baf7304f954e682b8931524f4cf0b399f12305b16567</x:v>
      </x:c>
      <x:c r="AQ1065" s="7" t="str">
        <x:v>Accident &amp; Health or Sickness / Inactive / 08/11/2021 / 08/31/2023 / 08/31/2023</x:v>
      </x:c>
      <x:c r="AR1065" s="7" t="str">
        <x:v>Inactive</x:v>
      </x:c>
      <x:c r="AS1065" s="7" t="str">
        <x:v>Current detail page</x:v>
      </x:c>
    </x:row>
    <x:row r="1066" ht="52" customHeight="1">
      <x:c r="A1066" s="7" t="str">
        <x:v>AGUILAR ROGELIO</x:v>
      </x:c>
      <x:c r="B1066" s="14" t="str">
        <x:f>"0J03962"</x:f>
        <x:v>0J03962</x:v>
      </x:c>
      <x:c r="C1066" s="7" t="str">
        <x:v>Omitted</x:v>
      </x:c>
      <x:c r="D1066" s="7" t="str">
        <x:v>FAIL</x:v>
      </x:c>
      <x:c r="E1066" s="13" t="str">
        <x:v>Pending</x:v>
      </x:c>
      <x:c r="F1066" s="13" t="str"/>
      <x:c r="G1066" s="13" t="str"/>
      <x:c r="H1066" s="13" t="str"/>
      <x:c r="I1066" s="7" t="str">
        <x:v>Was this person reviewed? If rejected, give the actual rule and evidence. If acceptable, correct the omission. Confirm the Life-qualification gate and any record change since selection.</x:v>
      </x:c>
      <x:c r="J1066" s="7" t="str">
        <x:v>L1</x:v>
      </x:c>
      <x:c r="K1066" s="7" t="str">
        <x:v>Verified qualifications do not include active general Life. Current target-pool mismatch; actual historical omission reason unknown.</x:v>
      </x:c>
      <x:c r="L1066" s="7" t="str">
        <x:v>Not supplied; membership is known, motive is not</x:v>
      </x:c>
      <x:c r="M1066" s="7" t="n">
        <x:v>7</x:v>
      </x:c>
      <x:c r="N1066" s="7" t="str">
        <x:v>Outside current general-Life recruiting pool</x:v>
      </x:c>
      <x:c r="O1066" s="7" t="str">
        <x:v>Not displayed</x:v>
      </x:c>
      <x:c r="P1066" s="7" t="str"/>
      <x:c r="Q1066" s="7" t="str"/>
      <x:c r="R1066" s="7" t="str"/>
      <x:c r="S1066" s="15" t="str"/>
      <x:c r="T1066" s="7" t="str">
        <x:v>No public business phone in collected record</x:v>
      </x:c>
      <x:c r="U1066" s="7" t="str"/>
      <x:c r="V1066" s="7" t="str">
        <x:v>Resident</x:v>
      </x:c>
      <x:c r="W1066" s="7" t="str">
        <x:v>CA</x:v>
      </x:c>
      <x:c r="X1066" s="7" t="str"/>
      <x:c r="Y1066" s="7" t="str"/>
      <x:c r="Z1066" s="7" t="str"/>
      <x:c r="AA1066" s="7" t="str"/>
      <x:c r="AB1066" s="7" t="str"/>
      <x:c r="AC1066" s="7" t="str"/>
      <x:c r="AD1066" s="7" t="str">
        <x:v>No agency or insurer displayed: onboarding opportunity possible; existing business unknown</x:v>
      </x:c>
      <x:c r="AE1066" s="7" t="str">
        <x:v>No public business phone: contact enrichment needed, not proof of poor recruiting fit</x:v>
      </x:c>
      <x:c r="AF1066" s="16" t="str"/>
      <x:c r="AG1066" s="17" t="str"/>
      <x:c r="AH1066" s="7" t="str"/>
      <x:c r="AI1066" s="7" t="str"/>
      <x:c r="AJ1066" s="7" t="str"/>
      <x:c r="AK1066" s="15" t="str"/>
      <x:c r="AL1066" s="7" t="str"/>
      <x:c r="AM1066" s="7" t="str">
        <x:v>AGUILAR  ROGELIO</x:v>
      </x:c>
      <x:c r="AN1066" s="7" t="str">
        <x:v>https://cdicloud.insurance.ca.gov/cal/LicenseDetail?SearchType=IND&amp;SearchLicNbr=0J03962&amp;SearchIndvId=1694720</x:v>
      </x:c>
      <x:c r="AO1066" s="7" t="str">
        <x:v>2026-10-08</x:v>
      </x:c>
      <x:c r="AP1066" s="7" t="str">
        <x:v>fe017a535cefaa382d8ca595f40d01722034c26a3c7b30b592093c215fa1fe8a</x:v>
      </x:c>
      <x:c r="AQ1066" s="7" t="str">
        <x:v>Life-Only / Inactive / 09/04/2014 / 09/30/2020 / 09/30/2020
Variable Contracts / Inactive / 09/04/2014 / 09/30/2020 / 09/30/2020</x:v>
      </x:c>
      <x:c r="AR1066" s="7" t="str">
        <x:v>Inactive</x:v>
      </x:c>
      <x:c r="AS1066" s="7" t="str">
        <x:v>Current detail page</x:v>
      </x:c>
    </x:row>
    <x:row r="1067" ht="52" customHeight="1">
      <x:c r="A1067" s="7" t="str">
        <x:v>AGUILAR ROGELIO ENRIQUE JR</x:v>
      </x:c>
      <x:c r="B1067" s="14" t="str">
        <x:f>"1843385"</x:f>
        <x:v>1843385</x:v>
      </x:c>
      <x:c r="C1067" s="7" t="str">
        <x:v>Omitted</x:v>
      </x:c>
      <x:c r="D1067" s="7" t="str">
        <x:v>FAIL</x:v>
      </x:c>
      <x:c r="E1067" s="13" t="str">
        <x:v>Pending</x:v>
      </x:c>
      <x:c r="F1067" s="13" t="str"/>
      <x:c r="G1067" s="13" t="str"/>
      <x:c r="H1067" s="13" t="str"/>
      <x:c r="I1067" s="7" t="str">
        <x:v>Was this person reviewed? If rejected, give the actual rule and evidence. If acceptable, correct the omission. Confirm the Life-qualification gate and any record change since selection.</x:v>
      </x:c>
      <x:c r="J1067" s="7" t="str">
        <x:v>L1</x:v>
      </x:c>
      <x:c r="K1067" s="7" t="str">
        <x:v>Verified qualifications do not include active general Life. Current target-pool mismatch; actual historical omission reason unknown.</x:v>
      </x:c>
      <x:c r="L1067" s="7" t="str">
        <x:v>Not supplied; membership is known, motive is not</x:v>
      </x:c>
      <x:c r="M1067" s="7" t="n">
        <x:v>7</x:v>
      </x:c>
      <x:c r="N1067" s="7" t="str">
        <x:v>Outside current general-Life recruiting pool</x:v>
      </x:c>
      <x:c r="O1067" s="7" t="str">
        <x:v>Not displayed</x:v>
      </x:c>
      <x:c r="P1067" s="7" t="str"/>
      <x:c r="Q1067" s="7" t="str"/>
      <x:c r="R1067" s="7" t="str">
        <x:v>Bail Agent</x:v>
      </x:c>
      <x:c r="S1067" s="15" t="str"/>
      <x:c r="T1067" s="7" t="str">
        <x:v>No public business phone in collected record</x:v>
      </x:c>
      <x:c r="U1067" s="7" t="str">
        <x:v>1308 CHESTER AVE BAKERSFIELD CA, 93301-5434</x:v>
      </x:c>
      <x:c r="V1067" s="7" t="str">
        <x:v>Resident</x:v>
      </x:c>
      <x:c r="W1067" s="7" t="str">
        <x:v>CA</x:v>
      </x:c>
      <x:c r="X1067" s="7" t="str">
        <x:v>TWO JINN, INC. / Bail Agent / 01/26/2005
TWO JINN, INC. / Bail Agent / 01/26/2005</x:v>
      </x:c>
      <x:c r="Y1067" s="7" t="str">
        <x:v>SEAVIEW INSURANCE COMPANY / Bail Agent / 12/06/2011</x:v>
      </x:c>
      <x:c r="Z1067" s="7" t="str"/>
      <x:c r="AA1067" s="7" t="str"/>
      <x:c r="AB1067" s="7" t="str"/>
      <x:c r="AC1067" s="7" t="str"/>
      <x:c r="AD1067" s="7" t="str"/>
      <x:c r="AE1067" s="7" t="str">
        <x:v>No public business phone: contact enrichment needed, not proof of poor recruiting fit</x:v>
      </x:c>
      <x:c r="AF1067" s="16" t="str"/>
      <x:c r="AG1067" s="17" t="str"/>
      <x:c r="AH1067" s="7" t="str"/>
      <x:c r="AI1067" s="7" t="str">
        <x:v>English</x:v>
      </x:c>
      <x:c r="AJ1067" s="7" t="str"/>
      <x:c r="AK1067" s="15" t="str"/>
      <x:c r="AL1067" s="7" t="str"/>
      <x:c r="AM1067" s="7" t="str">
        <x:v>AGUILAR ENRIQUE ROGELIO</x:v>
      </x:c>
      <x:c r="AN1067" s="7" t="str">
        <x:v>https://cdicloud.insurance.ca.gov/cal/LicenseDetail?SearchType=IND&amp;SearchLicNbr=1843385&amp;SearchIndvId=935823</x:v>
      </x:c>
      <x:c r="AO1067" s="7" t="str">
        <x:v>2026-10-08</x:v>
      </x:c>
      <x:c r="AP1067" s="7" t="str">
        <x:v>f0bc32f4f0645bc80860bb18bdc84ad0dbb053ecf03b00b59d2d0e6dacf1f03d</x:v>
      </x:c>
      <x:c r="AQ1067" s="7" t="str">
        <x:v>Bail Agent / Active / 01/26/2005 / 01/26/2005 / 06/30/2027</x:v>
      </x:c>
      <x:c r="AR1067" s="7" t="str">
        <x:v>Active</x:v>
      </x:c>
      <x:c r="AS1067" s="7" t="str">
        <x:v>Current detail page</x:v>
      </x:c>
    </x:row>
    <x:row r="1068" ht="52" customHeight="1">
      <x:c r="A1068" s="7" t="str">
        <x:v>AGUILAR ROGER MOJICA</x:v>
      </x:c>
      <x:c r="B1068" s="14" t="str">
        <x:f>"0H35680"</x:f>
        <x:v>0H35680</x:v>
      </x:c>
      <x:c r="C1068" s="7" t="str">
        <x:v>Omitted</x:v>
      </x:c>
      <x:c r="D1068" s="7" t="str">
        <x:v>FAIL</x:v>
      </x:c>
      <x:c r="E1068" s="13" t="str">
        <x:v>Pending</x:v>
      </x:c>
      <x:c r="F1068" s="13" t="str"/>
      <x:c r="G1068" s="13" t="str"/>
      <x:c r="H1068" s="13" t="str"/>
      <x:c r="I1068" s="7" t="str">
        <x:v>Was this person reviewed? If rejected, give the actual rule and evidence. If acceptable, correct the omission. Confirm the Life-qualification gate and any record change since selection.</x:v>
      </x:c>
      <x:c r="J1068" s="7" t="str">
        <x:v>L1</x:v>
      </x:c>
      <x:c r="K1068" s="7" t="str">
        <x:v>Verified qualifications do not include active general Life. Current target-pool mismatch; actual historical omission reason unknown.</x:v>
      </x:c>
      <x:c r="L1068" s="7" t="str">
        <x:v>Not supplied; membership is known, motive is not</x:v>
      </x:c>
      <x:c r="M1068" s="7" t="n">
        <x:v>7</x:v>
      </x:c>
      <x:c r="N1068" s="7" t="str">
        <x:v>Outside current general-Life recruiting pool</x:v>
      </x:c>
      <x:c r="O1068" s="7" t="str">
        <x:v>Not displayed</x:v>
      </x:c>
      <x:c r="P1068" s="7" t="str"/>
      <x:c r="Q1068" s="7" t="str"/>
      <x:c r="R1068" s="7" t="str">
        <x:v>Casualty; Property</x:v>
      </x:c>
      <x:c r="S1068" s="15" t="str"/>
      <x:c r="T1068" s="7" t="str">
        <x:v>No public business phone in collected record</x:v>
      </x:c>
      <x:c r="U1068" s="7" t="str">
        <x:v>907 CHICAGO BLVD SAN ANTONIO TX, 78210-5113</x:v>
      </x:c>
      <x:c r="V1068" s="7" t="str">
        <x:v>Non-resident</x:v>
      </x:c>
      <x:c r="W1068" s="7" t="str">
        <x:v>TX</x:v>
      </x:c>
      <x:c r="X1068" s="7" t="str"/>
      <x:c r="Y1068" s="7" t="str"/>
      <x:c r="Z1068" s="7" t="str"/>
      <x:c r="AA1068" s="7" t="str"/>
      <x:c r="AB1068" s="7" t="str"/>
      <x:c r="AC1068" s="7" t="str"/>
      <x:c r="AD1068" s="7" t="str">
        <x:v>No agency or insurer displayed: onboarding opportunity possible; existing business unknown</x:v>
      </x:c>
      <x:c r="AE1068"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1068" s="16" t="str"/>
      <x:c r="AG1068" s="17" t="str"/>
      <x:c r="AH1068" s="7" t="str"/>
      <x:c r="AI1068" s="7" t="str"/>
      <x:c r="AJ1068" s="7" t="str"/>
      <x:c r="AK1068" s="15" t="str"/>
      <x:c r="AL1068" s="7" t="str"/>
      <x:c r="AM1068" s="7" t="str">
        <x:v>AGUILAR MOJICA ROGER</x:v>
      </x:c>
      <x:c r="AN1068" s="7" t="str">
        <x:v>https://cdicloud.insurance.ca.gov/cal/LicenseDetail?SearchType=IND&amp;SearchLicNbr=0H35680&amp;SearchIndvId=1423913</x:v>
      </x:c>
      <x:c r="AO1068" s="7" t="str">
        <x:v>2026-10-08</x:v>
      </x:c>
      <x:c r="AP1068" s="7" t="str">
        <x:v>8ef3ad26d610bdde41674250e6b3cf3c17c206dc5100b02030642ae9dfbafd4f</x:v>
      </x:c>
      <x:c r="AQ1068" s="7" t="str">
        <x:v>Casualty / Active / 08/26/2026 / 08/26/2026 / 08/31/2028
Property / Active / 08/26/2026 / 08/26/2026 / 08/31/2028</x:v>
      </x:c>
      <x:c r="AR1068" s="7" t="str">
        <x:v>Active</x:v>
      </x:c>
      <x:c r="AS1068" s="7" t="str">
        <x:v>Current detail page</x:v>
      </x:c>
    </x:row>
    <x:row r="1069" ht="52" customHeight="1">
      <x:c r="A1069" s="7" t="str">
        <x:v>AGUILAR ROLANDO ALCASID</x:v>
      </x:c>
      <x:c r="B1069" s="14" t="str">
        <x:f>"0C92475"</x:f>
        <x:v>0C92475</x:v>
      </x:c>
      <x:c r="C1069" s="7" t="str">
        <x:v>Omitted</x:v>
      </x:c>
      <x:c r="D1069" s="7" t="str">
        <x:v>FAIL</x:v>
      </x:c>
      <x:c r="E1069" s="13" t="str">
        <x:v>Pending</x:v>
      </x:c>
      <x:c r="F1069" s="13" t="str"/>
      <x:c r="G1069" s="13" t="str"/>
      <x:c r="H1069" s="13" t="str"/>
      <x:c r="I1069" s="7" t="str">
        <x:v>Was this person reviewed? If rejected, give the actual rule and evidence. If acceptable, correct the omission. Confirm the Life-qualification gate and any record change since selection.</x:v>
      </x:c>
      <x:c r="J1069" s="7" t="str">
        <x:v>L1</x:v>
      </x:c>
      <x:c r="K1069" s="7" t="str">
        <x:v>Verified qualifications do not include active general Life. Current target-pool mismatch; actual historical omission reason unknown.</x:v>
      </x:c>
      <x:c r="L1069" s="7" t="str">
        <x:v>Not supplied; membership is known, motive is not</x:v>
      </x:c>
      <x:c r="M1069" s="7" t="n">
        <x:v>7</x:v>
      </x:c>
      <x:c r="N1069" s="7" t="str">
        <x:v>Outside current general-Life recruiting pool</x:v>
      </x:c>
      <x:c r="O1069" s="7" t="str">
        <x:v>Not displayed</x:v>
      </x:c>
      <x:c r="P1069" s="7" t="str"/>
      <x:c r="Q1069" s="7" t="str"/>
      <x:c r="R1069" s="7" t="str"/>
      <x:c r="S1069" s="15" t="str"/>
      <x:c r="T1069" s="7" t="str">
        <x:v>No public business phone in collected record</x:v>
      </x:c>
      <x:c r="U1069" s="7" t="str"/>
      <x:c r="V1069" s="7" t="str">
        <x:v>Resident</x:v>
      </x:c>
      <x:c r="W1069" s="7" t="str">
        <x:v>CA</x:v>
      </x:c>
      <x:c r="X1069" s="7" t="str"/>
      <x:c r="Y1069" s="7" t="str"/>
      <x:c r="Z1069" s="7" t="str"/>
      <x:c r="AA1069" s="7" t="str"/>
      <x:c r="AB1069" s="7" t="str"/>
      <x:c r="AC1069" s="7" t="str"/>
      <x:c r="AD1069" s="7" t="str">
        <x:v>No agency or insurer displayed: onboarding opportunity possible; existing business unknown</x:v>
      </x:c>
      <x:c r="AE1069" s="7" t="str">
        <x:v>No public business phone: contact enrichment needed, not proof of poor recruiting fit</x:v>
      </x:c>
      <x:c r="AF1069" s="16" t="str"/>
      <x:c r="AG1069" s="17" t="str"/>
      <x:c r="AH1069" s="7" t="str"/>
      <x:c r="AI1069" s="7" t="str"/>
      <x:c r="AJ1069" s="7" t="str"/>
      <x:c r="AK1069" s="15" t="str"/>
      <x:c r="AL1069" s="7" t="str"/>
      <x:c r="AM1069" s="7" t="str">
        <x:v>AGUILAR ALCASID ROLANDO</x:v>
      </x:c>
      <x:c r="AN1069" s="7" t="str">
        <x:v>https://cdicloud.insurance.ca.gov/cal/LicenseDetail?SearchType=IND&amp;SearchLicNbr=0C92475&amp;SearchIndvId=488714</x:v>
      </x:c>
      <x:c r="AO1069" s="7" t="str">
        <x:v>2026-10-08</x:v>
      </x:c>
      <x:c r="AP1069" s="7" t="str">
        <x:v>909542affdb944a8148948f6b8ebb7bac0818afe89a5373cd726a0a2202d03d7</x:v>
      </x:c>
      <x:c r="AQ1069" s="7" t="str">
        <x:v>Accident and Health / Inactive / 05/10/2000 / 05/31/2014 / 05/31/2014
Casualty Broker-Agent / Inactive / 11/22/2006 / 05/31/2014 / 05/31/2014
Life-Only / Inactive / 05/10/2000 / 05/31/2014 / 05/31/2014
Property Broker-Agent / Inactive / 11/22/2006 / 05/31/2014 / 05/31/2014
Variable Contracts / Inactive / 01/02/2002 / 05/31/2014 / 05/31/2014</x:v>
      </x:c>
      <x:c r="AR1069" s="7" t="str">
        <x:v>Inactive</x:v>
      </x:c>
      <x:c r="AS1069" s="7" t="str">
        <x:v>Current detail page</x:v>
      </x:c>
    </x:row>
    <x:row r="1070" ht="52" customHeight="1">
      <x:c r="A1070" s="7" t="str">
        <x:v>AGUILAR ROLANDO ANTONIO</x:v>
      </x:c>
      <x:c r="B1070" s="14" t="str">
        <x:f>"0A87471"</x:f>
        <x:v>0A87471</x:v>
      </x:c>
      <x:c r="C1070" s="7" t="str">
        <x:v>Omitted</x:v>
      </x:c>
      <x:c r="D1070" s="7" t="str">
        <x:v>FAIL</x:v>
      </x:c>
      <x:c r="E1070" s="13" t="str">
        <x:v>Pending</x:v>
      </x:c>
      <x:c r="F1070" s="13" t="str"/>
      <x:c r="G1070" s="13" t="str"/>
      <x:c r="H1070" s="13" t="str"/>
      <x:c r="I1070" s="7" t="str">
        <x:v>Was this person reviewed? If rejected, give the actual rule and evidence. If acceptable, correct the omission. Confirm the Life-qualification gate and any record change since selection.</x:v>
      </x:c>
      <x:c r="J1070" s="7" t="str">
        <x:v>L1</x:v>
      </x:c>
      <x:c r="K1070" s="7" t="str">
        <x:v>Verified qualifications do not include active general Life. Current target-pool mismatch; actual historical omission reason unknown.</x:v>
      </x:c>
      <x:c r="L1070" s="7" t="str">
        <x:v>Not supplied; membership is known, motive is not</x:v>
      </x:c>
      <x:c r="M1070" s="7" t="n">
        <x:v>7</x:v>
      </x:c>
      <x:c r="N1070" s="7" t="str">
        <x:v>Outside current general-Life recruiting pool</x:v>
      </x:c>
      <x:c r="O1070" s="7" t="str">
        <x:v>Not displayed</x:v>
      </x:c>
      <x:c r="P1070" s="7" t="str"/>
      <x:c r="Q1070" s="7" t="str"/>
      <x:c r="R1070" s="7" t="str"/>
      <x:c r="S1070" s="15" t="str"/>
      <x:c r="T1070" s="7" t="str">
        <x:v>No public business phone in collected record</x:v>
      </x:c>
      <x:c r="U1070" s="7" t="str"/>
      <x:c r="V1070" s="7" t="str">
        <x:v>Resident</x:v>
      </x:c>
      <x:c r="W1070" s="7" t="str">
        <x:v>CA</x:v>
      </x:c>
      <x:c r="X1070" s="7" t="str"/>
      <x:c r="Y1070" s="7" t="str"/>
      <x:c r="Z1070" s="7" t="str"/>
      <x:c r="AA1070" s="7" t="str"/>
      <x:c r="AB1070" s="7" t="str"/>
      <x:c r="AC1070" s="7" t="str"/>
      <x:c r="AD1070" s="7" t="str">
        <x:v>No agency or insurer displayed: onboarding opportunity possible; existing business unknown</x:v>
      </x:c>
      <x:c r="AE1070" s="7" t="str">
        <x:v>No public business phone: contact enrichment needed, not proof of poor recruiting fit</x:v>
      </x:c>
      <x:c r="AF1070" s="16" t="str"/>
      <x:c r="AG1070" s="17" t="str"/>
      <x:c r="AH1070" s="7" t="str"/>
      <x:c r="AI1070" s="7" t="str"/>
      <x:c r="AJ1070" s="7" t="str"/>
      <x:c r="AK1070" s="15" t="str"/>
      <x:c r="AL1070" s="7" t="str"/>
      <x:c r="AM1070" s="7" t="str">
        <x:v>AGUILAR ANTONIO ROLANDO</x:v>
      </x:c>
      <x:c r="AN1070" s="7" t="str">
        <x:v>https://cdicloud.insurance.ca.gov/cal/LicenseDetail?SearchType=IND&amp;SearchLicNbr=0A87471&amp;SearchIndvId=173457</x:v>
      </x:c>
      <x:c r="AO1070" s="7" t="str">
        <x:v>2026-10-08</x:v>
      </x:c>
      <x:c r="AP1070" s="7" t="str">
        <x:v>4ea041e1fbecb7e54f22fa354eb8a943642875cfd0a22761094a4be98562384b</x:v>
      </x:c>
      <x:c r="AQ1070" s="7" t="str">
        <x:v>Accident and Health / Inactive / 09/18/1991 / 04/30/1997 / 04/30/1997
Life-Only / Inactive / 09/18/1991 / 04/30/1997 / 04/30/1997</x:v>
      </x:c>
      <x:c r="AR1070" s="7" t="str">
        <x:v>Inactive</x:v>
      </x:c>
      <x:c r="AS1070" s="7" t="str">
        <x:v>Current detail page</x:v>
      </x:c>
    </x:row>
    <x:row r="1071" ht="52" customHeight="1">
      <x:c r="A1071" s="7" t="str">
        <x:v>AGUILAR ROMAN NATALI MARIELA</x:v>
      </x:c>
      <x:c r="B1071" s="14" t="str">
        <x:f>"4254050"</x:f>
        <x:v>4254050</x:v>
      </x:c>
      <x:c r="C1071" s="7" t="str">
        <x:v>Omitted</x:v>
      </x:c>
      <x:c r="D1071" s="7" t="str">
        <x:v>FAIL</x:v>
      </x:c>
      <x:c r="E1071" s="13" t="str">
        <x:v>Pending</x:v>
      </x:c>
      <x:c r="F1071" s="13" t="str"/>
      <x:c r="G1071" s="13" t="str"/>
      <x:c r="H1071" s="13" t="str"/>
      <x:c r="I1071" s="7" t="str">
        <x:v>Was this person reviewed? If rejected, give the actual rule and evidence. If acceptable, correct the omission. Confirm the Life-qualification gate and any record change since selection.</x:v>
      </x:c>
      <x:c r="J1071" s="7" t="str">
        <x:v>L1</x:v>
      </x:c>
      <x:c r="K1071" s="7" t="str">
        <x:v>Verified qualifications do not include active general Life. Current target-pool mismatch; actual historical omission reason unknown.</x:v>
      </x:c>
      <x:c r="L1071" s="7" t="str">
        <x:v>Not supplied; membership is known, motive is not</x:v>
      </x:c>
      <x:c r="M1071" s="7" t="n">
        <x:v>7</x:v>
      </x:c>
      <x:c r="N1071" s="7" t="str">
        <x:v>Outside current general-Life recruiting pool</x:v>
      </x:c>
      <x:c r="O1071" s="7" t="str">
        <x:v>Inactive</x:v>
      </x:c>
      <x:c r="P1071" s="7" t="str">
        <x:v>11/10/2022</x:v>
      </x:c>
      <x:c r="Q1071" s="7" t="str">
        <x:v>11/30/2024</x:v>
      </x:c>
      <x:c r="R1071" s="7" t="str"/>
      <x:c r="S1071" s="15" t="str"/>
      <x:c r="T1071" s="7" t="str">
        <x:v>No public business phone in collected record</x:v>
      </x:c>
      <x:c r="U1071" s="7" t="str">
        <x:v>2901 PARK AVE SUITE A2 SOQUEL CA, 95073</x:v>
      </x:c>
      <x:c r="V1071" s="7" t="str">
        <x:v>Resident</x:v>
      </x:c>
      <x:c r="W1071" s="7" t="str">
        <x:v>CA</x:v>
      </x:c>
      <x:c r="X1071" s="7" t="str"/>
      <x:c r="Y1071" s="7" t="str"/>
      <x:c r="Z1071" s="7" t="str"/>
      <x:c r="AA1071" s="7" t="str"/>
      <x:c r="AB1071" s="7" t="str"/>
      <x:c r="AC1071" s="7" t="str"/>
      <x:c r="AD1071" s="7" t="str">
        <x:v>No agency or insurer displayed: onboarding opportunity possible; existing business unknown</x:v>
      </x:c>
      <x:c r="AE1071" s="7" t="str">
        <x:v>No public business phone: contact enrichment needed, not proof of poor recruiting fit</x:v>
      </x:c>
      <x:c r="AF1071" s="16" t="str"/>
      <x:c r="AG1071" s="17" t="str"/>
      <x:c r="AH1071" s="7" t="str"/>
      <x:c r="AI1071" s="7" t="str"/>
      <x:c r="AJ1071" s="7" t="str"/>
      <x:c r="AK1071" s="15" t="str"/>
      <x:c r="AL1071" s="7" t="str"/>
      <x:c r="AM1071" s="7" t="str">
        <x:v>AGUILAR ROMAN Mariela NATALI</x:v>
      </x:c>
      <x:c r="AN1071" s="7" t="str">
        <x:v>https://cdicloud.insurance.ca.gov/cal/LicenseDetail?SearchType=IND&amp;SearchLicNbr=4254050&amp;SearchIndvId=4254050</x:v>
      </x:c>
      <x:c r="AO1071" s="7" t="str">
        <x:v>2026-10-08</x:v>
      </x:c>
      <x:c r="AP1071" s="7" t="str">
        <x:v>d6e6974c7a56393a1136ed08c6ad26bb1b6885f01a9b4e849aa69aa9a2f7f62c</x:v>
      </x:c>
      <x:c r="AQ1071" s="7" t="str">
        <x:v>Life / Inactive / 11/10/2022 / 11/30/2024 / 11/30/2024</x:v>
      </x:c>
      <x:c r="AR1071" s="7" t="str">
        <x:v>Inactive</x:v>
      </x:c>
      <x:c r="AS1071" s="7" t="str">
        <x:v>Current detail page</x:v>
      </x:c>
    </x:row>
    <x:row r="1072" ht="52" customHeight="1">
      <x:c r="A1072" s="7" t="str">
        <x:v>AGUILAR ROMERO JONATHAN ALBERTO</x:v>
      </x:c>
      <x:c r="B1072" s="14" t="str">
        <x:f>"4180383"</x:f>
        <x:v>4180383</x:v>
      </x:c>
      <x:c r="C1072" s="7" t="str">
        <x:v>Omitted</x:v>
      </x:c>
      <x:c r="D1072" s="7" t="str">
        <x:v>FAIL</x:v>
      </x:c>
      <x:c r="E1072" s="13" t="str">
        <x:v>Pending</x:v>
      </x:c>
      <x:c r="F1072" s="13" t="str"/>
      <x:c r="G1072" s="13" t="str"/>
      <x:c r="H1072" s="13" t="str"/>
      <x:c r="I1072" s="7" t="str">
        <x:v>Was this person reviewed? If rejected, give the actual rule and evidence. If acceptable, correct the omission. Confirm the Life-qualification gate and any record change since selection.</x:v>
      </x:c>
      <x:c r="J1072" s="7" t="str">
        <x:v>L1</x:v>
      </x:c>
      <x:c r="K1072" s="7" t="str">
        <x:v>Verified qualifications do not include active general Life. Current target-pool mismatch; actual historical omission reason unknown.</x:v>
      </x:c>
      <x:c r="L1072" s="7" t="str">
        <x:v>Not supplied; membership is known, motive is not</x:v>
      </x:c>
      <x:c r="M1072" s="7" t="n">
        <x:v>7</x:v>
      </x:c>
      <x:c r="N1072" s="7" t="str">
        <x:v>Outside current general-Life recruiting pool</x:v>
      </x:c>
      <x:c r="O1072" s="7" t="str">
        <x:v>Not displayed</x:v>
      </x:c>
      <x:c r="P1072" s="7" t="str"/>
      <x:c r="Q1072" s="7" t="str"/>
      <x:c r="R1072" s="7" t="str"/>
      <x:c r="S1072" s="15" t="str">
        <x:v>323-382-5427</x:v>
      </x:c>
      <x:c r="T1072" s="7" t="str">
        <x:v>Current CDI</x:v>
      </x:c>
      <x:c r="U1072" s="7" t="str">
        <x:v>3333 FAIRVIEW RD - A124 COSTA MESA CA, 92626</x:v>
      </x:c>
      <x:c r="V1072" s="7" t="str">
        <x:v>Resident</x:v>
      </x:c>
      <x:c r="W1072" s="7" t="str">
        <x:v>CA</x:v>
      </x:c>
      <x:c r="X1072" s="7" t="str"/>
      <x:c r="Y1072" s="7" t="str"/>
      <x:c r="Z1072" s="7" t="str"/>
      <x:c r="AA1072" s="7" t="str"/>
      <x:c r="AB1072" s="7" t="str"/>
      <x:c r="AC1072" s="7" t="str"/>
      <x:c r="AD1072" s="7" t="str">
        <x:v>No agency or insurer displayed: onboarding opportunity possible; existing business unknown</x:v>
      </x:c>
      <x:c r="AE1072" s="7" t="str"/>
      <x:c r="AF1072" s="16" t="str"/>
      <x:c r="AG1072" s="17" t="str"/>
      <x:c r="AH1072" s="7" t="str"/>
      <x:c r="AI1072" s="7" t="str">
        <x:v>English</x:v>
      </x:c>
      <x:c r="AJ1072" s="7" t="str"/>
      <x:c r="AK1072" s="15" t="str"/>
      <x:c r="AL1072" s="7" t="str"/>
      <x:c r="AM1072" s="7" t="str">
        <x:v>AGUILAR ROMERO ALBERTO JONATHAN</x:v>
      </x:c>
      <x:c r="AN1072" s="7" t="str">
        <x:v>https://cdicloud.insurance.ca.gov/cal/LicenseDetail?SearchType=IND&amp;SearchLicNbr=4180383&amp;SearchIndvId=4180383</x:v>
      </x:c>
      <x:c r="AO1072" s="7" t="str">
        <x:v>2026-10-08</x:v>
      </x:c>
      <x:c r="AP1072" s="7" t="str">
        <x:v>02d84f8929a018fc518ac7c4a835efa3440d50149d0df67620673515e1f8c539</x:v>
      </x:c>
      <x:c r="AQ1072" s="7" t="str">
        <x:v>Personal Lines / Inactive / 02/02/2022 / 02/29/2024 / 02/29/2024</x:v>
      </x:c>
      <x:c r="AR1072" s="7" t="str">
        <x:v>Inactive</x:v>
      </x:c>
      <x:c r="AS1072" s="7" t="str">
        <x:v>Current detail page</x:v>
      </x:c>
    </x:row>
    <x:row r="1073" ht="52" customHeight="1">
      <x:c r="A1073" s="7" t="str">
        <x:v>AGUILAR ROMERO ROBERTO CARLOS</x:v>
      </x:c>
      <x:c r="B1073" s="14" t="str">
        <x:f>"4182827"</x:f>
        <x:v>4182827</x:v>
      </x:c>
      <x:c r="C1073" s="7" t="str">
        <x:v>Omitted</x:v>
      </x:c>
      <x:c r="D1073" s="7" t="str">
        <x:v>FAIL</x:v>
      </x:c>
      <x:c r="E1073" s="13" t="str">
        <x:v>Pending</x:v>
      </x:c>
      <x:c r="F1073" s="13" t="str"/>
      <x:c r="G1073" s="13" t="str"/>
      <x:c r="H1073" s="13" t="str"/>
      <x:c r="I1073" s="7" t="str">
        <x:v>Was this person reviewed? If rejected, give the actual rule and evidence. If acceptable, correct the omission. Confirm the Life-qualification gate and any record change since selection.</x:v>
      </x:c>
      <x:c r="J1073" s="7" t="str">
        <x:v>L1</x:v>
      </x:c>
      <x:c r="K1073" s="7" t="str">
        <x:v>Verified qualifications do not include active general Life. Current target-pool mismatch; actual historical omission reason unknown.</x:v>
      </x:c>
      <x:c r="L1073" s="7" t="str">
        <x:v>Not supplied; membership is known, motive is not</x:v>
      </x:c>
      <x:c r="M1073" s="7" t="n">
        <x:v>7</x:v>
      </x:c>
      <x:c r="N1073" s="7" t="str">
        <x:v>Outside current general-Life recruiting pool</x:v>
      </x:c>
      <x:c r="O1073" s="7" t="str">
        <x:v>Inactive</x:v>
      </x:c>
      <x:c r="P1073" s="7" t="str">
        <x:v>12/31/2021</x:v>
      </x:c>
      <x:c r="Q1073" s="7" t="str">
        <x:v>12/31/2023</x:v>
      </x:c>
      <x:c r="R1073" s="7" t="str"/>
      <x:c r="S1073" s="15" t="str">
        <x:v>818-425-9896</x:v>
      </x:c>
      <x:c r="T1073" s="7" t="str">
        <x:v>Current CDI</x:v>
      </x:c>
      <x:c r="U1073" s="7" t="str">
        <x:v>19524 NORDOFF ST STE 8 NORTHRIDGE CA, 91324</x:v>
      </x:c>
      <x:c r="V1073" s="7" t="str">
        <x:v>Resident</x:v>
      </x:c>
      <x:c r="W1073" s="7" t="str">
        <x:v>CA</x:v>
      </x:c>
      <x:c r="X1073" s="7" t="str"/>
      <x:c r="Y1073" s="7" t="str"/>
      <x:c r="Z1073" s="7" t="str"/>
      <x:c r="AA1073" s="7" t="str"/>
      <x:c r="AB1073" s="7" t="str"/>
      <x:c r="AC1073" s="7" t="str"/>
      <x:c r="AD1073" s="7" t="str">
        <x:v>No agency or insurer displayed: onboarding opportunity possible; existing business unknown</x:v>
      </x:c>
      <x:c r="AE1073" s="7" t="str"/>
      <x:c r="AF1073" s="16" t="str"/>
      <x:c r="AG1073" s="17" t="str"/>
      <x:c r="AH1073" s="7" t="str"/>
      <x:c r="AI1073" s="7" t="str">
        <x:v>English</x:v>
      </x:c>
      <x:c r="AJ1073" s="7" t="str"/>
      <x:c r="AK1073" s="15" t="str"/>
      <x:c r="AL1073" s="7" t="str"/>
      <x:c r="AM1073" s="7" t="str">
        <x:v>AGUILAR ROMERO CARLOS ROBERTO</x:v>
      </x:c>
      <x:c r="AN1073" s="7" t="str">
        <x:v>https://cdicloud.insurance.ca.gov/cal/LicenseDetail?SearchType=IND&amp;SearchLicNbr=4182827&amp;SearchIndvId=4182827</x:v>
      </x:c>
      <x:c r="AO1073" s="7" t="str">
        <x:v>2026-10-08</x:v>
      </x:c>
      <x:c r="AP1073" s="7" t="str">
        <x:v>a509cc4b1abdc26349e83af6d405fe51074fd382fca72955748f7a85dc359ed3</x:v>
      </x:c>
      <x:c r="AQ1073" s="7" t="str">
        <x:v>Life / Inactive / 12/31/2021 / 12/31/2023 / 12/31/2023</x:v>
      </x:c>
      <x:c r="AR1073" s="7" t="str">
        <x:v>Inactive</x:v>
      </x:c>
      <x:c r="AS1073" s="7" t="str">
        <x:v>Current detail page</x:v>
      </x:c>
    </x:row>
    <x:row r="1074" ht="52" customHeight="1">
      <x:c r="A1074" s="7" t="str">
        <x:v>AGUILAR ROSA</x:v>
      </x:c>
      <x:c r="B1074" s="14" t="str">
        <x:f>"0M88054"</x:f>
        <x:v>0M88054</x:v>
      </x:c>
      <x:c r="C1074" s="7" t="str">
        <x:v>Omitted</x:v>
      </x:c>
      <x:c r="D1074" s="7" t="str">
        <x:v>FAIL</x:v>
      </x:c>
      <x:c r="E1074" s="13" t="str">
        <x:v>Pending</x:v>
      </x:c>
      <x:c r="F1074" s="13" t="str"/>
      <x:c r="G1074" s="13" t="str"/>
      <x:c r="H1074" s="13" t="str"/>
      <x:c r="I1074" s="7" t="str">
        <x:v>Was this person reviewed? If rejected, give the actual rule and evidence. If acceptable, correct the omission. Confirm the Life-qualification gate and any record change since selection.</x:v>
      </x:c>
      <x:c r="J1074" s="7" t="str">
        <x:v>L1</x:v>
      </x:c>
      <x:c r="K1074" s="7" t="str">
        <x:v>Verified qualifications do not include active general Life. Current target-pool mismatch; actual historical omission reason unknown.</x:v>
      </x:c>
      <x:c r="L1074" s="7" t="str">
        <x:v>Not supplied; membership is known, motive is not</x:v>
      </x:c>
      <x:c r="M1074" s="7" t="n">
        <x:v>7</x:v>
      </x:c>
      <x:c r="N1074" s="7" t="str">
        <x:v>Outside current general-Life recruiting pool</x:v>
      </x:c>
      <x:c r="O1074" s="7" t="str">
        <x:v>Not displayed</x:v>
      </x:c>
      <x:c r="P1074" s="7" t="str"/>
      <x:c r="Q1074" s="7" t="str"/>
      <x:c r="R1074" s="7" t="str"/>
      <x:c r="S1074" s="15" t="str"/>
      <x:c r="T1074" s="7" t="str">
        <x:v>No public business phone in collected record</x:v>
      </x:c>
      <x:c r="U1074" s="7" t="str"/>
      <x:c r="V1074" s="7" t="str">
        <x:v>Resident</x:v>
      </x:c>
      <x:c r="W1074" s="7" t="str">
        <x:v>CA</x:v>
      </x:c>
      <x:c r="X1074" s="7" t="str"/>
      <x:c r="Y1074" s="7" t="str"/>
      <x:c r="Z1074" s="7" t="str"/>
      <x:c r="AA1074" s="7" t="str"/>
      <x:c r="AB1074" s="7" t="str"/>
      <x:c r="AC1074" s="7" t="str"/>
      <x:c r="AD1074" s="7" t="str">
        <x:v>No agency or insurer displayed: onboarding opportunity possible; existing business unknown</x:v>
      </x:c>
      <x:c r="AE1074" s="7" t="str">
        <x:v>No public business phone: contact enrichment needed, not proof of poor recruiting fit</x:v>
      </x:c>
      <x:c r="AF1074" s="16" t="str"/>
      <x:c r="AG1074" s="17" t="str"/>
      <x:c r="AH1074" s="7" t="str"/>
      <x:c r="AI1074" s="7" t="str"/>
      <x:c r="AJ1074" s="7" t="str"/>
      <x:c r="AK1074" s="15" t="str"/>
      <x:c r="AL1074" s="7" t="str"/>
      <x:c r="AM1074" s="7" t="str">
        <x:v>AGUILAR  ROSA</x:v>
      </x:c>
      <x:c r="AN1074" s="7" t="str">
        <x:v>https://cdicloud.insurance.ca.gov/cal/LicenseDetail?SearchType=IND&amp;SearchLicNbr=0M88054&amp;SearchIndvId=2064406</x:v>
      </x:c>
      <x:c r="AO1074" s="7" t="str">
        <x:v>2026-10-08</x:v>
      </x:c>
      <x:c r="AP1074" s="7" t="str">
        <x:v>a2bcd7e10324c2a01092d1c29f5ee5df97b1b326f98a21dc29fac1502aa575c0</x:v>
      </x:c>
      <x:c r="AQ1074" s="7" t="str">
        <x:v>Life-Only / Inactive / 03/19/2019 / 03/31/2021 / 03/31/2021</x:v>
      </x:c>
      <x:c r="AR1074" s="7" t="str">
        <x:v>Inactive</x:v>
      </x:c>
      <x:c r="AS1074" s="7" t="str">
        <x:v>Current detail page</x:v>
      </x:c>
    </x:row>
    <x:row r="1075" ht="52" customHeight="1">
      <x:c r="A1075" s="7" t="str">
        <x:v>AGUILAR ROSA MARIA</x:v>
      </x:c>
      <x:c r="B1075" s="14" t="str">
        <x:f>"0I07922"</x:f>
        <x:v>0I07922</x:v>
      </x:c>
      <x:c r="C1075" s="7" t="str">
        <x:v>Omitted</x:v>
      </x:c>
      <x:c r="D1075" s="7" t="str">
        <x:v>FAIL</x:v>
      </x:c>
      <x:c r="E1075" s="13" t="str">
        <x:v>Pending</x:v>
      </x:c>
      <x:c r="F1075" s="13" t="str"/>
      <x:c r="G1075" s="13" t="str"/>
      <x:c r="H1075" s="13" t="str"/>
      <x:c r="I1075" s="7" t="str">
        <x:v>Was this person reviewed? If rejected, give the actual rule and evidence. If acceptable, correct the omission. Confirm the Life-qualification gate and any record change since selection.</x:v>
      </x:c>
      <x:c r="J1075" s="7" t="str">
        <x:v>L1</x:v>
      </x:c>
      <x:c r="K1075" s="7" t="str">
        <x:v>Verified qualifications do not include active general Life. Current target-pool mismatch; actual historical omission reason unknown.</x:v>
      </x:c>
      <x:c r="L1075" s="7" t="str">
        <x:v>Not supplied; membership is known, motive is not</x:v>
      </x:c>
      <x:c r="M1075" s="7" t="n">
        <x:v>7</x:v>
      </x:c>
      <x:c r="N1075" s="7" t="str">
        <x:v>Outside current general-Life recruiting pool</x:v>
      </x:c>
      <x:c r="O1075" s="7" t="str">
        <x:v>Not displayed</x:v>
      </x:c>
      <x:c r="P1075" s="7" t="str"/>
      <x:c r="Q1075" s="7" t="str"/>
      <x:c r="R1075" s="7" t="str"/>
      <x:c r="S1075" s="15" t="str"/>
      <x:c r="T1075" s="7" t="str">
        <x:v>No public business phone in collected record</x:v>
      </x:c>
      <x:c r="U1075" s="7" t="str"/>
      <x:c r="V1075" s="7" t="str">
        <x:v>Resident</x:v>
      </x:c>
      <x:c r="W1075" s="7" t="str">
        <x:v>CA</x:v>
      </x:c>
      <x:c r="X1075" s="7" t="str"/>
      <x:c r="Y1075" s="7" t="str"/>
      <x:c r="Z1075" s="7" t="str"/>
      <x:c r="AA1075" s="7" t="str"/>
      <x:c r="AB1075" s="7" t="str"/>
      <x:c r="AC1075" s="7" t="str"/>
      <x:c r="AD1075" s="7" t="str">
        <x:v>No agency or insurer displayed: onboarding opportunity possible; existing business unknown</x:v>
      </x:c>
      <x:c r="AE1075" s="7" t="str">
        <x:v>No public business phone: contact enrichment needed, not proof of poor recruiting fit</x:v>
      </x:c>
      <x:c r="AF1075" s="16" t="str"/>
      <x:c r="AG1075" s="17" t="str"/>
      <x:c r="AH1075" s="7" t="str"/>
      <x:c r="AI1075" s="7" t="str"/>
      <x:c r="AJ1075" s="7" t="str"/>
      <x:c r="AK1075" s="15" t="str"/>
      <x:c r="AL1075" s="7" t="str"/>
      <x:c r="AM1075" s="7" t="str">
        <x:v>AGUILAR MARIA ROSA</x:v>
      </x:c>
      <x:c r="AN1075" s="7" t="str">
        <x:v>https://cdicloud.insurance.ca.gov/cal/LicenseDetail?SearchType=IND&amp;SearchLicNbr=0I07922&amp;SearchIndvId=1533737</x:v>
      </x:c>
      <x:c r="AO1075" s="7" t="str">
        <x:v>2026-10-08</x:v>
      </x:c>
      <x:c r="AP1075" s="7" t="str">
        <x:v>3098fdabb6b383a2b365b62fbde022b813e024f68890a712f56748fb5c65c00d</x:v>
      </x:c>
      <x:c r="AQ1075" s="7" t="str">
        <x:v>Casualty Broker-Agent / Inactive / 10/09/2012 / 10/31/2014 / 10/31/2014
Life-Only / Inactive / 05/10/2017 / 05/31/2019 / 05/31/2019
Property Broker-Agent / Inactive / 10/09/2012 / 10/31/2014 / 10/31/2014</x:v>
      </x:c>
      <x:c r="AR1075" s="7" t="str">
        <x:v>Inactive</x:v>
      </x:c>
      <x:c r="AS1075" s="7" t="str">
        <x:v>Current detail page</x:v>
      </x:c>
    </x:row>
    <x:row r="1076" ht="52" customHeight="1">
      <x:c r="A1076" s="7" t="str">
        <x:v>AGUILAR ROSA ORTIZ</x:v>
      </x:c>
      <x:c r="B1076" s="14" t="str">
        <x:f>"0C27493"</x:f>
        <x:v>0C27493</x:v>
      </x:c>
      <x:c r="C1076" s="7" t="str">
        <x:v>Omitted</x:v>
      </x:c>
      <x:c r="D1076" s="7" t="str">
        <x:v>FAIL</x:v>
      </x:c>
      <x:c r="E1076" s="13" t="str">
        <x:v>Pending</x:v>
      </x:c>
      <x:c r="F1076" s="13" t="str"/>
      <x:c r="G1076" s="13" t="str"/>
      <x:c r="H1076" s="13" t="str"/>
      <x:c r="I1076" s="7" t="str">
        <x:v>Was this person reviewed? If rejected, give the actual rule and evidence. If acceptable, correct the omission. Confirm the Life-qualification gate and any record change since selection.</x:v>
      </x:c>
      <x:c r="J1076" s="7" t="str">
        <x:v>L1</x:v>
      </x:c>
      <x:c r="K1076" s="7" t="str">
        <x:v>Verified qualifications do not include active general Life. Current target-pool mismatch; actual historical omission reason unknown.</x:v>
      </x:c>
      <x:c r="L1076" s="7" t="str">
        <x:v>Not supplied; membership is known, motive is not</x:v>
      </x:c>
      <x:c r="M1076" s="7" t="n">
        <x:v>7</x:v>
      </x:c>
      <x:c r="N1076" s="7" t="str">
        <x:v>Outside current general-Life recruiting pool</x:v>
      </x:c>
      <x:c r="O1076" s="7" t="str">
        <x:v>Not displayed</x:v>
      </x:c>
      <x:c r="P1076" s="7" t="str"/>
      <x:c r="Q1076" s="7" t="str"/>
      <x:c r="R1076" s="7" t="str"/>
      <x:c r="S1076" s="15" t="str"/>
      <x:c r="T1076" s="7" t="str">
        <x:v>No public business phone in collected record</x:v>
      </x:c>
      <x:c r="U1076" s="7" t="str"/>
      <x:c r="V1076" s="7" t="str">
        <x:v>Resident</x:v>
      </x:c>
      <x:c r="W1076" s="7" t="str">
        <x:v>CA</x:v>
      </x:c>
      <x:c r="X1076" s="7" t="str"/>
      <x:c r="Y1076" s="7" t="str"/>
      <x:c r="Z1076" s="7" t="str"/>
      <x:c r="AA1076" s="7" t="str"/>
      <x:c r="AB1076" s="7" t="str"/>
      <x:c r="AC1076" s="7" t="str"/>
      <x:c r="AD1076" s="7" t="str">
        <x:v>No agency or insurer displayed: onboarding opportunity possible; existing business unknown</x:v>
      </x:c>
      <x:c r="AE1076" s="7" t="str">
        <x:v>No public business phone: contact enrichment needed, not proof of poor recruiting fit</x:v>
      </x:c>
      <x:c r="AF1076" s="16" t="str"/>
      <x:c r="AG1076" s="17" t="str"/>
      <x:c r="AH1076" s="7" t="str"/>
      <x:c r="AI1076" s="7" t="str"/>
      <x:c r="AJ1076" s="7" t="str"/>
      <x:c r="AK1076" s="15" t="str"/>
      <x:c r="AL1076" s="7" t="str"/>
      <x:c r="AM1076" s="7" t="str">
        <x:v>AGUILAR ORTIZ ROSA</x:v>
      </x:c>
      <x:c r="AN1076" s="7" t="str">
        <x:v>https://cdicloud.insurance.ca.gov/cal/LicenseDetail?SearchType=IND&amp;SearchLicNbr=0C27493&amp;SearchIndvId=302714</x:v>
      </x:c>
      <x:c r="AO1076" s="7" t="str">
        <x:v>2026-10-08</x:v>
      </x:c>
      <x:c r="AP1076" s="7" t="str">
        <x:v>2e9747d36457ee616faeca59065ce6afcd5986eb08ea91ae50bb6c03a5ba0df2</x:v>
      </x:c>
      <x:c r="AQ1076" s="7" t="str">
        <x:v>Casualty Broker-Agent / Inactive / 03/21/1998 / 03/31/2006 / 03/31/2006
Property Broker-Agent / Inactive / 03/21/1998 / 03/31/2006 / 03/31/2006</x:v>
      </x:c>
      <x:c r="AR1076" s="7" t="str">
        <x:v>Inactive</x:v>
      </x:c>
      <x:c r="AS1076" s="7" t="str">
        <x:v>Current detail page</x:v>
      </x:c>
    </x:row>
    <x:row r="1077" ht="52" customHeight="1">
      <x:c r="A1077" s="7" t="str">
        <x:v>AGUILAR ROSA PATRICIA</x:v>
      </x:c>
      <x:c r="B1077" s="14" t="str">
        <x:f>"0G28208"</x:f>
        <x:v>0G28208</x:v>
      </x:c>
      <x:c r="C1077" s="7" t="str">
        <x:v>Omitted</x:v>
      </x:c>
      <x:c r="D1077" s="7" t="str">
        <x:v>FAIL</x:v>
      </x:c>
      <x:c r="E1077" s="13" t="str">
        <x:v>Pending</x:v>
      </x:c>
      <x:c r="F1077" s="13" t="str"/>
      <x:c r="G1077" s="13" t="str"/>
      <x:c r="H1077" s="13" t="str"/>
      <x:c r="I1077" s="7" t="str">
        <x:v>Was this person reviewed? If rejected, give the actual rule and evidence. If acceptable, correct the omission. Confirm the Life-qualification gate and any record change since selection.</x:v>
      </x:c>
      <x:c r="J1077" s="7" t="str">
        <x:v>L1</x:v>
      </x:c>
      <x:c r="K1077" s="7" t="str">
        <x:v>Verified qualifications do not include active general Life. Current target-pool mismatch; actual historical omission reason unknown.</x:v>
      </x:c>
      <x:c r="L1077" s="7" t="str">
        <x:v>Not supplied; membership is known, motive is not</x:v>
      </x:c>
      <x:c r="M1077" s="7" t="n">
        <x:v>7</x:v>
      </x:c>
      <x:c r="N1077" s="7" t="str">
        <x:v>Outside current general-Life recruiting pool</x:v>
      </x:c>
      <x:c r="O1077" s="7" t="str">
        <x:v>Not displayed</x:v>
      </x:c>
      <x:c r="P1077" s="7" t="str"/>
      <x:c r="Q1077" s="7" t="str"/>
      <x:c r="R1077" s="7" t="str"/>
      <x:c r="S1077" s="15" t="str"/>
      <x:c r="T1077" s="7" t="str">
        <x:v>No public business phone in collected record</x:v>
      </x:c>
      <x:c r="U1077" s="7" t="str"/>
      <x:c r="V1077" s="7" t="str">
        <x:v>Resident</x:v>
      </x:c>
      <x:c r="W1077" s="7" t="str">
        <x:v>CA</x:v>
      </x:c>
      <x:c r="X1077" s="7" t="str"/>
      <x:c r="Y1077" s="7" t="str"/>
      <x:c r="Z1077" s="7" t="str"/>
      <x:c r="AA1077" s="7" t="str"/>
      <x:c r="AB1077" s="7" t="str"/>
      <x:c r="AC1077" s="7" t="str"/>
      <x:c r="AD1077" s="7" t="str">
        <x:v>No agency or insurer displayed: onboarding opportunity possible; existing business unknown</x:v>
      </x:c>
      <x:c r="AE1077" s="7" t="str">
        <x:v>No public business phone: contact enrichment needed, not proof of poor recruiting fit</x:v>
      </x:c>
      <x:c r="AF1077" s="16" t="str"/>
      <x:c r="AG1077" s="17" t="str"/>
      <x:c r="AH1077" s="7" t="str"/>
      <x:c r="AI1077" s="7" t="str">
        <x:v>English, Spanish, Spanish</x:v>
      </x:c>
      <x:c r="AJ1077" s="7" t="str"/>
      <x:c r="AK1077" s="15" t="str"/>
      <x:c r="AL1077" s="7" t="str"/>
      <x:c r="AM1077" s="7" t="str">
        <x:v>AGUILAR PATRICIA ROSA</x:v>
      </x:c>
      <x:c r="AN1077" s="7" t="str">
        <x:v>https://cdicloud.insurance.ca.gov/cal/LicenseDetail?SearchType=IND&amp;SearchLicNbr=0G28208&amp;SearchIndvId=1176137</x:v>
      </x:c>
      <x:c r="AO1077" s="7" t="str">
        <x:v>2026-10-08</x:v>
      </x:c>
      <x:c r="AP1077" s="7" t="str">
        <x:v>c3eb15be0d56d3207742fdb9c99907666209cf5c1120726f92363463ec1d53d4</x:v>
      </x:c>
      <x:c r="AQ1077" s="7" t="str">
        <x:v>Accident and Health / Inactive / 05/06/2015 / 05/31/2019 / 05/31/2019
Casualty Broker-Agent / Inactive / 01/04/2016 / 05/31/2019 / 05/31/2019
Life-Only / Inactive / 08/28/2008 / 05/31/2019 / 05/31/2019
Property Broker-Agent / Inactive / 01/04/2016 / 05/31/2019 / 05/31/2019</x:v>
      </x:c>
      <x:c r="AR1077" s="7" t="str">
        <x:v>Inactive</x:v>
      </x:c>
      <x:c r="AS1077" s="7" t="str">
        <x:v>Current detail page</x:v>
      </x:c>
    </x:row>
    <x:row r="1078" ht="52" customHeight="1">
      <x:c r="A1078" s="7" t="str">
        <x:v>AGUILAR ROSALBA</x:v>
      </x:c>
      <x:c r="B1078" s="14" t="str">
        <x:f>"4310442"</x:f>
        <x:v>4310442</x:v>
      </x:c>
      <x:c r="C1078" s="7" t="str">
        <x:v>Omitted</x:v>
      </x:c>
      <x:c r="D1078" s="7" t="str">
        <x:v>FAIL</x:v>
      </x:c>
      <x:c r="E1078" s="13" t="str">
        <x:v>Pending</x:v>
      </x:c>
      <x:c r="F1078" s="13" t="str"/>
      <x:c r="G1078" s="13" t="str"/>
      <x:c r="H1078" s="13" t="str"/>
      <x:c r="I1078" s="7" t="str">
        <x:v>Was this person reviewed? If rejected, give the actual rule and evidence. If acceptable, correct the omission. Confirm the Life-qualification gate and any record change since selection.</x:v>
      </x:c>
      <x:c r="J1078" s="7" t="str">
        <x:v>L1</x:v>
      </x:c>
      <x:c r="K1078" s="7" t="str">
        <x:v>Verified qualifications do not include active general Life. Current target-pool mismatch; actual historical omission reason unknown.</x:v>
      </x:c>
      <x:c r="L1078" s="7" t="str">
        <x:v>Not supplied; membership is known, motive is not</x:v>
      </x:c>
      <x:c r="M1078" s="7" t="n">
        <x:v>7</x:v>
      </x:c>
      <x:c r="N1078" s="7" t="str">
        <x:v>Outside current general-Life recruiting pool</x:v>
      </x:c>
      <x:c r="O1078" s="7" t="str">
        <x:v>Not displayed</x:v>
      </x:c>
      <x:c r="P1078" s="7" t="str"/>
      <x:c r="Q1078" s="7" t="str"/>
      <x:c r="R1078" s="7" t="str">
        <x:v>Casualty; Property</x:v>
      </x:c>
      <x:c r="S1078" s="15" t="str">
        <x:v>714-992-2390</x:v>
      </x:c>
      <x:c r="T1078" s="7" t="str">
        <x:v>Current CDI</x:v>
      </x:c>
      <x:c r="U1078" s="7" t="str">
        <x:v>830 S EUCLID AVE FULLERTON CA, 92836</x:v>
      </x:c>
      <x:c r="V1078" s="7" t="str">
        <x:v>Resident</x:v>
      </x:c>
      <x:c r="W1078" s="7" t="str">
        <x:v>CA</x:v>
      </x:c>
      <x:c r="X1078" s="7" t="str">
        <x:v>ALLCO FULLERTON INSURANCE AGENCY,INC / Casualty / 05/24/2024
ALLCO FULLERTON INSURANCE AGENCY,INC / Property / 05/24/2024</x:v>
      </x:c>
      <x:c r="Y1078" s="7" t="str">
        <x:v>ALLMERICA FINANCIAL BENEFIT INSURANCE COMPANY / Casualty / 06/02/2026
ALLMERICA FINANCIAL BENEFIT INSURANCE COMPANY / Property / 06/02/2026
CITIZENS INSURANCE COMPANY OF AMERICA / Casualty / 06/02/2026
CITIZENS INSURANCE COMPANY OF AMERICA / Property / 06/02/2026
FOREMOST INSURANCE COMPANY GRAND RAPIDS, MICHIGAN / Casualty / 09/20/2024
FOREMOST INSURANCE COMPANY GRAND RAPIDS, MICHIGAN / Property / 09/20/2024
HANOVER AMERICAN INSURANCE COMPANY (THE) / Casualty / 06/02/2026
HANOVER AMERICAN INSURANCE COMPANY (THE) / Property / 06/02/2026
HANOVER INSURANCE COMPANY (THE) / Casualty / 06/02/2026
HANOVER INSURANCE COMPANY (THE) / Property / 06/02/2026
MASSACHUSETTS BAY INSURANCE COMPANY / Casualty / 06/02/2026
MASSACHUSETTS BAY INSURANCE COMPANY / Property / 06/02/2026</x:v>
      </x:c>
      <x:c r="Z1078" s="7" t="str"/>
      <x:c r="AA1078" s="7" t="str"/>
      <x:c r="AB1078" s="7" t="str"/>
      <x:c r="AC1078" s="7" t="str"/>
      <x:c r="AD1078" s="7" t="str"/>
      <x:c r="AE1078" s="7" t="str">
        <x:v>P&amp;C/Personal Lines authority without displayed core Life appointments; mixed profile requires review</x:v>
      </x:c>
      <x:c r="AF1078" s="16" t="str"/>
      <x:c r="AG1078" s="17" t="str"/>
      <x:c r="AH1078" s="7" t="str"/>
      <x:c r="AI1078" s="7" t="str">
        <x:v>English</x:v>
      </x:c>
      <x:c r="AJ1078" s="7" t="str"/>
      <x:c r="AK1078" s="15" t="str"/>
      <x:c r="AL1078" s="7" t="str"/>
      <x:c r="AM1078" s="7" t="str">
        <x:v>AGUILAR  ROSALBA</x:v>
      </x:c>
      <x:c r="AN1078" s="7" t="str">
        <x:v>https://cdicloud.insurance.ca.gov/cal/LicenseDetail?SearchType=IND&amp;SearchLicNbr=4310442&amp;SearchIndvId=4310442</x:v>
      </x:c>
      <x:c r="AO1078" s="7" t="str">
        <x:v>2026-10-08</x:v>
      </x:c>
      <x:c r="AP1078" s="7" t="str">
        <x:v>e9acc555a4c717dde90adbdf80794e7beda5742570fbb65cbe68022c62317234</x:v>
      </x:c>
      <x:c r="AQ1078" s="7" t="str">
        <x:v>Casualty / Active / 11/22/2023 / 11/22/2023 / 11/30/2027
Property / Active / 11/22/2023 / 11/22/2023 / 11/30/2027</x:v>
      </x:c>
      <x:c r="AR1078" s="7" t="str">
        <x:v>Active</x:v>
      </x:c>
      <x:c r="AS1078" s="7" t="str">
        <x:v>Current detail page</x:v>
      </x:c>
    </x:row>
    <x:row r="1079" ht="52" customHeight="1">
      <x:c r="A1079" s="7" t="str">
        <x:v>AGUILAR ROSALINDA GARZA</x:v>
      </x:c>
      <x:c r="B1079" s="14" t="str">
        <x:f>"0E14878"</x:f>
        <x:v>0E14878</x:v>
      </x:c>
      <x:c r="C1079" s="7" t="str">
        <x:v>Omitted</x:v>
      </x:c>
      <x:c r="D1079" s="7" t="str">
        <x:v>FAIL</x:v>
      </x:c>
      <x:c r="E1079" s="13" t="str">
        <x:v>Pending</x:v>
      </x:c>
      <x:c r="F1079" s="13" t="str"/>
      <x:c r="G1079" s="13" t="str"/>
      <x:c r="H1079" s="13" t="str"/>
      <x:c r="I1079" s="7" t="str">
        <x:v>Was this person reviewed? If rejected, give the actual rule and evidence. If acceptable, correct the omission. Confirm the Life-qualification gate and any record change since selection.</x:v>
      </x:c>
      <x:c r="J1079" s="7" t="str">
        <x:v>L1</x:v>
      </x:c>
      <x:c r="K1079" s="7" t="str">
        <x:v>Verified qualifications do not include active general Life. Current target-pool mismatch; actual historical omission reason unknown.</x:v>
      </x:c>
      <x:c r="L1079" s="7" t="str">
        <x:v>Not supplied; membership is known, motive is not</x:v>
      </x:c>
      <x:c r="M1079" s="7" t="n">
        <x:v>7</x:v>
      </x:c>
      <x:c r="N1079" s="7" t="str">
        <x:v>Outside current general-Life recruiting pool</x:v>
      </x:c>
      <x:c r="O1079" s="7" t="str">
        <x:v>Not displayed</x:v>
      </x:c>
      <x:c r="P1079" s="7" t="str"/>
      <x:c r="Q1079" s="7" t="str"/>
      <x:c r="R1079" s="7" t="str"/>
      <x:c r="S1079" s="15" t="str"/>
      <x:c r="T1079" s="7" t="str">
        <x:v>No public business phone in collected record</x:v>
      </x:c>
      <x:c r="U1079" s="7" t="str"/>
      <x:c r="V1079" s="7" t="str">
        <x:v>Non-resident</x:v>
      </x:c>
      <x:c r="W1079" s="7" t="str">
        <x:v>TX</x:v>
      </x:c>
      <x:c r="X1079" s="7" t="str"/>
      <x:c r="Y1079" s="7" t="str"/>
      <x:c r="Z1079" s="7" t="str"/>
      <x:c r="AA1079" s="7" t="str"/>
      <x:c r="AB1079" s="7" t="str"/>
      <x:c r="AC1079" s="7" t="str"/>
      <x:c r="AD1079" s="7" t="str">
        <x:v>No agency or insurer displayed: onboarding opportunity possible; existing business unknown</x:v>
      </x:c>
      <x:c r="AE1079" s="7" t="str">
        <x:v>Nonresident or address state outside CA; confirm geographic recruiting scope | No public business phone: contact enrichment needed, not proof of poor recruiting fit</x:v>
      </x:c>
      <x:c r="AF1079" s="16" t="str"/>
      <x:c r="AG1079" s="17" t="str"/>
      <x:c r="AH1079" s="7" t="str"/>
      <x:c r="AI1079" s="7" t="str"/>
      <x:c r="AJ1079" s="7" t="str"/>
      <x:c r="AK1079" s="15" t="str"/>
      <x:c r="AL1079" s="7" t="str"/>
      <x:c r="AM1079" s="7" t="str">
        <x:v>AGUILAR GARZA ROSALINDA</x:v>
      </x:c>
      <x:c r="AN1079" s="7" t="str">
        <x:v>https://cdicloud.insurance.ca.gov/cal/LicenseDetail?SearchType=IND&amp;SearchLicNbr=0E14878&amp;SearchIndvId=860914</x:v>
      </x:c>
      <x:c r="AO1079" s="7" t="str">
        <x:v>2026-10-08</x:v>
      </x:c>
      <x:c r="AP1079" s="7" t="str">
        <x:v>364b0dee7ba70e62b5a2ee233a787b3315dcd81c616e299ddae25a655f0b6b9a</x:v>
      </x:c>
      <x:c r="AQ1079" s="7" t="str">
        <x:v>Casualty Broker-Agent / Inactive / 09/03/2003 / 07/25/2005 / 07/25/2005
Property Broker-Agent / Inactive / 09/03/2003 / 07/25/2005 / 07/25/2005</x:v>
      </x:c>
      <x:c r="AR1079" s="7" t="str">
        <x:v>Inactive</x:v>
      </x:c>
      <x:c r="AS1079" s="7" t="str">
        <x:v>Current detail page</x:v>
      </x:c>
    </x:row>
    <x:row r="1080" ht="52" customHeight="1">
      <x:c r="A1080" s="7" t="str">
        <x:v>AGUILAR ROSALINDA TOLEDO</x:v>
      </x:c>
      <x:c r="B1080" s="14" t="str">
        <x:f>"0A76094"</x:f>
        <x:v>0A76094</x:v>
      </x:c>
      <x:c r="C1080" s="7" t="str">
        <x:v>Omitted</x:v>
      </x:c>
      <x:c r="D1080" s="7" t="str">
        <x:v>FAIL</x:v>
      </x:c>
      <x:c r="E1080" s="13" t="str">
        <x:v>Pending</x:v>
      </x:c>
      <x:c r="F1080" s="13" t="str"/>
      <x:c r="G1080" s="13" t="str"/>
      <x:c r="H1080" s="13" t="str"/>
      <x:c r="I1080" s="7" t="str">
        <x:v>Was this person reviewed? If rejected, give the actual rule and evidence. If acceptable, correct the omission. Confirm the Life-qualification gate and any record change since selection.</x:v>
      </x:c>
      <x:c r="J1080" s="7" t="str">
        <x:v>L1</x:v>
      </x:c>
      <x:c r="K1080" s="7" t="str">
        <x:v>Verified qualifications do not include active general Life. Current target-pool mismatch; actual historical omission reason unknown.</x:v>
      </x:c>
      <x:c r="L1080" s="7" t="str">
        <x:v>Not supplied; membership is known, motive is not</x:v>
      </x:c>
      <x:c r="M1080" s="7" t="n">
        <x:v>7</x:v>
      </x:c>
      <x:c r="N1080" s="7" t="str">
        <x:v>Outside current general-Life recruiting pool</x:v>
      </x:c>
      <x:c r="O1080" s="7" t="str">
        <x:v>Not displayed</x:v>
      </x:c>
      <x:c r="P1080" s="7" t="str"/>
      <x:c r="Q1080" s="7" t="str"/>
      <x:c r="R1080" s="7" t="str"/>
      <x:c r="S1080" s="15" t="str"/>
      <x:c r="T1080" s="7" t="str">
        <x:v>No public business phone in collected record</x:v>
      </x:c>
      <x:c r="U1080" s="7" t="str"/>
      <x:c r="V1080" s="7" t="str">
        <x:v>Resident</x:v>
      </x:c>
      <x:c r="W1080" s="7" t="str">
        <x:v>CA</x:v>
      </x:c>
      <x:c r="X1080" s="7" t="str"/>
      <x:c r="Y1080" s="7" t="str"/>
      <x:c r="Z1080" s="7" t="str"/>
      <x:c r="AA1080" s="7" t="str"/>
      <x:c r="AB1080" s="7" t="str"/>
      <x:c r="AC1080" s="7" t="str"/>
      <x:c r="AD1080" s="7" t="str">
        <x:v>No agency or insurer displayed: onboarding opportunity possible; existing business unknown</x:v>
      </x:c>
      <x:c r="AE1080" s="7" t="str">
        <x:v>No public business phone: contact enrichment needed, not proof of poor recruiting fit</x:v>
      </x:c>
      <x:c r="AF1080" s="16" t="str"/>
      <x:c r="AG1080" s="17" t="str"/>
      <x:c r="AH1080" s="7" t="str"/>
      <x:c r="AI1080" s="7" t="str"/>
      <x:c r="AJ1080" s="7" t="str"/>
      <x:c r="AK1080" s="15" t="str"/>
      <x:c r="AL1080" s="7" t="str"/>
      <x:c r="AM1080" s="7" t="str">
        <x:v>AGUILAR TOLEDO ROSALINDA</x:v>
      </x:c>
      <x:c r="AN1080" s="7" t="str">
        <x:v>https://cdicloud.insurance.ca.gov/cal/LicenseDetail?SearchType=IND&amp;SearchLicNbr=0A76094&amp;SearchIndvId=170080</x:v>
      </x:c>
      <x:c r="AO1080" s="7" t="str">
        <x:v>2026-10-08</x:v>
      </x:c>
      <x:c r="AP1080" s="7" t="str">
        <x:v>97b055bd98ea040afbb6e2fc078a58986c6f10e0da32ea9b9765b998d08abed1</x:v>
      </x:c>
      <x:c r="AQ1080" s="7" t="str">
        <x:v>Accident and Health / Inactive / 08/29/1989 / 05/31/2001 / 05/31/2001
Life-Only / Inactive / 08/29/1989 / 05/31/2001 / 05/31/2001</x:v>
      </x:c>
      <x:c r="AR1080" s="7" t="str">
        <x:v>Inactive</x:v>
      </x:c>
      <x:c r="AS1080" s="7" t="str">
        <x:v>Current detail page</x:v>
      </x:c>
    </x:row>
    <x:row r="1081" ht="52" customHeight="1">
      <x:c r="A1081" s="7" t="str">
        <x:v>AGUILAR ROSANNA</x:v>
      </x:c>
      <x:c r="B1081" s="14" t="str">
        <x:f>"0L86813"</x:f>
        <x:v>0L86813</x:v>
      </x:c>
      <x:c r="C1081" s="7" t="str">
        <x:v>Omitted</x:v>
      </x:c>
      <x:c r="D1081" s="7" t="str">
        <x:v>FAIL</x:v>
      </x:c>
      <x:c r="E1081" s="13" t="str">
        <x:v>Pending</x:v>
      </x:c>
      <x:c r="F1081" s="13" t="str"/>
      <x:c r="G1081" s="13" t="str"/>
      <x:c r="H1081" s="13" t="str"/>
      <x:c r="I1081" s="7" t="str">
        <x:v>Was this person reviewed? If rejected, give the actual rule and evidence. If acceptable, correct the omission. Confirm the Life-qualification gate and any record change since selection.</x:v>
      </x:c>
      <x:c r="J1081" s="7" t="str">
        <x:v>L1</x:v>
      </x:c>
      <x:c r="K1081" s="7" t="str">
        <x:v>Verified qualifications do not include active general Life. Current target-pool mismatch; actual historical omission reason unknown.</x:v>
      </x:c>
      <x:c r="L1081" s="7" t="str">
        <x:v>Not supplied; membership is known, motive is not</x:v>
      </x:c>
      <x:c r="M1081" s="7" t="n">
        <x:v>7</x:v>
      </x:c>
      <x:c r="N1081" s="7" t="str">
        <x:v>Outside current general-Life recruiting pool</x:v>
      </x:c>
      <x:c r="O1081" s="7" t="str">
        <x:v>Not displayed</x:v>
      </x:c>
      <x:c r="P1081" s="7" t="str"/>
      <x:c r="Q1081" s="7" t="str"/>
      <x:c r="R1081" s="7" t="str"/>
      <x:c r="S1081" s="15" t="str"/>
      <x:c r="T1081" s="7" t="str">
        <x:v>No public business phone in collected record</x:v>
      </x:c>
      <x:c r="U1081" s="7" t="str"/>
      <x:c r="V1081" s="7" t="str">
        <x:v>Resident</x:v>
      </x:c>
      <x:c r="W1081" s="7" t="str">
        <x:v>CA</x:v>
      </x:c>
      <x:c r="X1081" s="7" t="str"/>
      <x:c r="Y1081" s="7" t="str"/>
      <x:c r="Z1081" s="7" t="str"/>
      <x:c r="AA1081" s="7" t="str"/>
      <x:c r="AB1081" s="7" t="str"/>
      <x:c r="AC1081" s="7" t="str"/>
      <x:c r="AD1081" s="7" t="str">
        <x:v>No agency or insurer displayed: onboarding opportunity possible; existing business unknown</x:v>
      </x:c>
      <x:c r="AE1081" s="7" t="str">
        <x:v>No public business phone: contact enrichment needed, not proof of poor recruiting fit</x:v>
      </x:c>
      <x:c r="AF1081" s="16" t="str"/>
      <x:c r="AG1081" s="17" t="str"/>
      <x:c r="AH1081" s="7" t="str"/>
      <x:c r="AI1081" s="7" t="str"/>
      <x:c r="AJ1081" s="7" t="str"/>
      <x:c r="AK1081" s="15" t="str"/>
      <x:c r="AL1081" s="7" t="str"/>
      <x:c r="AM1081" s="7" t="str">
        <x:v>AGUILAR  ROSANNA</x:v>
      </x:c>
      <x:c r="AN1081" s="7" t="str">
        <x:v>https://cdicloud.insurance.ca.gov/cal/LicenseDetail?SearchType=IND&amp;SearchLicNbr=0L86813&amp;SearchIndvId=1955130</x:v>
      </x:c>
      <x:c r="AO1081" s="7" t="str">
        <x:v>2026-10-08</x:v>
      </x:c>
      <x:c r="AP1081" s="7" t="str">
        <x:v>5bb6feca891ccd2f4658f73947d4cff47078b44b261938e06f7f651d281ad14c</x:v>
      </x:c>
      <x:c r="AQ1081" s="7" t="str">
        <x:v>Accident and Health / Inactive / 08/07/2017 / 08/31/2019 / 08/31/2019
Life-Only / Inactive / 08/07/2017 / 08/31/2019 / 08/31/2019</x:v>
      </x:c>
      <x:c r="AR1081" s="7" t="str">
        <x:v>Inactive</x:v>
      </x:c>
      <x:c r="AS1081" s="7" t="str">
        <x:v>Current detail page</x:v>
      </x:c>
    </x:row>
    <x:row r="1082" ht="52" customHeight="1">
      <x:c r="A1082" s="7" t="str">
        <x:v>AGUILAR ROSARIO</x:v>
      </x:c>
      <x:c r="B1082" s="14" t="str">
        <x:f>"0C33549"</x:f>
        <x:v>0C33549</x:v>
      </x:c>
      <x:c r="C1082" s="7" t="str">
        <x:v>Omitted</x:v>
      </x:c>
      <x:c r="D1082" s="7" t="str">
        <x:v>FAIL</x:v>
      </x:c>
      <x:c r="E1082" s="13" t="str">
        <x:v>Pending</x:v>
      </x:c>
      <x:c r="F1082" s="13" t="str"/>
      <x:c r="G1082" s="13" t="str"/>
      <x:c r="H1082" s="13" t="str"/>
      <x:c r="I1082" s="7" t="str">
        <x:v>Was this person reviewed? If rejected, give the actual rule and evidence. If acceptable, correct the omission. Confirm the Life-qualification gate and any record change since selection.</x:v>
      </x:c>
      <x:c r="J1082" s="7" t="str">
        <x:v>L1</x:v>
      </x:c>
      <x:c r="K1082" s="7" t="str">
        <x:v>Verified qualifications do not include active general Life. Current target-pool mismatch; actual historical omission reason unknown.</x:v>
      </x:c>
      <x:c r="L1082" s="7" t="str">
        <x:v>Not supplied; membership is known, motive is not</x:v>
      </x:c>
      <x:c r="M1082" s="7" t="n">
        <x:v>7</x:v>
      </x:c>
      <x:c r="N1082" s="7" t="str">
        <x:v>Outside current general-Life recruiting pool</x:v>
      </x:c>
      <x:c r="O1082" s="7" t="str">
        <x:v>Not displayed</x:v>
      </x:c>
      <x:c r="P1082" s="7" t="str"/>
      <x:c r="Q1082" s="7" t="str"/>
      <x:c r="R1082" s="7" t="str"/>
      <x:c r="S1082" s="15" t="str"/>
      <x:c r="T1082" s="7" t="str">
        <x:v>No public business phone in collected record</x:v>
      </x:c>
      <x:c r="U1082" s="7" t="str"/>
      <x:c r="V1082" s="7" t="str">
        <x:v>Resident</x:v>
      </x:c>
      <x:c r="W1082" s="7" t="str">
        <x:v>CA</x:v>
      </x:c>
      <x:c r="X1082" s="7" t="str"/>
      <x:c r="Y1082" s="7" t="str"/>
      <x:c r="Z1082" s="7" t="str"/>
      <x:c r="AA1082" s="7" t="str"/>
      <x:c r="AB1082" s="7" t="str"/>
      <x:c r="AC1082" s="7" t="str"/>
      <x:c r="AD1082" s="7" t="str">
        <x:v>No agency or insurer displayed: onboarding opportunity possible; existing business unknown</x:v>
      </x:c>
      <x:c r="AE1082" s="7" t="str">
        <x:v>No public business phone: contact enrichment needed, not proof of poor recruiting fit</x:v>
      </x:c>
      <x:c r="AF1082" s="16" t="str"/>
      <x:c r="AG1082" s="17" t="str"/>
      <x:c r="AH1082" s="7" t="str"/>
      <x:c r="AI1082" s="7" t="str"/>
      <x:c r="AJ1082" s="7" t="str"/>
      <x:c r="AK1082" s="15" t="str"/>
      <x:c r="AL1082" s="7" t="str"/>
      <x:c r="AM1082" s="7" t="str">
        <x:v>AGUILAR  ROSARIO</x:v>
      </x:c>
      <x:c r="AN1082" s="7" t="str">
        <x:v>https://cdicloud.insurance.ca.gov/cal/LicenseDetail?SearchType=IND&amp;SearchLicNbr=0C33549&amp;SearchIndvId=308447</x:v>
      </x:c>
      <x:c r="AO1082" s="7" t="str">
        <x:v>2026-10-08</x:v>
      </x:c>
      <x:c r="AP1082" s="7" t="str">
        <x:v>44312b0750c08177ba8ea34eaed4e9cf797c60b92f4f4e2a486f4b888c18f019</x:v>
      </x:c>
      <x:c r="AQ1082" s="7" t="str">
        <x:v>Accident and Health / Inactive / 06/08/1998 / 06/30/2004 / 06/30/2004
Life-Only / Inactive / 06/08/1998 / 06/30/2004 / 06/30/2004</x:v>
      </x:c>
      <x:c r="AR1082" s="7" t="str">
        <x:v>Inactive</x:v>
      </x:c>
      <x:c r="AS1082" s="7" t="str">
        <x:v>Current detail page</x:v>
      </x:c>
    </x:row>
    <x:row r="1083" ht="52" customHeight="1">
      <x:c r="A1083" s="7" t="str">
        <x:v>AGUILAR ROSARIO</x:v>
      </x:c>
      <x:c r="B1083" s="14" t="str">
        <x:f>"4387451"</x:f>
        <x:v>4387451</x:v>
      </x:c>
      <x:c r="C1083" s="7" t="str">
        <x:v>Omitted</x:v>
      </x:c>
      <x:c r="D1083" s="7" t="str">
        <x:v>FAIL</x:v>
      </x:c>
      <x:c r="E1083" s="13" t="str">
        <x:v>Pending</x:v>
      </x:c>
      <x:c r="F1083" s="13" t="str"/>
      <x:c r="G1083" s="13" t="str"/>
      <x:c r="H1083" s="13" t="str"/>
      <x:c r="I1083" s="7" t="str">
        <x:v>Was this person reviewed? If rejected, give the actual rule and evidence. If acceptable, correct the omission. Confirm the Life-qualification gate and any record change since selection.</x:v>
      </x:c>
      <x:c r="J1083" s="7" t="str">
        <x:v>L1</x:v>
      </x:c>
      <x:c r="K1083" s="7" t="str">
        <x:v>Verified qualifications do not include active general Life. Current target-pool mismatch; actual historical omission reason unknown.</x:v>
      </x:c>
      <x:c r="L1083" s="7" t="str">
        <x:v>Not supplied; membership is known, motive is not</x:v>
      </x:c>
      <x:c r="M1083" s="7" t="n">
        <x:v>7</x:v>
      </x:c>
      <x:c r="N1083" s="7" t="str">
        <x:v>Outside current general-Life recruiting pool</x:v>
      </x:c>
      <x:c r="O1083" s="7" t="str">
        <x:v>Inactive</x:v>
      </x:c>
      <x:c r="P1083" s="7" t="str">
        <x:v>06/12/2024</x:v>
      </x:c>
      <x:c r="Q1083" s="7" t="str">
        <x:v>06/30/2026</x:v>
      </x:c>
      <x:c r="R1083" s="7" t="str"/>
      <x:c r="S1083" s="15" t="str">
        <x:v>626-665-7365</x:v>
      </x:c>
      <x:c r="T1083" s="7" t="str">
        <x:v>Current CDI</x:v>
      </x:c>
      <x:c r="U1083" s="7" t="str">
        <x:v>100 N CITRUS STREET STE 160 WEST COVINA CA, 91791</x:v>
      </x:c>
      <x:c r="V1083" s="7" t="str">
        <x:v>Resident</x:v>
      </x:c>
      <x:c r="W1083" s="7" t="str">
        <x:v>CA</x:v>
      </x:c>
      <x:c r="X1083" s="7" t="str"/>
      <x:c r="Y1083" s="7" t="str"/>
      <x:c r="Z1083" s="7" t="str"/>
      <x:c r="AA1083" s="7" t="str"/>
      <x:c r="AB1083" s="7" t="str"/>
      <x:c r="AC1083" s="7" t="str"/>
      <x:c r="AD1083" s="7" t="str">
        <x:v>No agency or insurer displayed: onboarding opportunity possible; existing business unknown</x:v>
      </x:c>
      <x:c r="AE1083" s="7" t="str"/>
      <x:c r="AF1083" s="16" t="str"/>
      <x:c r="AG1083" s="17" t="str"/>
      <x:c r="AH1083" s="7" t="str"/>
      <x:c r="AI1083" s="7" t="str">
        <x:v>English</x:v>
      </x:c>
      <x:c r="AJ1083" s="7" t="str"/>
      <x:c r="AK1083" s="15" t="str"/>
      <x:c r="AL1083" s="7" t="str"/>
      <x:c r="AM1083" s="7" t="str">
        <x:v>AGUILAR  ROSARIO</x:v>
      </x:c>
      <x:c r="AN1083" s="7" t="str">
        <x:v>https://cdicloud.insurance.ca.gov/cal/LicenseDetail?SearchType=IND&amp;SearchLicNbr=4387451&amp;SearchIndvId=4387451</x:v>
      </x:c>
      <x:c r="AO1083" s="7" t="str">
        <x:v>2026-10-08</x:v>
      </x:c>
      <x:c r="AP1083" s="7" t="str">
        <x:v>eab58b133827da83e110214bd62699ee9207b1edde503bb38284abf77815a0f9</x:v>
      </x:c>
      <x:c r="AQ1083" s="7" t="str">
        <x:v>Accident &amp; Health or Sickness / Inactive / 06/12/2024 / 06/30/2026 / 06/30/2026
Life / Inactive / 06/12/2024 / 06/30/2026 / 06/30/2026</x:v>
      </x:c>
      <x:c r="AR1083" s="7" t="str">
        <x:v>Inactive</x:v>
      </x:c>
      <x:c r="AS1083" s="7" t="str">
        <x:v>Current detail page</x:v>
      </x:c>
    </x:row>
    <x:row r="1084" ht="52" customHeight="1">
      <x:c r="A1084" s="7" t="str">
        <x:v>AGUILAR ROSARIO M.</x:v>
      </x:c>
      <x:c r="B1084" s="14" t="str">
        <x:f>"0F83317"</x:f>
        <x:v>0F83317</x:v>
      </x:c>
      <x:c r="C1084" s="7" t="str">
        <x:v>Omitted</x:v>
      </x:c>
      <x:c r="D1084" s="7" t="str">
        <x:v>FAIL</x:v>
      </x:c>
      <x:c r="E1084" s="13" t="str">
        <x:v>Pending</x:v>
      </x:c>
      <x:c r="F1084" s="13" t="str"/>
      <x:c r="G1084" s="13" t="str"/>
      <x:c r="H1084" s="13" t="str"/>
      <x:c r="I1084" s="7" t="str">
        <x:v>Was this person reviewed? If rejected, give the actual rule and evidence. If acceptable, correct the omission. Confirm the Life-qualification gate and any record change since selection.</x:v>
      </x:c>
      <x:c r="J1084" s="7" t="str">
        <x:v>L1</x:v>
      </x:c>
      <x:c r="K1084" s="7" t="str">
        <x:v>Verified qualifications do not include active general Life. Current target-pool mismatch; actual historical omission reason unknown.</x:v>
      </x:c>
      <x:c r="L1084" s="7" t="str">
        <x:v>Not supplied; membership is known, motive is not</x:v>
      </x:c>
      <x:c r="M1084" s="7" t="n">
        <x:v>7</x:v>
      </x:c>
      <x:c r="N1084" s="7" t="str">
        <x:v>Outside current general-Life recruiting pool</x:v>
      </x:c>
      <x:c r="O1084" s="7" t="str">
        <x:v>Not displayed</x:v>
      </x:c>
      <x:c r="P1084" s="7" t="str"/>
      <x:c r="Q1084" s="7" t="str"/>
      <x:c r="R1084" s="7" t="str"/>
      <x:c r="S1084" s="15" t="str"/>
      <x:c r="T1084" s="7" t="str">
        <x:v>No public business phone in collected record</x:v>
      </x:c>
      <x:c r="U1084" s="7" t="str"/>
      <x:c r="V1084" s="7" t="str">
        <x:v>Non-resident</x:v>
      </x:c>
      <x:c r="W1084" s="7" t="str">
        <x:v>TX</x:v>
      </x:c>
      <x:c r="X1084" s="7" t="str"/>
      <x:c r="Y1084" s="7" t="str"/>
      <x:c r="Z1084" s="7" t="str"/>
      <x:c r="AA1084" s="7" t="str"/>
      <x:c r="AB1084" s="7" t="str"/>
      <x:c r="AC1084" s="7" t="str"/>
      <x:c r="AD1084" s="7" t="str">
        <x:v>No agency or insurer displayed: onboarding opportunity possible; existing business unknown</x:v>
      </x:c>
      <x:c r="AE1084" s="7" t="str">
        <x:v>Nonresident or address state outside CA; confirm geographic recruiting scope | No public business phone: contact enrichment needed, not proof of poor recruiting fit</x:v>
      </x:c>
      <x:c r="AF1084" s="16" t="str"/>
      <x:c r="AG1084" s="17" t="str"/>
      <x:c r="AH1084" s="7" t="str"/>
      <x:c r="AI1084" s="7" t="str"/>
      <x:c r="AJ1084" s="7" t="str"/>
      <x:c r="AK1084" s="15" t="str"/>
      <x:c r="AL1084" s="7" t="str"/>
      <x:c r="AM1084" s="7" t="str">
        <x:v>AGUILAR M. ROSARIO</x:v>
      </x:c>
      <x:c r="AN1084" s="7" t="str">
        <x:v>https://cdicloud.insurance.ca.gov/cal/LicenseDetail?SearchType=IND&amp;SearchLicNbr=0F83317&amp;SearchIndvId=1103653</x:v>
      </x:c>
      <x:c r="AO1084" s="7" t="str">
        <x:v>2026-10-08</x:v>
      </x:c>
      <x:c r="AP1084" s="7" t="str">
        <x:v>1ddd41bffac7be2ef891e52a8d765ab9b0f0c226baeed48458b367d8b3a7785e</x:v>
      </x:c>
      <x:c r="AQ1084" s="7" t="str">
        <x:v>Casualty Broker-Agent / Inactive / 09/26/2007 / 09/30/2013 / 09/30/2013
Property Broker-Agent / Inactive / 09/26/2007 / 09/30/2013 / 09/30/2013</x:v>
      </x:c>
      <x:c r="AR1084" s="7" t="str">
        <x:v>Inactive</x:v>
      </x:c>
      <x:c r="AS1084" s="7" t="str">
        <x:v>Current detail page</x:v>
      </x:c>
    </x:row>
    <x:row r="1085" ht="52" customHeight="1">
      <x:c r="A1085" s="7" t="str">
        <x:v>AGUILAR ROSEANN</x:v>
      </x:c>
      <x:c r="B1085" s="14" t="str">
        <x:f>"0G34157"</x:f>
        <x:v>0G34157</x:v>
      </x:c>
      <x:c r="C1085" s="7" t="str">
        <x:v>Omitted</x:v>
      </x:c>
      <x:c r="D1085" s="7" t="str">
        <x:v>FAIL</x:v>
      </x:c>
      <x:c r="E1085" s="13" t="str">
        <x:v>Pending</x:v>
      </x:c>
      <x:c r="F1085" s="13" t="str"/>
      <x:c r="G1085" s="13" t="str"/>
      <x:c r="H1085" s="13" t="str"/>
      <x:c r="I1085" s="7" t="str">
        <x:v>Was this person reviewed? If rejected, give the actual rule and evidence. If acceptable, correct the omission. Confirm the Life-qualification gate and any record change since selection.</x:v>
      </x:c>
      <x:c r="J1085" s="7" t="str">
        <x:v>L1</x:v>
      </x:c>
      <x:c r="K1085" s="7" t="str">
        <x:v>Verified qualifications do not include active general Life. Current target-pool mismatch; actual historical omission reason unknown.</x:v>
      </x:c>
      <x:c r="L1085" s="7" t="str">
        <x:v>Not supplied; membership is known, motive is not</x:v>
      </x:c>
      <x:c r="M1085" s="7" t="n">
        <x:v>7</x:v>
      </x:c>
      <x:c r="N1085" s="7" t="str">
        <x:v>Outside current general-Life recruiting pool</x:v>
      </x:c>
      <x:c r="O1085" s="7" t="str">
        <x:v>Not displayed</x:v>
      </x:c>
      <x:c r="P1085" s="7" t="str"/>
      <x:c r="Q1085" s="7" t="str"/>
      <x:c r="R1085" s="7" t="str"/>
      <x:c r="S1085" s="15" t="str"/>
      <x:c r="T1085" s="7" t="str">
        <x:v>No public business phone in collected record</x:v>
      </x:c>
      <x:c r="U1085" s="7" t="str"/>
      <x:c r="V1085" s="7" t="str">
        <x:v>Resident</x:v>
      </x:c>
      <x:c r="W1085" s="7" t="str">
        <x:v>CA</x:v>
      </x:c>
      <x:c r="X1085" s="7" t="str"/>
      <x:c r="Y1085" s="7" t="str"/>
      <x:c r="Z1085" s="7" t="str"/>
      <x:c r="AA1085" s="7" t="str"/>
      <x:c r="AB1085" s="7" t="str"/>
      <x:c r="AC1085" s="7" t="str"/>
      <x:c r="AD1085" s="7" t="str">
        <x:v>No agency or insurer displayed: onboarding opportunity possible; existing business unknown</x:v>
      </x:c>
      <x:c r="AE1085" s="7" t="str">
        <x:v>No public business phone: contact enrichment needed, not proof of poor recruiting fit</x:v>
      </x:c>
      <x:c r="AF1085" s="16" t="str"/>
      <x:c r="AG1085" s="17" t="str"/>
      <x:c r="AH1085" s="7" t="str"/>
      <x:c r="AI1085" s="7" t="str"/>
      <x:c r="AJ1085" s="7" t="str"/>
      <x:c r="AK1085" s="15" t="str"/>
      <x:c r="AL1085" s="7" t="str"/>
      <x:c r="AM1085" s="7" t="str">
        <x:v>AGUILAR  ROSEANN</x:v>
      </x:c>
      <x:c r="AN1085" s="7" t="str">
        <x:v>https://cdicloud.insurance.ca.gov/cal/LicenseDetail?SearchType=IND&amp;SearchLicNbr=0G34157&amp;SearchIndvId=1193495</x:v>
      </x:c>
      <x:c r="AO1085" s="7" t="str">
        <x:v>2026-10-08</x:v>
      </x:c>
      <x:c r="AP1085" s="7" t="str">
        <x:v>c0868b2fbc1d609bfdb293959f046c90da9920f51d192ccfafb6c7288b2b0bd8</x:v>
      </x:c>
      <x:c r="AQ1085" s="7" t="str">
        <x:v>Life-Only / Inactive / 10/22/2008 / 10/31/2010 / 10/31/2010</x:v>
      </x:c>
      <x:c r="AR1085" s="7" t="str">
        <x:v>Inactive</x:v>
      </x:c>
      <x:c r="AS1085" s="7" t="str">
        <x:v>Current detail page</x:v>
      </x:c>
    </x:row>
    <x:row r="1086" ht="52" customHeight="1">
      <x:c r="A1086" s="7" t="str">
        <x:v>AGUILAR ROSEMARIE CHRISTABELLE</x:v>
      </x:c>
      <x:c r="B1086" s="14" t="str">
        <x:f>"0N04132"</x:f>
        <x:v>0N04132</x:v>
      </x:c>
      <x:c r="C1086" s="7" t="str">
        <x:v>Omitted</x:v>
      </x:c>
      <x:c r="D1086" s="7" t="str">
        <x:v>FAIL</x:v>
      </x:c>
      <x:c r="E1086" s="13" t="str">
        <x:v>Pending</x:v>
      </x:c>
      <x:c r="F1086" s="13" t="str"/>
      <x:c r="G1086" s="13" t="str"/>
      <x:c r="H1086" s="13" t="str"/>
      <x:c r="I1086" s="7" t="str">
        <x:v>Was this person reviewed? If rejected, give the actual rule and evidence. If acceptable, correct the omission. Confirm the Life-qualification gate and any record change since selection.</x:v>
      </x:c>
      <x:c r="J1086" s="7" t="str">
        <x:v>L1</x:v>
      </x:c>
      <x:c r="K1086" s="7" t="str">
        <x:v>Verified qualifications do not include active general Life. Current target-pool mismatch; actual historical omission reason unknown.</x:v>
      </x:c>
      <x:c r="L1086" s="7" t="str">
        <x:v>Not supplied; membership is known, motive is not</x:v>
      </x:c>
      <x:c r="M1086" s="7" t="n">
        <x:v>7</x:v>
      </x:c>
      <x:c r="N1086" s="7" t="str">
        <x:v>Outside current general-Life recruiting pool</x:v>
      </x:c>
      <x:c r="O1086" s="7" t="str">
        <x:v>Inactive</x:v>
      </x:c>
      <x:c r="P1086" s="7" t="str">
        <x:v>06/20/2019</x:v>
      </x:c>
      <x:c r="Q1086" s="7" t="str">
        <x:v>06/30/2021</x:v>
      </x:c>
      <x:c r="R1086" s="7" t="str"/>
      <x:c r="S1086" s="15" t="str"/>
      <x:c r="T1086" s="7" t="str">
        <x:v>No public business phone in collected record</x:v>
      </x:c>
      <x:c r="U1086" s="7" t="str"/>
      <x:c r="V1086" s="7" t="str">
        <x:v>Resident</x:v>
      </x:c>
      <x:c r="W1086" s="7" t="str">
        <x:v>CA</x:v>
      </x:c>
      <x:c r="X1086" s="7" t="str"/>
      <x:c r="Y1086" s="7" t="str"/>
      <x:c r="Z1086" s="7" t="str"/>
      <x:c r="AA1086" s="7" t="str"/>
      <x:c r="AB1086" s="7" t="str"/>
      <x:c r="AC1086" s="7" t="str"/>
      <x:c r="AD1086" s="7" t="str">
        <x:v>No agency or insurer displayed: onboarding opportunity possible; existing business unknown</x:v>
      </x:c>
      <x:c r="AE1086" s="7" t="str">
        <x:v>No public business phone: contact enrichment needed, not proof of poor recruiting fit</x:v>
      </x:c>
      <x:c r="AF1086" s="16" t="str"/>
      <x:c r="AG1086" s="17" t="str"/>
      <x:c r="AH1086" s="7" t="str"/>
      <x:c r="AI1086" s="7" t="str"/>
      <x:c r="AJ1086" s="7" t="str"/>
      <x:c r="AK1086" s="15" t="str"/>
      <x:c r="AL1086" s="7" t="str"/>
      <x:c r="AM1086" s="7" t="str">
        <x:v>Aguilar c Rosemarie | AGUILAR CHRISTABELLE ROSEMARIE</x:v>
      </x:c>
      <x:c r="AN1086" s="7" t="str">
        <x:v>https://cdicloud.insurance.ca.gov/cal/LicenseDetail?SearchType=IND&amp;SearchLicNbr=0N04132&amp;SearchIndvId=2101583</x:v>
      </x:c>
      <x:c r="AO1086" s="7" t="str">
        <x:v>2026-10-08</x:v>
      </x:c>
      <x:c r="AP1086" s="7" t="str">
        <x:v>97ac9f8d8aa4270d1e14831a6a164755719c4cba88e029eeeca409dec08c587d</x:v>
      </x:c>
      <x:c r="AQ1086" s="7" t="str">
        <x:v>Accident &amp; Health or Sickness / Inactive / 06/20/2019 / 06/30/2021 / 06/30/2021
Life / Inactive / 06/20/2019 / 06/30/2021 / 06/30/2021</x:v>
      </x:c>
      <x:c r="AR1086" s="7" t="str">
        <x:v>Inactive</x:v>
      </x:c>
      <x:c r="AS1086" s="7" t="str">
        <x:v>Current detail page</x:v>
      </x:c>
    </x:row>
    <x:row r="1087" ht="52" customHeight="1">
      <x:c r="A1087" s="7" t="str">
        <x:v>AGUILAR ROSEMARY RUIZ</x:v>
      </x:c>
      <x:c r="B1087" s="14" t="str">
        <x:f>"0I16339"</x:f>
        <x:v>0I16339</x:v>
      </x:c>
      <x:c r="C1087" s="7" t="str">
        <x:v>Omitted</x:v>
      </x:c>
      <x:c r="D1087" s="7" t="str">
        <x:v>FAIL</x:v>
      </x:c>
      <x:c r="E1087" s="13" t="str">
        <x:v>Pending</x:v>
      </x:c>
      <x:c r="F1087" s="13" t="str"/>
      <x:c r="G1087" s="13" t="str"/>
      <x:c r="H1087" s="13" t="str"/>
      <x:c r="I1087" s="7" t="str">
        <x:v>Was this person reviewed? If rejected, give the actual rule and evidence. If acceptable, correct the omission. Confirm the Life-qualification gate and any record change since selection.</x:v>
      </x:c>
      <x:c r="J1087" s="7" t="str">
        <x:v>L1</x:v>
      </x:c>
      <x:c r="K1087" s="7" t="str">
        <x:v>Verified qualifications do not include active general Life. Current target-pool mismatch; actual historical omission reason unknown.</x:v>
      </x:c>
      <x:c r="L1087" s="7" t="str">
        <x:v>Not supplied; membership is known, motive is not</x:v>
      </x:c>
      <x:c r="M1087" s="7" t="n">
        <x:v>7</x:v>
      </x:c>
      <x:c r="N1087" s="7" t="str">
        <x:v>Outside current general-Life recruiting pool</x:v>
      </x:c>
      <x:c r="O1087" s="7" t="str">
        <x:v>Not displayed</x:v>
      </x:c>
      <x:c r="P1087" s="7" t="str"/>
      <x:c r="Q1087" s="7" t="str"/>
      <x:c r="R1087" s="7" t="str"/>
      <x:c r="S1087" s="15" t="str"/>
      <x:c r="T1087" s="7" t="str">
        <x:v>No public business phone in collected record</x:v>
      </x:c>
      <x:c r="U1087" s="7" t="str"/>
      <x:c r="V1087" s="7" t="str">
        <x:v>Resident</x:v>
      </x:c>
      <x:c r="W1087" s="7" t="str">
        <x:v>CA</x:v>
      </x:c>
      <x:c r="X1087" s="7" t="str"/>
      <x:c r="Y1087" s="7" t="str"/>
      <x:c r="Z1087" s="7" t="str"/>
      <x:c r="AA1087" s="7" t="str"/>
      <x:c r="AB1087" s="7" t="str"/>
      <x:c r="AC1087" s="7" t="str"/>
      <x:c r="AD1087" s="7" t="str">
        <x:v>No agency or insurer displayed: onboarding opportunity possible; existing business unknown</x:v>
      </x:c>
      <x:c r="AE1087" s="7" t="str">
        <x:v>No public business phone: contact enrichment needed, not proof of poor recruiting fit</x:v>
      </x:c>
      <x:c r="AF1087" s="16" t="str"/>
      <x:c r="AG1087" s="17" t="str"/>
      <x:c r="AH1087" s="7" t="str"/>
      <x:c r="AI1087" s="7" t="str"/>
      <x:c r="AJ1087" s="7" t="str"/>
      <x:c r="AK1087" s="15" t="str"/>
      <x:c r="AL1087" s="7" t="str"/>
      <x:c r="AM1087" s="7" t="str">
        <x:v>AGUILAR RUIZ ROSEMARY</x:v>
      </x:c>
      <x:c r="AN1087" s="7" t="str">
        <x:v>https://cdicloud.insurance.ca.gov/cal/LicenseDetail?SearchType=IND&amp;SearchLicNbr=0I16339&amp;SearchIndvId=1545189</x:v>
      </x:c>
      <x:c r="AO1087" s="7" t="str">
        <x:v>2026-10-08</x:v>
      </x:c>
      <x:c r="AP1087" s="7" t="str">
        <x:v>b89ee5e13b310e0b71fcc9ede4cb1dc0acb0c2f8af83d79a1591420a846d650a</x:v>
      </x:c>
      <x:c r="AQ1087" s="7" t="str">
        <x:v>Accident and Health / Inactive / 12/20/2012 / 12/31/2014 / 12/31/2014
Life-Only / Inactive / 12/20/2012 / 12/31/2014 / 12/31/2014</x:v>
      </x:c>
      <x:c r="AR1087" s="7" t="str">
        <x:v>Inactive</x:v>
      </x:c>
      <x:c r="AS1087" s="7" t="str">
        <x:v>Current detail page</x:v>
      </x:c>
    </x:row>
    <x:row r="1088" ht="52" customHeight="1">
      <x:c r="A1088" s="7" t="str">
        <x:v>AGUILAR ROSIBEL</x:v>
      </x:c>
      <x:c r="B1088" s="14" t="str">
        <x:f>"0L99270"</x:f>
        <x:v>0L99270</x:v>
      </x:c>
      <x:c r="C1088" s="7" t="str">
        <x:v>Omitted</x:v>
      </x:c>
      <x:c r="D1088" s="7" t="str">
        <x:v>FAIL</x:v>
      </x:c>
      <x:c r="E1088" s="13" t="str">
        <x:v>Pending</x:v>
      </x:c>
      <x:c r="F1088" s="13" t="str"/>
      <x:c r="G1088" s="13" t="str"/>
      <x:c r="H1088" s="13" t="str"/>
      <x:c r="I1088" s="7" t="str">
        <x:v>Was this person reviewed? If rejected, give the actual rule and evidence. If acceptable, correct the omission. Confirm the Life-qualification gate and any record change since selection.</x:v>
      </x:c>
      <x:c r="J1088" s="7" t="str">
        <x:v>L1</x:v>
      </x:c>
      <x:c r="K1088" s="7" t="str">
        <x:v>Verified qualifications do not include active general Life. Current target-pool mismatch; actual historical omission reason unknown.</x:v>
      </x:c>
      <x:c r="L1088" s="7" t="str">
        <x:v>Not supplied; membership is known, motive is not</x:v>
      </x:c>
      <x:c r="M1088" s="7" t="n">
        <x:v>7</x:v>
      </x:c>
      <x:c r="N1088" s="7" t="str">
        <x:v>Outside current general-Life recruiting pool</x:v>
      </x:c>
      <x:c r="O1088" s="7" t="str">
        <x:v>Not displayed</x:v>
      </x:c>
      <x:c r="P1088" s="7" t="str"/>
      <x:c r="Q1088" s="7" t="str"/>
      <x:c r="R1088" s="7" t="str">
        <x:v>Casualty; Property</x:v>
      </x:c>
      <x:c r="S1088" s="15" t="str">
        <x:v>916-379-1331</x:v>
      </x:c>
      <x:c r="T1088" s="7" t="str">
        <x:v>Current CDI</x:v>
      </x:c>
      <x:c r="U1088" s="7" t="str">
        <x:v>2216 FAIR OAKS BLVD SACRAMENTO CA, 95825</x:v>
      </x:c>
      <x:c r="V1088" s="7" t="str">
        <x:v>Resident</x:v>
      </x:c>
      <x:c r="W1088" s="7" t="str">
        <x:v>CA</x:v>
      </x:c>
      <x:c r="X1088" s="7" t="str">
        <x:v>AMERICAN AUTOMOBILE ASSOCIATION OF NORTHERN CALIFORNIA, NEVADA &amp; UTAH / Property / 04/05/2022
AMERICAN AUTOMOBILE ASSOCIATION OF NORTHERN CALIFORNIA, NEVADA &amp; UTAH / Casualty / 04/05/2022</x:v>
      </x:c>
      <x:c r="Y1088" s="7" t="str">
        <x:v>CSAA FIRE &amp; CASUALTY INSURANCE COMPANY / Casualty / 10/20/2022
CSAA FIRE &amp; CASUALTY INSURANCE COMPANY / Property / 10/20/2022
CSAA GENERAL INSURANCE COMPANY / Casualty / 10/20/2022
CSAA GENERAL INSURANCE COMPANY / Property / 10/20/2022
CSAA INSURANCE EXCHANGE / Casualty / 10/20/2022
CSAA INSURANCE EXCHANGE / Property / 10/20/2022
FOREMOST INSURANCE COMPANY GRAND RAPIDS, MICHIGAN / Casualty / 06/19/2019
FOREMOST INSURANCE COMPANY GRAND RAPIDS, MICHIGAN / Property / 06/19/2019</x:v>
      </x:c>
      <x:c r="Z1088" s="7" t="str"/>
      <x:c r="AA1088" s="7" t="str"/>
      <x:c r="AB1088" s="7" t="str"/>
      <x:c r="AC1088" s="7" t="str"/>
      <x:c r="AD1088" s="7" t="str"/>
      <x:c r="AE1088" s="7" t="str">
        <x:v>P&amp;C/Personal Lines authority without displayed core Life appointments; mixed profile requires review</x:v>
      </x:c>
      <x:c r="AF1088" s="16" t="str"/>
      <x:c r="AG1088" s="17" t="str"/>
      <x:c r="AH1088" s="7" t="str"/>
      <x:c r="AI1088" s="7" t="str">
        <x:v>English</x:v>
      </x:c>
      <x:c r="AJ1088" s="7" t="str"/>
      <x:c r="AK1088" s="15" t="str"/>
      <x:c r="AL1088" s="7" t="str"/>
      <x:c r="AM1088" s="7" t="str">
        <x:v>AGUILAR  ROSIBEL</x:v>
      </x:c>
      <x:c r="AN1088" s="7" t="str">
        <x:v>https://cdicloud.insurance.ca.gov/cal/LicenseDetail?SearchType=IND&amp;SearchLicNbr=0L99270&amp;SearchIndvId=1905519</x:v>
      </x:c>
      <x:c r="AO1088" s="7" t="str">
        <x:v>2026-10-08</x:v>
      </x:c>
      <x:c r="AP1088" s="7" t="str">
        <x:v>b9460de7de630d60de3d77da91add1a22f028b7c8163517fd136fa69f6baf3f3</x:v>
      </x:c>
      <x:c r="AQ1088" s="7" t="str">
        <x:v>Casualty / Active / 10/17/2017 / 10/17/2017 / 10/31/2027
Property / Active / 10/17/2017 / 10/17/2017 / 10/31/2027</x:v>
      </x:c>
      <x:c r="AR1088" s="7" t="str">
        <x:v>Active</x:v>
      </x:c>
      <x:c r="AS1088" s="7" t="str">
        <x:v>Current detail page</x:v>
      </x:c>
    </x:row>
    <x:row r="1089" ht="52" customHeight="1">
      <x:c r="A1089" s="7" t="str">
        <x:v>AGUILAR ROSIE</x:v>
      </x:c>
      <x:c r="B1089" s="14" t="str">
        <x:f>"0699950"</x:f>
        <x:v>0699950</x:v>
      </x:c>
      <x:c r="C1089" s="7" t="str">
        <x:v>Omitted</x:v>
      </x:c>
      <x:c r="D1089" s="7" t="str">
        <x:v>FAIL</x:v>
      </x:c>
      <x:c r="E1089" s="13" t="str">
        <x:v>Pending</x:v>
      </x:c>
      <x:c r="F1089" s="13" t="str"/>
      <x:c r="G1089" s="13" t="str"/>
      <x:c r="H1089" s="13" t="str"/>
      <x:c r="I1089" s="7" t="str">
        <x:v>Was this person reviewed? If rejected, give the actual rule and evidence. If acceptable, correct the omission. Confirm the Life-qualification gate and any record change since selection.</x:v>
      </x:c>
      <x:c r="J1089" s="7" t="str">
        <x:v>L1</x:v>
      </x:c>
      <x:c r="K1089" s="7" t="str">
        <x:v>Verified qualifications do not include active general Life. Current target-pool mismatch; actual historical omission reason unknown.</x:v>
      </x:c>
      <x:c r="L1089" s="7" t="str">
        <x:v>Not supplied; membership is known, motive is not</x:v>
      </x:c>
      <x:c r="M1089" s="7" t="n">
        <x:v>7</x:v>
      </x:c>
      <x:c r="N1089" s="7" t="str">
        <x:v>Outside current general-Life recruiting pool</x:v>
      </x:c>
      <x:c r="O1089" s="7" t="str">
        <x:v>Not displayed</x:v>
      </x:c>
      <x:c r="P1089" s="7" t="str"/>
      <x:c r="Q1089" s="7" t="str"/>
      <x:c r="R1089" s="7" t="str"/>
      <x:c r="S1089" s="15" t="str"/>
      <x:c r="T1089" s="7" t="str">
        <x:v>No public business phone in collected record</x:v>
      </x:c>
      <x:c r="U1089" s="7" t="str"/>
      <x:c r="V1089" s="7" t="str">
        <x:v>Resident</x:v>
      </x:c>
      <x:c r="W1089" s="7" t="str">
        <x:v>CA</x:v>
      </x:c>
      <x:c r="X1089" s="7" t="str"/>
      <x:c r="Y1089" s="7" t="str"/>
      <x:c r="Z1089" s="7" t="str"/>
      <x:c r="AA1089" s="7" t="str"/>
      <x:c r="AB1089" s="7" t="str"/>
      <x:c r="AC1089" s="7" t="str"/>
      <x:c r="AD1089" s="7" t="str">
        <x:v>No agency or insurer displayed: onboarding opportunity possible; existing business unknown</x:v>
      </x:c>
      <x:c r="AE1089" s="7" t="str">
        <x:v>No public business phone: contact enrichment needed, not proof of poor recruiting fit</x:v>
      </x:c>
      <x:c r="AF1089" s="16" t="str"/>
      <x:c r="AG1089" s="17" t="str"/>
      <x:c r="AH1089" s="7" t="str"/>
      <x:c r="AI1089" s="7" t="str"/>
      <x:c r="AJ1089" s="7" t="str"/>
      <x:c r="AK1089" s="15" t="str"/>
      <x:c r="AL1089" s="7" t="str"/>
      <x:c r="AM1089" s="7" t="str">
        <x:v>AGUILAR  ROSIE</x:v>
      </x:c>
      <x:c r="AN1089" s="7" t="str">
        <x:v>https://cdicloud.insurance.ca.gov/cal/LicenseDetail?SearchType=IND&amp;SearchLicNbr=0699950&amp;SearchIndvId=415799</x:v>
      </x:c>
      <x:c r="AO1089" s="7" t="str">
        <x:v>2026-10-08</x:v>
      </x:c>
      <x:c r="AP1089" s="7" t="str">
        <x:v>098cfd5015d3606a17e730b13232b3fb358be5016d4230c4c8214b72b7efa5c2</x:v>
      </x:c>
      <x:c r="AQ1089" s="7" t="str">
        <x:v>Accident and Health / Inactive / 03/14/1986 / 03/31/1994 / 03/31/1994
Life-Only / Inactive / 03/14/1986 / 03/31/1994 / 03/31/1994</x:v>
      </x:c>
      <x:c r="AR1089" s="7" t="str">
        <x:v>Inactive</x:v>
      </x:c>
      <x:c r="AS1089" s="7" t="str">
        <x:v>Current detail page</x:v>
      </x:c>
    </x:row>
    <x:row r="1090" ht="52" customHeight="1">
      <x:c r="A1090" s="7" t="str">
        <x:v>AGUILAR ROSITA ROSAS</x:v>
      </x:c>
      <x:c r="B1090" s="14" t="str">
        <x:f>"0G29409"</x:f>
        <x:v>0G29409</x:v>
      </x:c>
      <x:c r="C1090" s="7" t="str">
        <x:v>Omitted</x:v>
      </x:c>
      <x:c r="D1090" s="7" t="str">
        <x:v>FAIL</x:v>
      </x:c>
      <x:c r="E1090" s="13" t="str">
        <x:v>Pending</x:v>
      </x:c>
      <x:c r="F1090" s="13" t="str"/>
      <x:c r="G1090" s="13" t="str"/>
      <x:c r="H1090" s="13" t="str"/>
      <x:c r="I1090" s="7" t="str">
        <x:v>Was this person reviewed? If rejected, give the actual rule and evidence. If acceptable, correct the omission. Confirm the Life-qualification gate and any record change since selection.</x:v>
      </x:c>
      <x:c r="J1090" s="7" t="str">
        <x:v>L1</x:v>
      </x:c>
      <x:c r="K1090" s="7" t="str">
        <x:v>Verified qualifications do not include active general Life. Current target-pool mismatch; actual historical omission reason unknown.</x:v>
      </x:c>
      <x:c r="L1090" s="7" t="str">
        <x:v>Not supplied; membership is known, motive is not</x:v>
      </x:c>
      <x:c r="M1090" s="7" t="n">
        <x:v>7</x:v>
      </x:c>
      <x:c r="N1090" s="7" t="str">
        <x:v>Outside current general-Life recruiting pool</x:v>
      </x:c>
      <x:c r="O1090" s="7" t="str">
        <x:v>Not displayed</x:v>
      </x:c>
      <x:c r="P1090" s="7" t="str"/>
      <x:c r="Q1090" s="7" t="str"/>
      <x:c r="R1090" s="7" t="str"/>
      <x:c r="S1090" s="15" t="str"/>
      <x:c r="T1090" s="7" t="str">
        <x:v>No public business phone in collected record</x:v>
      </x:c>
      <x:c r="U1090" s="7" t="str"/>
      <x:c r="V1090" s="7" t="str">
        <x:v>Resident</x:v>
      </x:c>
      <x:c r="W1090" s="7" t="str">
        <x:v>CA</x:v>
      </x:c>
      <x:c r="X1090" s="7" t="str"/>
      <x:c r="Y1090" s="7" t="str"/>
      <x:c r="Z1090" s="7" t="str"/>
      <x:c r="AA1090" s="7" t="str"/>
      <x:c r="AB1090" s="7" t="str"/>
      <x:c r="AC1090" s="7" t="str"/>
      <x:c r="AD1090" s="7" t="str">
        <x:v>No agency or insurer displayed: onboarding opportunity possible; existing business unknown</x:v>
      </x:c>
      <x:c r="AE1090" s="7" t="str">
        <x:v>No public business phone: contact enrichment needed, not proof of poor recruiting fit</x:v>
      </x:c>
      <x:c r="AF1090" s="16" t="str"/>
      <x:c r="AG1090" s="17" t="str"/>
      <x:c r="AH1090" s="7" t="str"/>
      <x:c r="AI1090" s="7" t="str"/>
      <x:c r="AJ1090" s="7" t="str"/>
      <x:c r="AK1090" s="15" t="str"/>
      <x:c r="AL1090" s="7" t="str"/>
      <x:c r="AM1090" s="7" t="str">
        <x:v>AGUILAR ROSAS ROSITA</x:v>
      </x:c>
      <x:c r="AN1090" s="7" t="str">
        <x:v>https://cdicloud.insurance.ca.gov/cal/LicenseDetail?SearchType=IND&amp;SearchLicNbr=0G29409&amp;SearchIndvId=1177210</x:v>
      </x:c>
      <x:c r="AO1090" s="7" t="str">
        <x:v>2026-10-08</x:v>
      </x:c>
      <x:c r="AP1090" s="7" t="str">
        <x:v>1b145838ccf49c69df71f89d82e16b296a4a700dfd0b4b440238a13ecf9e9313</x:v>
      </x:c>
      <x:c r="AQ1090" s="7" t="str">
        <x:v>Limited Lines Automobile / Inactive / 09/04/2008 / 09/30/2010 / 09/30/2010</x:v>
      </x:c>
      <x:c r="AR1090" s="7" t="str">
        <x:v>Inactive</x:v>
      </x:c>
      <x:c r="AS1090" s="7" t="str">
        <x:v>Current detail page</x:v>
      </x:c>
    </x:row>
    <x:row r="1091" ht="52" customHeight="1">
      <x:c r="A1091" s="7" t="str">
        <x:v>AGUILAR ROSSANA IVETTE</x:v>
      </x:c>
      <x:c r="B1091" s="14" t="str">
        <x:f>"0J01770"</x:f>
        <x:v>0J01770</x:v>
      </x:c>
      <x:c r="C1091" s="7" t="str">
        <x:v>Omitted</x:v>
      </x:c>
      <x:c r="D1091" s="7" t="str">
        <x:v>FAIL</x:v>
      </x:c>
      <x:c r="E1091" s="13" t="str">
        <x:v>Pending</x:v>
      </x:c>
      <x:c r="F1091" s="13" t="str"/>
      <x:c r="G1091" s="13" t="str"/>
      <x:c r="H1091" s="13" t="str"/>
      <x:c r="I1091" s="7" t="str">
        <x:v>Was this person reviewed? If rejected, give the actual rule and evidence. If acceptable, correct the omission. Confirm the Life-qualification gate and any record change since selection.</x:v>
      </x:c>
      <x:c r="J1091" s="7" t="str">
        <x:v>L1</x:v>
      </x:c>
      <x:c r="K1091" s="7" t="str">
        <x:v>Verified qualifications do not include active general Life. Current target-pool mismatch; actual historical omission reason unknown.</x:v>
      </x:c>
      <x:c r="L1091" s="7" t="str">
        <x:v>Not supplied; membership is known, motive is not</x:v>
      </x:c>
      <x:c r="M1091" s="7" t="n">
        <x:v>7</x:v>
      </x:c>
      <x:c r="N1091" s="7" t="str">
        <x:v>Outside current general-Life recruiting pool</x:v>
      </x:c>
      <x:c r="O1091" s="7" t="str">
        <x:v>Not displayed</x:v>
      </x:c>
      <x:c r="P1091" s="7" t="str"/>
      <x:c r="Q1091" s="7" t="str"/>
      <x:c r="R1091" s="7" t="str"/>
      <x:c r="S1091" s="15" t="str"/>
      <x:c r="T1091" s="7" t="str">
        <x:v>No public business phone in collected record</x:v>
      </x:c>
      <x:c r="U1091" s="7" t="str"/>
      <x:c r="V1091" s="7" t="str">
        <x:v>Resident</x:v>
      </x:c>
      <x:c r="W1091" s="7" t="str">
        <x:v>CA</x:v>
      </x:c>
      <x:c r="X1091" s="7" t="str"/>
      <x:c r="Y1091" s="7" t="str"/>
      <x:c r="Z1091" s="7" t="str"/>
      <x:c r="AA1091" s="7" t="str"/>
      <x:c r="AB1091" s="7" t="str"/>
      <x:c r="AC1091" s="7" t="str"/>
      <x:c r="AD1091" s="7" t="str">
        <x:v>No agency or insurer displayed: onboarding opportunity possible; existing business unknown</x:v>
      </x:c>
      <x:c r="AE1091" s="7" t="str">
        <x:v>No public business phone: contact enrichment needed, not proof of poor recruiting fit</x:v>
      </x:c>
      <x:c r="AF1091" s="16" t="str"/>
      <x:c r="AG1091" s="17" t="str"/>
      <x:c r="AH1091" s="7" t="str"/>
      <x:c r="AI1091" s="7" t="str">
        <x:v>English</x:v>
      </x:c>
      <x:c r="AJ1091" s="7" t="str"/>
      <x:c r="AK1091" s="15" t="str"/>
      <x:c r="AL1091" s="7" t="str"/>
      <x:c r="AM1091" s="7" t="str">
        <x:v>Aguilar I Rossana | AGUILAR IVETTE ROSSANA</x:v>
      </x:c>
      <x:c r="AN1091" s="7" t="str">
        <x:v>https://cdicloud.insurance.ca.gov/cal/LicenseDetail?SearchType=IND&amp;SearchLicNbr=0J01770&amp;SearchIndvId=1691420</x:v>
      </x:c>
      <x:c r="AO1091" s="7" t="str">
        <x:v>2026-10-08</x:v>
      </x:c>
      <x:c r="AP1091" s="7" t="str">
        <x:v>551ddebff5dc07db67bd813f8b5db7483bfce16565f6ce8a7ea9a42f571a1d94</x:v>
      </x:c>
      <x:c r="AQ1091" s="7" t="str">
        <x:v>Accident and Health / Inactive / 12/05/2018 / 08/31/2020 / 08/31/2020
Casualty Broker-Agent / Inactive / 08/14/2014 / 08/31/2020 / 08/31/2020
Property Broker-Agent / Inactive / 08/14/2014 / 08/31/2020 / 08/31/2020</x:v>
      </x:c>
      <x:c r="AR1091" s="7" t="str">
        <x:v>Inactive</x:v>
      </x:c>
      <x:c r="AS1091" s="7" t="str">
        <x:v>Current detail page</x:v>
      </x:c>
    </x:row>
    <x:row r="1092" ht="52" customHeight="1">
      <x:c r="A1092" s="7" t="str">
        <x:v>AGUILAR ROWENA OLIVER</x:v>
      </x:c>
      <x:c r="B1092" s="14" t="str">
        <x:f>"0D72252"</x:f>
        <x:v>0D72252</x:v>
      </x:c>
      <x:c r="C1092" s="7" t="str">
        <x:v>Omitted</x:v>
      </x:c>
      <x:c r="D1092" s="7" t="str">
        <x:v>FAIL</x:v>
      </x:c>
      <x:c r="E1092" s="13" t="str">
        <x:v>Pending</x:v>
      </x:c>
      <x:c r="F1092" s="13" t="str"/>
      <x:c r="G1092" s="13" t="str"/>
      <x:c r="H1092" s="13" t="str"/>
      <x:c r="I1092" s="7" t="str">
        <x:v>Was this person reviewed? If rejected, give the actual rule and evidence. If acceptable, correct the omission. Confirm the Life-qualification gate and any record change since selection.</x:v>
      </x:c>
      <x:c r="J1092" s="7" t="str">
        <x:v>L1</x:v>
      </x:c>
      <x:c r="K1092" s="7" t="str">
        <x:v>Verified qualifications do not include active general Life. Current target-pool mismatch; actual historical omission reason unknown.</x:v>
      </x:c>
      <x:c r="L1092" s="7" t="str">
        <x:v>Not supplied; membership is known, motive is not</x:v>
      </x:c>
      <x:c r="M1092" s="7" t="n">
        <x:v>7</x:v>
      </x:c>
      <x:c r="N1092" s="7" t="str">
        <x:v>Outside current general-Life recruiting pool</x:v>
      </x:c>
      <x:c r="O1092" s="7" t="str">
        <x:v>Not displayed</x:v>
      </x:c>
      <x:c r="P1092" s="7" t="str"/>
      <x:c r="Q1092" s="7" t="str"/>
      <x:c r="R1092" s="7" t="str"/>
      <x:c r="S1092" s="15" t="str"/>
      <x:c r="T1092" s="7" t="str">
        <x:v>No public business phone in collected record</x:v>
      </x:c>
      <x:c r="U1092" s="7" t="str"/>
      <x:c r="V1092" s="7" t="str">
        <x:v>Resident</x:v>
      </x:c>
      <x:c r="W1092" s="7" t="str">
        <x:v>CA</x:v>
      </x:c>
      <x:c r="X1092" s="7" t="str"/>
      <x:c r="Y1092" s="7" t="str"/>
      <x:c r="Z1092" s="7" t="str"/>
      <x:c r="AA1092" s="7" t="str"/>
      <x:c r="AB1092" s="7" t="str"/>
      <x:c r="AC1092" s="7" t="str"/>
      <x:c r="AD1092" s="7" t="str">
        <x:v>No agency or insurer displayed: onboarding opportunity possible; existing business unknown</x:v>
      </x:c>
      <x:c r="AE1092" s="7" t="str">
        <x:v>No public business phone: contact enrichment needed, not proof of poor recruiting fit</x:v>
      </x:c>
      <x:c r="AF1092" s="16" t="str"/>
      <x:c r="AG1092" s="17" t="str"/>
      <x:c r="AH1092" s="7" t="str"/>
      <x:c r="AI1092" s="7" t="str"/>
      <x:c r="AJ1092" s="7" t="str"/>
      <x:c r="AK1092" s="15" t="str"/>
      <x:c r="AL1092" s="7" t="str"/>
      <x:c r="AM1092" s="7" t="str">
        <x:v>AGUILAR OLIVER ROWENA</x:v>
      </x:c>
      <x:c r="AN1092" s="7" t="str">
        <x:v>https://cdicloud.insurance.ca.gov/cal/LicenseDetail?SearchType=IND&amp;SearchLicNbr=0D72252&amp;SearchIndvId=798812</x:v>
      </x:c>
      <x:c r="AO1092" s="7" t="str">
        <x:v>2026-10-08</x:v>
      </x:c>
      <x:c r="AP1092" s="7" t="str">
        <x:v>226b18247c75a327dcb8f45307f01251796c30860133af9fdb0a6a4b93459c3d</x:v>
      </x:c>
      <x:c r="AQ1092" s="7" t="str">
        <x:v>Accident and Health / Inactive / 08/27/2002 / 08/31/2004 / 08/31/2004
Life-Only / Inactive / 08/27/2002 / 08/31/2004 / 08/31/2004</x:v>
      </x:c>
      <x:c r="AR1092" s="7" t="str">
        <x:v>Inactive</x:v>
      </x:c>
      <x:c r="AS1092" s="7" t="str">
        <x:v>Current detail page</x:v>
      </x:c>
    </x:row>
    <x:row r="1093" ht="52" customHeight="1">
      <x:c r="A1093" s="7" t="str">
        <x:v>AGUILAR ROXANNE MARIE</x:v>
      </x:c>
      <x:c r="B1093" s="14" t="str">
        <x:f>"0D58791"</x:f>
        <x:v>0D58791</x:v>
      </x:c>
      <x:c r="C1093" s="7" t="str">
        <x:v>Omitted</x:v>
      </x:c>
      <x:c r="D1093" s="7" t="str">
        <x:v>FAIL</x:v>
      </x:c>
      <x:c r="E1093" s="13" t="str">
        <x:v>Pending</x:v>
      </x:c>
      <x:c r="F1093" s="13" t="str"/>
      <x:c r="G1093" s="13" t="str"/>
      <x:c r="H1093" s="13" t="str"/>
      <x:c r="I1093" s="7" t="str">
        <x:v>Was this person reviewed? If rejected, give the actual rule and evidence. If acceptable, correct the omission. Confirm the Life-qualification gate and any record change since selection.</x:v>
      </x:c>
      <x:c r="J1093" s="7" t="str">
        <x:v>L1</x:v>
      </x:c>
      <x:c r="K1093" s="7" t="str">
        <x:v>Verified qualifications do not include active general Life. Current target-pool mismatch; actual historical omission reason unknown.</x:v>
      </x:c>
      <x:c r="L1093" s="7" t="str">
        <x:v>Not supplied; membership is known, motive is not</x:v>
      </x:c>
      <x:c r="M1093" s="7" t="n">
        <x:v>7</x:v>
      </x:c>
      <x:c r="N1093" s="7" t="str">
        <x:v>Outside current general-Life recruiting pool</x:v>
      </x:c>
      <x:c r="O1093" s="7" t="str">
        <x:v>Not displayed</x:v>
      </x:c>
      <x:c r="P1093" s="7" t="str"/>
      <x:c r="Q1093" s="7" t="str"/>
      <x:c r="R1093" s="7" t="str"/>
      <x:c r="S1093" s="15" t="str"/>
      <x:c r="T1093" s="7" t="str">
        <x:v>No public business phone in collected record</x:v>
      </x:c>
      <x:c r="U1093" s="7" t="str"/>
      <x:c r="V1093" s="7" t="str">
        <x:v>Resident</x:v>
      </x:c>
      <x:c r="W1093" s="7" t="str">
        <x:v>CA</x:v>
      </x:c>
      <x:c r="X1093" s="7" t="str"/>
      <x:c r="Y1093" s="7" t="str"/>
      <x:c r="Z1093" s="7" t="str"/>
      <x:c r="AA1093" s="7" t="str"/>
      <x:c r="AB1093" s="7" t="str"/>
      <x:c r="AC1093" s="7" t="str"/>
      <x:c r="AD1093" s="7" t="str">
        <x:v>No agency or insurer displayed: onboarding opportunity possible; existing business unknown</x:v>
      </x:c>
      <x:c r="AE1093" s="7" t="str">
        <x:v>No public business phone: contact enrichment needed, not proof of poor recruiting fit</x:v>
      </x:c>
      <x:c r="AF1093" s="16" t="str"/>
      <x:c r="AG1093" s="17" t="str"/>
      <x:c r="AH1093" s="7" t="str"/>
      <x:c r="AI1093" s="7" t="str"/>
      <x:c r="AJ1093" s="7" t="str"/>
      <x:c r="AK1093" s="15" t="str"/>
      <x:c r="AL1093" s="7" t="str"/>
      <x:c r="AM1093" s="7" t="str">
        <x:v>AGUILAR MARIE ROXANNE</x:v>
      </x:c>
      <x:c r="AN1093" s="7" t="str">
        <x:v>https://cdicloud.insurance.ca.gov/cal/LicenseDetail?SearchType=IND&amp;SearchLicNbr=0D58791&amp;SearchIndvId=645428</x:v>
      </x:c>
      <x:c r="AO1093" s="7" t="str">
        <x:v>2026-10-08</x:v>
      </x:c>
      <x:c r="AP1093" s="7" t="str">
        <x:v>c2ae1ac5d20ad67b469d6cfdf9cd1e1dbfacc077154e1e3cde93b34024785136</x:v>
      </x:c>
      <x:c r="AQ1093" s="7" t="str">
        <x:v>Accident and Health / Inactive / 02/22/2002 / 02/29/2004 / 02/29/2004
Life-Only / Inactive / 02/22/2002 / 02/29/2004 / 02/29/2004</x:v>
      </x:c>
      <x:c r="AR1093" s="7" t="str">
        <x:v>Inactive</x:v>
      </x:c>
      <x:c r="AS1093" s="7" t="str">
        <x:v>Current detail page</x:v>
      </x:c>
    </x:row>
    <x:row r="1094" ht="52" customHeight="1">
      <x:c r="A1094" s="7" t="str">
        <x:v>AGUILAR RUBEN</x:v>
      </x:c>
      <x:c r="B1094" s="14" t="str">
        <x:f>"0C39151"</x:f>
        <x:v>0C39151</x:v>
      </x:c>
      <x:c r="C1094" s="7" t="str">
        <x:v>Omitted</x:v>
      </x:c>
      <x:c r="D1094" s="7" t="str">
        <x:v>FAIL</x:v>
      </x:c>
      <x:c r="E1094" s="13" t="str">
        <x:v>Pending</x:v>
      </x:c>
      <x:c r="F1094" s="13" t="str"/>
      <x:c r="G1094" s="13" t="str"/>
      <x:c r="H1094" s="13" t="str"/>
      <x:c r="I1094" s="7" t="str">
        <x:v>Was this person reviewed? If rejected, give the actual rule and evidence. If acceptable, correct the omission. Confirm the Life-qualification gate and any record change since selection.</x:v>
      </x:c>
      <x:c r="J1094" s="7" t="str">
        <x:v>L1</x:v>
      </x:c>
      <x:c r="K1094" s="7" t="str">
        <x:v>Verified qualifications do not include active general Life. Current target-pool mismatch; actual historical omission reason unknown.</x:v>
      </x:c>
      <x:c r="L1094" s="7" t="str">
        <x:v>Not supplied; membership is known, motive is not</x:v>
      </x:c>
      <x:c r="M1094" s="7" t="n">
        <x:v>7</x:v>
      </x:c>
      <x:c r="N1094" s="7" t="str">
        <x:v>Outside current general-Life recruiting pool</x:v>
      </x:c>
      <x:c r="O1094" s="7" t="str">
        <x:v>Not displayed</x:v>
      </x:c>
      <x:c r="P1094" s="7" t="str"/>
      <x:c r="Q1094" s="7" t="str"/>
      <x:c r="R1094" s="7" t="str"/>
      <x:c r="S1094" s="15" t="str"/>
      <x:c r="T1094" s="7" t="str">
        <x:v>No public business phone in collected record</x:v>
      </x:c>
      <x:c r="U1094" s="7" t="str"/>
      <x:c r="V1094" s="7" t="str">
        <x:v>Resident</x:v>
      </x:c>
      <x:c r="W1094" s="7" t="str">
        <x:v>CA</x:v>
      </x:c>
      <x:c r="X1094" s="7" t="str"/>
      <x:c r="Y1094" s="7" t="str"/>
      <x:c r="Z1094" s="7" t="str"/>
      <x:c r="AA1094" s="7" t="str"/>
      <x:c r="AB1094" s="7" t="str"/>
      <x:c r="AC1094" s="7" t="str"/>
      <x:c r="AD1094" s="7" t="str">
        <x:v>No agency or insurer displayed: onboarding opportunity possible; existing business unknown</x:v>
      </x:c>
      <x:c r="AE1094" s="7" t="str">
        <x:v>No public business phone: contact enrichment needed, not proof of poor recruiting fit</x:v>
      </x:c>
      <x:c r="AF1094" s="16" t="str"/>
      <x:c r="AG1094" s="17" t="str"/>
      <x:c r="AH1094" s="7" t="str"/>
      <x:c r="AI1094" s="7" t="str"/>
      <x:c r="AJ1094" s="7" t="str"/>
      <x:c r="AK1094" s="15" t="str"/>
      <x:c r="AL1094" s="7" t="str"/>
      <x:c r="AM1094" s="7" t="str">
        <x:v>AGUILAR  RUBEN</x:v>
      </x:c>
      <x:c r="AN1094" s="7" t="str">
        <x:v>https://cdicloud.insurance.ca.gov/cal/LicenseDetail?SearchType=IND&amp;SearchLicNbr=0C39151&amp;SearchIndvId=313757</x:v>
      </x:c>
      <x:c r="AO1094" s="7" t="str">
        <x:v>2026-10-08</x:v>
      </x:c>
      <x:c r="AP1094" s="7" t="str">
        <x:v>5f9d080fb8cfc5d341a7c8ce8887519c0438f87ebb48afb76806edf73b74f49a</x:v>
      </x:c>
      <x:c r="AQ1094" s="7" t="str">
        <x:v>Accident and Health / Inactive / 08/05/1998 / 08/31/2000 / 08/31/2000
Life-Only / Inactive / 08/05/1998 / 08/31/2000 / 08/31/2000</x:v>
      </x:c>
      <x:c r="AR1094" s="7" t="str">
        <x:v>Inactive</x:v>
      </x:c>
      <x:c r="AS1094" s="7" t="str">
        <x:v>Current detail page</x:v>
      </x:c>
    </x:row>
    <x:row r="1095" ht="52" customHeight="1">
      <x:c r="A1095" s="7" t="str">
        <x:v>AGUILAR RUBY</x:v>
      </x:c>
      <x:c r="B1095" s="14" t="str">
        <x:f>"4194888"</x:f>
        <x:v>4194888</x:v>
      </x:c>
      <x:c r="C1095" s="7" t="str">
        <x:v>Omitted</x:v>
      </x:c>
      <x:c r="D1095" s="7" t="str">
        <x:v>FAIL</x:v>
      </x:c>
      <x:c r="E1095" s="13" t="str">
        <x:v>Pending</x:v>
      </x:c>
      <x:c r="F1095" s="13" t="str"/>
      <x:c r="G1095" s="13" t="str"/>
      <x:c r="H1095" s="13" t="str"/>
      <x:c r="I1095" s="7" t="str">
        <x:v>Was this person reviewed? If rejected, give the actual rule and evidence. If acceptable, correct the omission. Confirm the Life-qualification gate and any record change since selection.</x:v>
      </x:c>
      <x:c r="J1095" s="7" t="str">
        <x:v>L1</x:v>
      </x:c>
      <x:c r="K1095" s="7" t="str">
        <x:v>Verified qualifications do not include active general Life. Current target-pool mismatch; actual historical omission reason unknown.</x:v>
      </x:c>
      <x:c r="L1095" s="7" t="str">
        <x:v>Not supplied; membership is known, motive is not</x:v>
      </x:c>
      <x:c r="M1095" s="7" t="n">
        <x:v>7</x:v>
      </x:c>
      <x:c r="N1095" s="7" t="str">
        <x:v>Outside current general-Life recruiting pool</x:v>
      </x:c>
      <x:c r="O1095" s="7" t="str">
        <x:v>Not displayed</x:v>
      </x:c>
      <x:c r="P1095" s="7" t="str"/>
      <x:c r="Q1095" s="7" t="str"/>
      <x:c r="R1095" s="7" t="str">
        <x:v>Casualty; Property</x:v>
      </x:c>
      <x:c r="S1095" s="15" t="str"/>
      <x:c r="T1095" s="7" t="str">
        <x:v>No public business phone in collected record</x:v>
      </x:c>
      <x:c r="U1095" s="7" t="str">
        <x:v>2010 S LAMAR BLVD STE 225 AUSTIN TX, 78704-3357</x:v>
      </x:c>
      <x:c r="V1095" s="7" t="str">
        <x:v>Non-resident</x:v>
      </x:c>
      <x:c r="W1095" s="7" t="str">
        <x:v>TX</x:v>
      </x:c>
      <x:c r="X1095" s="7" t="str">
        <x:v>ROAMLY INSURANCE GROUP, LLC / Casualty / 03/05/2022
ROAMLY INSURANCE GROUP, LLC / Property / 03/05/2022</x:v>
      </x:c>
      <x:c r="Y1095" s="7" t="str">
        <x:v>INTEGON NATIONAL INSURANCE COMPANY / Casualty / 09/05/2023
INTEGON NATIONAL INSURANCE COMPANY / Property / 09/05/2023
INTEGON PREFERRED INSURANCE COMPANY / Casualty / 02/21/2025
INTEGON PREFERRED INSURANCE COMPANY / Property / 02/21/2025
NATIONAL GENERAL ASSURANCE COMPANY / Casualty / 09/05/2023
NATIONAL GENERAL ASSURANCE COMPANY / Property / 09/05/2023
SPINNAKER INSURANCE COMPANY / Casualty / 04/03/2026
SPINNAKER INSURANCE COMPANY / Property / 04/03/2026</x:v>
      </x:c>
      <x:c r="Z1095" s="7" t="str"/>
      <x:c r="AA1095" s="7" t="str"/>
      <x:c r="AB1095" s="7" t="str"/>
      <x:c r="AC1095" s="7" t="str"/>
      <x:c r="AD1095" s="7" t="str"/>
      <x:c r="AE1095"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1095" s="16" t="str"/>
      <x:c r="AG1095" s="17" t="str"/>
      <x:c r="AH1095" s="7" t="str"/>
      <x:c r="AI1095" s="7" t="str"/>
      <x:c r="AJ1095" s="7" t="str"/>
      <x:c r="AK1095" s="15" t="str"/>
      <x:c r="AL1095" s="7" t="str"/>
      <x:c r="AM1095" s="7" t="str">
        <x:v>AGUILAR  RUBY</x:v>
      </x:c>
      <x:c r="AN1095" s="7" t="str">
        <x:v>https://cdicloud.insurance.ca.gov/cal/LicenseDetail?SearchType=IND&amp;SearchLicNbr=4194888&amp;SearchIndvId=4194888</x:v>
      </x:c>
      <x:c r="AO1095" s="7" t="str">
        <x:v>2026-10-08</x:v>
      </x:c>
      <x:c r="AP1095" s="7" t="str">
        <x:v>7dd843330e217d3db3a426de6d4a7503e07a8bce63277e81d1a7c9474d89e657</x:v>
      </x:c>
      <x:c r="AQ1095" s="7" t="str">
        <x:v>Casualty / Active / 02/28/2022 / 02/28/2022 / 02/29/2028
Property / Active / 02/28/2022 / 02/28/2022 / 02/29/2028</x:v>
      </x:c>
      <x:c r="AR1095" s="7" t="str">
        <x:v>Active</x:v>
      </x:c>
      <x:c r="AS1095" s="7" t="str">
        <x:v>Current detail page</x:v>
      </x:c>
    </x:row>
    <x:row r="1096" ht="52" customHeight="1">
      <x:c r="A1096" s="7" t="str">
        <x:v>AGUILAR RUBY BETHSABE</x:v>
      </x:c>
      <x:c r="B1096" s="14" t="str">
        <x:f>"0K22616"</x:f>
        <x:v>0K22616</x:v>
      </x:c>
      <x:c r="C1096" s="7" t="str">
        <x:v>Omitted</x:v>
      </x:c>
      <x:c r="D1096" s="7" t="str">
        <x:v>FAIL</x:v>
      </x:c>
      <x:c r="E1096" s="13" t="str">
        <x:v>Pending</x:v>
      </x:c>
      <x:c r="F1096" s="13" t="str"/>
      <x:c r="G1096" s="13" t="str"/>
      <x:c r="H1096" s="13" t="str"/>
      <x:c r="I1096" s="7" t="str">
        <x:v>Was this person reviewed? If rejected, give the actual rule and evidence. If acceptable, correct the omission. Confirm the Life-qualification gate and any record change since selection.</x:v>
      </x:c>
      <x:c r="J1096" s="7" t="str">
        <x:v>L1</x:v>
      </x:c>
      <x:c r="K1096" s="7" t="str">
        <x:v>Verified qualifications do not include active general Life. Current target-pool mismatch; actual historical omission reason unknown.</x:v>
      </x:c>
      <x:c r="L1096" s="7" t="str">
        <x:v>Not supplied; membership is known, motive is not</x:v>
      </x:c>
      <x:c r="M1096" s="7" t="n">
        <x:v>7</x:v>
      </x:c>
      <x:c r="N1096" s="7" t="str">
        <x:v>Outside current general-Life recruiting pool</x:v>
      </x:c>
      <x:c r="O1096" s="7" t="str">
        <x:v>Not displayed</x:v>
      </x:c>
      <x:c r="P1096" s="7" t="str"/>
      <x:c r="Q1096" s="7" t="str"/>
      <x:c r="R1096" s="7" t="str">
        <x:v>Personal Lines</x:v>
      </x:c>
      <x:c r="S1096" s="15" t="str">
        <x:v>714-300-0740</x:v>
      </x:c>
      <x:c r="T1096" s="7" t="str">
        <x:v>Current CDI</x:v>
      </x:c>
      <x:c r="U1096" s="7" t="str">
        <x:v>1501 N RAYMOND AVE STE Q ANAHEIM CA, 92801</x:v>
      </x:c>
      <x:c r="V1096" s="7" t="str">
        <x:v>Resident</x:v>
      </x:c>
      <x:c r="W1096" s="7" t="str">
        <x:v>CA</x:v>
      </x:c>
      <x:c r="X1096" s="7" t="str"/>
      <x:c r="Y1096" s="7" t="str"/>
      <x:c r="Z1096" s="7" t="str"/>
      <x:c r="AA1096" s="7" t="str"/>
      <x:c r="AB1096" s="7" t="str"/>
      <x:c r="AC1096" s="7" t="str"/>
      <x:c r="AD1096" s="7" t="str">
        <x:v>No agency or insurer displayed: onboarding opportunity possible; existing business unknown</x:v>
      </x:c>
      <x:c r="AE1096" s="7" t="str">
        <x:v>P&amp;C/Personal Lines authority without displayed core Life appointments; mixed profile requires review</x:v>
      </x:c>
      <x:c r="AF1096" s="16" t="str"/>
      <x:c r="AG1096" s="17" t="str"/>
      <x:c r="AH1096" s="7" t="str"/>
      <x:c r="AI1096" s="7" t="str">
        <x:v>English</x:v>
      </x:c>
      <x:c r="AJ1096" s="7" t="str"/>
      <x:c r="AK1096" s="15" t="str"/>
      <x:c r="AL1096" s="7" t="str"/>
      <x:c r="AM1096" s="7" t="str">
        <x:v>aguilar b ruby | AGUILAR BETHSABE RUBY</x:v>
      </x:c>
      <x:c r="AN1096" s="7" t="str">
        <x:v>https://cdicloud.insurance.ca.gov/cal/LicenseDetail?SearchType=IND&amp;SearchLicNbr=0K22616&amp;SearchIndvId=1751182</x:v>
      </x:c>
      <x:c r="AO1096" s="7" t="str">
        <x:v>2026-10-08</x:v>
      </x:c>
      <x:c r="AP1096" s="7" t="str">
        <x:v>44b0b501da2258e0db042188e931dfec8e0ae28353f438f858037971f064bdd2</x:v>
      </x:c>
      <x:c r="AQ1096" s="7" t="str">
        <x:v>Personal Lines / Active / 07/09/2018 / 01/19/2022 / 05/31/2027</x:v>
      </x:c>
      <x:c r="AR1096" s="7" t="str">
        <x:v>Active</x:v>
      </x:c>
      <x:c r="AS1096" s="7" t="str">
        <x:v>Current detail page</x:v>
      </x:c>
    </x:row>
    <x:row r="1097" ht="52" customHeight="1">
      <x:c r="A1097" s="7" t="str">
        <x:v>AGUILAR RUDY ESCAJEDA</x:v>
      </x:c>
      <x:c r="B1097" s="14" t="str">
        <x:f>"0768810"</x:f>
        <x:v>0768810</x:v>
      </x:c>
      <x:c r="C1097" s="7" t="str">
        <x:v>Omitted</x:v>
      </x:c>
      <x:c r="D1097" s="7" t="str">
        <x:v>FAIL</x:v>
      </x:c>
      <x:c r="E1097" s="13" t="str">
        <x:v>Pending</x:v>
      </x:c>
      <x:c r="F1097" s="13" t="str"/>
      <x:c r="G1097" s="13" t="str"/>
      <x:c r="H1097" s="13" t="str"/>
      <x:c r="I1097" s="7" t="str">
        <x:v>Was this person reviewed? If rejected, give the actual rule and evidence. If acceptable, correct the omission. Confirm the Life-qualification gate and any record change since selection.</x:v>
      </x:c>
      <x:c r="J1097" s="7" t="str">
        <x:v>L1</x:v>
      </x:c>
      <x:c r="K1097" s="7" t="str">
        <x:v>Verified qualifications do not include active general Life. Current target-pool mismatch; actual historical omission reason unknown.</x:v>
      </x:c>
      <x:c r="L1097" s="7" t="str">
        <x:v>Not supplied; membership is known, motive is not</x:v>
      </x:c>
      <x:c r="M1097" s="7" t="n">
        <x:v>7</x:v>
      </x:c>
      <x:c r="N1097" s="7" t="str">
        <x:v>Outside current general-Life recruiting pool</x:v>
      </x:c>
      <x:c r="O1097" s="7" t="str">
        <x:v>Not displayed</x:v>
      </x:c>
      <x:c r="P1097" s="7" t="str"/>
      <x:c r="Q1097" s="7" t="str"/>
      <x:c r="R1097" s="7" t="str"/>
      <x:c r="S1097" s="15" t="str"/>
      <x:c r="T1097" s="7" t="str">
        <x:v>No public business phone in collected record</x:v>
      </x:c>
      <x:c r="U1097" s="7" t="str"/>
      <x:c r="V1097" s="7" t="str">
        <x:v>Resident</x:v>
      </x:c>
      <x:c r="W1097" s="7" t="str">
        <x:v>SD</x:v>
      </x:c>
      <x:c r="X1097" s="7" t="str"/>
      <x:c r="Y1097" s="7" t="str"/>
      <x:c r="Z1097" s="7" t="str"/>
      <x:c r="AA1097" s="7" t="str"/>
      <x:c r="AB1097" s="7" t="str"/>
      <x:c r="AC1097" s="7" t="str"/>
      <x:c r="AD1097" s="7" t="str">
        <x:v>No agency or insurer displayed: onboarding opportunity possible; existing business unknown</x:v>
      </x:c>
      <x:c r="AE1097" s="7" t="str">
        <x:v>Nonresident or address state outside CA; confirm geographic recruiting scope | No public business phone: contact enrichment needed, not proof of poor recruiting fit</x:v>
      </x:c>
      <x:c r="AF1097" s="16" t="str"/>
      <x:c r="AG1097" s="17" t="str"/>
      <x:c r="AH1097" s="7" t="str"/>
      <x:c r="AI1097" s="7" t="str"/>
      <x:c r="AJ1097" s="7" t="str"/>
      <x:c r="AK1097" s="15" t="str"/>
      <x:c r="AL1097" s="7" t="str"/>
      <x:c r="AM1097" s="7" t="str">
        <x:v>AGUILAR ESCAJEDA RUDY</x:v>
      </x:c>
      <x:c r="AN1097" s="7" t="str">
        <x:v>https://cdicloud.insurance.ca.gov/cal/LicenseDetail?SearchType=IND&amp;SearchLicNbr=0768810&amp;SearchIndvId=112368</x:v>
      </x:c>
      <x:c r="AO1097" s="7" t="str">
        <x:v>2026-10-08</x:v>
      </x:c>
      <x:c r="AP1097" s="7" t="str">
        <x:v>3d63aa52a75b08ca47ef3f5fc70d3521983d3013b037494159d735d7b97c0a93</x:v>
      </x:c>
      <x:c r="AQ1097" s="7" t="str">
        <x:v>Accident and Health / Inactive / 05/02/1989 / 05/31/1995 / 05/31/1995
Casualty Broker-Agent / Inactive / 01/04/1991 / 05/31/1995 / 05/31/1995
Life-Only / Inactive / 05/02/1989 / 05/31/1995 / 05/31/1995
Property Broker-Agent / Inactive / 01/04/1991 / 05/31/1995 / 05/31/1995</x:v>
      </x:c>
      <x:c r="AR1097" s="7" t="str">
        <x:v>Inactive</x:v>
      </x:c>
      <x:c r="AS1097" s="7" t="str">
        <x:v>Current detail page</x:v>
      </x:c>
    </x:row>
    <x:row r="1098" ht="52" customHeight="1">
      <x:c r="A1098" s="7" t="str">
        <x:v>AGUILAR RUTH</x:v>
      </x:c>
      <x:c r="B1098" s="14" t="str">
        <x:f>"0E36667"</x:f>
        <x:v>0E36667</x:v>
      </x:c>
      <x:c r="C1098" s="7" t="str">
        <x:v>Omitted</x:v>
      </x:c>
      <x:c r="D1098" s="7" t="str">
        <x:v>FAIL</x:v>
      </x:c>
      <x:c r="E1098" s="13" t="str">
        <x:v>Pending</x:v>
      </x:c>
      <x:c r="F1098" s="13" t="str"/>
      <x:c r="G1098" s="13" t="str"/>
      <x:c r="H1098" s="13" t="str"/>
      <x:c r="I1098" s="7" t="str">
        <x:v>Was this person reviewed? If rejected, give the actual rule and evidence. If acceptable, correct the omission. Confirm the Life-qualification gate and any record change since selection.</x:v>
      </x:c>
      <x:c r="J1098" s="7" t="str">
        <x:v>L1</x:v>
      </x:c>
      <x:c r="K1098" s="7" t="str">
        <x:v>Verified qualifications do not include active general Life. Current target-pool mismatch; actual historical omission reason unknown.</x:v>
      </x:c>
      <x:c r="L1098" s="7" t="str">
        <x:v>Not supplied; membership is known, motive is not</x:v>
      </x:c>
      <x:c r="M1098" s="7" t="n">
        <x:v>7</x:v>
      </x:c>
      <x:c r="N1098" s="7" t="str">
        <x:v>Outside current general-Life recruiting pool</x:v>
      </x:c>
      <x:c r="O1098" s="7" t="str">
        <x:v>Not displayed</x:v>
      </x:c>
      <x:c r="P1098" s="7" t="str"/>
      <x:c r="Q1098" s="7" t="str"/>
      <x:c r="R1098" s="7" t="str"/>
      <x:c r="S1098" s="15" t="str"/>
      <x:c r="T1098" s="7" t="str">
        <x:v>No public business phone in collected record</x:v>
      </x:c>
      <x:c r="U1098" s="7" t="str"/>
      <x:c r="V1098" s="7" t="str">
        <x:v>Resident</x:v>
      </x:c>
      <x:c r="W1098" s="7" t="str">
        <x:v>CA</x:v>
      </x:c>
      <x:c r="X1098" s="7" t="str"/>
      <x:c r="Y1098" s="7" t="str"/>
      <x:c r="Z1098" s="7" t="str"/>
      <x:c r="AA1098" s="7" t="str"/>
      <x:c r="AB1098" s="7" t="str"/>
      <x:c r="AC1098" s="7" t="str"/>
      <x:c r="AD1098" s="7" t="str">
        <x:v>No agency or insurer displayed: onboarding opportunity possible; existing business unknown</x:v>
      </x:c>
      <x:c r="AE1098" s="7" t="str">
        <x:v>No public business phone: contact enrichment needed, not proof of poor recruiting fit</x:v>
      </x:c>
      <x:c r="AF1098" s="16" t="str"/>
      <x:c r="AG1098" s="17" t="str"/>
      <x:c r="AH1098" s="7" t="str"/>
      <x:c r="AI1098" s="7" t="str"/>
      <x:c r="AJ1098" s="7" t="str"/>
      <x:c r="AK1098" s="15" t="str"/>
      <x:c r="AL1098" s="7" t="str"/>
      <x:c r="AM1098" s="7" t="str">
        <x:v>AGUILAR  RUTH</x:v>
      </x:c>
      <x:c r="AN1098" s="7" t="str">
        <x:v>https://cdicloud.insurance.ca.gov/cal/LicenseDetail?SearchType=IND&amp;SearchLicNbr=0E36667&amp;SearchIndvId=888989</x:v>
      </x:c>
      <x:c r="AO1098" s="7" t="str">
        <x:v>2026-10-08</x:v>
      </x:c>
      <x:c r="AP1098" s="7" t="str">
        <x:v>e710154f7aec23ebdb597545e91ac652dea13f75f0033327b94dae5eeac59134</x:v>
      </x:c>
      <x:c r="AQ1098" s="7" t="str">
        <x:v>Casualty Broker-Agent / Voluntary Surrender / 03/18/2004 / 06/13/2006 / 06/13/2006
Property Broker-Agent / Voluntary Surrender / 03/18/2004 / 06/13/2006 / 06/13/2006</x:v>
      </x:c>
      <x:c r="AR1098" s="7" t="str">
        <x:v>Voluntary Surrender</x:v>
      </x:c>
      <x:c r="AS1098" s="7" t="str">
        <x:v>Current detail page</x:v>
      </x:c>
    </x:row>
    <x:row r="1099" ht="52" customHeight="1">
      <x:c r="A1099" s="7" t="str">
        <x:v>AGUILAR RUTH EVELIN</x:v>
      </x:c>
      <x:c r="B1099" s="14" t="str">
        <x:f>"4322341"</x:f>
        <x:v>4322341</x:v>
      </x:c>
      <x:c r="C1099" s="7" t="str">
        <x:v>Omitted</x:v>
      </x:c>
      <x:c r="D1099" s="7" t="str">
        <x:v>FAIL</x:v>
      </x:c>
      <x:c r="E1099" s="13" t="str">
        <x:v>Pending</x:v>
      </x:c>
      <x:c r="F1099" s="13" t="str"/>
      <x:c r="G1099" s="13" t="str"/>
      <x:c r="H1099" s="13" t="str"/>
      <x:c r="I1099" s="7" t="str">
        <x:v>Was this person reviewed? If rejected, give the actual rule and evidence. If acceptable, correct the omission. Confirm the Life-qualification gate and any record change since selection.</x:v>
      </x:c>
      <x:c r="J1099" s="7" t="str">
        <x:v>L1</x:v>
      </x:c>
      <x:c r="K1099" s="7" t="str">
        <x:v>Verified qualifications do not include active general Life. Current target-pool mismatch; actual historical omission reason unknown.</x:v>
      </x:c>
      <x:c r="L1099" s="7" t="str">
        <x:v>Not supplied; membership is known, motive is not</x:v>
      </x:c>
      <x:c r="M1099" s="7" t="n">
        <x:v>7</x:v>
      </x:c>
      <x:c r="N1099" s="7" t="str">
        <x:v>Outside current general-Life recruiting pool</x:v>
      </x:c>
      <x:c r="O1099" s="7" t="str">
        <x:v>Inactive</x:v>
      </x:c>
      <x:c r="P1099" s="7" t="str">
        <x:v>09/18/2023</x:v>
      </x:c>
      <x:c r="Q1099" s="7" t="str">
        <x:v>09/30/2025</x:v>
      </x:c>
      <x:c r="R1099" s="7" t="str"/>
      <x:c r="S1099" s="15" t="str">
        <x:v>818-361-6033</x:v>
      </x:c>
      <x:c r="T1099" s="7" t="str">
        <x:v>Current CDI</x:v>
      </x:c>
      <x:c r="U1099" s="7" t="str">
        <x:v>1038 N MACLAY AVE STE A SAN FERNANDO CA, 91340</x:v>
      </x:c>
      <x:c r="V1099" s="7" t="str">
        <x:v>Resident</x:v>
      </x:c>
      <x:c r="W1099" s="7" t="str">
        <x:v>CA</x:v>
      </x:c>
      <x:c r="X1099" s="7" t="str"/>
      <x:c r="Y1099" s="7" t="str"/>
      <x:c r="Z1099" s="7" t="str"/>
      <x:c r="AA1099" s="7" t="str"/>
      <x:c r="AB1099" s="7" t="str"/>
      <x:c r="AC1099" s="7" t="str"/>
      <x:c r="AD1099" s="7" t="str">
        <x:v>No agency or insurer displayed: onboarding opportunity possible; existing business unknown</x:v>
      </x:c>
      <x:c r="AE1099" s="7" t="str"/>
      <x:c r="AF1099" s="16" t="str"/>
      <x:c r="AG1099" s="17" t="str"/>
      <x:c r="AH1099" s="7" t="str"/>
      <x:c r="AI1099" s="7" t="str">
        <x:v>English</x:v>
      </x:c>
      <x:c r="AJ1099" s="7" t="str"/>
      <x:c r="AK1099" s="15" t="str"/>
      <x:c r="AL1099" s="7" t="str"/>
      <x:c r="AM1099" s="7" t="str">
        <x:v>AGUILAR EVELIN RUTH</x:v>
      </x:c>
      <x:c r="AN1099" s="7" t="str">
        <x:v>https://cdicloud.insurance.ca.gov/cal/LicenseDetail?SearchType=IND&amp;SearchLicNbr=4322341&amp;SearchIndvId=4322341</x:v>
      </x:c>
      <x:c r="AO1099" s="7" t="str">
        <x:v>2026-10-08</x:v>
      </x:c>
      <x:c r="AP1099" s="7" t="str">
        <x:v>cd7420c7ffdb3b3f55fc44f6c5a5e29467926dd3480f006e37bc84944337e021</x:v>
      </x:c>
      <x:c r="AQ1099" s="7" t="str">
        <x:v>Life / Inactive / 09/18/2023 / 09/30/2025 / 09/30/2025</x:v>
      </x:c>
      <x:c r="AR1099" s="7" t="str">
        <x:v>Inactive</x:v>
      </x:c>
      <x:c r="AS1099" s="7" t="str">
        <x:v>Current detail page</x:v>
      </x:c>
    </x:row>
    <x:row r="1100" ht="52" customHeight="1">
      <x:c r="A1100" s="7" t="str">
        <x:v>AGUILAR RUTH IVETH</x:v>
      </x:c>
      <x:c r="B1100" s="14" t="str">
        <x:f>"0H38776"</x:f>
        <x:v>0H38776</x:v>
      </x:c>
      <x:c r="C1100" s="7" t="str">
        <x:v>Omitted</x:v>
      </x:c>
      <x:c r="D1100" s="7" t="str">
        <x:v>FAIL</x:v>
      </x:c>
      <x:c r="E1100" s="13" t="str">
        <x:v>Pending</x:v>
      </x:c>
      <x:c r="F1100" s="13" t="str"/>
      <x:c r="G1100" s="13" t="str"/>
      <x:c r="H1100" s="13" t="str"/>
      <x:c r="I1100" s="7" t="str">
        <x:v>Was this person reviewed? If rejected, give the actual rule and evidence. If acceptable, correct the omission. Confirm the Life-qualification gate and any record change since selection.</x:v>
      </x:c>
      <x:c r="J1100" s="7" t="str">
        <x:v>L1</x:v>
      </x:c>
      <x:c r="K1100" s="7" t="str">
        <x:v>Verified qualifications do not include active general Life. Current target-pool mismatch; actual historical omission reason unknown.</x:v>
      </x:c>
      <x:c r="L1100" s="7" t="str">
        <x:v>Not supplied; membership is known, motive is not</x:v>
      </x:c>
      <x:c r="M1100" s="7" t="n">
        <x:v>7</x:v>
      </x:c>
      <x:c r="N1100" s="7" t="str">
        <x:v>Outside current general-Life recruiting pool</x:v>
      </x:c>
      <x:c r="O1100" s="7" t="str">
        <x:v>Not displayed</x:v>
      </x:c>
      <x:c r="P1100" s="7" t="str"/>
      <x:c r="Q1100" s="7" t="str"/>
      <x:c r="R1100" s="7" t="str"/>
      <x:c r="S1100" s="15" t="str"/>
      <x:c r="T1100" s="7" t="str">
        <x:v>No public business phone in collected record</x:v>
      </x:c>
      <x:c r="U1100" s="7" t="str"/>
      <x:c r="V1100" s="7" t="str">
        <x:v>Resident</x:v>
      </x:c>
      <x:c r="W1100" s="7" t="str">
        <x:v>CA</x:v>
      </x:c>
      <x:c r="X1100" s="7" t="str"/>
      <x:c r="Y1100" s="7" t="str"/>
      <x:c r="Z1100" s="7" t="str"/>
      <x:c r="AA1100" s="7" t="str"/>
      <x:c r="AB1100" s="7" t="str"/>
      <x:c r="AC1100" s="7" t="str"/>
      <x:c r="AD1100" s="7" t="str">
        <x:v>No agency or insurer displayed: onboarding opportunity possible; existing business unknown</x:v>
      </x:c>
      <x:c r="AE1100" s="7" t="str">
        <x:v>No public business phone: contact enrichment needed, not proof of poor recruiting fit</x:v>
      </x:c>
      <x:c r="AF1100" s="16" t="str"/>
      <x:c r="AG1100" s="17" t="str"/>
      <x:c r="AH1100" s="7" t="str"/>
      <x:c r="AI1100" s="7" t="str"/>
      <x:c r="AJ1100" s="7" t="str"/>
      <x:c r="AK1100" s="15" t="str"/>
      <x:c r="AL1100" s="7" t="str"/>
      <x:c r="AM1100" s="7" t="str">
        <x:v>AGUILAR IVETH RUTH</x:v>
      </x:c>
      <x:c r="AN1100" s="7" t="str">
        <x:v>https://cdicloud.insurance.ca.gov/cal/LicenseDetail?SearchType=IND&amp;SearchLicNbr=0H38776&amp;SearchIndvId=1443751</x:v>
      </x:c>
      <x:c r="AO1100" s="7" t="str">
        <x:v>2026-10-08</x:v>
      </x:c>
      <x:c r="AP1100" s="7" t="str">
        <x:v>faa13a72cd445c85fbee53c87e72a47f92414abb3139aa3f0d4b239570346b66</x:v>
      </x:c>
      <x:c r="AQ1100" s="7" t="str">
        <x:v>Life-Only / Inactive / 04/19/2011 / 04/30/2017 / 04/30/2017</x:v>
      </x:c>
      <x:c r="AR1100" s="7" t="str">
        <x:v>Inactive</x:v>
      </x:c>
      <x:c r="AS1100" s="7" t="str">
        <x:v>Current detail page</x:v>
      </x:c>
    </x:row>
    <x:row r="1101" ht="52" customHeight="1">
      <x:c r="A1101" s="7" t="str">
        <x:v>AGUILAR RYAN ANTHONY</x:v>
      </x:c>
      <x:c r="B1101" s="14" t="str">
        <x:f>"4169366"</x:f>
        <x:v>4169366</x:v>
      </x:c>
      <x:c r="C1101" s="7" t="str">
        <x:v>Omitted</x:v>
      </x:c>
      <x:c r="D1101" s="7" t="str">
        <x:v>FAIL</x:v>
      </x:c>
      <x:c r="E1101" s="13" t="str">
        <x:v>Pending</x:v>
      </x:c>
      <x:c r="F1101" s="13" t="str"/>
      <x:c r="G1101" s="13" t="str"/>
      <x:c r="H1101" s="13" t="str"/>
      <x:c r="I1101" s="7" t="str">
        <x:v>Was this person reviewed? If rejected, give the actual rule and evidence. If acceptable, correct the omission. Confirm the Life-qualification gate and any record change since selection.</x:v>
      </x:c>
      <x:c r="J1101" s="7" t="str">
        <x:v>L1</x:v>
      </x:c>
      <x:c r="K1101" s="7" t="str">
        <x:v>Verified qualifications do not include active general Life. Current target-pool mismatch; actual historical omission reason unknown.</x:v>
      </x:c>
      <x:c r="L1101" s="7" t="str">
        <x:v>Not supplied; membership is known, motive is not</x:v>
      </x:c>
      <x:c r="M1101" s="7" t="n">
        <x:v>7</x:v>
      </x:c>
      <x:c r="N1101" s="7" t="str">
        <x:v>Outside current general-Life recruiting pool</x:v>
      </x:c>
      <x:c r="O1101" s="7" t="str">
        <x:v>Not displayed</x:v>
      </x:c>
      <x:c r="P1101" s="7" t="str"/>
      <x:c r="Q1101" s="7" t="str"/>
      <x:c r="R1101" s="7" t="str"/>
      <x:c r="S1101" s="15" t="str"/>
      <x:c r="T1101" s="7" t="str">
        <x:v>No public business phone in collected record</x:v>
      </x:c>
      <x:c r="U1101" s="7" t="str">
        <x:v>3058 FAVOR PINES CT SW MARIETTA GA, 30060-6263</x:v>
      </x:c>
      <x:c r="V1101" s="7" t="str">
        <x:v>Non-resident</x:v>
      </x:c>
      <x:c r="W1101" s="7" t="str">
        <x:v>GA</x:v>
      </x:c>
      <x:c r="X1101" s="7" t="str"/>
      <x:c r="Y1101" s="7" t="str"/>
      <x:c r="Z1101" s="7" t="str"/>
      <x:c r="AA1101" s="7" t="str"/>
      <x:c r="AB1101" s="7" t="str"/>
      <x:c r="AC1101" s="7" t="str"/>
      <x:c r="AD1101" s="7" t="str">
        <x:v>No agency or insurer displayed: onboarding opportunity possible; existing business unknown</x:v>
      </x:c>
      <x:c r="AE1101" s="7" t="str">
        <x:v>Nonresident or address state outside CA; confirm geographic recruiting scope | No public business phone: contact enrichment needed, not proof of poor recruiting fit</x:v>
      </x:c>
      <x:c r="AF1101" s="16" t="str"/>
      <x:c r="AG1101" s="17" t="str"/>
      <x:c r="AH1101" s="7" t="str"/>
      <x:c r="AI1101" s="7" t="str"/>
      <x:c r="AJ1101" s="7" t="str"/>
      <x:c r="AK1101" s="15" t="str"/>
      <x:c r="AL1101" s="7" t="str"/>
      <x:c r="AM1101" s="7" t="str">
        <x:v>AGUILAR ANTHONY RYAN</x:v>
      </x:c>
      <x:c r="AN1101" s="7" t="str">
        <x:v>https://cdicloud.insurance.ca.gov/cal/LicenseDetail?SearchType=IND&amp;SearchLicNbr=4169366&amp;SearchIndvId=4169366</x:v>
      </x:c>
      <x:c r="AO1101" s="7" t="str">
        <x:v>2026-10-08</x:v>
      </x:c>
      <x:c r="AP1101" s="7" t="str">
        <x:v>a30eb0270ded50626662d5bd7ba1b30213cb1e49f86e85b99daefc1d8a80730a</x:v>
      </x:c>
      <x:c r="AQ1101" s="7" t="str">
        <x:v>Casualty / Inactive / 10/26/2021 / 10/31/2023 / 10/31/2023
Property / Inactive / 10/26/2021 / 10/31/2023 / 10/31/2023</x:v>
      </x:c>
      <x:c r="AR1101" s="7" t="str">
        <x:v>Inactive</x:v>
      </x:c>
      <x:c r="AS1101" s="7" t="str">
        <x:v>Current detail page</x:v>
      </x:c>
    </x:row>
    <x:row r="1102" ht="52" customHeight="1">
      <x:c r="A1102" s="7" t="str">
        <x:v>AGUILAR RYAN NICHOLE</x:v>
      </x:c>
      <x:c r="B1102" s="14" t="str">
        <x:f>"4201528"</x:f>
        <x:v>4201528</x:v>
      </x:c>
      <x:c r="C1102" s="7" t="str">
        <x:v>Omitted</x:v>
      </x:c>
      <x:c r="D1102" s="7" t="str">
        <x:v>FAIL</x:v>
      </x:c>
      <x:c r="E1102" s="13" t="str">
        <x:v>Pending</x:v>
      </x:c>
      <x:c r="F1102" s="13" t="str"/>
      <x:c r="G1102" s="13" t="str"/>
      <x:c r="H1102" s="13" t="str"/>
      <x:c r="I1102" s="7" t="str">
        <x:v>Was this person reviewed? If rejected, give the actual rule and evidence. If acceptable, correct the omission. Confirm the Life-qualification gate and any record change since selection.</x:v>
      </x:c>
      <x:c r="J1102" s="7" t="str">
        <x:v>L1</x:v>
      </x:c>
      <x:c r="K1102" s="7" t="str">
        <x:v>Verified qualifications do not include active general Life. Current target-pool mismatch; actual historical omission reason unknown.</x:v>
      </x:c>
      <x:c r="L1102" s="7" t="str">
        <x:v>Not supplied; membership is known, motive is not</x:v>
      </x:c>
      <x:c r="M1102" s="7" t="n">
        <x:v>7</x:v>
      </x:c>
      <x:c r="N1102" s="7" t="str">
        <x:v>Outside current general-Life recruiting pool</x:v>
      </x:c>
      <x:c r="O1102" s="7" t="str">
        <x:v>Not displayed</x:v>
      </x:c>
      <x:c r="P1102" s="7" t="str"/>
      <x:c r="Q1102" s="7" t="str"/>
      <x:c r="R1102" s="7" t="str"/>
      <x:c r="S1102" s="15" t="str"/>
      <x:c r="T1102" s="7" t="str">
        <x:v>No public business phone in collected record</x:v>
      </x:c>
      <x:c r="U1102" s="7" t="str">
        <x:v>3229 KEYGATE DR SPRING TX, 77388-3335</x:v>
      </x:c>
      <x:c r="V1102" s="7" t="str">
        <x:v>Non-resident</x:v>
      </x:c>
      <x:c r="W1102" s="7" t="str">
        <x:v>TX</x:v>
      </x:c>
      <x:c r="X1102" s="7" t="str"/>
      <x:c r="Y1102" s="7" t="str"/>
      <x:c r="Z1102" s="7" t="str"/>
      <x:c r="AA1102" s="7" t="str"/>
      <x:c r="AB1102" s="7" t="str"/>
      <x:c r="AC1102" s="7" t="str"/>
      <x:c r="AD1102" s="7" t="str">
        <x:v>No agency or insurer displayed: onboarding opportunity possible; existing business unknown</x:v>
      </x:c>
      <x:c r="AE1102" s="7" t="str">
        <x:v>Nonresident or address state outside CA; confirm geographic recruiting scope | No public business phone: contact enrichment needed, not proof of poor recruiting fit</x:v>
      </x:c>
      <x:c r="AF1102" s="16" t="str"/>
      <x:c r="AG1102" s="17" t="str"/>
      <x:c r="AH1102" s="7" t="str"/>
      <x:c r="AI1102" s="7" t="str"/>
      <x:c r="AJ1102" s="7" t="str"/>
      <x:c r="AK1102" s="15" t="str"/>
      <x:c r="AL1102" s="7" t="str"/>
      <x:c r="AM1102" s="7" t="str">
        <x:v>AGUILAR NICHOLE RYAN</x:v>
      </x:c>
      <x:c r="AN1102" s="7" t="str">
        <x:v>https://cdicloud.insurance.ca.gov/cal/LicenseDetail?SearchType=IND&amp;SearchLicNbr=4201528&amp;SearchIndvId=4201528</x:v>
      </x:c>
      <x:c r="AO1102" s="7" t="str">
        <x:v>2026-10-08</x:v>
      </x:c>
      <x:c r="AP1102" s="7" t="str">
        <x:v>ff26b1002ea5a0255e5f0071d786c0946e06e3d4dc2a00681e05580800635f13</x:v>
      </x:c>
      <x:c r="AQ1102" s="7" t="str">
        <x:v>Casualty / Inactive / 04/04/2022 / 04/30/2026 / 04/30/2026
Property / Inactive / 04/04/2022 / 04/30/2026 / 04/30/2026</x:v>
      </x:c>
      <x:c r="AR1102" s="7" t="str">
        <x:v>Inactive</x:v>
      </x:c>
      <x:c r="AS1102" s="7" t="str">
        <x:v>Current detail page</x:v>
      </x:c>
    </x:row>
    <x:row r="1103" ht="52" customHeight="1">
      <x:c r="A1103" s="7" t="str">
        <x:v>AGUILAR SAAVEDRA NICOLE</x:v>
      </x:c>
      <x:c r="B1103" s="14" t="str">
        <x:f>"0M33287"</x:f>
        <x:v>0M33287</x:v>
      </x:c>
      <x:c r="C1103" s="7" t="str">
        <x:v>Omitted</x:v>
      </x:c>
      <x:c r="D1103" s="7" t="str">
        <x:v>FAIL</x:v>
      </x:c>
      <x:c r="E1103" s="13" t="str">
        <x:v>Pending</x:v>
      </x:c>
      <x:c r="F1103" s="13" t="str"/>
      <x:c r="G1103" s="13" t="str"/>
      <x:c r="H1103" s="13" t="str"/>
      <x:c r="I1103" s="7" t="str">
        <x:v>Was this person reviewed? If rejected, give the actual rule and evidence. If acceptable, correct the omission. Confirm the Life-qualification gate and any record change since selection.</x:v>
      </x:c>
      <x:c r="J1103" s="7" t="str">
        <x:v>L1</x:v>
      </x:c>
      <x:c r="K1103" s="7" t="str">
        <x:v>Verified qualifications do not include active general Life. Current target-pool mismatch; actual historical omission reason unknown.</x:v>
      </x:c>
      <x:c r="L1103" s="7" t="str">
        <x:v>Not supplied; membership is known, motive is not</x:v>
      </x:c>
      <x:c r="M1103" s="7" t="n">
        <x:v>7</x:v>
      </x:c>
      <x:c r="N1103" s="7" t="str">
        <x:v>Outside current general-Life recruiting pool</x:v>
      </x:c>
      <x:c r="O1103" s="7" t="str">
        <x:v>Not displayed</x:v>
      </x:c>
      <x:c r="P1103" s="7" t="str"/>
      <x:c r="Q1103" s="7" t="str"/>
      <x:c r="R1103" s="7" t="str"/>
      <x:c r="S1103" s="15" t="str"/>
      <x:c r="T1103" s="7" t="str">
        <x:v>No public business phone in collected record</x:v>
      </x:c>
      <x:c r="U1103" s="7" t="str"/>
      <x:c r="V1103" s="7" t="str">
        <x:v>Non-resident</x:v>
      </x:c>
      <x:c r="W1103" s="7" t="str">
        <x:v>AZ</x:v>
      </x:c>
      <x:c r="X1103" s="7" t="str"/>
      <x:c r="Y1103" s="7" t="str"/>
      <x:c r="Z1103" s="7" t="str"/>
      <x:c r="AA1103" s="7" t="str"/>
      <x:c r="AB1103" s="7" t="str"/>
      <x:c r="AC1103" s="7" t="str"/>
      <x:c r="AD1103" s="7" t="str">
        <x:v>No agency or insurer displayed: onboarding opportunity possible; existing business unknown</x:v>
      </x:c>
      <x:c r="AE1103" s="7" t="str">
        <x:v>Nonresident or address state outside CA; confirm geographic recruiting scope | No public business phone: contact enrichment needed, not proof of poor recruiting fit</x:v>
      </x:c>
      <x:c r="AF1103" s="16" t="str"/>
      <x:c r="AG1103" s="17" t="str"/>
      <x:c r="AH1103" s="7" t="str"/>
      <x:c r="AI1103" s="7" t="str"/>
      <x:c r="AJ1103" s="7" t="str"/>
      <x:c r="AK1103" s="15" t="str"/>
      <x:c r="AL1103" s="7" t="str"/>
      <x:c r="AM1103" s="7" t="str">
        <x:v>AGUILAR SAAVEDRA  NICOLE</x:v>
      </x:c>
      <x:c r="AN1103" s="7" t="str">
        <x:v>https://cdicloud.insurance.ca.gov/cal/LicenseDetail?SearchType=IND&amp;SearchLicNbr=0M33287&amp;SearchIndvId=2020468</x:v>
      </x:c>
      <x:c r="AO1103" s="7" t="str">
        <x:v>2026-10-08</x:v>
      </x:c>
      <x:c r="AP1103" s="7" t="str">
        <x:v>ae8f84e9ec1aaefe2335cd08c51850e9679bede8410d17f175d0aa915b8971b1</x:v>
      </x:c>
      <x:c r="AQ1103" s="7" t="str">
        <x:v>Personal Lines Broker-Agent / Inactive / 05/04/2018 / 05/31/2020 / 05/31/2020</x:v>
      </x:c>
      <x:c r="AR1103" s="7" t="str">
        <x:v>Inactive</x:v>
      </x:c>
      <x:c r="AS1103" s="7" t="str">
        <x:v>Current detail page</x:v>
      </x:c>
    </x:row>
    <x:row r="1104" ht="52" customHeight="1">
      <x:c r="A1104" s="7" t="str">
        <x:v>AGUILAR SABRINA</x:v>
      </x:c>
      <x:c r="B1104" s="14" t="str">
        <x:f>"E4428807"</x:f>
        <x:v>E4428807</x:v>
      </x:c>
      <x:c r="C1104" s="7" t="str">
        <x:v>Omitted</x:v>
      </x:c>
      <x:c r="D1104" s="7" t="str">
        <x:v>REVIEW</x:v>
      </x:c>
      <x:c r="E1104" s="13" t="str">
        <x:v>Pending</x:v>
      </x:c>
      <x:c r="F1104" s="13" t="str"/>
      <x:c r="G1104" s="13" t="str"/>
      <x:c r="H1104" s="13" t="str"/>
      <x:c r="I1104" s="7" t="str">
        <x:v>Was this record reviewed? The detail page provides no qualifications. Verify the actual license type and Life authority before deciding; do not reject for missing data.</x:v>
      </x:c>
      <x:c r="J1104" s="7" t="str">
        <x:v>L1</x:v>
      </x:c>
      <x:c r="K1104" s="7" t="str">
        <x:v>Detail page displays no qualification information. Life authority cannot be verified; missing data is not a qualification failure. Historical omission reason unknown.</x:v>
      </x:c>
      <x:c r="L1104" s="7" t="str">
        <x:v>Not supplied; membership is known, motive is not</x:v>
      </x:c>
      <x:c r="M1104" s="7" t="n">
        <x:v>7</x:v>
      </x:c>
      <x:c r="N1104" s="7" t="str">
        <x:v>Outside current general-Life recruiting pool</x:v>
      </x:c>
      <x:c r="O1104" s="7" t="str">
        <x:v>Not displayed</x:v>
      </x:c>
      <x:c r="P1104" s="7" t="str"/>
      <x:c r="Q1104" s="7" t="str"/>
      <x:c r="R1104" s="7" t="str"/>
      <x:c r="S1104" s="15" t="str"/>
      <x:c r="T1104" s="7" t="str">
        <x:v>No public business phone in collected record</x:v>
      </x:c>
      <x:c r="U1104" s="7" t="str"/>
      <x:c r="V1104" s="7" t="str">
        <x:v>Resident</x:v>
      </x:c>
      <x:c r="W1104" s="7" t="str">
        <x:v>CA</x:v>
      </x:c>
      <x:c r="X1104" s="7" t="str"/>
      <x:c r="Y1104" s="7" t="str"/>
      <x:c r="Z1104" s="7" t="str"/>
      <x:c r="AA1104" s="7" t="str"/>
      <x:c r="AB1104" s="7" t="str"/>
      <x:c r="AC1104" s="7" t="str"/>
      <x:c r="AD1104" s="7" t="str">
        <x:v>No agency or insurer displayed: onboarding opportunity possible; existing business unknown</x:v>
      </x:c>
      <x:c r="AE1104" s="7" t="str">
        <x:v>No public business phone: contact enrichment needed, not proof of poor recruiting fit</x:v>
      </x:c>
      <x:c r="AF1104" s="16" t="str"/>
      <x:c r="AG1104" s="17" t="str"/>
      <x:c r="AH1104" s="7" t="str"/>
      <x:c r="AI1104" s="7" t="str">
        <x:v>English</x:v>
      </x:c>
      <x:c r="AJ1104" s="7" t="str"/>
      <x:c r="AK1104" s="15" t="str"/>
      <x:c r="AL1104" s="7" t="str"/>
      <x:c r="AM1104" s="7" t="str">
        <x:v>AGUILAR  SABRINA</x:v>
      </x:c>
      <x:c r="AN1104" s="7" t="str">
        <x:v>https://cdicloud.insurance.ca.gov/cal/LicenseDetail?SearchType=IND&amp;SearchLicNbr=E4428807&amp;SearchIndvId=4428807</x:v>
      </x:c>
      <x:c r="AO1104" s="7" t="str">
        <x:v>2026-10-08</x:v>
      </x:c>
      <x:c r="AP1104" s="7" t="str">
        <x:v>4bdc62d06218d03a8d27fa3db3e51d54c7b79c3efc50bca845e86913ffad73f4</x:v>
      </x:c>
      <x:c r="AQ1104" s="7" t="str"/>
      <x:c r="AR1104" s="7" t="str">
        <x:v>Active</x:v>
      </x:c>
      <x:c r="AS1104" s="7" t="str">
        <x:v>Current detail page</x:v>
      </x:c>
    </x:row>
    <x:row r="1105" ht="52" customHeight="1">
      <x:c r="A1105" s="7" t="str">
        <x:v>AGUILAR SACRAMENTO</x:v>
      </x:c>
      <x:c r="B1105" s="14" t="str">
        <x:f>"0E42937"</x:f>
        <x:v>0E42937</x:v>
      </x:c>
      <x:c r="C1105" s="7" t="str">
        <x:v>Omitted</x:v>
      </x:c>
      <x:c r="D1105" s="7" t="str">
        <x:v>FAIL</x:v>
      </x:c>
      <x:c r="E1105" s="13" t="str">
        <x:v>Pending</x:v>
      </x:c>
      <x:c r="F1105" s="13" t="str"/>
      <x:c r="G1105" s="13" t="str"/>
      <x:c r="H1105" s="13" t="str"/>
      <x:c r="I1105" s="7" t="str">
        <x:v>Was this person reviewed? If rejected, give the actual rule and evidence. If acceptable, correct the omission. Confirm the Life-qualification gate and any record change since selection.</x:v>
      </x:c>
      <x:c r="J1105" s="7" t="str">
        <x:v>L1</x:v>
      </x:c>
      <x:c r="K1105" s="7" t="str">
        <x:v>Verified qualifications do not include active general Life. Current target-pool mismatch; actual historical omission reason unknown.</x:v>
      </x:c>
      <x:c r="L1105" s="7" t="str">
        <x:v>Not supplied; membership is known, motive is not</x:v>
      </x:c>
      <x:c r="M1105" s="7" t="n">
        <x:v>7</x:v>
      </x:c>
      <x:c r="N1105" s="7" t="str">
        <x:v>Outside current general-Life recruiting pool</x:v>
      </x:c>
      <x:c r="O1105" s="7" t="str">
        <x:v>Not displayed</x:v>
      </x:c>
      <x:c r="P1105" s="7" t="str"/>
      <x:c r="Q1105" s="7" t="str"/>
      <x:c r="R1105" s="7" t="str"/>
      <x:c r="S1105" s="15" t="str"/>
      <x:c r="T1105" s="7" t="str">
        <x:v>No public business phone in collected record</x:v>
      </x:c>
      <x:c r="U1105" s="7" t="str"/>
      <x:c r="V1105" s="7" t="str">
        <x:v>Resident</x:v>
      </x:c>
      <x:c r="W1105" s="7" t="str">
        <x:v>CA</x:v>
      </x:c>
      <x:c r="X1105" s="7" t="str"/>
      <x:c r="Y1105" s="7" t="str"/>
      <x:c r="Z1105" s="7" t="str"/>
      <x:c r="AA1105" s="7" t="str"/>
      <x:c r="AB1105" s="7" t="str"/>
      <x:c r="AC1105" s="7" t="str"/>
      <x:c r="AD1105" s="7" t="str">
        <x:v>No agency or insurer displayed: onboarding opportunity possible; existing business unknown</x:v>
      </x:c>
      <x:c r="AE1105" s="7" t="str">
        <x:v>No public business phone: contact enrichment needed, not proof of poor recruiting fit</x:v>
      </x:c>
      <x:c r="AF1105" s="16" t="str"/>
      <x:c r="AG1105" s="17" t="str"/>
      <x:c r="AH1105" s="7" t="str"/>
      <x:c r="AI1105" s="7" t="str"/>
      <x:c r="AJ1105" s="7" t="str"/>
      <x:c r="AK1105" s="15" t="str"/>
      <x:c r="AL1105" s="7" t="str"/>
      <x:c r="AM1105" s="7" t="str">
        <x:v>AGUILAR  SACRAMENTO</x:v>
      </x:c>
      <x:c r="AN1105" s="7" t="str">
        <x:v>https://cdicloud.insurance.ca.gov/cal/LicenseDetail?SearchType=IND&amp;SearchLicNbr=0E42937&amp;SearchIndvId=897512</x:v>
      </x:c>
      <x:c r="AO1105" s="7" t="str">
        <x:v>2026-10-08</x:v>
      </x:c>
      <x:c r="AP1105" s="7" t="str">
        <x:v>66ba67a9ca966865d9ba1930ec1a5ef8b6352a3df5f42b7e2ed2743225b09ae2</x:v>
      </x:c>
      <x:c r="AQ1105" s="7" t="str">
        <x:v>Accident and Health / Inactive / 05/14/2004 / 05/31/2006 / 05/31/2006
Life-Only / Inactive / 05/14/2004 / 05/31/2006 / 05/31/2006</x:v>
      </x:c>
      <x:c r="AR1105" s="7" t="str">
        <x:v>Inactive</x:v>
      </x:c>
      <x:c r="AS1105" s="7" t="str">
        <x:v>Current detail page</x:v>
      </x:c>
    </x:row>
    <x:row r="1106" ht="52" customHeight="1">
      <x:c r="A1106" s="7" t="str">
        <x:v>AGUILAR SALCEDO LUIS ANGEL</x:v>
      </x:c>
      <x:c r="B1106" s="14" t="str">
        <x:f>"4088764"</x:f>
        <x:v>4088764</x:v>
      </x:c>
      <x:c r="C1106" s="7" t="str">
        <x:v>Omitted</x:v>
      </x:c>
      <x:c r="D1106" s="7" t="str">
        <x:v>FAIL</x:v>
      </x:c>
      <x:c r="E1106" s="13" t="str">
        <x:v>Pending</x:v>
      </x:c>
      <x:c r="F1106" s="13" t="str"/>
      <x:c r="G1106" s="13" t="str"/>
      <x:c r="H1106" s="13" t="str"/>
      <x:c r="I1106" s="7" t="str">
        <x:v>Was this person reviewed? If rejected, give the actual rule and evidence. If acceptable, correct the omission. Confirm the Life-qualification gate and any record change since selection.</x:v>
      </x:c>
      <x:c r="J1106" s="7" t="str">
        <x:v>L1</x:v>
      </x:c>
      <x:c r="K1106" s="7" t="str">
        <x:v>Verified qualifications do not include active general Life. Current target-pool mismatch; actual historical omission reason unknown.</x:v>
      </x:c>
      <x:c r="L1106" s="7" t="str">
        <x:v>Not supplied; membership is known, motive is not</x:v>
      </x:c>
      <x:c r="M1106" s="7" t="n">
        <x:v>7</x:v>
      </x:c>
      <x:c r="N1106" s="7" t="str">
        <x:v>Outside current general-Life recruiting pool</x:v>
      </x:c>
      <x:c r="O1106" s="7" t="str">
        <x:v>Inactive</x:v>
      </x:c>
      <x:c r="P1106" s="7" t="str">
        <x:v>11/20/2020</x:v>
      </x:c>
      <x:c r="Q1106" s="7" t="str">
        <x:v>11/30/2022</x:v>
      </x:c>
      <x:c r="R1106" s="7" t="str"/>
      <x:c r="S1106" s="15" t="str">
        <x:v>818-617-0039</x:v>
      </x:c>
      <x:c r="T1106" s="7" t="str">
        <x:v>Current CDI</x:v>
      </x:c>
      <x:c r="U1106" s="7" t="str">
        <x:v>533 N VICTORY BLVD BURBANK CA, 91502</x:v>
      </x:c>
      <x:c r="V1106" s="7" t="str">
        <x:v>Resident</x:v>
      </x:c>
      <x:c r="W1106" s="7" t="str">
        <x:v>CA</x:v>
      </x:c>
      <x:c r="X1106" s="7" t="str"/>
      <x:c r="Y1106" s="7" t="str"/>
      <x:c r="Z1106" s="7" t="str"/>
      <x:c r="AA1106" s="7" t="str"/>
      <x:c r="AB1106" s="7" t="str"/>
      <x:c r="AC1106" s="7" t="str"/>
      <x:c r="AD1106" s="7" t="str">
        <x:v>No agency or insurer displayed: onboarding opportunity possible; existing business unknown</x:v>
      </x:c>
      <x:c r="AE1106" s="7" t="str"/>
      <x:c r="AF1106" s="16" t="str"/>
      <x:c r="AG1106" s="17" t="str"/>
      <x:c r="AH1106" s="7" t="str"/>
      <x:c r="AI1106" s="7" t="str">
        <x:v>English</x:v>
      </x:c>
      <x:c r="AJ1106" s="7" t="str"/>
      <x:c r="AK1106" s="15" t="str"/>
      <x:c r="AL1106" s="7" t="str"/>
      <x:c r="AM1106" s="7" t="str">
        <x:v>AGUILAR SALCEDO ANGEL LUIS | Aguilar-Salcedo Angel Luis</x:v>
      </x:c>
      <x:c r="AN1106" s="7" t="str">
        <x:v>https://cdicloud.insurance.ca.gov/cal/LicenseDetail?SearchType=IND&amp;SearchLicNbr=4088764&amp;SearchIndvId=4088764</x:v>
      </x:c>
      <x:c r="AO1106" s="7" t="str">
        <x:v>2026-10-08</x:v>
      </x:c>
      <x:c r="AP1106" s="7" t="str">
        <x:v>bed45b18eeec8e0d30262dd81a22e44e8807503f16c827441b446feb505a74de</x:v>
      </x:c>
      <x:c r="AQ1106" s="7" t="str">
        <x:v>Life / Inactive / 11/20/2020 / 11/30/2022 / 11/30/2022</x:v>
      </x:c>
      <x:c r="AR1106" s="7" t="str">
        <x:v>Inactive</x:v>
      </x:c>
      <x:c r="AS1106" s="7" t="str">
        <x:v>Current detail page</x:v>
      </x:c>
    </x:row>
    <x:row r="1107" ht="52" customHeight="1">
      <x:c r="A1107" s="7" t="str">
        <x:v>AGUILAR SALVADOR CHIPREZ</x:v>
      </x:c>
      <x:c r="B1107" s="14" t="str">
        <x:f>"0I15071"</x:f>
        <x:v>0I15071</x:v>
      </x:c>
      <x:c r="C1107" s="7" t="str">
        <x:v>Omitted</x:v>
      </x:c>
      <x:c r="D1107" s="7" t="str">
        <x:v>FAIL</x:v>
      </x:c>
      <x:c r="E1107" s="13" t="str">
        <x:v>Pending</x:v>
      </x:c>
      <x:c r="F1107" s="13" t="str"/>
      <x:c r="G1107" s="13" t="str"/>
      <x:c r="H1107" s="13" t="str"/>
      <x:c r="I1107" s="7" t="str">
        <x:v>Was this person reviewed? If rejected, give the actual rule and evidence. If acceptable, correct the omission. Confirm the Life-qualification gate and any record change since selection.</x:v>
      </x:c>
      <x:c r="J1107" s="7" t="str">
        <x:v>L1</x:v>
      </x:c>
      <x:c r="K1107" s="7" t="str">
        <x:v>Verified qualifications do not include active general Life. Current target-pool mismatch; actual historical omission reason unknown.</x:v>
      </x:c>
      <x:c r="L1107" s="7" t="str">
        <x:v>Not supplied; membership is known, motive is not</x:v>
      </x:c>
      <x:c r="M1107" s="7" t="n">
        <x:v>7</x:v>
      </x:c>
      <x:c r="N1107" s="7" t="str">
        <x:v>Outside current general-Life recruiting pool</x:v>
      </x:c>
      <x:c r="O1107" s="7" t="str">
        <x:v>Not displayed</x:v>
      </x:c>
      <x:c r="P1107" s="7" t="str"/>
      <x:c r="Q1107" s="7" t="str"/>
      <x:c r="R1107" s="7" t="str"/>
      <x:c r="S1107" s="15" t="str"/>
      <x:c r="T1107" s="7" t="str">
        <x:v>No public business phone in collected record</x:v>
      </x:c>
      <x:c r="U1107" s="7" t="str"/>
      <x:c r="V1107" s="7" t="str">
        <x:v>Non-resident</x:v>
      </x:c>
      <x:c r="W1107" s="7" t="str">
        <x:v>OR</x:v>
      </x:c>
      <x:c r="X1107" s="7" t="str"/>
      <x:c r="Y1107" s="7" t="str"/>
      <x:c r="Z1107" s="7" t="str"/>
      <x:c r="AA1107" s="7" t="str"/>
      <x:c r="AB1107" s="7" t="str"/>
      <x:c r="AC1107" s="7" t="str"/>
      <x:c r="AD1107" s="7" t="str">
        <x:v>No agency or insurer displayed: onboarding opportunity possible; existing business unknown</x:v>
      </x:c>
      <x:c r="AE1107" s="7" t="str">
        <x:v>Nonresident or address state outside CA; confirm geographic recruiting scope | No public business phone: contact enrichment needed, not proof of poor recruiting fit</x:v>
      </x:c>
      <x:c r="AF1107" s="16" t="str"/>
      <x:c r="AG1107" s="17" t="str"/>
      <x:c r="AH1107" s="7" t="str"/>
      <x:c r="AI1107" s="7" t="str"/>
      <x:c r="AJ1107" s="7" t="str"/>
      <x:c r="AK1107" s="15" t="str"/>
      <x:c r="AL1107" s="7" t="str"/>
      <x:c r="AM1107" s="7" t="str">
        <x:v>AGUILAR CHIPREZ SALVADOR</x:v>
      </x:c>
      <x:c r="AN1107" s="7" t="str">
        <x:v>https://cdicloud.insurance.ca.gov/cal/LicenseDetail?SearchType=IND&amp;SearchLicNbr=0I15071&amp;SearchIndvId=1551193</x:v>
      </x:c>
      <x:c r="AO1107" s="7" t="str">
        <x:v>2026-10-08</x:v>
      </x:c>
      <x:c r="AP1107" s="7" t="str">
        <x:v>e5b6d7df3e4af371ecbabcac5c82dd97d32b7a4fdda159803641b21209a18376</x:v>
      </x:c>
      <x:c r="AQ1107" s="7" t="str">
        <x:v>Accident and Health / Inactive / 12/06/2012 / 12/31/2014 / 12/31/2014
Life-Only / Inactive / 12/06/2012 / 12/31/2014 / 12/31/2014</x:v>
      </x:c>
      <x:c r="AR1107" s="7" t="str">
        <x:v>Inactive</x:v>
      </x:c>
      <x:c r="AS1107" s="7" t="str">
        <x:v>Current detail page</x:v>
      </x:c>
    </x:row>
    <x:row r="1108" ht="52" customHeight="1">
      <x:c r="A1108" s="7" t="str">
        <x:v>AGUILAR SALVADOR J</x:v>
      </x:c>
      <x:c r="B1108" s="14" t="str">
        <x:f>"4540542"</x:f>
        <x:v>4540542</x:v>
      </x:c>
      <x:c r="C1108" s="7" t="str">
        <x:v>Omitted</x:v>
      </x:c>
      <x:c r="D1108" s="7" t="str">
        <x:v>FAIL</x:v>
      </x:c>
      <x:c r="E1108" s="13" t="str">
        <x:v>Pending</x:v>
      </x:c>
      <x:c r="F1108" s="13" t="str"/>
      <x:c r="G1108" s="13" t="str"/>
      <x:c r="H1108" s="13" t="str"/>
      <x:c r="I1108" s="7" t="str">
        <x:v>Was this person reviewed? If rejected, give the actual rule and evidence. If acceptable, correct the omission. Confirm the Life-qualification gate and any record change since selection.</x:v>
      </x:c>
      <x:c r="J1108" s="7" t="str">
        <x:v>L1</x:v>
      </x:c>
      <x:c r="K1108" s="7" t="str">
        <x:v>Verified qualifications do not include active general Life. Current target-pool mismatch; actual historical omission reason unknown.</x:v>
      </x:c>
      <x:c r="L1108" s="7" t="str">
        <x:v>Not supplied; membership is known, motive is not</x:v>
      </x:c>
      <x:c r="M1108" s="7" t="n">
        <x:v>7</x:v>
      </x:c>
      <x:c r="N1108" s="7" t="str">
        <x:v>Outside current general-Life recruiting pool</x:v>
      </x:c>
      <x:c r="O1108" s="7" t="str">
        <x:v>Not displayed</x:v>
      </x:c>
      <x:c r="P1108" s="7" t="str"/>
      <x:c r="Q1108" s="7" t="str"/>
      <x:c r="R1108" s="7" t="str">
        <x:v>Casualty; Property</x:v>
      </x:c>
      <x:c r="S1108" s="15" t="str"/>
      <x:c r="T1108" s="7" t="str">
        <x:v>No public business phone in collected record</x:v>
      </x:c>
      <x:c r="U1108" s="7" t="str">
        <x:v>THE BUCKNER COMPANY, INC 6550 S MILLROCK DR STE 300 SALT LAKE CITY UT, 84121</x:v>
      </x:c>
      <x:c r="V1108" s="7" t="str">
        <x:v>Non-resident</x:v>
      </x:c>
      <x:c r="W1108" s="7" t="str">
        <x:v>UT</x:v>
      </x:c>
      <x:c r="X1108" s="7" t="str">
        <x:v>TRUCORDIA INSURANCE SERVICES, LLC / Casualty / 05/06/2026
TRUCORDIA INSURANCE SERVICES, LLC / Property / 05/06/2026</x:v>
      </x:c>
      <x:c r="Y1108" s="7" t="str"/>
      <x:c r="Z1108" s="7" t="str"/>
      <x:c r="AA1108" s="7" t="str"/>
      <x:c r="AB1108" s="7" t="str"/>
      <x:c r="AC1108" s="7" t="str"/>
      <x:c r="AD1108" s="7" t="str"/>
      <x:c r="AE1108"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1108" s="16" t="str"/>
      <x:c r="AG1108" s="17" t="str"/>
      <x:c r="AH1108" s="7" t="str"/>
      <x:c r="AI1108" s="7" t="str"/>
      <x:c r="AJ1108" s="7" t="str"/>
      <x:c r="AK1108" s="15" t="str"/>
      <x:c r="AL1108" s="7" t="str"/>
      <x:c r="AM1108" s="7" t="str">
        <x:v>Aguilar J Salvador</x:v>
      </x:c>
      <x:c r="AN1108" s="7" t="str">
        <x:v>https://cdicloud.insurance.ca.gov/cal/LicenseDetail?SearchType=IND&amp;SearchLicNbr=4540542&amp;SearchIndvId=4540542</x:v>
      </x:c>
      <x:c r="AO1108" s="7" t="str">
        <x:v>2026-10-08</x:v>
      </x:c>
      <x:c r="AP1108" s="7" t="str">
        <x:v>ea1267326b2cacdab1e482a59988ca1877b3bbd4f9b48ab0cd1496d6e18fef16</x:v>
      </x:c>
      <x:c r="AQ1108" s="7" t="str">
        <x:v>Casualty / Active / 04/06/2026 / 04/06/2026 / 04/30/2028
Property / Active / 04/06/2026 / 04/06/2026 / 04/30/2028</x:v>
      </x:c>
      <x:c r="AR1108" s="7" t="str">
        <x:v>Active</x:v>
      </x:c>
      <x:c r="AS1108" s="7" t="str">
        <x:v>Current detail page</x:v>
      </x:c>
    </x:row>
    <x:row r="1109" ht="52" customHeight="1">
      <x:c r="A1109" s="7" t="str">
        <x:v>AGUILAR SALVADOR MANZO</x:v>
      </x:c>
      <x:c r="B1109" s="14" t="str">
        <x:f>"0H02991"</x:f>
        <x:v>0H02991</x:v>
      </x:c>
      <x:c r="C1109" s="7" t="str">
        <x:v>Omitted</x:v>
      </x:c>
      <x:c r="D1109" s="7" t="str">
        <x:v>FAIL</x:v>
      </x:c>
      <x:c r="E1109" s="13" t="str">
        <x:v>Pending</x:v>
      </x:c>
      <x:c r="F1109" s="13" t="str"/>
      <x:c r="G1109" s="13" t="str"/>
      <x:c r="H1109" s="13" t="str"/>
      <x:c r="I1109" s="7" t="str">
        <x:v>Was this person reviewed? If rejected, give the actual rule and evidence. If acceptable, correct the omission. Confirm the Life-qualification gate and any record change since selection.</x:v>
      </x:c>
      <x:c r="J1109" s="7" t="str">
        <x:v>L1</x:v>
      </x:c>
      <x:c r="K1109" s="7" t="str">
        <x:v>Verified qualifications do not include active general Life. Current target-pool mismatch; actual historical omission reason unknown.</x:v>
      </x:c>
      <x:c r="L1109" s="7" t="str">
        <x:v>Not supplied; membership is known, motive is not</x:v>
      </x:c>
      <x:c r="M1109" s="7" t="n">
        <x:v>7</x:v>
      </x:c>
      <x:c r="N1109" s="7" t="str">
        <x:v>Outside current general-Life recruiting pool</x:v>
      </x:c>
      <x:c r="O1109" s="7" t="str">
        <x:v>Not displayed</x:v>
      </x:c>
      <x:c r="P1109" s="7" t="str"/>
      <x:c r="Q1109" s="7" t="str"/>
      <x:c r="R1109" s="7" t="str"/>
      <x:c r="S1109" s="15" t="str"/>
      <x:c r="T1109" s="7" t="str">
        <x:v>No public business phone in collected record</x:v>
      </x:c>
      <x:c r="U1109" s="7" t="str"/>
      <x:c r="V1109" s="7" t="str">
        <x:v>Resident</x:v>
      </x:c>
      <x:c r="W1109" s="7" t="str">
        <x:v>CA</x:v>
      </x:c>
      <x:c r="X1109" s="7" t="str"/>
      <x:c r="Y1109" s="7" t="str"/>
      <x:c r="Z1109" s="7" t="str"/>
      <x:c r="AA1109" s="7" t="str"/>
      <x:c r="AB1109" s="7" t="str"/>
      <x:c r="AC1109" s="7" t="str"/>
      <x:c r="AD1109" s="7" t="str">
        <x:v>No agency or insurer displayed: onboarding opportunity possible; existing business unknown</x:v>
      </x:c>
      <x:c r="AE1109" s="7" t="str">
        <x:v>No public business phone: contact enrichment needed, not proof of poor recruiting fit</x:v>
      </x:c>
      <x:c r="AF1109" s="16" t="str"/>
      <x:c r="AG1109" s="17" t="str"/>
      <x:c r="AH1109" s="7" t="str"/>
      <x:c r="AI1109" s="7" t="str"/>
      <x:c r="AJ1109" s="7" t="str"/>
      <x:c r="AK1109" s="15" t="str"/>
      <x:c r="AL1109" s="7" t="str"/>
      <x:c r="AM1109" s="7" t="str">
        <x:v>AGUILAR MANZO SALVADOR</x:v>
      </x:c>
      <x:c r="AN1109" s="7" t="str">
        <x:v>https://cdicloud.insurance.ca.gov/cal/LicenseDetail?SearchType=IND&amp;SearchLicNbr=0H02991&amp;SearchIndvId=1335960</x:v>
      </x:c>
      <x:c r="AO1109" s="7" t="str">
        <x:v>2026-10-08</x:v>
      </x:c>
      <x:c r="AP1109" s="7" t="str">
        <x:v>a74b20acd4258b7cf191557c8774db70ef1fb7dc975f4d28ebc82081c80fb2c3</x:v>
      </x:c>
      <x:c r="AQ1109" s="7" t="str">
        <x:v>Accident and Health / Inactive / 06/08/2010 / 06/30/2012 / 06/30/2012
Life-Only / Inactive / 06/08/2010 / 06/30/2012 / 06/30/2012</x:v>
      </x:c>
      <x:c r="AR1109" s="7" t="str">
        <x:v>Inactive</x:v>
      </x:c>
      <x:c r="AS1109" s="7" t="str">
        <x:v>Current detail page</x:v>
      </x:c>
    </x:row>
    <x:row r="1110" ht="52" customHeight="1">
      <x:c r="A1110" s="7" t="str">
        <x:v>AGUILAR SAMANTHA</x:v>
      </x:c>
      <x:c r="B1110" s="14" t="str">
        <x:f>"0M98592"</x:f>
        <x:v>0M98592</x:v>
      </x:c>
      <x:c r="C1110" s="7" t="str">
        <x:v>Omitted</x:v>
      </x:c>
      <x:c r="D1110" s="7" t="str">
        <x:v>FAIL</x:v>
      </x:c>
      <x:c r="E1110" s="13" t="str">
        <x:v>Pending</x:v>
      </x:c>
      <x:c r="F1110" s="13" t="str"/>
      <x:c r="G1110" s="13" t="str"/>
      <x:c r="H1110" s="13" t="str"/>
      <x:c r="I1110" s="7" t="str">
        <x:v>Was this person reviewed? If rejected, give the actual rule and evidence. If acceptable, correct the omission. Confirm the Life-qualification gate and any record change since selection.</x:v>
      </x:c>
      <x:c r="J1110" s="7" t="str">
        <x:v>L1</x:v>
      </x:c>
      <x:c r="K1110" s="7" t="str">
        <x:v>Verified qualifications do not include active general Life. Current target-pool mismatch; actual historical omission reason unknown.</x:v>
      </x:c>
      <x:c r="L1110" s="7" t="str">
        <x:v>Not supplied; membership is known, motive is not</x:v>
      </x:c>
      <x:c r="M1110" s="7" t="n">
        <x:v>7</x:v>
      </x:c>
      <x:c r="N1110" s="7" t="str">
        <x:v>Outside current general-Life recruiting pool</x:v>
      </x:c>
      <x:c r="O1110" s="7" t="str">
        <x:v>Inactive</x:v>
      </x:c>
      <x:c r="P1110" s="7" t="str">
        <x:v>05/17/2019</x:v>
      </x:c>
      <x:c r="Q1110" s="7" t="str">
        <x:v>05/31/2021</x:v>
      </x:c>
      <x:c r="R1110" s="7" t="str"/>
      <x:c r="S1110" s="15" t="str"/>
      <x:c r="T1110" s="7" t="str">
        <x:v>No public business phone in collected record</x:v>
      </x:c>
      <x:c r="U1110" s="7" t="str"/>
      <x:c r="V1110" s="7" t="str">
        <x:v>Resident</x:v>
      </x:c>
      <x:c r="W1110" s="7" t="str">
        <x:v>CA</x:v>
      </x:c>
      <x:c r="X1110" s="7" t="str"/>
      <x:c r="Y1110" s="7" t="str"/>
      <x:c r="Z1110" s="7" t="str"/>
      <x:c r="AA1110" s="7" t="str"/>
      <x:c r="AB1110" s="7" t="str"/>
      <x:c r="AC1110" s="7" t="str"/>
      <x:c r="AD1110" s="7" t="str">
        <x:v>No agency or insurer displayed: onboarding opportunity possible; existing business unknown</x:v>
      </x:c>
      <x:c r="AE1110" s="7" t="str">
        <x:v>No public business phone: contact enrichment needed, not proof of poor recruiting fit</x:v>
      </x:c>
      <x:c r="AF1110" s="16" t="str"/>
      <x:c r="AG1110" s="17" t="str"/>
      <x:c r="AH1110" s="7" t="str"/>
      <x:c r="AI1110" s="7" t="str"/>
      <x:c r="AJ1110" s="7" t="str"/>
      <x:c r="AK1110" s="15" t="str"/>
      <x:c r="AL1110" s="7" t="str"/>
      <x:c r="AM1110" s="7" t="str">
        <x:v>AGUILAR  SAMANTHA</x:v>
      </x:c>
      <x:c r="AN1110" s="7" t="str">
        <x:v>https://cdicloud.insurance.ca.gov/cal/LicenseDetail?SearchType=IND&amp;SearchLicNbr=0M98592&amp;SearchIndvId=2103548</x:v>
      </x:c>
      <x:c r="AO1110" s="7" t="str">
        <x:v>2026-10-08</x:v>
      </x:c>
      <x:c r="AP1110" s="7" t="str">
        <x:v>5c7f32e5136b6716fc23dd397443a8f8c874171840e257b61287d07867065a55</x:v>
      </x:c>
      <x:c r="AQ1110" s="7" t="str">
        <x:v>Life / Inactive / 05/17/2019 / 05/31/2021 / 05/31/2021</x:v>
      </x:c>
      <x:c r="AR1110" s="7" t="str">
        <x:v>Inactive</x:v>
      </x:c>
      <x:c r="AS1110" s="7" t="str">
        <x:v>Current detail page</x:v>
      </x:c>
    </x:row>
    <x:row r="1111" ht="52" customHeight="1">
      <x:c r="A1111" s="7" t="str">
        <x:v>AGUILAR SAMANTHA</x:v>
      </x:c>
      <x:c r="B1111" s="14" t="str">
        <x:f>"4404362"</x:f>
        <x:v>4404362</x:v>
      </x:c>
      <x:c r="C1111" s="7" t="str">
        <x:v>Omitted</x:v>
      </x:c>
      <x:c r="D1111" s="7" t="str">
        <x:v>FAIL</x:v>
      </x:c>
      <x:c r="E1111" s="13" t="str">
        <x:v>Pending</x:v>
      </x:c>
      <x:c r="F1111" s="13" t="str"/>
      <x:c r="G1111" s="13" t="str"/>
      <x:c r="H1111" s="13" t="str"/>
      <x:c r="I1111" s="7" t="str">
        <x:v>Was this person reviewed? If rejected, give the actual rule and evidence. If acceptable, correct the omission. Confirm the Life-qualification gate and any record change since selection.</x:v>
      </x:c>
      <x:c r="J1111" s="7" t="str">
        <x:v>L1</x:v>
      </x:c>
      <x:c r="K1111" s="7" t="str">
        <x:v>Verified qualifications do not include active general Life. Current target-pool mismatch; actual historical omission reason unknown.</x:v>
      </x:c>
      <x:c r="L1111" s="7" t="str">
        <x:v>Not supplied; membership is known, motive is not</x:v>
      </x:c>
      <x:c r="M1111" s="7" t="n">
        <x:v>7</x:v>
      </x:c>
      <x:c r="N1111" s="7" t="str">
        <x:v>Outside current general-Life recruiting pool</x:v>
      </x:c>
      <x:c r="O1111" s="7" t="str"/>
      <x:c r="P1111" s="7" t="str">
        <x:v>09/09/2024</x:v>
      </x:c>
      <x:c r="Q1111" s="7" t="str">
        <x:v>09/30/2026</x:v>
      </x:c>
      <x:c r="R1111" s="7" t="str"/>
      <x:c r="S1111" s="15" t="str"/>
      <x:c r="T1111" s="7" t="str">
        <x:v>No public business phone in collected record</x:v>
      </x:c>
      <x:c r="U1111" s="7" t="str"/>
      <x:c r="V1111" s="7" t="str">
        <x:v>Resident</x:v>
      </x:c>
      <x:c r="W1111" s="7" t="str">
        <x:v>CA</x:v>
      </x:c>
      <x:c r="X1111" s="7" t="str"/>
      <x:c r="Y1111" s="7" t="str"/>
      <x:c r="Z1111" s="7" t="str"/>
      <x:c r="AA1111" s="7" t="str"/>
      <x:c r="AB1111" s="7" t="str"/>
      <x:c r="AC1111" s="7" t="str"/>
      <x:c r="AD1111" s="7" t="str">
        <x:v>No agency or insurer displayed: onboarding opportunity possible; existing business unknown</x:v>
      </x:c>
      <x:c r="AE1111" s="7" t="str">
        <x:v>No public business phone: contact enrichment needed, not proof of poor recruiting fit</x:v>
      </x:c>
      <x:c r="AF1111" s="16" t="str"/>
      <x:c r="AG1111" s="17" t="str"/>
      <x:c r="AH1111" s="7" t="str"/>
      <x:c r="AI1111" s="7" t="str">
        <x:v>English</x:v>
      </x:c>
      <x:c r="AJ1111" s="7" t="str"/>
      <x:c r="AK1111" s="15" t="str"/>
      <x:c r="AL1111" s="7" t="str"/>
      <x:c r="AM1111" s="7" t="str">
        <x:v>AGUILAR  SAMANTHA</x:v>
      </x:c>
      <x:c r="AN1111" s="7" t="str">
        <x:v>https://cdicloud.insurance.ca.gov/cal/LicenseDetail?SearchType=IND&amp;SearchLicNbr=4404362&amp;SearchIndvId=4404362</x:v>
      </x:c>
      <x:c r="AO1111" s="7" t="str">
        <x:v>2026-10-08</x:v>
      </x:c>
      <x:c r="AP1111" s="7" t="str">
        <x:v>085dd5686cd8840bd02e139aeeab1c417211c077d3d995e64777f59c228beccf</x:v>
      </x:c>
      <x:c r="AQ1111" s="7" t="str">
        <x:v>Life /  / 09/09/2024 / 09/30/2026 / 09/30/2026</x:v>
      </x:c>
      <x:c r="AR1111" s="7" t="str"/>
      <x:c r="AS1111" s="7" t="str">
        <x:v>Current detail page</x:v>
      </x:c>
    </x:row>
    <x:row r="1112" ht="52" customHeight="1">
      <x:c r="A1112" s="7" t="str">
        <x:v>AGUILAR SAMANTHA</x:v>
      </x:c>
      <x:c r="B1112" s="14" t="str">
        <x:f>"4404630"</x:f>
        <x:v>4404630</x:v>
      </x:c>
      <x:c r="C1112" s="7" t="str">
        <x:v>Omitted</x:v>
      </x:c>
      <x:c r="D1112" s="7" t="str">
        <x:v>FAIL</x:v>
      </x:c>
      <x:c r="E1112" s="13" t="str">
        <x:v>Pending</x:v>
      </x:c>
      <x:c r="F1112" s="13" t="str"/>
      <x:c r="G1112" s="13" t="str"/>
      <x:c r="H1112" s="13" t="str"/>
      <x:c r="I1112" s="7" t="str">
        <x:v>Was this person reviewed? If rejected, give the actual rule and evidence. If acceptable, correct the omission. Confirm the Life-qualification gate and any record change since selection.</x:v>
      </x:c>
      <x:c r="J1112" s="7" t="str">
        <x:v>L1</x:v>
      </x:c>
      <x:c r="K1112" s="7" t="str">
        <x:v>Verified qualifications do not include active general Life. Current target-pool mismatch; actual historical omission reason unknown.</x:v>
      </x:c>
      <x:c r="L1112" s="7" t="str">
        <x:v>Not supplied; membership is known, motive is not</x:v>
      </x:c>
      <x:c r="M1112" s="7" t="n">
        <x:v>7</x:v>
      </x:c>
      <x:c r="N1112" s="7" t="str">
        <x:v>Outside current general-Life recruiting pool</x:v>
      </x:c>
      <x:c r="O1112" s="7" t="str">
        <x:v>Not displayed</x:v>
      </x:c>
      <x:c r="P1112" s="7" t="str"/>
      <x:c r="Q1112" s="7" t="str"/>
      <x:c r="R1112" s="7" t="str">
        <x:v>Casualty; Property</x:v>
      </x:c>
      <x:c r="S1112" s="15" t="str"/>
      <x:c r="T1112" s="7" t="str">
        <x:v>No public business phone in collected record</x:v>
      </x:c>
      <x:c r="U1112" s="7" t="str">
        <x:v>ATTN: BIBERK LICENSING 1314 DOUGLAS STREET, SUITE 1400 OMAHA NE, 68102</x:v>
      </x:c>
      <x:c r="V1112" s="7" t="str">
        <x:v>Non-resident</x:v>
      </x:c>
      <x:c r="W1112" s="7" t="str">
        <x:v>NE</x:v>
      </x:c>
      <x:c r="X1112" s="7" t="str">
        <x:v>BIBERK INSURANCE SERVICES, INC. / Property / 09/17/2024
BIBERK INSURANCE SERVICES, INC. / Casualty / 09/17/2024</x:v>
      </x:c>
      <x:c r="Y1112" s="7" t="str">
        <x:v>WELLFLEET INSURANCE COMPANY / Casualty / 09/27/2024
WELLFLEET INSURANCE COMPANY / Property / 09/27/2024
WELLFLEET NEW YORK INSURANCE COMPANY / Casualty / 09/27/2024
WELLFLEET NEW YORK INSURANCE COMPANY / Property / 09/27/2024</x:v>
      </x:c>
      <x:c r="Z1112" s="7" t="str"/>
      <x:c r="AA1112" s="7" t="str"/>
      <x:c r="AB1112" s="7" t="str"/>
      <x:c r="AC1112" s="7" t="str"/>
      <x:c r="AD1112" s="7" t="str"/>
      <x:c r="AE1112"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1112" s="16" t="str"/>
      <x:c r="AG1112" s="17" t="str"/>
      <x:c r="AH1112" s="7" t="str"/>
      <x:c r="AI1112" s="7" t="str"/>
      <x:c r="AJ1112" s="7" t="str"/>
      <x:c r="AK1112" s="15" t="str"/>
      <x:c r="AL1112" s="7" t="str"/>
      <x:c r="AM1112" s="7" t="str">
        <x:v>AGUILAR  SAMANTHA</x:v>
      </x:c>
      <x:c r="AN1112" s="7" t="str">
        <x:v>https://cdicloud.insurance.ca.gov/cal/LicenseDetail?SearchType=IND&amp;SearchLicNbr=4404630&amp;SearchIndvId=4404630</x:v>
      </x:c>
      <x:c r="AO1112" s="7" t="str">
        <x:v>2026-10-08</x:v>
      </x:c>
      <x:c r="AP1112" s="7" t="str">
        <x:v>c3f56bbefc68685aa13ef552081742a6404279ef9e00e39237a00a32b2455a93</x:v>
      </x:c>
      <x:c r="AQ1112" s="7" t="str">
        <x:v>Casualty / Active / 09/13/2024 / 09/13/2024 / 09/30/2028
Property / Active / 09/13/2024 / 09/13/2024 / 09/30/2028</x:v>
      </x:c>
      <x:c r="AR1112" s="7" t="str">
        <x:v>Active</x:v>
      </x:c>
      <x:c r="AS1112" s="7" t="str">
        <x:v>Current detail page</x:v>
      </x:c>
    </x:row>
    <x:row r="1113" ht="52" customHeight="1">
      <x:c r="A1113" s="7" t="str">
        <x:v>AGUILAR SAMANTHA VICTORIA</x:v>
      </x:c>
      <x:c r="B1113" s="14" t="str">
        <x:f>"4078958"</x:f>
        <x:v>4078958</x:v>
      </x:c>
      <x:c r="C1113" s="7" t="str">
        <x:v>Omitted</x:v>
      </x:c>
      <x:c r="D1113" s="7" t="str">
        <x:v>FAIL</x:v>
      </x:c>
      <x:c r="E1113" s="13" t="str">
        <x:v>Pending</x:v>
      </x:c>
      <x:c r="F1113" s="13" t="str"/>
      <x:c r="G1113" s="13" t="str"/>
      <x:c r="H1113" s="13" t="str"/>
      <x:c r="I1113" s="7" t="str">
        <x:v>Was this person reviewed? If rejected, give the actual rule and evidence. If acceptable, correct the omission. Confirm the Life-qualification gate and any record change since selection.</x:v>
      </x:c>
      <x:c r="J1113" s="7" t="str">
        <x:v>L1</x:v>
      </x:c>
      <x:c r="K1113" s="7" t="str">
        <x:v>Verified qualifications do not include active general Life. Current target-pool mismatch; actual historical omission reason unknown.</x:v>
      </x:c>
      <x:c r="L1113" s="7" t="str">
        <x:v>Not supplied; membership is known, motive is not</x:v>
      </x:c>
      <x:c r="M1113" s="7" t="n">
        <x:v>7</x:v>
      </x:c>
      <x:c r="N1113" s="7" t="str">
        <x:v>Outside current general-Life recruiting pool</x:v>
      </x:c>
      <x:c r="O1113" s="7" t="str">
        <x:v>Inactive</x:v>
      </x:c>
      <x:c r="P1113" s="7" t="str">
        <x:v>11/02/2020</x:v>
      </x:c>
      <x:c r="Q1113" s="7" t="str">
        <x:v>11/30/2022</x:v>
      </x:c>
      <x:c r="R1113" s="7" t="str"/>
      <x:c r="S1113" s="15" t="str">
        <x:v>310-503-7689</x:v>
      </x:c>
      <x:c r="T1113" s="7" t="str">
        <x:v>Current CDI</x:v>
      </x:c>
      <x:c r="U1113" s="7" t="str">
        <x:v>5417 ZELZAH AVE UNIT 206 ENCINO CA, 91316</x:v>
      </x:c>
      <x:c r="V1113" s="7" t="str">
        <x:v>Resident</x:v>
      </x:c>
      <x:c r="W1113" s="7" t="str">
        <x:v>CA</x:v>
      </x:c>
      <x:c r="X1113" s="7" t="str"/>
      <x:c r="Y1113" s="7" t="str"/>
      <x:c r="Z1113" s="7" t="str"/>
      <x:c r="AA1113" s="7" t="str"/>
      <x:c r="AB1113" s="7" t="str"/>
      <x:c r="AC1113" s="7" t="str"/>
      <x:c r="AD1113" s="7" t="str">
        <x:v>No agency or insurer displayed: onboarding opportunity possible; existing business unknown</x:v>
      </x:c>
      <x:c r="AE1113" s="7" t="str"/>
      <x:c r="AF1113" s="16" t="str"/>
      <x:c r="AG1113" s="17" t="str"/>
      <x:c r="AH1113" s="7" t="str"/>
      <x:c r="AI1113" s="7" t="str">
        <x:v>English</x:v>
      </x:c>
      <x:c r="AJ1113" s="7" t="str"/>
      <x:c r="AK1113" s="15" t="str"/>
      <x:c r="AL1113" s="7" t="str"/>
      <x:c r="AM1113" s="7" t="str">
        <x:v>AGUILAR VICTORIA SAMANTHA</x:v>
      </x:c>
      <x:c r="AN1113" s="7" t="str">
        <x:v>https://cdicloud.insurance.ca.gov/cal/LicenseDetail?SearchType=IND&amp;SearchLicNbr=4078958&amp;SearchIndvId=4078958</x:v>
      </x:c>
      <x:c r="AO1113" s="7" t="str">
        <x:v>2026-10-08</x:v>
      </x:c>
      <x:c r="AP1113" s="7" t="str">
        <x:v>99d429b6637b0c642c837af3a96f4b40a45d6eae0a4cf63c981015cd57ceca8b</x:v>
      </x:c>
      <x:c r="AQ1113" s="7" t="str">
        <x:v>Accident &amp; Health or Sickness / Inactive / 11/02/2020 / 11/30/2022 / 11/30/2022
Life / Inactive / 11/02/2020 / 11/30/2022 / 11/30/2022</x:v>
      </x:c>
      <x:c r="AR1113" s="7" t="str">
        <x:v>Inactive</x:v>
      </x:c>
      <x:c r="AS1113" s="7" t="str">
        <x:v>Current detail page</x:v>
      </x:c>
    </x:row>
    <x:row r="1114" ht="52" customHeight="1">
      <x:c r="A1114" s="7" t="str">
        <x:v>AGUILAR SAMUEL MEZA</x:v>
      </x:c>
      <x:c r="B1114" s="14" t="str">
        <x:f>"4390391"</x:f>
        <x:v>4390391</x:v>
      </x:c>
      <x:c r="C1114" s="7" t="str">
        <x:v>Omitted</x:v>
      </x:c>
      <x:c r="D1114" s="7" t="str">
        <x:v>FAIL</x:v>
      </x:c>
      <x:c r="E1114" s="13" t="str">
        <x:v>Pending</x:v>
      </x:c>
      <x:c r="F1114" s="13" t="str"/>
      <x:c r="G1114" s="13" t="str"/>
      <x:c r="H1114" s="13" t="str"/>
      <x:c r="I1114" s="7" t="str">
        <x:v>Was this person reviewed? If rejected, give the actual rule and evidence. If acceptable, correct the omission. Confirm the Life-qualification gate and any record change since selection.</x:v>
      </x:c>
      <x:c r="J1114" s="7" t="str">
        <x:v>L1</x:v>
      </x:c>
      <x:c r="K1114" s="7" t="str">
        <x:v>Verified qualifications do not include active general Life. Current target-pool mismatch; actual historical omission reason unknown.</x:v>
      </x:c>
      <x:c r="L1114" s="7" t="str">
        <x:v>Not supplied; membership is known, motive is not</x:v>
      </x:c>
      <x:c r="M1114" s="7" t="n">
        <x:v>7</x:v>
      </x:c>
      <x:c r="N1114" s="7" t="str">
        <x:v>Outside current general-Life recruiting pool</x:v>
      </x:c>
      <x:c r="O1114" s="7" t="str"/>
      <x:c r="P1114" s="7" t="str">
        <x:v>08/13/2024</x:v>
      </x:c>
      <x:c r="Q1114" s="7" t="str">
        <x:v>08/31/2026</x:v>
      </x:c>
      <x:c r="R1114" s="7" t="str"/>
      <x:c r="S1114" s="15" t="str"/>
      <x:c r="T1114" s="7" t="str">
        <x:v>No public business phone in collected record</x:v>
      </x:c>
      <x:c r="U1114" s="7" t="str"/>
      <x:c r="V1114" s="7" t="str">
        <x:v>Resident</x:v>
      </x:c>
      <x:c r="W1114" s="7" t="str">
        <x:v>TX</x:v>
      </x:c>
      <x:c r="X1114" s="7" t="str"/>
      <x:c r="Y1114" s="7" t="str"/>
      <x:c r="Z1114" s="7" t="str"/>
      <x:c r="AA1114" s="7" t="str"/>
      <x:c r="AB1114" s="7" t="str"/>
      <x:c r="AC1114" s="7" t="str"/>
      <x:c r="AD1114" s="7" t="str">
        <x:v>No agency or insurer displayed: onboarding opportunity possible; existing business unknown</x:v>
      </x:c>
      <x:c r="AE1114" s="7" t="str">
        <x:v>Nonresident or address state outside CA; confirm geographic recruiting scope | No public business phone: contact enrichment needed, not proof of poor recruiting fit</x:v>
      </x:c>
      <x:c r="AF1114" s="16" t="str"/>
      <x:c r="AG1114" s="17" t="str"/>
      <x:c r="AH1114" s="7" t="str"/>
      <x:c r="AI1114" s="7" t="str">
        <x:v>English</x:v>
      </x:c>
      <x:c r="AJ1114" s="7" t="str"/>
      <x:c r="AK1114" s="15" t="str"/>
      <x:c r="AL1114" s="7" t="str"/>
      <x:c r="AM1114" s="7" t="str">
        <x:v>AGUILAR MEZA SAMUEL</x:v>
      </x:c>
      <x:c r="AN1114" s="7" t="str">
        <x:v>https://cdicloud.insurance.ca.gov/cal/LicenseDetail?SearchType=IND&amp;SearchLicNbr=4390391&amp;SearchIndvId=4390391</x:v>
      </x:c>
      <x:c r="AO1114" s="7" t="str">
        <x:v>2026-10-08</x:v>
      </x:c>
      <x:c r="AP1114" s="7" t="str">
        <x:v>23197c49a55a0deb08a09e634ce9eac25fe50e6e18fa2aa5fd5a71ef8a63b894</x:v>
      </x:c>
      <x:c r="AQ1114" s="7" t="str">
        <x:v>Life /  / 08/13/2024 / 08/31/2026 / 08/31/2026</x:v>
      </x:c>
      <x:c r="AR1114" s="7" t="str"/>
      <x:c r="AS1114" s="7" t="str">
        <x:v>Current detail page</x:v>
      </x:c>
    </x:row>
    <x:row r="1115" ht="52" customHeight="1">
      <x:c r="A1115" s="7" t="str">
        <x:v>AGUILAR SANDRA</x:v>
      </x:c>
      <x:c r="B1115" s="14" t="str">
        <x:f>"0I21739"</x:f>
        <x:v>0I21739</x:v>
      </x:c>
      <x:c r="C1115" s="7" t="str">
        <x:v>Omitted</x:v>
      </x:c>
      <x:c r="D1115" s="7" t="str">
        <x:v>FAIL</x:v>
      </x:c>
      <x:c r="E1115" s="13" t="str">
        <x:v>Pending</x:v>
      </x:c>
      <x:c r="F1115" s="13" t="str"/>
      <x:c r="G1115" s="13" t="str"/>
      <x:c r="H1115" s="13" t="str"/>
      <x:c r="I1115" s="7" t="str">
        <x:v>Was this person reviewed? If rejected, give the actual rule and evidence. If acceptable, correct the omission. Confirm the Life-qualification gate and any record change since selection.</x:v>
      </x:c>
      <x:c r="J1115" s="7" t="str">
        <x:v>L1</x:v>
      </x:c>
      <x:c r="K1115" s="7" t="str">
        <x:v>Verified qualifications do not include active general Life. Current target-pool mismatch; actual historical omission reason unknown.</x:v>
      </x:c>
      <x:c r="L1115" s="7" t="str">
        <x:v>Not supplied; membership is known, motive is not</x:v>
      </x:c>
      <x:c r="M1115" s="7" t="n">
        <x:v>7</x:v>
      </x:c>
      <x:c r="N1115" s="7" t="str">
        <x:v>Outside current general-Life recruiting pool</x:v>
      </x:c>
      <x:c r="O1115" s="7" t="str">
        <x:v>Not displayed</x:v>
      </x:c>
      <x:c r="P1115" s="7" t="str"/>
      <x:c r="Q1115" s="7" t="str"/>
      <x:c r="R1115" s="7" t="str"/>
      <x:c r="S1115" s="15" t="str"/>
      <x:c r="T1115" s="7" t="str">
        <x:v>No public business phone in collected record</x:v>
      </x:c>
      <x:c r="U1115" s="7" t="str"/>
      <x:c r="V1115" s="7" t="str">
        <x:v>Resident</x:v>
      </x:c>
      <x:c r="W1115" s="7" t="str">
        <x:v>CA</x:v>
      </x:c>
      <x:c r="X1115" s="7" t="str"/>
      <x:c r="Y1115" s="7" t="str"/>
      <x:c r="Z1115" s="7" t="str"/>
      <x:c r="AA1115" s="7" t="str"/>
      <x:c r="AB1115" s="7" t="str"/>
      <x:c r="AC1115" s="7" t="str"/>
      <x:c r="AD1115" s="7" t="str">
        <x:v>No agency or insurer displayed: onboarding opportunity possible; existing business unknown</x:v>
      </x:c>
      <x:c r="AE1115" s="7" t="str">
        <x:v>No public business phone: contact enrichment needed, not proof of poor recruiting fit</x:v>
      </x:c>
      <x:c r="AF1115" s="16" t="str"/>
      <x:c r="AG1115" s="17" t="str"/>
      <x:c r="AH1115" s="7" t="str"/>
      <x:c r="AI1115" s="7" t="str"/>
      <x:c r="AJ1115" s="7" t="str"/>
      <x:c r="AK1115" s="15" t="str"/>
      <x:c r="AL1115" s="7" t="str"/>
      <x:c r="AM1115" s="7" t="str">
        <x:v>AGUILAR  SANDRA</x:v>
      </x:c>
      <x:c r="AN1115" s="7" t="str">
        <x:v>https://cdicloud.insurance.ca.gov/cal/LicenseDetail?SearchType=IND&amp;SearchLicNbr=0I21739&amp;SearchIndvId=1549199</x:v>
      </x:c>
      <x:c r="AO1115" s="7" t="str">
        <x:v>2026-10-08</x:v>
      </x:c>
      <x:c r="AP1115" s="7" t="str">
        <x:v>5be8d3f27e67361790a3350d54a1e3d417545ccaa0a2e23956248bba8c236cbf</x:v>
      </x:c>
      <x:c r="AQ1115" s="7" t="str">
        <x:v>Limited Lines Automobile / Inactive / 02/01/2013 / 02/28/2017 / 02/28/2017</x:v>
      </x:c>
      <x:c r="AR1115" s="7" t="str">
        <x:v>Inactive</x:v>
      </x:c>
      <x:c r="AS1115" s="7" t="str">
        <x:v>Current detail page</x:v>
      </x:c>
    </x:row>
    <x:row r="1116" ht="52" customHeight="1">
      <x:c r="A1116" s="7" t="str">
        <x:v>AGUILAR SANDRA ALICIA</x:v>
      </x:c>
      <x:c r="B1116" s="14" t="str">
        <x:f>"0E91900"</x:f>
        <x:v>0E91900</x:v>
      </x:c>
      <x:c r="C1116" s="7" t="str">
        <x:v>Omitted</x:v>
      </x:c>
      <x:c r="D1116" s="7" t="str">
        <x:v>FAIL</x:v>
      </x:c>
      <x:c r="E1116" s="13" t="str">
        <x:v>Pending</x:v>
      </x:c>
      <x:c r="F1116" s="13" t="str"/>
      <x:c r="G1116" s="13" t="str"/>
      <x:c r="H1116" s="13" t="str"/>
      <x:c r="I1116" s="7" t="str">
        <x:v>Was this person reviewed? If rejected, give the actual rule and evidence. If acceptable, correct the omission. Confirm the Life-qualification gate and any record change since selection.</x:v>
      </x:c>
      <x:c r="J1116" s="7" t="str">
        <x:v>L1</x:v>
      </x:c>
      <x:c r="K1116" s="7" t="str">
        <x:v>Verified qualifications do not include active general Life. Current target-pool mismatch; actual historical omission reason unknown.</x:v>
      </x:c>
      <x:c r="L1116" s="7" t="str">
        <x:v>Not supplied; membership is known, motive is not</x:v>
      </x:c>
      <x:c r="M1116" s="7" t="n">
        <x:v>7</x:v>
      </x:c>
      <x:c r="N1116" s="7" t="str">
        <x:v>Outside current general-Life recruiting pool</x:v>
      </x:c>
      <x:c r="O1116" s="7" t="str">
        <x:v>Not displayed</x:v>
      </x:c>
      <x:c r="P1116" s="7" t="str"/>
      <x:c r="Q1116" s="7" t="str"/>
      <x:c r="R1116" s="7" t="str"/>
      <x:c r="S1116" s="15" t="str"/>
      <x:c r="T1116" s="7" t="str">
        <x:v>No public business phone in collected record</x:v>
      </x:c>
      <x:c r="U1116" s="7" t="str"/>
      <x:c r="V1116" s="7" t="str">
        <x:v>Resident</x:v>
      </x:c>
      <x:c r="W1116" s="7" t="str">
        <x:v>CA</x:v>
      </x:c>
      <x:c r="X1116" s="7" t="str"/>
      <x:c r="Y1116" s="7" t="str"/>
      <x:c r="Z1116" s="7" t="str"/>
      <x:c r="AA1116" s="7" t="str"/>
      <x:c r="AB1116" s="7" t="str"/>
      <x:c r="AC1116" s="7" t="str"/>
      <x:c r="AD1116" s="7" t="str">
        <x:v>No agency or insurer displayed: onboarding opportunity possible; existing business unknown</x:v>
      </x:c>
      <x:c r="AE1116" s="7" t="str">
        <x:v>No public business phone: contact enrichment needed, not proof of poor recruiting fit</x:v>
      </x:c>
      <x:c r="AF1116" s="16" t="str"/>
      <x:c r="AG1116" s="17" t="str"/>
      <x:c r="AH1116" s="7" t="str"/>
      <x:c r="AI1116" s="7" t="str"/>
      <x:c r="AJ1116" s="7" t="str"/>
      <x:c r="AK1116" s="15" t="str"/>
      <x:c r="AL1116" s="7" t="str"/>
      <x:c r="AM1116" s="7" t="str">
        <x:v>AGUILAR ALICIA SANDRA</x:v>
      </x:c>
      <x:c r="AN1116" s="7" t="str">
        <x:v>https://cdicloud.insurance.ca.gov/cal/LicenseDetail?SearchType=IND&amp;SearchLicNbr=0E91900&amp;SearchIndvId=970988</x:v>
      </x:c>
      <x:c r="AO1116" s="7" t="str">
        <x:v>2026-10-08</x:v>
      </x:c>
      <x:c r="AP1116" s="7" t="str">
        <x:v>2dfa3b2db5b9f5dea0b06b1c6afa3f438b4ceb1d3324a8f8420ccc7b9b07b328</x:v>
      </x:c>
      <x:c r="AQ1116" s="7" t="str">
        <x:v>Accident and Health / Inactive / 09/22/2005 / 09/30/2007 / 09/30/2007
Life-Only / Inactive / 09/22/2005 / 09/30/2007 / 09/30/2007</x:v>
      </x:c>
      <x:c r="AR1116" s="7" t="str">
        <x:v>Inactive</x:v>
      </x:c>
      <x:c r="AS1116" s="7" t="str">
        <x:v>Current detail page</x:v>
      </x:c>
    </x:row>
    <x:row r="1117" ht="52" customHeight="1">
      <x:c r="A1117" s="7" t="str">
        <x:v>AGUILAR SANDRA ELYSIA</x:v>
      </x:c>
      <x:c r="B1117" s="14" t="str">
        <x:f>"0G21798"</x:f>
        <x:v>0G21798</x:v>
      </x:c>
      <x:c r="C1117" s="7" t="str">
        <x:v>Omitted</x:v>
      </x:c>
      <x:c r="D1117" s="7" t="str">
        <x:v>FAIL</x:v>
      </x:c>
      <x:c r="E1117" s="13" t="str">
        <x:v>Pending</x:v>
      </x:c>
      <x:c r="F1117" s="13" t="str"/>
      <x:c r="G1117" s="13" t="str"/>
      <x:c r="H1117" s="13" t="str"/>
      <x:c r="I1117" s="7" t="str">
        <x:v>Was this person reviewed? If rejected, give the actual rule and evidence. If acceptable, correct the omission. Confirm the Life-qualification gate and any record change since selection.</x:v>
      </x:c>
      <x:c r="J1117" s="7" t="str">
        <x:v>L1</x:v>
      </x:c>
      <x:c r="K1117" s="7" t="str">
        <x:v>Verified qualifications do not include active general Life. Current target-pool mismatch; actual historical omission reason unknown.</x:v>
      </x:c>
      <x:c r="L1117" s="7" t="str">
        <x:v>Not supplied; membership is known, motive is not</x:v>
      </x:c>
      <x:c r="M1117" s="7" t="n">
        <x:v>7</x:v>
      </x:c>
      <x:c r="N1117" s="7" t="str">
        <x:v>Outside current general-Life recruiting pool</x:v>
      </x:c>
      <x:c r="O1117" s="7" t="str">
        <x:v>Not displayed</x:v>
      </x:c>
      <x:c r="P1117" s="7" t="str"/>
      <x:c r="Q1117" s="7" t="str"/>
      <x:c r="R1117" s="7" t="str"/>
      <x:c r="S1117" s="15" t="str"/>
      <x:c r="T1117" s="7" t="str">
        <x:v>No public business phone in collected record</x:v>
      </x:c>
      <x:c r="U1117" s="7" t="str"/>
      <x:c r="V1117" s="7" t="str">
        <x:v>Resident</x:v>
      </x:c>
      <x:c r="W1117" s="7" t="str">
        <x:v>CA</x:v>
      </x:c>
      <x:c r="X1117" s="7" t="str"/>
      <x:c r="Y1117" s="7" t="str"/>
      <x:c r="Z1117" s="7" t="str"/>
      <x:c r="AA1117" s="7" t="str"/>
      <x:c r="AB1117" s="7" t="str"/>
      <x:c r="AC1117" s="7" t="str"/>
      <x:c r="AD1117" s="7" t="str">
        <x:v>No agency or insurer displayed: onboarding opportunity possible; existing business unknown</x:v>
      </x:c>
      <x:c r="AE1117" s="7" t="str">
        <x:v>No public business phone: contact enrichment needed, not proof of poor recruiting fit</x:v>
      </x:c>
      <x:c r="AF1117" s="16" t="str"/>
      <x:c r="AG1117" s="17" t="str"/>
      <x:c r="AH1117" s="7" t="str"/>
      <x:c r="AI1117" s="7" t="str"/>
      <x:c r="AJ1117" s="7" t="str"/>
      <x:c r="AK1117" s="15" t="str"/>
      <x:c r="AL1117" s="7" t="str"/>
      <x:c r="AM1117" s="7" t="str">
        <x:v>AGUILAR ELYSIA SANDRA</x:v>
      </x:c>
      <x:c r="AN1117" s="7" t="str">
        <x:v>https://cdicloud.insurance.ca.gov/cal/LicenseDetail?SearchType=IND&amp;SearchLicNbr=0G21798&amp;SearchIndvId=1175203</x:v>
      </x:c>
      <x:c r="AO1117" s="7" t="str">
        <x:v>2026-10-08</x:v>
      </x:c>
      <x:c r="AP1117" s="7" t="str">
        <x:v>74a221857320376c6bb5ddf06416508cd5f71492daaa4dd0dab42f4faa7e9a67</x:v>
      </x:c>
      <x:c r="AQ1117" s="7" t="str">
        <x:v>Life-Only / Inactive / 08/22/2008 / 08/31/2010 / 08/31/2010</x:v>
      </x:c>
      <x:c r="AR1117" s="7" t="str">
        <x:v>Inactive</x:v>
      </x:c>
      <x:c r="AS1117" s="7" t="str">
        <x:v>Current detail page</x:v>
      </x:c>
    </x:row>
    <x:row r="1118" ht="52" customHeight="1">
      <x:c r="A1118" s="7" t="str">
        <x:v>AGUILAR SANDRA LYNNE</x:v>
      </x:c>
      <x:c r="B1118" s="14" t="str">
        <x:f>"0B76090"</x:f>
        <x:v>0B76090</x:v>
      </x:c>
      <x:c r="C1118" s="7" t="str">
        <x:v>Omitted</x:v>
      </x:c>
      <x:c r="D1118" s="7" t="str">
        <x:v>FAIL</x:v>
      </x:c>
      <x:c r="E1118" s="13" t="str">
        <x:v>Pending</x:v>
      </x:c>
      <x:c r="F1118" s="13" t="str"/>
      <x:c r="G1118" s="13" t="str"/>
      <x:c r="H1118" s="13" t="str"/>
      <x:c r="I1118" s="7" t="str">
        <x:v>Was this person reviewed? If rejected, give the actual rule and evidence. If acceptable, correct the omission. Confirm the Life-qualification gate and any record change since selection.</x:v>
      </x:c>
      <x:c r="J1118" s="7" t="str">
        <x:v>L1</x:v>
      </x:c>
      <x:c r="K1118" s="7" t="str">
        <x:v>Verified qualifications do not include active general Life. Current target-pool mismatch; actual historical omission reason unknown.</x:v>
      </x:c>
      <x:c r="L1118" s="7" t="str">
        <x:v>Not supplied; membership is known, motive is not</x:v>
      </x:c>
      <x:c r="M1118" s="7" t="n">
        <x:v>7</x:v>
      </x:c>
      <x:c r="N1118" s="7" t="str">
        <x:v>Outside current general-Life recruiting pool</x:v>
      </x:c>
      <x:c r="O1118" s="7" t="str">
        <x:v>Not displayed</x:v>
      </x:c>
      <x:c r="P1118" s="7" t="str"/>
      <x:c r="Q1118" s="7" t="str"/>
      <x:c r="R1118" s="7" t="str"/>
      <x:c r="S1118" s="15" t="str"/>
      <x:c r="T1118" s="7" t="str">
        <x:v>No public business phone in collected record</x:v>
      </x:c>
      <x:c r="U1118" s="7" t="str"/>
      <x:c r="V1118" s="7" t="str">
        <x:v>Resident</x:v>
      </x:c>
      <x:c r="W1118" s="7" t="str">
        <x:v>CA</x:v>
      </x:c>
      <x:c r="X1118" s="7" t="str"/>
      <x:c r="Y1118" s="7" t="str"/>
      <x:c r="Z1118" s="7" t="str"/>
      <x:c r="AA1118" s="7" t="str"/>
      <x:c r="AB1118" s="7" t="str"/>
      <x:c r="AC1118" s="7" t="str"/>
      <x:c r="AD1118" s="7" t="str">
        <x:v>No agency or insurer displayed: onboarding opportunity possible; existing business unknown</x:v>
      </x:c>
      <x:c r="AE1118" s="7" t="str">
        <x:v>No public business phone: contact enrichment needed, not proof of poor recruiting fit</x:v>
      </x:c>
      <x:c r="AF1118" s="16" t="str"/>
      <x:c r="AG1118" s="17" t="str"/>
      <x:c r="AH1118" s="7" t="str"/>
      <x:c r="AI1118" s="7" t="str"/>
      <x:c r="AJ1118" s="7" t="str"/>
      <x:c r="AK1118" s="15" t="str"/>
      <x:c r="AL1118" s="7" t="str"/>
      <x:c r="AM1118" s="7" t="str">
        <x:v>AGUILAR LYNNE SANDRA</x:v>
      </x:c>
      <x:c r="AN1118" s="7" t="str">
        <x:v>https://cdicloud.insurance.ca.gov/cal/LicenseDetail?SearchType=IND&amp;SearchLicNbr=0B76090&amp;SearchIndvId=253995</x:v>
      </x:c>
      <x:c r="AO1118" s="7" t="str">
        <x:v>2026-10-08</x:v>
      </x:c>
      <x:c r="AP1118" s="7" t="str">
        <x:v>a294ccd0c5395506a578f1141aee307056f941a894bb6fdb32ccc19e87571d6b</x:v>
      </x:c>
      <x:c r="AQ1118" s="7" t="str">
        <x:v>Accident and Health / Inactive / 03/27/1996 / 03/31/1998 / 03/31/1998
Life-Only / Inactive / 03/27/1996 / 03/31/1998 / 03/31/1998</x:v>
      </x:c>
      <x:c r="AR1118" s="7" t="str">
        <x:v>Inactive</x:v>
      </x:c>
      <x:c r="AS1118" s="7" t="str">
        <x:v>Current detail page</x:v>
      </x:c>
    </x:row>
    <x:row r="1119" ht="52" customHeight="1">
      <x:c r="A1119" s="7" t="str">
        <x:v>AGUILAR SANDY</x:v>
      </x:c>
      <x:c r="B1119" s="14" t="str">
        <x:f>"4365604"</x:f>
        <x:v>4365604</x:v>
      </x:c>
      <x:c r="C1119" s="7" t="str">
        <x:v>Omitted</x:v>
      </x:c>
      <x:c r="D1119" s="7" t="str">
        <x:v>FAIL</x:v>
      </x:c>
      <x:c r="E1119" s="13" t="str">
        <x:v>Pending</x:v>
      </x:c>
      <x:c r="F1119" s="13" t="str"/>
      <x:c r="G1119" s="13" t="str"/>
      <x:c r="H1119" s="13" t="str"/>
      <x:c r="I1119" s="7" t="str">
        <x:v>Was this person reviewed? If rejected, give the actual rule and evidence. If acceptable, correct the omission. Confirm the Life-qualification gate and any record change since selection.</x:v>
      </x:c>
      <x:c r="J1119" s="7" t="str">
        <x:v>L1</x:v>
      </x:c>
      <x:c r="K1119" s="7" t="str">
        <x:v>Verified qualifications do not include active general Life. Current target-pool mismatch; actual historical omission reason unknown.</x:v>
      </x:c>
      <x:c r="L1119" s="7" t="str">
        <x:v>Not supplied; membership is known, motive is not</x:v>
      </x:c>
      <x:c r="M1119" s="7" t="n">
        <x:v>7</x:v>
      </x:c>
      <x:c r="N1119" s="7" t="str">
        <x:v>Outside current general-Life recruiting pool</x:v>
      </x:c>
      <x:c r="O1119" s="7" t="str">
        <x:v>Not displayed</x:v>
      </x:c>
      <x:c r="P1119" s="7" t="str"/>
      <x:c r="Q1119" s="7" t="str"/>
      <x:c r="R1119" s="7" t="str">
        <x:v>Personal Lines</x:v>
      </x:c>
      <x:c r="S1119" s="15" t="str"/>
      <x:c r="T1119" s="7" t="str">
        <x:v>No public business phone in collected record</x:v>
      </x:c>
      <x:c r="U1119" s="7" t="str">
        <x:v>1 NORTERRA DR PHOENIX AZ, 85085-8204</x:v>
      </x:c>
      <x:c r="V1119" s="7" t="str">
        <x:v>Non-resident</x:v>
      </x:c>
      <x:c r="W1119" s="7" t="str">
        <x:v>AZ</x:v>
      </x:c>
      <x:c r="X1119" s="7" t="str"/>
      <x:c r="Y1119" s="7" t="str"/>
      <x:c r="Z1119" s="7" t="str"/>
      <x:c r="AA1119" s="7" t="str"/>
      <x:c r="AB1119" s="7" t="str"/>
      <x:c r="AC1119" s="7" t="str"/>
      <x:c r="AD1119" s="7" t="str">
        <x:v>No agency or insurer displayed: onboarding opportunity possible; existing business unknown</x:v>
      </x:c>
      <x:c r="AE1119"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1119" s="16" t="str"/>
      <x:c r="AG1119" s="17" t="str"/>
      <x:c r="AH1119" s="7" t="str"/>
      <x:c r="AI1119" s="7" t="str"/>
      <x:c r="AJ1119" s="7" t="str"/>
      <x:c r="AK1119" s="15" t="str"/>
      <x:c r="AL1119" s="7" t="str"/>
      <x:c r="AM1119" s="7" t="str">
        <x:v>AGUILAR  SANDY</x:v>
      </x:c>
      <x:c r="AN1119" s="7" t="str">
        <x:v>https://cdicloud.insurance.ca.gov/cal/LicenseDetail?SearchType=IND&amp;SearchLicNbr=4365604&amp;SearchIndvId=4365604</x:v>
      </x:c>
      <x:c r="AO1119" s="7" t="str">
        <x:v>2026-10-08</x:v>
      </x:c>
      <x:c r="AP1119" s="7" t="str">
        <x:v>44593a338aac97a00f8850977582c935a601511fcda3bfba421ba7aaa3a45e2c</x:v>
      </x:c>
      <x:c r="AQ1119" s="7" t="str">
        <x:v>Personal Lines / Active / 03/12/2024 / 03/12/2024 / 03/31/2028</x:v>
      </x:c>
      <x:c r="AR1119" s="7" t="str">
        <x:v>Active</x:v>
      </x:c>
      <x:c r="AS1119" s="7" t="str">
        <x:v>Current detail page</x:v>
      </x:c>
    </x:row>
    <x:row r="1120" ht="52" customHeight="1">
      <x:c r="A1120" s="7" t="str">
        <x:v>AGUILAR SANTIAGO</x:v>
      </x:c>
      <x:c r="B1120" s="14" t="str">
        <x:f>"0M69384"</x:f>
        <x:v>0M69384</x:v>
      </x:c>
      <x:c r="C1120" s="7" t="str">
        <x:v>Omitted</x:v>
      </x:c>
      <x:c r="D1120" s="7" t="str">
        <x:v>FAIL</x:v>
      </x:c>
      <x:c r="E1120" s="13" t="str">
        <x:v>Pending</x:v>
      </x:c>
      <x:c r="F1120" s="13" t="str"/>
      <x:c r="G1120" s="13" t="str"/>
      <x:c r="H1120" s="13" t="str"/>
      <x:c r="I1120" s="7" t="str">
        <x:v>Was this person reviewed? If rejected, give the actual rule and evidence. If acceptable, correct the omission. Confirm the Life-qualification gate and any record change since selection.</x:v>
      </x:c>
      <x:c r="J1120" s="7" t="str">
        <x:v>L1</x:v>
      </x:c>
      <x:c r="K1120" s="7" t="str">
        <x:v>Verified qualifications do not include active general Life. Current target-pool mismatch; actual historical omission reason unknown.</x:v>
      </x:c>
      <x:c r="L1120" s="7" t="str">
        <x:v>Not supplied; membership is known, motive is not</x:v>
      </x:c>
      <x:c r="M1120" s="7" t="n">
        <x:v>7</x:v>
      </x:c>
      <x:c r="N1120" s="7" t="str">
        <x:v>Outside current general-Life recruiting pool</x:v>
      </x:c>
      <x:c r="O1120" s="7" t="str">
        <x:v>Not displayed</x:v>
      </x:c>
      <x:c r="P1120" s="7" t="str"/>
      <x:c r="Q1120" s="7" t="str"/>
      <x:c r="R1120" s="7" t="str"/>
      <x:c r="S1120" s="15" t="str"/>
      <x:c r="T1120" s="7" t="str">
        <x:v>No public business phone in collected record</x:v>
      </x:c>
      <x:c r="U1120" s="7" t="str"/>
      <x:c r="V1120" s="7" t="str">
        <x:v>Resident</x:v>
      </x:c>
      <x:c r="W1120" s="7" t="str">
        <x:v>CA</x:v>
      </x:c>
      <x:c r="X1120" s="7" t="str"/>
      <x:c r="Y1120" s="7" t="str"/>
      <x:c r="Z1120" s="7" t="str"/>
      <x:c r="AA1120" s="7" t="str"/>
      <x:c r="AB1120" s="7" t="str"/>
      <x:c r="AC1120" s="7" t="str"/>
      <x:c r="AD1120" s="7" t="str">
        <x:v>No agency or insurer displayed: onboarding opportunity possible; existing business unknown</x:v>
      </x:c>
      <x:c r="AE1120" s="7" t="str">
        <x:v>No public business phone: contact enrichment needed, not proof of poor recruiting fit</x:v>
      </x:c>
      <x:c r="AF1120" s="16" t="str"/>
      <x:c r="AG1120" s="17" t="str"/>
      <x:c r="AH1120" s="7" t="str"/>
      <x:c r="AI1120" s="7" t="str"/>
      <x:c r="AJ1120" s="7" t="str"/>
      <x:c r="AK1120" s="15" t="str"/>
      <x:c r="AL1120" s="7" t="str"/>
      <x:c r="AM1120" s="7" t="str">
        <x:v>AGUILAR  SANTIAGO</x:v>
      </x:c>
      <x:c r="AN1120" s="7" t="str">
        <x:v>https://cdicloud.insurance.ca.gov/cal/LicenseDetail?SearchType=IND&amp;SearchLicNbr=0M69384&amp;SearchIndvId=2069970</x:v>
      </x:c>
      <x:c r="AO1120" s="7" t="str">
        <x:v>2026-10-08</x:v>
      </x:c>
      <x:c r="AP1120" s="7" t="str">
        <x:v>7e6ce7186399a577c193dcefa669f27a75a60ea000de82bda651729ae98f30af</x:v>
      </x:c>
      <x:c r="AQ1120" s="7" t="str">
        <x:v>Life-Only / Inactive / 11/26/2018 / 11/30/2020 / 11/30/2020</x:v>
      </x:c>
      <x:c r="AR1120" s="7" t="str">
        <x:v>Inactive</x:v>
      </x:c>
      <x:c r="AS1120" s="7" t="str">
        <x:v>Current detail page</x:v>
      </x:c>
    </x:row>
    <x:row r="1121" ht="52" customHeight="1">
      <x:c r="A1121" s="7" t="str">
        <x:v>AGUILAR SANTILLAN JOAQUIN</x:v>
      </x:c>
      <x:c r="B1121" s="14" t="str">
        <x:f>"0M34698"</x:f>
        <x:v>0M34698</x:v>
      </x:c>
      <x:c r="C1121" s="7" t="str">
        <x:v>Omitted</x:v>
      </x:c>
      <x:c r="D1121" s="7" t="str">
        <x:v>FAIL</x:v>
      </x:c>
      <x:c r="E1121" s="13" t="str">
        <x:v>Pending</x:v>
      </x:c>
      <x:c r="F1121" s="13" t="str"/>
      <x:c r="G1121" s="13" t="str"/>
      <x:c r="H1121" s="13" t="str"/>
      <x:c r="I1121" s="7" t="str">
        <x:v>Was this person reviewed? If rejected, give the actual rule and evidence. If acceptable, correct the omission. Confirm the Life-qualification gate and any record change since selection.</x:v>
      </x:c>
      <x:c r="J1121" s="7" t="str">
        <x:v>L1</x:v>
      </x:c>
      <x:c r="K1121" s="7" t="str">
        <x:v>Verified qualifications do not include active general Life. Current target-pool mismatch; actual historical omission reason unknown.</x:v>
      </x:c>
      <x:c r="L1121" s="7" t="str">
        <x:v>Not supplied; membership is known, motive is not</x:v>
      </x:c>
      <x:c r="M1121" s="7" t="n">
        <x:v>7</x:v>
      </x:c>
      <x:c r="N1121" s="7" t="str">
        <x:v>Outside current general-Life recruiting pool</x:v>
      </x:c>
      <x:c r="O1121" s="7" t="str">
        <x:v>Not displayed</x:v>
      </x:c>
      <x:c r="P1121" s="7" t="str"/>
      <x:c r="Q1121" s="7" t="str"/>
      <x:c r="R1121" s="7" t="str"/>
      <x:c r="S1121" s="15" t="str"/>
      <x:c r="T1121" s="7" t="str">
        <x:v>No public business phone in collected record</x:v>
      </x:c>
      <x:c r="U1121" s="7" t="str"/>
      <x:c r="V1121" s="7" t="str">
        <x:v>Non-resident</x:v>
      </x:c>
      <x:c r="W1121" s="7" t="str">
        <x:v>AZ</x:v>
      </x:c>
      <x:c r="X1121" s="7" t="str"/>
      <x:c r="Y1121" s="7" t="str"/>
      <x:c r="Z1121" s="7" t="str"/>
      <x:c r="AA1121" s="7" t="str"/>
      <x:c r="AB1121" s="7" t="str"/>
      <x:c r="AC1121" s="7" t="str"/>
      <x:c r="AD1121" s="7" t="str">
        <x:v>No agency or insurer displayed: onboarding opportunity possible; existing business unknown</x:v>
      </x:c>
      <x:c r="AE1121" s="7" t="str">
        <x:v>Nonresident or address state outside CA; confirm geographic recruiting scope | No public business phone: contact enrichment needed, not proof of poor recruiting fit</x:v>
      </x:c>
      <x:c r="AF1121" s="16" t="str"/>
      <x:c r="AG1121" s="17" t="str"/>
      <x:c r="AH1121" s="7" t="str"/>
      <x:c r="AI1121" s="7" t="str"/>
      <x:c r="AJ1121" s="7" t="str"/>
      <x:c r="AK1121" s="15" t="str"/>
      <x:c r="AL1121" s="7" t="str"/>
      <x:c r="AM1121" s="7" t="str">
        <x:v>AGUILAR SANTILLAN  JOAQUIN</x:v>
      </x:c>
      <x:c r="AN1121" s="7" t="str">
        <x:v>https://cdicloud.insurance.ca.gov/cal/LicenseDetail?SearchType=IND&amp;SearchLicNbr=0M34698&amp;SearchIndvId=2022066</x:v>
      </x:c>
      <x:c r="AO1121" s="7" t="str">
        <x:v>2026-10-08</x:v>
      </x:c>
      <x:c r="AP1121" s="7" t="str">
        <x:v>555ef2438d60045f711cf19fb9c5d39c55843a4aa2f8e949681a814f75cbcd8a</x:v>
      </x:c>
      <x:c r="AQ1121" s="7" t="str">
        <x:v>Life-Only / Inactive / 05/14/2018 / 05/31/2020 / 05/31/2020</x:v>
      </x:c>
      <x:c r="AR1121" s="7" t="str">
        <x:v>Inactive</x:v>
      </x:c>
      <x:c r="AS1121" s="7" t="str">
        <x:v>Current detail page</x:v>
      </x:c>
    </x:row>
    <x:row r="1122" ht="52" customHeight="1">
      <x:c r="A1122" s="7" t="str">
        <x:v>AGUILAR SANTOS ESTEFANIA</x:v>
      </x:c>
      <x:c r="B1122" s="14" t="str">
        <x:f>"4091152"</x:f>
        <x:v>4091152</x:v>
      </x:c>
      <x:c r="C1122" s="7" t="str">
        <x:v>Omitted</x:v>
      </x:c>
      <x:c r="D1122" s="7" t="str">
        <x:v>FAIL</x:v>
      </x:c>
      <x:c r="E1122" s="13" t="str">
        <x:v>Pending</x:v>
      </x:c>
      <x:c r="F1122" s="13" t="str"/>
      <x:c r="G1122" s="13" t="str"/>
      <x:c r="H1122" s="13" t="str"/>
      <x:c r="I1122" s="7" t="str">
        <x:v>Was this person reviewed? If rejected, give the actual rule and evidence. If acceptable, correct the omission. Confirm the Life-qualification gate and any record change since selection.</x:v>
      </x:c>
      <x:c r="J1122" s="7" t="str">
        <x:v>L1</x:v>
      </x:c>
      <x:c r="K1122" s="7" t="str">
        <x:v>Verified qualifications do not include active general Life. Current target-pool mismatch; actual historical omission reason unknown.</x:v>
      </x:c>
      <x:c r="L1122" s="7" t="str">
        <x:v>Not supplied; membership is known, motive is not</x:v>
      </x:c>
      <x:c r="M1122" s="7" t="n">
        <x:v>7</x:v>
      </x:c>
      <x:c r="N1122" s="7" t="str">
        <x:v>Outside current general-Life recruiting pool</x:v>
      </x:c>
      <x:c r="O1122" s="7" t="str">
        <x:v>Not displayed</x:v>
      </x:c>
      <x:c r="P1122" s="7" t="str"/>
      <x:c r="Q1122" s="7" t="str"/>
      <x:c r="R1122" s="7" t="str"/>
      <x:c r="S1122" s="15" t="str"/>
      <x:c r="T1122" s="7" t="str">
        <x:v>No public business phone in collected record</x:v>
      </x:c>
      <x:c r="U1122" s="7" t="str">
        <x:v>11221 OUTLET DRIVE KNOXVILLE TN, 37932</x:v>
      </x:c>
      <x:c r="V1122" s="7" t="str">
        <x:v>Non-resident</x:v>
      </x:c>
      <x:c r="W1122" s="7" t="str">
        <x:v>TN</x:v>
      </x:c>
      <x:c r="X1122" s="7" t="str"/>
      <x:c r="Y1122" s="7" t="str"/>
      <x:c r="Z1122" s="7" t="str"/>
      <x:c r="AA1122" s="7" t="str"/>
      <x:c r="AB1122" s="7" t="str"/>
      <x:c r="AC1122" s="7" t="str"/>
      <x:c r="AD1122" s="7" t="str">
        <x:v>No agency or insurer displayed: onboarding opportunity possible; existing business unknown</x:v>
      </x:c>
      <x:c r="AE1122" s="7" t="str">
        <x:v>Nonresident or address state outside CA; confirm geographic recruiting scope | No public business phone: contact enrichment needed, not proof of poor recruiting fit</x:v>
      </x:c>
      <x:c r="AF1122" s="16" t="str"/>
      <x:c r="AG1122" s="17" t="str"/>
      <x:c r="AH1122" s="7" t="str"/>
      <x:c r="AI1122" s="7" t="str"/>
      <x:c r="AJ1122" s="7" t="str"/>
      <x:c r="AK1122" s="15" t="str"/>
      <x:c r="AL1122" s="7" t="str"/>
      <x:c r="AM1122" s="7" t="str">
        <x:v>AGUILAR SANTOS  ESTEFANIA</x:v>
      </x:c>
      <x:c r="AN1122" s="7" t="str">
        <x:v>https://cdicloud.insurance.ca.gov/cal/LicenseDetail?SearchType=IND&amp;SearchLicNbr=4091152&amp;SearchIndvId=4091152</x:v>
      </x:c>
      <x:c r="AO1122" s="7" t="str">
        <x:v>2026-10-08</x:v>
      </x:c>
      <x:c r="AP1122" s="7" t="str">
        <x:v>5c33852351519463354d178b0d5a848e25c080d7ba98c4e20680379ed7a2bc86</x:v>
      </x:c>
      <x:c r="AQ1122" s="7" t="str">
        <x:v>Personal Lines / Inactive / 11/23/2020 / 11/30/2022 / 11/30/2022</x:v>
      </x:c>
      <x:c r="AR1122" s="7" t="str">
        <x:v>Inactive</x:v>
      </x:c>
      <x:c r="AS1122" s="7" t="str">
        <x:v>Current detail page</x:v>
      </x:c>
    </x:row>
    <x:row r="1123" ht="52" customHeight="1">
      <x:c r="A1123" s="7" t="str">
        <x:v>AGUILAR SARA</x:v>
      </x:c>
      <x:c r="B1123" s="14" t="str">
        <x:f>"0C06168"</x:f>
        <x:v>0C06168</x:v>
      </x:c>
      <x:c r="C1123" s="7" t="str">
        <x:v>Omitted</x:v>
      </x:c>
      <x:c r="D1123" s="7" t="str">
        <x:v>FAIL</x:v>
      </x:c>
      <x:c r="E1123" s="13" t="str">
        <x:v>Pending</x:v>
      </x:c>
      <x:c r="F1123" s="13" t="str"/>
      <x:c r="G1123" s="13" t="str"/>
      <x:c r="H1123" s="13" t="str"/>
      <x:c r="I1123" s="7" t="str">
        <x:v>Was this person reviewed? If rejected, give the actual rule and evidence. If acceptable, correct the omission. Confirm the Life-qualification gate and any record change since selection.</x:v>
      </x:c>
      <x:c r="J1123" s="7" t="str">
        <x:v>L1</x:v>
      </x:c>
      <x:c r="K1123" s="7" t="str">
        <x:v>Verified qualifications do not include active general Life. Current target-pool mismatch; actual historical omission reason unknown.</x:v>
      </x:c>
      <x:c r="L1123" s="7" t="str">
        <x:v>Not supplied; membership is known, motive is not</x:v>
      </x:c>
      <x:c r="M1123" s="7" t="n">
        <x:v>7</x:v>
      </x:c>
      <x:c r="N1123" s="7" t="str">
        <x:v>Outside current general-Life recruiting pool</x:v>
      </x:c>
      <x:c r="O1123" s="7" t="str">
        <x:v>Not displayed</x:v>
      </x:c>
      <x:c r="P1123" s="7" t="str"/>
      <x:c r="Q1123" s="7" t="str"/>
      <x:c r="R1123" s="7" t="str"/>
      <x:c r="S1123" s="15" t="str"/>
      <x:c r="T1123" s="7" t="str">
        <x:v>No public business phone in collected record</x:v>
      </x:c>
      <x:c r="U1123" s="7" t="str"/>
      <x:c r="V1123" s="7" t="str">
        <x:v>Resident</x:v>
      </x:c>
      <x:c r="W1123" s="7" t="str">
        <x:v>CA</x:v>
      </x:c>
      <x:c r="X1123" s="7" t="str"/>
      <x:c r="Y1123" s="7" t="str"/>
      <x:c r="Z1123" s="7" t="str"/>
      <x:c r="AA1123" s="7" t="str"/>
      <x:c r="AB1123" s="7" t="str"/>
      <x:c r="AC1123" s="7" t="str"/>
      <x:c r="AD1123" s="7" t="str">
        <x:v>No agency or insurer displayed: onboarding opportunity possible; existing business unknown</x:v>
      </x:c>
      <x:c r="AE1123" s="7" t="str">
        <x:v>No public business phone: contact enrichment needed, not proof of poor recruiting fit</x:v>
      </x:c>
      <x:c r="AF1123" s="16" t="str"/>
      <x:c r="AG1123" s="17" t="str"/>
      <x:c r="AH1123" s="7" t="str"/>
      <x:c r="AI1123" s="7" t="str"/>
      <x:c r="AJ1123" s="7" t="str"/>
      <x:c r="AK1123" s="15" t="str"/>
      <x:c r="AL1123" s="7" t="str"/>
      <x:c r="AM1123" s="7" t="str">
        <x:v>AGUILAR  SARA</x:v>
      </x:c>
      <x:c r="AN1123" s="7" t="str">
        <x:v>https://cdicloud.insurance.ca.gov/cal/LicenseDetail?SearchType=IND&amp;SearchLicNbr=0C06168&amp;SearchIndvId=282495</x:v>
      </x:c>
      <x:c r="AO1123" s="7" t="str">
        <x:v>2026-10-08</x:v>
      </x:c>
      <x:c r="AP1123" s="7" t="str">
        <x:v>3f411d2569770e8c97146b9d9deb6fe5d28458662750708f5e3bf9b38678d270</x:v>
      </x:c>
      <x:c r="AQ1123" s="7" t="str">
        <x:v>Casualty Broker-Agent / Inactive / 06/04/1997 / 06/30/2001 / 06/30/2001
Property Broker-Agent / Inactive / 06/04/1997 / 06/30/2001 / 06/30/2001</x:v>
      </x:c>
      <x:c r="AR1123" s="7" t="str">
        <x:v>Inactive</x:v>
      </x:c>
      <x:c r="AS1123" s="7" t="str">
        <x:v>Current detail page</x:v>
      </x:c>
    </x:row>
    <x:row r="1124" ht="52" customHeight="1">
      <x:c r="A1124" s="7" t="str">
        <x:v>AGUILAR SARA ANN</x:v>
      </x:c>
      <x:c r="B1124" s="14" t="str">
        <x:f>"0F41619"</x:f>
        <x:v>0F41619</x:v>
      </x:c>
      <x:c r="C1124" s="7" t="str">
        <x:v>Omitted</x:v>
      </x:c>
      <x:c r="D1124" s="7" t="str">
        <x:v>FAIL</x:v>
      </x:c>
      <x:c r="E1124" s="13" t="str">
        <x:v>Pending</x:v>
      </x:c>
      <x:c r="F1124" s="13" t="str"/>
      <x:c r="G1124" s="13" t="str"/>
      <x:c r="H1124" s="13" t="str"/>
      <x:c r="I1124" s="7" t="str">
        <x:v>Was this person reviewed? If rejected, give the actual rule and evidence. If acceptable, correct the omission. Confirm the Life-qualification gate and any record change since selection.</x:v>
      </x:c>
      <x:c r="J1124" s="7" t="str">
        <x:v>L1</x:v>
      </x:c>
      <x:c r="K1124" s="7" t="str">
        <x:v>Verified qualifications do not include active general Life. Current target-pool mismatch; actual historical omission reason unknown.</x:v>
      </x:c>
      <x:c r="L1124" s="7" t="str">
        <x:v>Not supplied; membership is known, motive is not</x:v>
      </x:c>
      <x:c r="M1124" s="7" t="n">
        <x:v>7</x:v>
      </x:c>
      <x:c r="N1124" s="7" t="str">
        <x:v>Outside current general-Life recruiting pool</x:v>
      </x:c>
      <x:c r="O1124" s="7" t="str">
        <x:v>Not displayed</x:v>
      </x:c>
      <x:c r="P1124" s="7" t="str"/>
      <x:c r="Q1124" s="7" t="str"/>
      <x:c r="R1124" s="7" t="str"/>
      <x:c r="S1124" s="15" t="str"/>
      <x:c r="T1124" s="7" t="str">
        <x:v>No public business phone in collected record</x:v>
      </x:c>
      <x:c r="U1124" s="7" t="str">
        <x:v>711 BROADWAY ST SAN ANTONIO TX, 78215-1801</x:v>
      </x:c>
      <x:c r="V1124" s="7" t="str">
        <x:v>Non-resident</x:v>
      </x:c>
      <x:c r="W1124" s="7" t="str">
        <x:v>TX</x:v>
      </x:c>
      <x:c r="X1124" s="7" t="str"/>
      <x:c r="Y1124" s="7" t="str"/>
      <x:c r="Z1124" s="7" t="str"/>
      <x:c r="AA1124" s="7" t="str"/>
      <x:c r="AB1124" s="7" t="str"/>
      <x:c r="AC1124" s="7" t="str"/>
      <x:c r="AD1124" s="7" t="str">
        <x:v>No agency or insurer displayed: onboarding opportunity possible; existing business unknown</x:v>
      </x:c>
      <x:c r="AE1124" s="7" t="str">
        <x:v>Nonresident or address state outside CA; confirm geographic recruiting scope | No public business phone: contact enrichment needed, not proof of poor recruiting fit</x:v>
      </x:c>
      <x:c r="AF1124" s="16" t="str"/>
      <x:c r="AG1124" s="17" t="str"/>
      <x:c r="AH1124" s="7" t="str"/>
      <x:c r="AI1124" s="7" t="str"/>
      <x:c r="AJ1124" s="7" t="str"/>
      <x:c r="AK1124" s="15" t="str"/>
      <x:c r="AL1124" s="7" t="str"/>
      <x:c r="AM1124" s="7" t="str">
        <x:v>AGUILAR ANN SARA</x:v>
      </x:c>
      <x:c r="AN1124" s="7" t="str">
        <x:v>https://cdicloud.insurance.ca.gov/cal/LicenseDetail?SearchType=IND&amp;SearchLicNbr=0F41619&amp;SearchIndvId=1052628</x:v>
      </x:c>
      <x:c r="AO1124" s="7" t="str">
        <x:v>2026-10-08</x:v>
      </x:c>
      <x:c r="AP1124" s="7" t="str">
        <x:v>e1bc8466e2f4118454dd014329a96de0d70633ebd43e1df649048b80449cdb22</x:v>
      </x:c>
      <x:c r="AQ1124" s="7" t="str">
        <x:v>Casualty / Inactive / 04/17/2024 / 04/30/2026 / 04/30/2026
Property / Inactive / 04/17/2024 / 04/30/2026 / 04/30/2026</x:v>
      </x:c>
      <x:c r="AR1124" s="7" t="str">
        <x:v>Inactive</x:v>
      </x:c>
      <x:c r="AS1124" s="7" t="str">
        <x:v>Current detail page</x:v>
      </x:c>
    </x:row>
    <x:row r="1125" ht="52" customHeight="1">
      <x:c r="A1125" s="7" t="str">
        <x:v>AGUILAR SARA MADAI</x:v>
      </x:c>
      <x:c r="B1125" s="14" t="str">
        <x:f>"0N10484"</x:f>
        <x:v>0N10484</x:v>
      </x:c>
      <x:c r="C1125" s="7" t="str">
        <x:v>Omitted</x:v>
      </x:c>
      <x:c r="D1125" s="7" t="str">
        <x:v>FAIL</x:v>
      </x:c>
      <x:c r="E1125" s="13" t="str">
        <x:v>Pending</x:v>
      </x:c>
      <x:c r="F1125" s="13" t="str"/>
      <x:c r="G1125" s="13" t="str"/>
      <x:c r="H1125" s="13" t="str"/>
      <x:c r="I1125" s="7" t="str">
        <x:v>Was this person reviewed? If rejected, give the actual rule and evidence. If acceptable, correct the omission. Confirm the Life-qualification gate and any record change since selection.</x:v>
      </x:c>
      <x:c r="J1125" s="7" t="str">
        <x:v>L1</x:v>
      </x:c>
      <x:c r="K1125" s="7" t="str">
        <x:v>Verified qualifications do not include active general Life. Current target-pool mismatch; actual historical omission reason unknown.</x:v>
      </x:c>
      <x:c r="L1125" s="7" t="str">
        <x:v>Not supplied; membership is known, motive is not</x:v>
      </x:c>
      <x:c r="M1125" s="7" t="n">
        <x:v>7</x:v>
      </x:c>
      <x:c r="N1125" s="7" t="str">
        <x:v>Outside current general-Life recruiting pool</x:v>
      </x:c>
      <x:c r="O1125" s="7" t="str">
        <x:v>Inactive</x:v>
      </x:c>
      <x:c r="P1125" s="7" t="str">
        <x:v>07/29/2019</x:v>
      </x:c>
      <x:c r="Q1125" s="7" t="str">
        <x:v>07/31/2025</x:v>
      </x:c>
      <x:c r="R1125" s="7" t="str"/>
      <x:c r="S1125" s="15" t="str">
        <x:v>909-289-1471</x:v>
      </x:c>
      <x:c r="T1125" s="7" t="str">
        <x:v>Current CDI</x:v>
      </x:c>
      <x:c r="U1125" s="7" t="str">
        <x:v>222 N MOUNTAIN AVE STE 107 UPLAND CA, 91786-5714</x:v>
      </x:c>
      <x:c r="V1125" s="7" t="str">
        <x:v>Resident</x:v>
      </x:c>
      <x:c r="W1125" s="7" t="str">
        <x:v>CA</x:v>
      </x:c>
      <x:c r="X1125" s="7" t="str"/>
      <x:c r="Y1125" s="7" t="str"/>
      <x:c r="Z1125" s="7" t="str"/>
      <x:c r="AA1125" s="7" t="str"/>
      <x:c r="AB1125" s="7" t="str"/>
      <x:c r="AC1125" s="7" t="str"/>
      <x:c r="AD1125" s="7" t="str">
        <x:v>No agency or insurer displayed: onboarding opportunity possible; existing business unknown</x:v>
      </x:c>
      <x:c r="AE1125" s="7" t="str"/>
      <x:c r="AF1125" s="16" t="str"/>
      <x:c r="AG1125" s="17" t="str"/>
      <x:c r="AH1125" s="7" t="str"/>
      <x:c r="AI1125" s="7" t="str">
        <x:v>English</x:v>
      </x:c>
      <x:c r="AJ1125" s="7" t="str"/>
      <x:c r="AK1125" s="15" t="str"/>
      <x:c r="AL1125" s="7" t="str"/>
      <x:c r="AM1125" s="7" t="str">
        <x:v>Aguilar M Sara | AGUILAR MADAI SARA</x:v>
      </x:c>
      <x:c r="AN1125" s="7" t="str">
        <x:v>https://cdicloud.insurance.ca.gov/cal/LicenseDetail?SearchType=IND&amp;SearchLicNbr=0N10484&amp;SearchIndvId=2121381</x:v>
      </x:c>
      <x:c r="AO1125" s="7" t="str">
        <x:v>2026-10-08</x:v>
      </x:c>
      <x:c r="AP1125" s="7" t="str">
        <x:v>aa41f693502122ea73b335664799694a92f8be6845cd0c147c5ecb0bf6fa2491</x:v>
      </x:c>
      <x:c r="AQ1125" s="7" t="str">
        <x:v>Life / Inactive / 07/29/2019 / 07/31/2025 / 07/31/2025</x:v>
      </x:c>
      <x:c r="AR1125" s="7" t="str">
        <x:v>Inactive</x:v>
      </x:c>
      <x:c r="AS1125" s="7" t="str">
        <x:v>Current detail page</x:v>
      </x:c>
    </x:row>
    <x:row r="1126" ht="52" customHeight="1">
      <x:c r="A1126" s="7" t="str">
        <x:v>AGUILAR SARAH</x:v>
      </x:c>
      <x:c r="B1126" s="14" t="str">
        <x:f>"0H86549"</x:f>
        <x:v>0H86549</x:v>
      </x:c>
      <x:c r="C1126" s="7" t="str">
        <x:v>Omitted</x:v>
      </x:c>
      <x:c r="D1126" s="7" t="str">
        <x:v>FAIL</x:v>
      </x:c>
      <x:c r="E1126" s="13" t="str">
        <x:v>Pending</x:v>
      </x:c>
      <x:c r="F1126" s="13" t="str"/>
      <x:c r="G1126" s="13" t="str"/>
      <x:c r="H1126" s="13" t="str"/>
      <x:c r="I1126" s="7" t="str">
        <x:v>Was this person reviewed? If rejected, give the actual rule and evidence. If acceptable, correct the omission. Confirm the Life-qualification gate and any record change since selection.</x:v>
      </x:c>
      <x:c r="J1126" s="7" t="str">
        <x:v>L1</x:v>
      </x:c>
      <x:c r="K1126" s="7" t="str">
        <x:v>Verified qualifications do not include active general Life. Current target-pool mismatch; actual historical omission reason unknown.</x:v>
      </x:c>
      <x:c r="L1126" s="7" t="str">
        <x:v>Not supplied; membership is known, motive is not</x:v>
      </x:c>
      <x:c r="M1126" s="7" t="n">
        <x:v>7</x:v>
      </x:c>
      <x:c r="N1126" s="7" t="str">
        <x:v>Outside current general-Life recruiting pool</x:v>
      </x:c>
      <x:c r="O1126" s="7" t="str">
        <x:v>Not displayed</x:v>
      </x:c>
      <x:c r="P1126" s="7" t="str"/>
      <x:c r="Q1126" s="7" t="str"/>
      <x:c r="R1126" s="7" t="str"/>
      <x:c r="S1126" s="15" t="str"/>
      <x:c r="T1126" s="7" t="str">
        <x:v>No public business phone in collected record</x:v>
      </x:c>
      <x:c r="U1126" s="7" t="str"/>
      <x:c r="V1126" s="7" t="str">
        <x:v>Non-resident</x:v>
      </x:c>
      <x:c r="W1126" s="7" t="str">
        <x:v>MI</x:v>
      </x:c>
      <x:c r="X1126" s="7" t="str"/>
      <x:c r="Y1126" s="7" t="str"/>
      <x:c r="Z1126" s="7" t="str"/>
      <x:c r="AA1126" s="7" t="str"/>
      <x:c r="AB1126" s="7" t="str"/>
      <x:c r="AC1126" s="7" t="str"/>
      <x:c r="AD1126" s="7" t="str">
        <x:v>No agency or insurer displayed: onboarding opportunity possible; existing business unknown</x:v>
      </x:c>
      <x:c r="AE1126" s="7" t="str">
        <x:v>Nonresident or address state outside CA; confirm geographic recruiting scope | No public business phone: contact enrichment needed, not proof of poor recruiting fit</x:v>
      </x:c>
      <x:c r="AF1126" s="16" t="str"/>
      <x:c r="AG1126" s="17" t="str"/>
      <x:c r="AH1126" s="7" t="str"/>
      <x:c r="AI1126" s="7" t="str"/>
      <x:c r="AJ1126" s="7" t="str"/>
      <x:c r="AK1126" s="15" t="str"/>
      <x:c r="AL1126" s="7" t="str"/>
      <x:c r="AM1126" s="7" t="str">
        <x:v>AGUILAR  SARAH</x:v>
      </x:c>
      <x:c r="AN1126" s="7" t="str">
        <x:v>https://cdicloud.insurance.ca.gov/cal/LicenseDetail?SearchType=IND&amp;SearchLicNbr=0H86549&amp;SearchIndvId=1511881</x:v>
      </x:c>
      <x:c r="AO1126" s="7" t="str">
        <x:v>2026-10-08</x:v>
      </x:c>
      <x:c r="AP1126" s="7" t="str">
        <x:v>03f344f6cc6e339159d00996b4c1f84ba9c0eac3cc0f60fb38b75bc40ffa483e</x:v>
      </x:c>
      <x:c r="AQ1126" s="7" t="str">
        <x:v>Personal Lines Broker-Agent / Inactive / 05/15/2012 / 05/31/2014 / 05/31/2014</x:v>
      </x:c>
      <x:c r="AR1126" s="7" t="str">
        <x:v>Inactive</x:v>
      </x:c>
      <x:c r="AS1126" s="7" t="str">
        <x:v>Current detail page</x:v>
      </x:c>
    </x:row>
    <x:row r="1127" ht="52" customHeight="1">
      <x:c r="A1127" s="7" t="str">
        <x:v>AGUILAR SARAH</x:v>
      </x:c>
      <x:c r="B1127" s="14" t="str">
        <x:f>"0N00862"</x:f>
        <x:v>0N00862</x:v>
      </x:c>
      <x:c r="C1127" s="7" t="str">
        <x:v>Omitted</x:v>
      </x:c>
      <x:c r="D1127" s="7" t="str">
        <x:v>FAIL</x:v>
      </x:c>
      <x:c r="E1127" s="13" t="str">
        <x:v>Pending</x:v>
      </x:c>
      <x:c r="F1127" s="13" t="str"/>
      <x:c r="G1127" s="13" t="str"/>
      <x:c r="H1127" s="13" t="str"/>
      <x:c r="I1127" s="7" t="str">
        <x:v>Was this person reviewed? If rejected, give the actual rule and evidence. If acceptable, correct the omission. Confirm the Life-qualification gate and any record change since selection.</x:v>
      </x:c>
      <x:c r="J1127" s="7" t="str">
        <x:v>L1</x:v>
      </x:c>
      <x:c r="K1127" s="7" t="str">
        <x:v>Verified qualifications do not include active general Life. Current target-pool mismatch; actual historical omission reason unknown.</x:v>
      </x:c>
      <x:c r="L1127" s="7" t="str">
        <x:v>Not supplied; membership is known, motive is not</x:v>
      </x:c>
      <x:c r="M1127" s="7" t="n">
        <x:v>7</x:v>
      </x:c>
      <x:c r="N1127" s="7" t="str">
        <x:v>Outside current general-Life recruiting pool</x:v>
      </x:c>
      <x:c r="O1127" s="7" t="str">
        <x:v>Not displayed</x:v>
      </x:c>
      <x:c r="P1127" s="7" t="str"/>
      <x:c r="Q1127" s="7" t="str"/>
      <x:c r="R1127" s="7" t="str"/>
      <x:c r="S1127" s="15" t="str">
        <x:v>925-478-5903</x:v>
      </x:c>
      <x:c r="T1127" s="7" t="str">
        <x:v>Current CDI</x:v>
      </x:c>
      <x:c r="U1127" s="7" t="str">
        <x:v>1766 LACASSIE AVE 103 WALNUT CREEK CA, 94596</x:v>
      </x:c>
      <x:c r="V1127" s="7" t="str">
        <x:v>Resident</x:v>
      </x:c>
      <x:c r="W1127" s="7" t="str">
        <x:v>CA</x:v>
      </x:c>
      <x:c r="X1127" s="7" t="str"/>
      <x:c r="Y1127" s="7" t="str"/>
      <x:c r="Z1127" s="7" t="str"/>
      <x:c r="AA1127" s="7" t="str"/>
      <x:c r="AB1127" s="7" t="str"/>
      <x:c r="AC1127" s="7" t="str"/>
      <x:c r="AD1127" s="7" t="str">
        <x:v>No agency or insurer displayed: onboarding opportunity possible; existing business unknown</x:v>
      </x:c>
      <x:c r="AE1127" s="7" t="str"/>
      <x:c r="AF1127" s="16" t="str"/>
      <x:c r="AG1127" s="17" t="str"/>
      <x:c r="AH1127" s="7" t="str"/>
      <x:c r="AI1127" s="7" t="str">
        <x:v>English</x:v>
      </x:c>
      <x:c r="AJ1127" s="7" t="str"/>
      <x:c r="AK1127" s="15" t="str"/>
      <x:c r="AL1127" s="7" t="str"/>
      <x:c r="AM1127" s="7" t="str">
        <x:v>AGUILAR  SARAH</x:v>
      </x:c>
      <x:c r="AN1127" s="7" t="str">
        <x:v>https://cdicloud.insurance.ca.gov/cal/LicenseDetail?SearchType=IND&amp;SearchLicNbr=0N00862&amp;SearchIndvId=2099423</x:v>
      </x:c>
      <x:c r="AO1127" s="7" t="str">
        <x:v>2026-10-08</x:v>
      </x:c>
      <x:c r="AP1127" s="7" t="str">
        <x:v>416b49e5b622009973b1629405ac1589fbefc0e6bb505a598d8e7c3162ce9b4d</x:v>
      </x:c>
      <x:c r="AQ1127" s="7" t="str">
        <x:v>Casualty / Inactive / 06/03/2019 / 06/30/2023 / 06/30/2023
Property / Inactive / 06/03/2019 / 06/30/2023 / 06/30/2023</x:v>
      </x:c>
      <x:c r="AR1127" s="7" t="str">
        <x:v>Inactive</x:v>
      </x:c>
      <x:c r="AS1127" s="7" t="str">
        <x:v>Current detail page</x:v>
      </x:c>
    </x:row>
    <x:row r="1128" ht="52" customHeight="1">
      <x:c r="A1128" s="7" t="str">
        <x:v>AGUILAR SARAH</x:v>
      </x:c>
      <x:c r="B1128" s="14" t="str">
        <x:f>"4154967"</x:f>
        <x:v>4154967</x:v>
      </x:c>
      <x:c r="C1128" s="7" t="str">
        <x:v>Omitted</x:v>
      </x:c>
      <x:c r="D1128" s="7" t="str">
        <x:v>FAIL</x:v>
      </x:c>
      <x:c r="E1128" s="13" t="str">
        <x:v>Pending</x:v>
      </x:c>
      <x:c r="F1128" s="13" t="str"/>
      <x:c r="G1128" s="13" t="str"/>
      <x:c r="H1128" s="13" t="str"/>
      <x:c r="I1128" s="7" t="str">
        <x:v>Was this person reviewed? If rejected, give the actual rule and evidence. If acceptable, correct the omission. Confirm the Life-qualification gate and any record change since selection.</x:v>
      </x:c>
      <x:c r="J1128" s="7" t="str">
        <x:v>L1</x:v>
      </x:c>
      <x:c r="K1128" s="7" t="str">
        <x:v>Verified qualifications do not include active general Life. Current target-pool mismatch; actual historical omission reason unknown.</x:v>
      </x:c>
      <x:c r="L1128" s="7" t="str">
        <x:v>Not supplied; membership is known, motive is not</x:v>
      </x:c>
      <x:c r="M1128" s="7" t="n">
        <x:v>7</x:v>
      </x:c>
      <x:c r="N1128" s="7" t="str">
        <x:v>Outside current general-Life recruiting pool</x:v>
      </x:c>
      <x:c r="O1128" s="7" t="str">
        <x:v>Inactive</x:v>
      </x:c>
      <x:c r="P1128" s="7" t="str">
        <x:v>09/28/2021</x:v>
      </x:c>
      <x:c r="Q1128" s="7" t="str">
        <x:v>02/29/2024</x:v>
      </x:c>
      <x:c r="R1128" s="7" t="str"/>
      <x:c r="S1128" s="15" t="str"/>
      <x:c r="T1128" s="7" t="str">
        <x:v>No public business phone in collected record</x:v>
      </x:c>
      <x:c r="U1128" s="7" t="str">
        <x:v>11040 SANTA MONICA BLVD SUITE 207 LOS ANGELES CA, 90025-0000</x:v>
      </x:c>
      <x:c r="V1128" s="7" t="str">
        <x:v>Resident</x:v>
      </x:c>
      <x:c r="W1128" s="7" t="str">
        <x:v>CA</x:v>
      </x:c>
      <x:c r="X1128" s="7" t="str"/>
      <x:c r="Y1128" s="7" t="str"/>
      <x:c r="Z1128" s="7" t="str"/>
      <x:c r="AA1128" s="7" t="str"/>
      <x:c r="AB1128" s="7" t="str"/>
      <x:c r="AC1128" s="7" t="str"/>
      <x:c r="AD1128" s="7" t="str">
        <x:v>No agency or insurer displayed: onboarding opportunity possible; existing business unknown</x:v>
      </x:c>
      <x:c r="AE1128" s="7" t="str">
        <x:v>No public business phone: contact enrichment needed, not proof of poor recruiting fit</x:v>
      </x:c>
      <x:c r="AF1128" s="16" t="str"/>
      <x:c r="AG1128" s="17" t="str"/>
      <x:c r="AH1128" s="7" t="str"/>
      <x:c r="AI1128" s="7" t="str"/>
      <x:c r="AJ1128" s="7" t="str"/>
      <x:c r="AK1128" s="15" t="str"/>
      <x:c r="AL1128" s="7" t="str"/>
      <x:c r="AM1128" s="7" t="str">
        <x:v>AGUILAR  SARAH</x:v>
      </x:c>
      <x:c r="AN1128" s="7" t="str">
        <x:v>https://cdicloud.insurance.ca.gov/cal/LicenseDetail?SearchType=IND&amp;SearchLicNbr=4154967&amp;SearchIndvId=4154967</x:v>
      </x:c>
      <x:c r="AO1128" s="7" t="str">
        <x:v>2026-10-08</x:v>
      </x:c>
      <x:c r="AP1128" s="7" t="str">
        <x:v>542e1bec927db74cde65fa1860526d67763839b0b85ec674b83a54957cbe63e0</x:v>
      </x:c>
      <x:c r="AQ1128" s="7" t="str">
        <x:v>Accident &amp; Health or Sickness / Inactive / 09/28/2021 / 02/29/2024 / 02/29/2024
Life / Inactive / 09/28/2021 / 02/29/2024 / 02/29/2024</x:v>
      </x:c>
      <x:c r="AR1128" s="7" t="str">
        <x:v>Inactive</x:v>
      </x:c>
      <x:c r="AS1128" s="7" t="str">
        <x:v>Current detail page</x:v>
      </x:c>
    </x:row>
    <x:row r="1129" ht="52" customHeight="1">
      <x:c r="A1129" s="7" t="str">
        <x:v>AGUILAR SARAH ELIZABETH RAMOS</x:v>
      </x:c>
      <x:c r="B1129" s="14" t="str">
        <x:f>"0J20248"</x:f>
        <x:v>0J20248</x:v>
      </x:c>
      <x:c r="C1129" s="7" t="str">
        <x:v>Omitted</x:v>
      </x:c>
      <x:c r="D1129" s="7" t="str">
        <x:v>FAIL</x:v>
      </x:c>
      <x:c r="E1129" s="13" t="str">
        <x:v>Pending</x:v>
      </x:c>
      <x:c r="F1129" s="13" t="str"/>
      <x:c r="G1129" s="13" t="str"/>
      <x:c r="H1129" s="13" t="str"/>
      <x:c r="I1129" s="7" t="str">
        <x:v>Was this person reviewed? If rejected, give the actual rule and evidence. If acceptable, correct the omission. Confirm the Life-qualification gate and any record change since selection.</x:v>
      </x:c>
      <x:c r="J1129" s="7" t="str">
        <x:v>L1</x:v>
      </x:c>
      <x:c r="K1129" s="7" t="str">
        <x:v>Verified qualifications do not include active general Life. Current target-pool mismatch; actual historical omission reason unknown.</x:v>
      </x:c>
      <x:c r="L1129" s="7" t="str">
        <x:v>Not supplied; membership is known, motive is not</x:v>
      </x:c>
      <x:c r="M1129" s="7" t="n">
        <x:v>7</x:v>
      </x:c>
      <x:c r="N1129" s="7" t="str">
        <x:v>Outside current general-Life recruiting pool</x:v>
      </x:c>
      <x:c r="O1129" s="7" t="str">
        <x:v>Not displayed</x:v>
      </x:c>
      <x:c r="P1129" s="7" t="str"/>
      <x:c r="Q1129" s="7" t="str"/>
      <x:c r="R1129" s="7" t="str"/>
      <x:c r="S1129" s="15" t="str"/>
      <x:c r="T1129" s="7" t="str">
        <x:v>No public business phone in collected record</x:v>
      </x:c>
      <x:c r="U1129" s="7" t="str"/>
      <x:c r="V1129" s="7" t="str">
        <x:v>Resident</x:v>
      </x:c>
      <x:c r="W1129" s="7" t="str">
        <x:v>CA</x:v>
      </x:c>
      <x:c r="X1129" s="7" t="str"/>
      <x:c r="Y1129" s="7" t="str"/>
      <x:c r="Z1129" s="7" t="str"/>
      <x:c r="AA1129" s="7" t="str"/>
      <x:c r="AB1129" s="7" t="str"/>
      <x:c r="AC1129" s="7" t="str"/>
      <x:c r="AD1129" s="7" t="str">
        <x:v>No agency or insurer displayed: onboarding opportunity possible; existing business unknown</x:v>
      </x:c>
      <x:c r="AE1129" s="7" t="str">
        <x:v>No public business phone: contact enrichment needed, not proof of poor recruiting fit</x:v>
      </x:c>
      <x:c r="AF1129" s="16" t="str"/>
      <x:c r="AG1129" s="17" t="str"/>
      <x:c r="AH1129" s="7" t="str"/>
      <x:c r="AI1129" s="7" t="str"/>
      <x:c r="AJ1129" s="7" t="str"/>
      <x:c r="AK1129" s="15" t="str"/>
      <x:c r="AL1129" s="7" t="str"/>
      <x:c r="AM1129" s="7" t="str">
        <x:v>AGUILAR RAMOS SARAH ELIZABETH</x:v>
      </x:c>
      <x:c r="AN1129" s="7" t="str">
        <x:v>https://cdicloud.insurance.ca.gov/cal/LicenseDetail?SearchType=IND&amp;SearchLicNbr=0J20248&amp;SearchIndvId=1717319</x:v>
      </x:c>
      <x:c r="AO1129" s="7" t="str">
        <x:v>2026-10-08</x:v>
      </x:c>
      <x:c r="AP1129" s="7" t="str">
        <x:v>6922c40735d2070b417a76951893bc9ac7a36a5381ea2a525e564662da9b1e28</x:v>
      </x:c>
      <x:c r="AQ1129" s="7" t="str">
        <x:v>Accident and Health / Inactive / 11/17/2014 / 11/30/2016 / 11/30/2016
Life-Only / Inactive / 11/17/2014 / 11/30/2016 / 11/30/2016</x:v>
      </x:c>
      <x:c r="AR1129" s="7" t="str">
        <x:v>Inactive</x:v>
      </x:c>
      <x:c r="AS1129" s="7" t="str">
        <x:v>Current detail page</x:v>
      </x:c>
    </x:row>
    <x:row r="1130" ht="52" customHeight="1">
      <x:c r="A1130" s="7" t="str">
        <x:v>AGUILAR SCOTT</x:v>
      </x:c>
      <x:c r="B1130" s="14" t="str">
        <x:f>"0K80387"</x:f>
        <x:v>0K80387</x:v>
      </x:c>
      <x:c r="C1130" s="7" t="str">
        <x:v>Omitted</x:v>
      </x:c>
      <x:c r="D1130" s="7" t="str">
        <x:v>FAIL</x:v>
      </x:c>
      <x:c r="E1130" s="13" t="str">
        <x:v>Pending</x:v>
      </x:c>
      <x:c r="F1130" s="13" t="str"/>
      <x:c r="G1130" s="13" t="str"/>
      <x:c r="H1130" s="13" t="str"/>
      <x:c r="I1130" s="7" t="str">
        <x:v>Was this person reviewed? If rejected, give the actual rule and evidence. If acceptable, correct the omission. Confirm the Life-qualification gate and any record change since selection.</x:v>
      </x:c>
      <x:c r="J1130" s="7" t="str">
        <x:v>L1</x:v>
      </x:c>
      <x:c r="K1130" s="7" t="str">
        <x:v>Verified qualifications do not include active general Life. Current target-pool mismatch; actual historical omission reason unknown.</x:v>
      </x:c>
      <x:c r="L1130" s="7" t="str">
        <x:v>Not supplied; membership is known, motive is not</x:v>
      </x:c>
      <x:c r="M1130" s="7" t="n">
        <x:v>7</x:v>
      </x:c>
      <x:c r="N1130" s="7" t="str">
        <x:v>Outside current general-Life recruiting pool</x:v>
      </x:c>
      <x:c r="O1130" s="7" t="str">
        <x:v>Not displayed</x:v>
      </x:c>
      <x:c r="P1130" s="7" t="str"/>
      <x:c r="Q1130" s="7" t="str"/>
      <x:c r="R1130" s="7" t="str">
        <x:v>Casualty; Property</x:v>
      </x:c>
      <x:c r="S1130" s="15" t="str"/>
      <x:c r="T1130" s="7" t="str">
        <x:v>No public business phone in collected record</x:v>
      </x:c>
      <x:c r="U1130" s="7" t="str">
        <x:v>ARTHUR J GALLAGHER SERVICES COMPANY 5203 EISENHAUER RD SAN ANTONIO TX, 78218-3864</x:v>
      </x:c>
      <x:c r="V1130" s="7" t="str">
        <x:v>Non-resident</x:v>
      </x:c>
      <x:c r="W1130" s="7" t="str">
        <x:v>TX</x:v>
      </x:c>
      <x:c r="X1130" s="7" t="str">
        <x:v>ARTHUR J. GALLAGHER RISK MANAGEMENT SERVICES, LLC / Property / 06/11/2025
ARTHUR J. GALLAGHER RISK MANAGEMENT SERVICES, LLC / Casualty / 06/11/2025</x:v>
      </x:c>
      <x:c r="Y1130" s="7" t="str">
        <x:v>HARTFORD FIRE INSURANCE COMPANY / Casualty / 10/27/2025
HARTFORD FIRE INSURANCE COMPANY / Property / 10/27/2025
HARTFORD UNDERWRITERS INSURANCE COMPANY / Casualty / 04/13/2026
HARTFORD UNDERWRITERS INSURANCE COMPANY / Property / 04/13/2026</x:v>
      </x:c>
      <x:c r="Z1130" s="7" t="str"/>
      <x:c r="AA1130" s="7" t="str"/>
      <x:c r="AB1130" s="7" t="str"/>
      <x:c r="AC1130" s="7" t="str"/>
      <x:c r="AD1130" s="7" t="str"/>
      <x:c r="AE1130"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1130" s="16" t="str"/>
      <x:c r="AG1130" s="17" t="str"/>
      <x:c r="AH1130" s="7" t="str"/>
      <x:c r="AI1130" s="7" t="str"/>
      <x:c r="AJ1130" s="7" t="str"/>
      <x:c r="AK1130" s="15" t="str"/>
      <x:c r="AL1130" s="7" t="str"/>
      <x:c r="AM1130" s="7" t="str">
        <x:v>AGUILAR  SCOTT</x:v>
      </x:c>
      <x:c r="AN1130" s="7" t="str">
        <x:v>https://cdicloud.insurance.ca.gov/cal/LicenseDetail?SearchType=IND&amp;SearchLicNbr=0K80387&amp;SearchIndvId=1827423</x:v>
      </x:c>
      <x:c r="AO1130" s="7" t="str">
        <x:v>2026-10-08</x:v>
      </x:c>
      <x:c r="AP1130" s="7" t="str">
        <x:v>ef58d339c3628492c604f6f3ed3977fe61f1e8c670517960ed3f29e55fdd548d</x:v>
      </x:c>
      <x:c r="AQ1130" s="7" t="str">
        <x:v>Casualty / Active / 03/21/2016 / 03/21/2016 / 03/31/2028
Property / Active / 03/21/2016 / 03/21/2016 / 03/31/2028</x:v>
      </x:c>
      <x:c r="AR1130" s="7" t="str">
        <x:v>Active</x:v>
      </x:c>
      <x:c r="AS1130" s="7" t="str">
        <x:v>Current detail page</x:v>
      </x:c>
    </x:row>
    <x:row r="1131" ht="52" customHeight="1">
      <x:c r="A1131" s="7" t="str">
        <x:v>AGUILAR SCOTT</x:v>
      </x:c>
      <x:c r="B1131" s="14" t="str">
        <x:f>"4047086"</x:f>
        <x:v>4047086</x:v>
      </x:c>
      <x:c r="C1131" s="7" t="str">
        <x:v>Omitted</x:v>
      </x:c>
      <x:c r="D1131" s="7" t="str">
        <x:v>FAIL</x:v>
      </x:c>
      <x:c r="E1131" s="13" t="str">
        <x:v>Pending</x:v>
      </x:c>
      <x:c r="F1131" s="13" t="str"/>
      <x:c r="G1131" s="13" t="str"/>
      <x:c r="H1131" s="13" t="str"/>
      <x:c r="I1131" s="7" t="str">
        <x:v>Was this person reviewed? If rejected, give the actual rule and evidence. If acceptable, correct the omission. Confirm the Life-qualification gate and any record change since selection.</x:v>
      </x:c>
      <x:c r="J1131" s="7" t="str">
        <x:v>L1</x:v>
      </x:c>
      <x:c r="K1131" s="7" t="str">
        <x:v>Verified qualifications do not include active general Life. Current target-pool mismatch; actual historical omission reason unknown.</x:v>
      </x:c>
      <x:c r="L1131" s="7" t="str">
        <x:v>Not supplied; membership is known, motive is not</x:v>
      </x:c>
      <x:c r="M1131" s="7" t="n">
        <x:v>7</x:v>
      </x:c>
      <x:c r="N1131" s="7" t="str">
        <x:v>Outside current general-Life recruiting pool</x:v>
      </x:c>
      <x:c r="O1131" s="7" t="str">
        <x:v>Inactive</x:v>
      </x:c>
      <x:c r="P1131" s="7" t="str">
        <x:v>05/22/2020</x:v>
      </x:c>
      <x:c r="Q1131" s="7" t="str">
        <x:v>05/31/2022</x:v>
      </x:c>
      <x:c r="R1131" s="7" t="str"/>
      <x:c r="S1131" s="15" t="str"/>
      <x:c r="T1131" s="7" t="str">
        <x:v>No public business phone in collected record</x:v>
      </x:c>
      <x:c r="U1131" s="7" t="str">
        <x:v>250 PEHLE AVE SADDLE BROOK NJ, 07663</x:v>
      </x:c>
      <x:c r="V1131" s="7" t="str">
        <x:v>Non-resident</x:v>
      </x:c>
      <x:c r="W1131" s="7" t="str">
        <x:v>NJ</x:v>
      </x:c>
      <x:c r="X1131" s="7" t="str"/>
      <x:c r="Y1131" s="7" t="str"/>
      <x:c r="Z1131" s="7" t="str"/>
      <x:c r="AA1131" s="7" t="str"/>
      <x:c r="AB1131" s="7" t="str"/>
      <x:c r="AC1131" s="7" t="str"/>
      <x:c r="AD1131" s="7" t="str">
        <x:v>No agency or insurer displayed: onboarding opportunity possible; existing business unknown</x:v>
      </x:c>
      <x:c r="AE1131" s="7" t="str">
        <x:v>Nonresident or address state outside CA; confirm geographic recruiting scope | No public business phone: contact enrichment needed, not proof of poor recruiting fit</x:v>
      </x:c>
      <x:c r="AF1131" s="16" t="str"/>
      <x:c r="AG1131" s="17" t="str"/>
      <x:c r="AH1131" s="7" t="str"/>
      <x:c r="AI1131" s="7" t="str"/>
      <x:c r="AJ1131" s="7" t="str"/>
      <x:c r="AK1131" s="15" t="str"/>
      <x:c r="AL1131" s="7" t="str"/>
      <x:c r="AM1131" s="7" t="str">
        <x:v>AGUILAR  SCOTT</x:v>
      </x:c>
      <x:c r="AN1131" s="7" t="str">
        <x:v>https://cdicloud.insurance.ca.gov/cal/LicenseDetail?SearchType=IND&amp;SearchLicNbr=4047086&amp;SearchIndvId=4047086</x:v>
      </x:c>
      <x:c r="AO1131" s="7" t="str">
        <x:v>2026-10-08</x:v>
      </x:c>
      <x:c r="AP1131" s="7" t="str">
        <x:v>cd2bea8b6e6f5925be79037433e2f6ecb7c3aed2037c212230b23dab94c8ec3b</x:v>
      </x:c>
      <x:c r="AQ1131" s="7" t="str">
        <x:v>Life / Inactive / 05/22/2020 / 05/31/2022 / 05/31/2022</x:v>
      </x:c>
      <x:c r="AR1131" s="7" t="str">
        <x:v>Inactive</x:v>
      </x:c>
      <x:c r="AS1131" s="7" t="str">
        <x:v>Current detail page</x:v>
      </x:c>
    </x:row>
    <x:row r="1132" ht="52" customHeight="1">
      <x:c r="A1132" s="7" t="str">
        <x:v>AGUILAR SCOTT LUIS</x:v>
      </x:c>
      <x:c r="B1132" s="14" t="str">
        <x:f>"0G16833"</x:f>
        <x:v>0G16833</x:v>
      </x:c>
      <x:c r="C1132" s="7" t="str">
        <x:v>Omitted</x:v>
      </x:c>
      <x:c r="D1132" s="7" t="str">
        <x:v>FAIL</x:v>
      </x:c>
      <x:c r="E1132" s="13" t="str">
        <x:v>Pending</x:v>
      </x:c>
      <x:c r="F1132" s="13" t="str"/>
      <x:c r="G1132" s="13" t="str"/>
      <x:c r="H1132" s="13" t="str"/>
      <x:c r="I1132" s="7" t="str">
        <x:v>Was this person reviewed? If rejected, give the actual rule and evidence. If acceptable, correct the omission. Confirm the Life-qualification gate and any record change since selection.</x:v>
      </x:c>
      <x:c r="J1132" s="7" t="str">
        <x:v>L1</x:v>
      </x:c>
      <x:c r="K1132" s="7" t="str">
        <x:v>Verified qualifications do not include active general Life. Current target-pool mismatch; actual historical omission reason unknown.</x:v>
      </x:c>
      <x:c r="L1132" s="7" t="str">
        <x:v>Not supplied; membership is known, motive is not</x:v>
      </x:c>
      <x:c r="M1132" s="7" t="n">
        <x:v>7</x:v>
      </x:c>
      <x:c r="N1132" s="7" t="str">
        <x:v>Outside current general-Life recruiting pool</x:v>
      </x:c>
      <x:c r="O1132" s="7" t="str">
        <x:v>Not displayed</x:v>
      </x:c>
      <x:c r="P1132" s="7" t="str"/>
      <x:c r="Q1132" s="7" t="str"/>
      <x:c r="R1132" s="7" t="str"/>
      <x:c r="S1132" s="15" t="str"/>
      <x:c r="T1132" s="7" t="str">
        <x:v>No public business phone in collected record</x:v>
      </x:c>
      <x:c r="U1132" s="7" t="str"/>
      <x:c r="V1132" s="7" t="str">
        <x:v>Resident</x:v>
      </x:c>
      <x:c r="W1132" s="7" t="str">
        <x:v>CA</x:v>
      </x:c>
      <x:c r="X1132" s="7" t="str"/>
      <x:c r="Y1132" s="7" t="str"/>
      <x:c r="Z1132" s="7" t="str"/>
      <x:c r="AA1132" s="7" t="str"/>
      <x:c r="AB1132" s="7" t="str"/>
      <x:c r="AC1132" s="7" t="str"/>
      <x:c r="AD1132" s="7" t="str">
        <x:v>No agency or insurer displayed: onboarding opportunity possible; existing business unknown</x:v>
      </x:c>
      <x:c r="AE1132" s="7" t="str">
        <x:v>No public business phone: contact enrichment needed, not proof of poor recruiting fit</x:v>
      </x:c>
      <x:c r="AF1132" s="16" t="str"/>
      <x:c r="AG1132" s="17" t="str"/>
      <x:c r="AH1132" s="7" t="str"/>
      <x:c r="AI1132" s="7" t="str"/>
      <x:c r="AJ1132" s="7" t="str"/>
      <x:c r="AK1132" s="15" t="str"/>
      <x:c r="AL1132" s="7" t="str"/>
      <x:c r="AM1132" s="7" t="str">
        <x:v>AGUILAR LUIS SCOTT</x:v>
      </x:c>
      <x:c r="AN1132" s="7" t="str">
        <x:v>https://cdicloud.insurance.ca.gov/cal/LicenseDetail?SearchType=IND&amp;SearchLicNbr=0G16833&amp;SearchIndvId=1156128</x:v>
      </x:c>
      <x:c r="AO1132" s="7" t="str">
        <x:v>2026-10-08</x:v>
      </x:c>
      <x:c r="AP1132" s="7" t="str">
        <x:v>e01bc0bfd45ca9e63bb605ec8bd112c36916e36a75703fdda5e69945c667157f</x:v>
      </x:c>
      <x:c r="AQ1132" s="7" t="str">
        <x:v>Life-Only / Inactive / 06/18/2008 / 06/30/2010 / 06/30/2010</x:v>
      </x:c>
      <x:c r="AR1132" s="7" t="str">
        <x:v>Inactive</x:v>
      </x:c>
      <x:c r="AS1132" s="7" t="str">
        <x:v>Current detail page</x:v>
      </x:c>
    </x:row>
    <x:row r="1133" ht="52" customHeight="1">
      <x:c r="A1133" s="7" t="str">
        <x:v>AGUILAR SEBASTIAN</x:v>
      </x:c>
      <x:c r="B1133" s="14" t="str">
        <x:f>"0G52857"</x:f>
        <x:v>0G52857</x:v>
      </x:c>
      <x:c r="C1133" s="7" t="str">
        <x:v>Omitted</x:v>
      </x:c>
      <x:c r="D1133" s="7" t="str">
        <x:v>FAIL</x:v>
      </x:c>
      <x:c r="E1133" s="13" t="str">
        <x:v>Pending</x:v>
      </x:c>
      <x:c r="F1133" s="13" t="str"/>
      <x:c r="G1133" s="13" t="str"/>
      <x:c r="H1133" s="13" t="str"/>
      <x:c r="I1133" s="7" t="str">
        <x:v>Was this person reviewed? If rejected, give the actual rule and evidence. If acceptable, correct the omission. Confirm the Life-qualification gate and any record change since selection.</x:v>
      </x:c>
      <x:c r="J1133" s="7" t="str">
        <x:v>L1</x:v>
      </x:c>
      <x:c r="K1133" s="7" t="str">
        <x:v>Verified qualifications do not include active general Life. Current target-pool mismatch; actual historical omission reason unknown.</x:v>
      </x:c>
      <x:c r="L1133" s="7" t="str">
        <x:v>Not supplied; membership is known, motive is not</x:v>
      </x:c>
      <x:c r="M1133" s="7" t="n">
        <x:v>7</x:v>
      </x:c>
      <x:c r="N1133" s="7" t="str">
        <x:v>Outside current general-Life recruiting pool</x:v>
      </x:c>
      <x:c r="O1133" s="7" t="str">
        <x:v>Not displayed</x:v>
      </x:c>
      <x:c r="P1133" s="7" t="str"/>
      <x:c r="Q1133" s="7" t="str"/>
      <x:c r="R1133" s="7" t="str"/>
      <x:c r="S1133" s="15" t="str"/>
      <x:c r="T1133" s="7" t="str">
        <x:v>No public business phone in collected record</x:v>
      </x:c>
      <x:c r="U1133" s="7" t="str"/>
      <x:c r="V1133" s="7" t="str">
        <x:v>Resident</x:v>
      </x:c>
      <x:c r="W1133" s="7" t="str">
        <x:v>CA</x:v>
      </x:c>
      <x:c r="X1133" s="7" t="str"/>
      <x:c r="Y1133" s="7" t="str"/>
      <x:c r="Z1133" s="7" t="str"/>
      <x:c r="AA1133" s="7" t="str"/>
      <x:c r="AB1133" s="7" t="str"/>
      <x:c r="AC1133" s="7" t="str"/>
      <x:c r="AD1133" s="7" t="str">
        <x:v>No agency or insurer displayed: onboarding opportunity possible; existing business unknown</x:v>
      </x:c>
      <x:c r="AE1133" s="7" t="str">
        <x:v>No public business phone: contact enrichment needed, not proof of poor recruiting fit</x:v>
      </x:c>
      <x:c r="AF1133" s="16" t="str"/>
      <x:c r="AG1133" s="17" t="str"/>
      <x:c r="AH1133" s="7" t="str"/>
      <x:c r="AI1133" s="7" t="str"/>
      <x:c r="AJ1133" s="7" t="str"/>
      <x:c r="AK1133" s="15" t="str"/>
      <x:c r="AL1133" s="7" t="str"/>
      <x:c r="AM1133" s="7" t="str">
        <x:v>AGUILAR  SEBASTIAN</x:v>
      </x:c>
      <x:c r="AN1133" s="7" t="str">
        <x:v>https://cdicloud.insurance.ca.gov/cal/LicenseDetail?SearchType=IND&amp;SearchLicNbr=0G52857&amp;SearchIndvId=1240789</x:v>
      </x:c>
      <x:c r="AO1133" s="7" t="str">
        <x:v>2026-10-08</x:v>
      </x:c>
      <x:c r="AP1133" s="7" t="str">
        <x:v>451685080b93eb27d9297ec2cc262dc326070708671c1a66bfdb4c066f017a80</x:v>
      </x:c>
      <x:c r="AQ1133" s="7" t="str">
        <x:v>Casualty Broker-Agent / Inactive / 03/10/2009 / 03/31/2011 / 03/31/2011
Property Broker-Agent / Inactive / 03/10/2009 / 03/31/2011 / 03/31/2011</x:v>
      </x:c>
      <x:c r="AR1133" s="7" t="str">
        <x:v>Inactive</x:v>
      </x:c>
      <x:c r="AS1133" s="7" t="str">
        <x:v>Current detail page</x:v>
      </x:c>
    </x:row>
    <x:row r="1134" ht="52" customHeight="1">
      <x:c r="A1134" s="7" t="str">
        <x:v>AGUILAR SEBASTIAN</x:v>
      </x:c>
      <x:c r="B1134" s="14" t="str">
        <x:f>"0K79334"</x:f>
        <x:v>0K79334</x:v>
      </x:c>
      <x:c r="C1134" s="7" t="str">
        <x:v>Omitted</x:v>
      </x:c>
      <x:c r="D1134" s="7" t="str">
        <x:v>FAIL</x:v>
      </x:c>
      <x:c r="E1134" s="13" t="str">
        <x:v>Pending</x:v>
      </x:c>
      <x:c r="F1134" s="13" t="str"/>
      <x:c r="G1134" s="13" t="str"/>
      <x:c r="H1134" s="13" t="str"/>
      <x:c r="I1134" s="7" t="str">
        <x:v>Was this person reviewed? If rejected, give the actual rule and evidence. If acceptable, correct the omission. Confirm the Life-qualification gate and any record change since selection.</x:v>
      </x:c>
      <x:c r="J1134" s="7" t="str">
        <x:v>L1</x:v>
      </x:c>
      <x:c r="K1134" s="7" t="str">
        <x:v>Verified qualifications do not include active general Life. Current target-pool mismatch; actual historical omission reason unknown.</x:v>
      </x:c>
      <x:c r="L1134" s="7" t="str">
        <x:v>Not supplied; membership is known, motive is not</x:v>
      </x:c>
      <x:c r="M1134" s="7" t="n">
        <x:v>7</x:v>
      </x:c>
      <x:c r="N1134" s="7" t="str">
        <x:v>Outside current general-Life recruiting pool</x:v>
      </x:c>
      <x:c r="O1134" s="7" t="str">
        <x:v>Not displayed</x:v>
      </x:c>
      <x:c r="P1134" s="7" t="str"/>
      <x:c r="Q1134" s="7" t="str"/>
      <x:c r="R1134" s="7" t="str"/>
      <x:c r="S1134" s="15" t="str"/>
      <x:c r="T1134" s="7" t="str">
        <x:v>No public business phone in collected record</x:v>
      </x:c>
      <x:c r="U1134" s="7" t="str"/>
      <x:c r="V1134" s="7" t="str">
        <x:v>Non-resident</x:v>
      </x:c>
      <x:c r="W1134" s="7" t="str">
        <x:v>MI</x:v>
      </x:c>
      <x:c r="X1134" s="7" t="str"/>
      <x:c r="Y1134" s="7" t="str"/>
      <x:c r="Z1134" s="7" t="str"/>
      <x:c r="AA1134" s="7" t="str"/>
      <x:c r="AB1134" s="7" t="str"/>
      <x:c r="AC1134" s="7" t="str"/>
      <x:c r="AD1134" s="7" t="str">
        <x:v>No agency or insurer displayed: onboarding opportunity possible; existing business unknown</x:v>
      </x:c>
      <x:c r="AE1134" s="7" t="str">
        <x:v>Nonresident or address state outside CA; confirm geographic recruiting scope | No public business phone: contact enrichment needed, not proof of poor recruiting fit</x:v>
      </x:c>
      <x:c r="AF1134" s="16" t="str"/>
      <x:c r="AG1134" s="17" t="str"/>
      <x:c r="AH1134" s="7" t="str"/>
      <x:c r="AI1134" s="7" t="str"/>
      <x:c r="AJ1134" s="7" t="str"/>
      <x:c r="AK1134" s="15" t="str"/>
      <x:c r="AL1134" s="7" t="str"/>
      <x:c r="AM1134" s="7" t="str">
        <x:v>AGUILAR  SEBASTIAN</x:v>
      </x:c>
      <x:c r="AN1134" s="7" t="str">
        <x:v>https://cdicloud.insurance.ca.gov/cal/LicenseDetail?SearchType=IND&amp;SearchLicNbr=0K79334&amp;SearchIndvId=1818100</x:v>
      </x:c>
      <x:c r="AO1134" s="7" t="str">
        <x:v>2026-10-08</x:v>
      </x:c>
      <x:c r="AP1134" s="7" t="str">
        <x:v>7ef0125eac05ae0285c7af21ed4aa1fbd89505043d0e3a1f7b6396421c372015</x:v>
      </x:c>
      <x:c r="AQ1134" s="7" t="str">
        <x:v>Personal Lines Broker-Agent / Inactive / 03/15/2016 / 01/17/2019 / 01/17/2019
Casualty Broker-Agent / Inactive / 01/07/2019 / 01/31/2021 / 01/31/2021
Property Broker-Agent / Inactive / 01/07/2019 / 01/31/2021 / 01/31/2021</x:v>
      </x:c>
      <x:c r="AR1134" s="7" t="str">
        <x:v>Inactive</x:v>
      </x:c>
      <x:c r="AS1134" s="7" t="str">
        <x:v>Current detail page</x:v>
      </x:c>
    </x:row>
    <x:row r="1135" ht="52" customHeight="1">
      <x:c r="A1135" s="7" t="str">
        <x:v>AGUILAR SELENA</x:v>
      </x:c>
      <x:c r="B1135" s="14" t="str">
        <x:f>"4216228"</x:f>
        <x:v>4216228</x:v>
      </x:c>
      <x:c r="C1135" s="7" t="str">
        <x:v>Omitted</x:v>
      </x:c>
      <x:c r="D1135" s="7" t="str">
        <x:v>FAIL</x:v>
      </x:c>
      <x:c r="E1135" s="13" t="str">
        <x:v>Pending</x:v>
      </x:c>
      <x:c r="F1135" s="13" t="str"/>
      <x:c r="G1135" s="13" t="str"/>
      <x:c r="H1135" s="13" t="str"/>
      <x:c r="I1135" s="7" t="str">
        <x:v>Was this person reviewed? If rejected, give the actual rule and evidence. If acceptable, correct the omission. Confirm the Life-qualification gate and any record change since selection.</x:v>
      </x:c>
      <x:c r="J1135" s="7" t="str">
        <x:v>L1</x:v>
      </x:c>
      <x:c r="K1135" s="7" t="str">
        <x:v>Verified qualifications do not include active general Life. Current target-pool mismatch; actual historical omission reason unknown.</x:v>
      </x:c>
      <x:c r="L1135" s="7" t="str">
        <x:v>Not supplied; membership is known, motive is not</x:v>
      </x:c>
      <x:c r="M1135" s="7" t="n">
        <x:v>7</x:v>
      </x:c>
      <x:c r="N1135" s="7" t="str">
        <x:v>Outside current general-Life recruiting pool</x:v>
      </x:c>
      <x:c r="O1135" s="7" t="str">
        <x:v>Not displayed</x:v>
      </x:c>
      <x:c r="P1135" s="7" t="str"/>
      <x:c r="Q1135" s="7" t="str"/>
      <x:c r="R1135" s="7" t="str"/>
      <x:c r="S1135" s="15" t="str"/>
      <x:c r="T1135" s="7" t="str">
        <x:v>No public business phone in collected record</x:v>
      </x:c>
      <x:c r="U1135" s="7" t="str">
        <x:v>9800 FREDERICKSBURG RD SAN ANTONIO TX, 78288</x:v>
      </x:c>
      <x:c r="V1135" s="7" t="str">
        <x:v>Non-resident</x:v>
      </x:c>
      <x:c r="W1135" s="7" t="str">
        <x:v>TX</x:v>
      </x:c>
      <x:c r="X1135" s="7" t="str"/>
      <x:c r="Y1135" s="7" t="str"/>
      <x:c r="Z1135" s="7" t="str"/>
      <x:c r="AA1135" s="7" t="str"/>
      <x:c r="AB1135" s="7" t="str"/>
      <x:c r="AC1135" s="7" t="str"/>
      <x:c r="AD1135" s="7" t="str">
        <x:v>No agency or insurer displayed: onboarding opportunity possible; existing business unknown</x:v>
      </x:c>
      <x:c r="AE1135" s="7" t="str">
        <x:v>Nonresident or address state outside CA; confirm geographic recruiting scope | No public business phone: contact enrichment needed, not proof of poor recruiting fit</x:v>
      </x:c>
      <x:c r="AF1135" s="16" t="str"/>
      <x:c r="AG1135" s="17" t="str"/>
      <x:c r="AH1135" s="7" t="str"/>
      <x:c r="AI1135" s="7" t="str"/>
      <x:c r="AJ1135" s="7" t="str"/>
      <x:c r="AK1135" s="15" t="str"/>
      <x:c r="AL1135" s="7" t="str"/>
      <x:c r="AM1135" s="7" t="str">
        <x:v>AGUILAR  SELENA</x:v>
      </x:c>
      <x:c r="AN1135" s="7" t="str">
        <x:v>https://cdicloud.insurance.ca.gov/cal/LicenseDetail?SearchType=IND&amp;SearchLicNbr=4216228&amp;SearchIndvId=4216228</x:v>
      </x:c>
      <x:c r="AO1135" s="7" t="str">
        <x:v>2026-10-08</x:v>
      </x:c>
      <x:c r="AP1135" s="7" t="str">
        <x:v>986a936e9d8c0849b12cd5d476c09692f87f69d1b804ca1d79278c340c35d401</x:v>
      </x:c>
      <x:c r="AQ1135" s="7" t="str">
        <x:v>Personal Lines / Inactive / 06/10/2022 / 06/30/2024 / 06/30/2024</x:v>
      </x:c>
      <x:c r="AR1135" s="7" t="str">
        <x:v>Inactive</x:v>
      </x:c>
      <x:c r="AS1135" s="7" t="str">
        <x:v>Current detail page</x:v>
      </x:c>
    </x:row>
    <x:row r="1136" ht="52" customHeight="1">
      <x:c r="A1136" s="7" t="str">
        <x:v>AGUILAR SELENA BRIANNA</x:v>
      </x:c>
      <x:c r="B1136" s="14" t="str">
        <x:f>"4245904"</x:f>
        <x:v>4245904</x:v>
      </x:c>
      <x:c r="C1136" s="7" t="str">
        <x:v>Omitted</x:v>
      </x:c>
      <x:c r="D1136" s="7" t="str">
        <x:v>FAIL</x:v>
      </x:c>
      <x:c r="E1136" s="13" t="str">
        <x:v>Pending</x:v>
      </x:c>
      <x:c r="F1136" s="13" t="str"/>
      <x:c r="G1136" s="13" t="str"/>
      <x:c r="H1136" s="13" t="str"/>
      <x:c r="I1136" s="7" t="str">
        <x:v>Was this person reviewed? If rejected, give the actual rule and evidence. If acceptable, correct the omission. Confirm the Life-qualification gate and any record change since selection.</x:v>
      </x:c>
      <x:c r="J1136" s="7" t="str">
        <x:v>L1</x:v>
      </x:c>
      <x:c r="K1136" s="7" t="str">
        <x:v>Verified qualifications do not include active general Life. Current target-pool mismatch; actual historical omission reason unknown.</x:v>
      </x:c>
      <x:c r="L1136" s="7" t="str">
        <x:v>Not supplied; membership is known, motive is not</x:v>
      </x:c>
      <x:c r="M1136" s="7" t="n">
        <x:v>7</x:v>
      </x:c>
      <x:c r="N1136" s="7" t="str">
        <x:v>Outside current general-Life recruiting pool</x:v>
      </x:c>
      <x:c r="O1136" s="7" t="str">
        <x:v>Not displayed</x:v>
      </x:c>
      <x:c r="P1136" s="7" t="str"/>
      <x:c r="Q1136" s="7" t="str"/>
      <x:c r="R1136" s="7" t="str"/>
      <x:c r="S1136" s="15" t="str"/>
      <x:c r="T1136" s="7" t="str">
        <x:v>No public business phone in collected record</x:v>
      </x:c>
      <x:c r="U1136" s="7" t="str">
        <x:v>4945 YORBA RANCH RD YORBA LINDA CA, 92887</x:v>
      </x:c>
      <x:c r="V1136" s="7" t="str">
        <x:v>Resident</x:v>
      </x:c>
      <x:c r="W1136" s="7" t="str">
        <x:v>CA</x:v>
      </x:c>
      <x:c r="X1136" s="7" t="str"/>
      <x:c r="Y1136" s="7" t="str"/>
      <x:c r="Z1136" s="7" t="str"/>
      <x:c r="AA1136" s="7" t="str"/>
      <x:c r="AB1136" s="7" t="str"/>
      <x:c r="AC1136" s="7" t="str"/>
      <x:c r="AD1136" s="7" t="str">
        <x:v>No agency or insurer displayed: onboarding opportunity possible; existing business unknown</x:v>
      </x:c>
      <x:c r="AE1136" s="7" t="str">
        <x:v>No public business phone: contact enrichment needed, not proof of poor recruiting fit</x:v>
      </x:c>
      <x:c r="AF1136" s="16" t="str"/>
      <x:c r="AG1136" s="17" t="str"/>
      <x:c r="AH1136" s="7" t="str"/>
      <x:c r="AI1136" s="7" t="str"/>
      <x:c r="AJ1136" s="7" t="str"/>
      <x:c r="AK1136" s="15" t="str"/>
      <x:c r="AL1136" s="7" t="str"/>
      <x:c r="AM1136" s="7" t="str">
        <x:v>AGUILAR BRIANNA SELENA</x:v>
      </x:c>
      <x:c r="AN1136" s="7" t="str">
        <x:v>https://cdicloud.insurance.ca.gov/cal/LicenseDetail?SearchType=IND&amp;SearchLicNbr=4245904&amp;SearchIndvId=4245904</x:v>
      </x:c>
      <x:c r="AO1136" s="7" t="str">
        <x:v>2026-10-08</x:v>
      </x:c>
      <x:c r="AP1136" s="7" t="str">
        <x:v>c8fd61df8f1513601dec5de4d9d078c84bc0ea2d19c519bd85d3b1fb7b8ba1f5</x:v>
      </x:c>
      <x:c r="AQ1136" s="7" t="str">
        <x:v>Casualty / Inactive / 12/27/2022 / 12/31/2024 / 12/31/2024
Property / Inactive / 12/27/2022 / 12/31/2024 / 12/31/2024</x:v>
      </x:c>
      <x:c r="AR1136" s="7" t="str">
        <x:v>Inactive</x:v>
      </x:c>
      <x:c r="AS1136" s="7" t="str">
        <x:v>Current detail page</x:v>
      </x:c>
    </x:row>
    <x:row r="1137" ht="52" customHeight="1">
      <x:c r="A1137" s="7" t="str">
        <x:v>AGUILAR SELINA MONIQUE</x:v>
      </x:c>
      <x:c r="B1137" s="14" t="str">
        <x:f>"0L30794"</x:f>
        <x:v>0L30794</x:v>
      </x:c>
      <x:c r="C1137" s="7" t="str">
        <x:v>Omitted</x:v>
      </x:c>
      <x:c r="D1137" s="7" t="str">
        <x:v>FAIL</x:v>
      </x:c>
      <x:c r="E1137" s="13" t="str">
        <x:v>Pending</x:v>
      </x:c>
      <x:c r="F1137" s="13" t="str"/>
      <x:c r="G1137" s="13" t="str"/>
      <x:c r="H1137" s="13" t="str"/>
      <x:c r="I1137" s="7" t="str">
        <x:v>Was this person reviewed? If rejected, give the actual rule and evidence. If acceptable, correct the omission. Confirm the Life-qualification gate and any record change since selection.</x:v>
      </x:c>
      <x:c r="J1137" s="7" t="str">
        <x:v>L1</x:v>
      </x:c>
      <x:c r="K1137" s="7" t="str">
        <x:v>Verified qualifications do not include active general Life. Current target-pool mismatch; actual historical omission reason unknown.</x:v>
      </x:c>
      <x:c r="L1137" s="7" t="str">
        <x:v>Not supplied; membership is known, motive is not</x:v>
      </x:c>
      <x:c r="M1137" s="7" t="n">
        <x:v>7</x:v>
      </x:c>
      <x:c r="N1137" s="7" t="str">
        <x:v>Outside current general-Life recruiting pool</x:v>
      </x:c>
      <x:c r="O1137" s="7" t="str">
        <x:v>Not displayed</x:v>
      </x:c>
      <x:c r="P1137" s="7" t="str"/>
      <x:c r="Q1137" s="7" t="str"/>
      <x:c r="R1137" s="7" t="str"/>
      <x:c r="S1137" s="15" t="str"/>
      <x:c r="T1137" s="7" t="str">
        <x:v>No public business phone in collected record</x:v>
      </x:c>
      <x:c r="U1137" s="7" t="str"/>
      <x:c r="V1137" s="7" t="str">
        <x:v>Resident</x:v>
      </x:c>
      <x:c r="W1137" s="7" t="str">
        <x:v>CA</x:v>
      </x:c>
      <x:c r="X1137" s="7" t="str"/>
      <x:c r="Y1137" s="7" t="str"/>
      <x:c r="Z1137" s="7" t="str"/>
      <x:c r="AA1137" s="7" t="str"/>
      <x:c r="AB1137" s="7" t="str"/>
      <x:c r="AC1137" s="7" t="str"/>
      <x:c r="AD1137" s="7" t="str">
        <x:v>No agency or insurer displayed: onboarding opportunity possible; existing business unknown</x:v>
      </x:c>
      <x:c r="AE1137" s="7" t="str">
        <x:v>No public business phone: contact enrichment needed, not proof of poor recruiting fit</x:v>
      </x:c>
      <x:c r="AF1137" s="16" t="str"/>
      <x:c r="AG1137" s="17" t="str"/>
      <x:c r="AH1137" s="7" t="str"/>
      <x:c r="AI1137" s="7" t="str">
        <x:v>English</x:v>
      </x:c>
      <x:c r="AJ1137" s="7" t="str"/>
      <x:c r="AK1137" s="15" t="str"/>
      <x:c r="AL1137" s="7" t="str"/>
      <x:c r="AM1137" s="7" t="str">
        <x:v>AGUILAR MONIQUE SELINA</x:v>
      </x:c>
      <x:c r="AN1137" s="7" t="str">
        <x:v>https://cdicloud.insurance.ca.gov/cal/LicenseDetail?SearchType=IND&amp;SearchLicNbr=0L30794&amp;SearchIndvId=1881441</x:v>
      </x:c>
      <x:c r="AO1137" s="7" t="str">
        <x:v>2026-10-08</x:v>
      </x:c>
      <x:c r="AP1137" s="7" t="str">
        <x:v>80e59efcd1d7400a2255119554e3ba29af2a6d1b1d5c2116095d9671ca322f70</x:v>
      </x:c>
      <x:c r="AQ1137" s="7" t="str">
        <x:v>Personal Lines Broker-Agent / Inactive / 10/31/2016 / 10/31/2020 / 10/31/2020</x:v>
      </x:c>
      <x:c r="AR1137" s="7" t="str">
        <x:v>Inactive</x:v>
      </x:c>
      <x:c r="AS1137" s="7" t="str">
        <x:v>Current detail page</x:v>
      </x:c>
    </x:row>
    <x:row r="1138" ht="52" customHeight="1">
      <x:c r="A1138" s="7" t="str">
        <x:v>AGUILAR SERGIO</x:v>
      </x:c>
      <x:c r="B1138" s="14" t="str">
        <x:f>"0F87674"</x:f>
        <x:v>0F87674</x:v>
      </x:c>
      <x:c r="C1138" s="7" t="str">
        <x:v>Omitted</x:v>
      </x:c>
      <x:c r="D1138" s="7" t="str">
        <x:v>FAIL</x:v>
      </x:c>
      <x:c r="E1138" s="13" t="str">
        <x:v>Pending</x:v>
      </x:c>
      <x:c r="F1138" s="13" t="str"/>
      <x:c r="G1138" s="13" t="str"/>
      <x:c r="H1138" s="13" t="str"/>
      <x:c r="I1138" s="7" t="str">
        <x:v>Was this person reviewed? If rejected, give the actual rule and evidence. If acceptable, correct the omission. Confirm the Life-qualification gate and any record change since selection.</x:v>
      </x:c>
      <x:c r="J1138" s="7" t="str">
        <x:v>L1</x:v>
      </x:c>
      <x:c r="K1138" s="7" t="str">
        <x:v>Verified qualifications do not include active general Life. Current target-pool mismatch; actual historical omission reason unknown.</x:v>
      </x:c>
      <x:c r="L1138" s="7" t="str">
        <x:v>Not supplied; membership is known, motive is not</x:v>
      </x:c>
      <x:c r="M1138" s="7" t="n">
        <x:v>7</x:v>
      </x:c>
      <x:c r="N1138" s="7" t="str">
        <x:v>Outside current general-Life recruiting pool</x:v>
      </x:c>
      <x:c r="O1138" s="7" t="str">
        <x:v>Not displayed</x:v>
      </x:c>
      <x:c r="P1138" s="7" t="str"/>
      <x:c r="Q1138" s="7" t="str"/>
      <x:c r="R1138" s="7" t="str"/>
      <x:c r="S1138" s="15" t="str"/>
      <x:c r="T1138" s="7" t="str">
        <x:v>No public business phone in collected record</x:v>
      </x:c>
      <x:c r="U1138" s="7" t="str"/>
      <x:c r="V1138" s="7" t="str">
        <x:v>Resident</x:v>
      </x:c>
      <x:c r="W1138" s="7" t="str">
        <x:v>CA</x:v>
      </x:c>
      <x:c r="X1138" s="7" t="str"/>
      <x:c r="Y1138" s="7" t="str"/>
      <x:c r="Z1138" s="7" t="str"/>
      <x:c r="AA1138" s="7" t="str"/>
      <x:c r="AB1138" s="7" t="str"/>
      <x:c r="AC1138" s="7" t="str"/>
      <x:c r="AD1138" s="7" t="str">
        <x:v>No agency or insurer displayed: onboarding opportunity possible; existing business unknown</x:v>
      </x:c>
      <x:c r="AE1138" s="7" t="str">
        <x:v>No public business phone: contact enrichment needed, not proof of poor recruiting fit</x:v>
      </x:c>
      <x:c r="AF1138" s="16" t="str"/>
      <x:c r="AG1138" s="17" t="str"/>
      <x:c r="AH1138" s="7" t="str"/>
      <x:c r="AI1138" s="7" t="str"/>
      <x:c r="AJ1138" s="7" t="str"/>
      <x:c r="AK1138" s="15" t="str"/>
      <x:c r="AL1138" s="7" t="str"/>
      <x:c r="AM1138" s="7" t="str">
        <x:v>AGUILAR  SERGIO</x:v>
      </x:c>
      <x:c r="AN1138" s="7" t="str">
        <x:v>https://cdicloud.insurance.ca.gov/cal/LicenseDetail?SearchType=IND&amp;SearchLicNbr=0F87674&amp;SearchIndvId=1113619</x:v>
      </x:c>
      <x:c r="AO1138" s="7" t="str">
        <x:v>2026-10-08</x:v>
      </x:c>
      <x:c r="AP1138" s="7" t="str">
        <x:v>f511770b3d4bc50f08d613f42561a400264a2ab3376e315e2ca75c971944d514</x:v>
      </x:c>
      <x:c r="AQ1138" s="7" t="str">
        <x:v>Accident and Health / Inactive / 12/01/2007 / 12/31/2009 / 12/31/2009
Life-Only / Inactive / 12/01/2007 / 12/31/2009 / 12/31/2009</x:v>
      </x:c>
      <x:c r="AR1138" s="7" t="str">
        <x:v>Inactive</x:v>
      </x:c>
      <x:c r="AS1138" s="7" t="str">
        <x:v>Current detail page</x:v>
      </x:c>
    </x:row>
    <x:row r="1139" ht="52" customHeight="1">
      <x:c r="A1139" s="7" t="str">
        <x:v>AGUILAR SERGIO</x:v>
      </x:c>
      <x:c r="B1139" s="14" t="str">
        <x:f>"0G10637"</x:f>
        <x:v>0G10637</x:v>
      </x:c>
      <x:c r="C1139" s="7" t="str">
        <x:v>Omitted</x:v>
      </x:c>
      <x:c r="D1139" s="7" t="str">
        <x:v>FAIL</x:v>
      </x:c>
      <x:c r="E1139" s="13" t="str">
        <x:v>Pending</x:v>
      </x:c>
      <x:c r="F1139" s="13" t="str"/>
      <x:c r="G1139" s="13" t="str"/>
      <x:c r="H1139" s="13" t="str"/>
      <x:c r="I1139" s="7" t="str">
        <x:v>Was this person reviewed? If rejected, give the actual rule and evidence. If acceptable, correct the omission. Confirm the Life-qualification gate and any record change since selection.</x:v>
      </x:c>
      <x:c r="J1139" s="7" t="str">
        <x:v>L1</x:v>
      </x:c>
      <x:c r="K1139" s="7" t="str">
        <x:v>Verified qualifications do not include active general Life. Current target-pool mismatch; actual historical omission reason unknown.</x:v>
      </x:c>
      <x:c r="L1139" s="7" t="str">
        <x:v>Not supplied; membership is known, motive is not</x:v>
      </x:c>
      <x:c r="M1139" s="7" t="n">
        <x:v>7</x:v>
      </x:c>
      <x:c r="N1139" s="7" t="str">
        <x:v>Outside current general-Life recruiting pool</x:v>
      </x:c>
      <x:c r="O1139" s="7" t="str">
        <x:v>Not displayed</x:v>
      </x:c>
      <x:c r="P1139" s="7" t="str"/>
      <x:c r="Q1139" s="7" t="str"/>
      <x:c r="R1139" s="7" t="str"/>
      <x:c r="S1139" s="15" t="str"/>
      <x:c r="T1139" s="7" t="str">
        <x:v>No public business phone in collected record</x:v>
      </x:c>
      <x:c r="U1139" s="7" t="str"/>
      <x:c r="V1139" s="7" t="str">
        <x:v>Resident</x:v>
      </x:c>
      <x:c r="W1139" s="7" t="str">
        <x:v>CA</x:v>
      </x:c>
      <x:c r="X1139" s="7" t="str"/>
      <x:c r="Y1139" s="7" t="str"/>
      <x:c r="Z1139" s="7" t="str"/>
      <x:c r="AA1139" s="7" t="str"/>
      <x:c r="AB1139" s="7" t="str"/>
      <x:c r="AC1139" s="7" t="str"/>
      <x:c r="AD1139" s="7" t="str">
        <x:v>No agency or insurer displayed: onboarding opportunity possible; existing business unknown</x:v>
      </x:c>
      <x:c r="AE1139" s="7" t="str">
        <x:v>No public business phone: contact enrichment needed, not proof of poor recruiting fit</x:v>
      </x:c>
      <x:c r="AF1139" s="16" t="str"/>
      <x:c r="AG1139" s="17" t="str"/>
      <x:c r="AH1139" s="7" t="str"/>
      <x:c r="AI1139" s="7" t="str"/>
      <x:c r="AJ1139" s="7" t="str"/>
      <x:c r="AK1139" s="15" t="str"/>
      <x:c r="AL1139" s="7" t="str"/>
      <x:c r="AM1139" s="7" t="str">
        <x:v>AGUILAR  SERGIO</x:v>
      </x:c>
      <x:c r="AN1139" s="7" t="str">
        <x:v>https://cdicloud.insurance.ca.gov/cal/LicenseDetail?SearchType=IND&amp;SearchLicNbr=0G10637&amp;SearchIndvId=1150709</x:v>
      </x:c>
      <x:c r="AO1139" s="7" t="str">
        <x:v>2026-10-08</x:v>
      </x:c>
      <x:c r="AP1139" s="7" t="str">
        <x:v>d5241de39c7b8b4df703ecae2f6a0d136611aab27efac84c4918b7b5d40d245e</x:v>
      </x:c>
      <x:c r="AQ1139" s="7" t="str">
        <x:v>Accident and Health / Inactive / 05/17/2008 / 05/31/2010 / 05/31/2010
Life-Only / Inactive / 05/17/2008 / 05/31/2010 / 05/31/2010</x:v>
      </x:c>
      <x:c r="AR1139" s="7" t="str">
        <x:v>Inactive</x:v>
      </x:c>
      <x:c r="AS1139" s="7" t="str">
        <x:v>Current detail page</x:v>
      </x:c>
    </x:row>
    <x:row r="1140" ht="52" customHeight="1">
      <x:c r="A1140" s="7" t="str">
        <x:v>AGUILAR SERGIO GUILLERMO</x:v>
      </x:c>
      <x:c r="B1140" s="14" t="str">
        <x:f>"0D80412"</x:f>
        <x:v>0D80412</x:v>
      </x:c>
      <x:c r="C1140" s="7" t="str">
        <x:v>Omitted</x:v>
      </x:c>
      <x:c r="D1140" s="7" t="str">
        <x:v>FAIL</x:v>
      </x:c>
      <x:c r="E1140" s="13" t="str">
        <x:v>Pending</x:v>
      </x:c>
      <x:c r="F1140" s="13" t="str"/>
      <x:c r="G1140" s="13" t="str"/>
      <x:c r="H1140" s="13" t="str"/>
      <x:c r="I1140" s="7" t="str">
        <x:v>Was this person reviewed? If rejected, give the actual rule and evidence. If acceptable, correct the omission. Confirm the Life-qualification gate and any record change since selection.</x:v>
      </x:c>
      <x:c r="J1140" s="7" t="str">
        <x:v>L1</x:v>
      </x:c>
      <x:c r="K1140" s="7" t="str">
        <x:v>Verified qualifications do not include active general Life. Current target-pool mismatch; actual historical omission reason unknown.</x:v>
      </x:c>
      <x:c r="L1140" s="7" t="str">
        <x:v>Not supplied; membership is known, motive is not</x:v>
      </x:c>
      <x:c r="M1140" s="7" t="n">
        <x:v>7</x:v>
      </x:c>
      <x:c r="N1140" s="7" t="str">
        <x:v>Outside current general-Life recruiting pool</x:v>
      </x:c>
      <x:c r="O1140" s="7" t="str">
        <x:v>Not displayed</x:v>
      </x:c>
      <x:c r="P1140" s="7" t="str"/>
      <x:c r="Q1140" s="7" t="str"/>
      <x:c r="R1140" s="7" t="str"/>
      <x:c r="S1140" s="15" t="str"/>
      <x:c r="T1140" s="7" t="str">
        <x:v>No public business phone in collected record</x:v>
      </x:c>
      <x:c r="U1140" s="7" t="str"/>
      <x:c r="V1140" s="7" t="str">
        <x:v>Resident</x:v>
      </x:c>
      <x:c r="W1140" s="7" t="str">
        <x:v>CA</x:v>
      </x:c>
      <x:c r="X1140" s="7" t="str"/>
      <x:c r="Y1140" s="7" t="str"/>
      <x:c r="Z1140" s="7" t="str"/>
      <x:c r="AA1140" s="7" t="str"/>
      <x:c r="AB1140" s="7" t="str"/>
      <x:c r="AC1140" s="7" t="str"/>
      <x:c r="AD1140" s="7" t="str">
        <x:v>No agency or insurer displayed: onboarding opportunity possible; existing business unknown</x:v>
      </x:c>
      <x:c r="AE1140" s="7" t="str">
        <x:v>No public business phone: contact enrichment needed, not proof of poor recruiting fit</x:v>
      </x:c>
      <x:c r="AF1140" s="16" t="str"/>
      <x:c r="AG1140" s="17" t="str"/>
      <x:c r="AH1140" s="7" t="str"/>
      <x:c r="AI1140" s="7" t="str">
        <x:v>English, Spanish, Spanish</x:v>
      </x:c>
      <x:c r="AJ1140" s="7" t="str"/>
      <x:c r="AK1140" s="15" t="str"/>
      <x:c r="AL1140" s="7" t="str"/>
      <x:c r="AM1140" s="7" t="str">
        <x:v>AGUILAR GUILLERMO SERGIO</x:v>
      </x:c>
      <x:c r="AN1140" s="7" t="str">
        <x:v>https://cdicloud.insurance.ca.gov/cal/LicenseDetail?SearchType=IND&amp;SearchLicNbr=0D80412&amp;SearchIndvId=808151</x:v>
      </x:c>
      <x:c r="AO1140" s="7" t="str">
        <x:v>2026-10-08</x:v>
      </x:c>
      <x:c r="AP1140" s="7" t="str">
        <x:v>5617c6404ca8dac1a28bad1cf4d25139ba408a71cce0bfbd45ac064bcd6985ea</x:v>
      </x:c>
      <x:c r="AQ1140" s="7" t="str">
        <x:v>Accident and Health / Inactive / 10/10/2002 / 10/31/2018 / 10/31/2018
Life-Only / Inactive / 10/10/2002 / 10/31/2018 / 10/31/2018</x:v>
      </x:c>
      <x:c r="AR1140" s="7" t="str">
        <x:v>Inactive</x:v>
      </x:c>
      <x:c r="AS1140" s="7" t="str">
        <x:v>Current detail page</x:v>
      </x:c>
    </x:row>
    <x:row r="1141" ht="52" customHeight="1">
      <x:c r="A1141" s="7" t="str">
        <x:v>AGUILAR SERGIO VALENTINE</x:v>
      </x:c>
      <x:c r="B1141" s="14" t="str">
        <x:f>"0D33592"</x:f>
        <x:v>0D33592</x:v>
      </x:c>
      <x:c r="C1141" s="7" t="str">
        <x:v>Omitted</x:v>
      </x:c>
      <x:c r="D1141" s="7" t="str">
        <x:v>FAIL</x:v>
      </x:c>
      <x:c r="E1141" s="13" t="str">
        <x:v>Pending</x:v>
      </x:c>
      <x:c r="F1141" s="13" t="str"/>
      <x:c r="G1141" s="13" t="str"/>
      <x:c r="H1141" s="13" t="str"/>
      <x:c r="I1141" s="7" t="str">
        <x:v>Was this person reviewed? If rejected, give the actual rule and evidence. If acceptable, correct the omission. Confirm the Life-qualification gate and any record change since selection.</x:v>
      </x:c>
      <x:c r="J1141" s="7" t="str">
        <x:v>L1</x:v>
      </x:c>
      <x:c r="K1141" s="7" t="str">
        <x:v>Verified qualifications do not include active general Life. Current target-pool mismatch; actual historical omission reason unknown.</x:v>
      </x:c>
      <x:c r="L1141" s="7" t="str">
        <x:v>Not supplied; membership is known, motive is not</x:v>
      </x:c>
      <x:c r="M1141" s="7" t="n">
        <x:v>7</x:v>
      </x:c>
      <x:c r="N1141" s="7" t="str">
        <x:v>Outside current general-Life recruiting pool</x:v>
      </x:c>
      <x:c r="O1141" s="7" t="str">
        <x:v>Not displayed</x:v>
      </x:c>
      <x:c r="P1141" s="7" t="str"/>
      <x:c r="Q1141" s="7" t="str"/>
      <x:c r="R1141" s="7" t="str"/>
      <x:c r="S1141" s="15" t="str"/>
      <x:c r="T1141" s="7" t="str">
        <x:v>No public business phone in collected record</x:v>
      </x:c>
      <x:c r="U1141" s="7" t="str"/>
      <x:c r="V1141" s="7" t="str">
        <x:v>Resident</x:v>
      </x:c>
      <x:c r="W1141" s="7" t="str">
        <x:v>CA</x:v>
      </x:c>
      <x:c r="X1141" s="7" t="str"/>
      <x:c r="Y1141" s="7" t="str"/>
      <x:c r="Z1141" s="7" t="str"/>
      <x:c r="AA1141" s="7" t="str"/>
      <x:c r="AB1141" s="7" t="str"/>
      <x:c r="AC1141" s="7" t="str"/>
      <x:c r="AD1141" s="7" t="str">
        <x:v>No agency or insurer displayed: onboarding opportunity possible; existing business unknown</x:v>
      </x:c>
      <x:c r="AE1141" s="7" t="str">
        <x:v>No public business phone: contact enrichment needed, not proof of poor recruiting fit</x:v>
      </x:c>
      <x:c r="AF1141" s="16" t="str"/>
      <x:c r="AG1141" s="17" t="str"/>
      <x:c r="AH1141" s="7" t="str"/>
      <x:c r="AI1141" s="7" t="str"/>
      <x:c r="AJ1141" s="7" t="str"/>
      <x:c r="AK1141" s="15" t="str"/>
      <x:c r="AL1141" s="7" t="str"/>
      <x:c r="AM1141" s="7" t="str">
        <x:v>AGUILAR VALENTINE SERGIO</x:v>
      </x:c>
      <x:c r="AN1141" s="7" t="str">
        <x:v>https://cdicloud.insurance.ca.gov/cal/LicenseDetail?SearchType=IND&amp;SearchLicNbr=0D33592&amp;SearchIndvId=565040</x:v>
      </x:c>
      <x:c r="AO1141" s="7" t="str">
        <x:v>2026-10-08</x:v>
      </x:c>
      <x:c r="AP1141" s="7" t="str">
        <x:v>6b15692ff6f1acf9780e3c485ca336bf224c5fc1c785a19b624b4f635c2b466b</x:v>
      </x:c>
      <x:c r="AQ1141" s="7" t="str">
        <x:v>Accident and Health / Inactive / 06/14/2001 / 06/30/2009 / 06/30/2009
Life-Only / Inactive / 06/14/2001 / 06/30/2009 / 06/30/2009
Variable Contracts / Inactive / 01/02/2007 / 06/30/2009 / 06/30/2009</x:v>
      </x:c>
      <x:c r="AR1141" s="7" t="str">
        <x:v>Inactive</x:v>
      </x:c>
      <x:c r="AS1141" s="7" t="str">
        <x:v>Current detail page</x:v>
      </x:c>
    </x:row>
    <x:row r="1142" ht="52" customHeight="1">
      <x:c r="A1142" s="7" t="str">
        <x:v>AGUILAR SHANTY MORA</x:v>
      </x:c>
      <x:c r="B1142" s="14" t="str">
        <x:f>"0J08461"</x:f>
        <x:v>0J08461</x:v>
      </x:c>
      <x:c r="C1142" s="7" t="str">
        <x:v>Omitted</x:v>
      </x:c>
      <x:c r="D1142" s="7" t="str">
        <x:v>FAIL</x:v>
      </x:c>
      <x:c r="E1142" s="13" t="str">
        <x:v>Pending</x:v>
      </x:c>
      <x:c r="F1142" s="13" t="str"/>
      <x:c r="G1142" s="13" t="str"/>
      <x:c r="H1142" s="13" t="str"/>
      <x:c r="I1142" s="7" t="str">
        <x:v>Was this person reviewed? If rejected, give the actual rule and evidence. If acceptable, correct the omission. Confirm the Life-qualification gate and any record change since selection.</x:v>
      </x:c>
      <x:c r="J1142" s="7" t="str">
        <x:v>L1</x:v>
      </x:c>
      <x:c r="K1142" s="7" t="str">
        <x:v>Verified qualifications do not include active general Life. Current target-pool mismatch; actual historical omission reason unknown.</x:v>
      </x:c>
      <x:c r="L1142" s="7" t="str">
        <x:v>Not supplied; membership is known, motive is not</x:v>
      </x:c>
      <x:c r="M1142" s="7" t="n">
        <x:v>7</x:v>
      </x:c>
      <x:c r="N1142" s="7" t="str">
        <x:v>Outside current general-Life recruiting pool</x:v>
      </x:c>
      <x:c r="O1142" s="7" t="str">
        <x:v>Not displayed</x:v>
      </x:c>
      <x:c r="P1142" s="7" t="str"/>
      <x:c r="Q1142" s="7" t="str"/>
      <x:c r="R1142" s="7" t="str">
        <x:v>Casualty; Property</x:v>
      </x:c>
      <x:c r="S1142" s="15" t="str">
        <x:v>661-363-8078</x:v>
      </x:c>
      <x:c r="T1142" s="7" t="str">
        <x:v>Current CDI</x:v>
      </x:c>
      <x:c r="U1142" s="7" t="str">
        <x:v>2508 NILES ST BAKERSFIELD CA, 93306</x:v>
      </x:c>
      <x:c r="V1142" s="7" t="str">
        <x:v>Resident</x:v>
      </x:c>
      <x:c r="W1142" s="7" t="str">
        <x:v>CA</x:v>
      </x:c>
      <x:c r="X1142" s="7" t="str">
        <x:v>OLIVER INSURANCE AGENCY LLC / Property / 06/27/2019</x:v>
      </x:c>
      <x:c r="Y1142" s="7" t="str">
        <x:v>DRIVE INSURANCE COMPANY / Casualty / 02/17/2020
DRIVE INSURANCE COMPANY / Property / 02/17/2020
INFINITY INSURANCE COMPANY / Casualty / 10/27/2022
INFINITY INSURANCE COMPANY / Property / 10/27/2022
INFINITY SELECT INSURANCE COMPANY / Casualty / 10/27/2022
INFINITY SELECT INSURANCE COMPANY / Property / 10/27/2022
PROGRESSIVE CASUALTY INSURANCE COMPANY / Casualty / 02/25/2020
PROGRESSIVE CASUALTY INSURANCE COMPANY / Property / 02/25/2020
UNITED FINANCIAL CASUALTY COMPANY / Casualty / 02/17/2020
UNITED FINANCIAL CASUALTY COMPANY / Property / 02/17/2020</x:v>
      </x:c>
      <x:c r="Z1142" s="7" t="str"/>
      <x:c r="AA1142" s="7" t="str"/>
      <x:c r="AB1142" s="7" t="str"/>
      <x:c r="AC1142" s="7" t="str"/>
      <x:c r="AD1142" s="7" t="str"/>
      <x:c r="AE1142" s="7" t="str">
        <x:v>P&amp;C/Personal Lines authority without displayed core Life appointments; mixed profile requires review</x:v>
      </x:c>
      <x:c r="AF1142" s="16" t="str"/>
      <x:c r="AG1142" s="17" t="str"/>
      <x:c r="AH1142" s="7" t="str"/>
      <x:c r="AI1142" s="7" t="str">
        <x:v>English, French, Portuguese, Spanish, Spanish</x:v>
      </x:c>
      <x:c r="AJ1142" s="7" t="str"/>
      <x:c r="AK1142" s="15" t="str"/>
      <x:c r="AL1142" s="7" t="str"/>
      <x:c r="AM1142" s="7" t="str">
        <x:v>aguilar m shanty | AGUILAR MORA SHANTY</x:v>
      </x:c>
      <x:c r="AN1142" s="7" t="str">
        <x:v>https://cdicloud.insurance.ca.gov/cal/LicenseDetail?SearchType=IND&amp;SearchLicNbr=0J08461&amp;SearchIndvId=1699399</x:v>
      </x:c>
      <x:c r="AO1142" s="7" t="str">
        <x:v>2026-10-08</x:v>
      </x:c>
      <x:c r="AP1142" s="7" t="str">
        <x:v>31977c7445987c5da3b432fa711e2a4d1d148b002ef52114ab51dcce4d45605b</x:v>
      </x:c>
      <x:c r="AQ1142" s="7" t="str">
        <x:v>Casualty / Active / 09/19/2014 / 09/19/2014 / 09/30/2028
Property / Active / 09/19/2014 / 09/19/2014 / 09/30/2028</x:v>
      </x:c>
      <x:c r="AR1142" s="7" t="str">
        <x:v>Active</x:v>
      </x:c>
      <x:c r="AS1142" s="7" t="str">
        <x:v>Current detail page</x:v>
      </x:c>
    </x:row>
    <x:row r="1143" ht="52" customHeight="1">
      <x:c r="A1143" s="7" t="str">
        <x:v>AGUILAR SHIRLEY ANN</x:v>
      </x:c>
      <x:c r="B1143" s="14" t="str">
        <x:f>"4103136"</x:f>
        <x:v>4103136</x:v>
      </x:c>
      <x:c r="C1143" s="7" t="str">
        <x:v>Omitted</x:v>
      </x:c>
      <x:c r="D1143" s="7" t="str">
        <x:v>FAIL</x:v>
      </x:c>
      <x:c r="E1143" s="13" t="str">
        <x:v>Pending</x:v>
      </x:c>
      <x:c r="F1143" s="13" t="str"/>
      <x:c r="G1143" s="13" t="str"/>
      <x:c r="H1143" s="13" t="str"/>
      <x:c r="I1143" s="7" t="str">
        <x:v>Was this person reviewed? If rejected, give the actual rule and evidence. If acceptable, correct the omission. Confirm the Life-qualification gate and any record change since selection.</x:v>
      </x:c>
      <x:c r="J1143" s="7" t="str">
        <x:v>L1</x:v>
      </x:c>
      <x:c r="K1143" s="7" t="str">
        <x:v>Verified qualifications do not include active general Life. Current target-pool mismatch; actual historical omission reason unknown.</x:v>
      </x:c>
      <x:c r="L1143" s="7" t="str">
        <x:v>Not supplied; membership is known, motive is not</x:v>
      </x:c>
      <x:c r="M1143" s="7" t="n">
        <x:v>7</x:v>
      </x:c>
      <x:c r="N1143" s="7" t="str">
        <x:v>Outside current general-Life recruiting pool</x:v>
      </x:c>
      <x:c r="O1143" s="7" t="str">
        <x:v>Not displayed</x:v>
      </x:c>
      <x:c r="P1143" s="7" t="str"/>
      <x:c r="Q1143" s="7" t="str"/>
      <x:c r="R1143" s="7" t="str">
        <x:v>Casualty; Property</x:v>
      </x:c>
      <x:c r="S1143" s="15" t="str">
        <x:v>707-427-5160</x:v>
      </x:c>
      <x:c r="T1143" s="7" t="str">
        <x:v>Current CDI</x:v>
      </x:c>
      <x:c r="U1143" s="7" t="str">
        <x:v>340 TRAVIS BOULEVARD FAIRFIELD CA, 94533</x:v>
      </x:c>
      <x:c r="V1143" s="7" t="str">
        <x:v>Resident</x:v>
      </x:c>
      <x:c r="W1143" s="7" t="str">
        <x:v>CA</x:v>
      </x:c>
      <x:c r="X1143" s="7" t="str">
        <x:v>ACCEPTANCE INSURANCE AGENCY OF TENNESSEE, INC. / Property / 03/24/2023
ACCEPTANCE INSURANCE AGENCY OF TENNESSEE, INC. / Casualty / 03/24/2023</x:v>
      </x:c>
      <x:c r="Y1143" s="7" t="str">
        <x:v>FIRST ACCEPTANCE INSURANCE COMPANY, INC. / Casualty / 02/28/2025
FIRST ACCEPTANCE INSURANCE COMPANY, INC. / Property / 02/28/2025
INFINITY INSURANCE COMPANY / Casualty / 03/15/2023
INFINITY INSURANCE COMPANY / Property / 03/15/2023
INFINITY SELECT INSURANCE COMPANY / Casualty / 03/15/2023
INFINITY SELECT INSURANCE COMPANY / Property / 03/15/2023
NATION MOTOR CLUB, LLC / Motor Club / 03/04/2021</x:v>
      </x:c>
      <x:c r="Z1143" s="7" t="str"/>
      <x:c r="AA1143" s="7" t="str"/>
      <x:c r="AB1143" s="7" t="str"/>
      <x:c r="AC1143" s="7" t="str"/>
      <x:c r="AD1143" s="7" t="str"/>
      <x:c r="AE1143" s="7" t="str">
        <x:v>P&amp;C/Personal Lines authority without displayed core Life appointments; mixed profile requires review</x:v>
      </x:c>
      <x:c r="AF1143" s="16" t="str"/>
      <x:c r="AG1143" s="17" t="str"/>
      <x:c r="AH1143" s="7" t="str"/>
      <x:c r="AI1143" s="7" t="str">
        <x:v>English</x:v>
      </x:c>
      <x:c r="AJ1143" s="7" t="str"/>
      <x:c r="AK1143" s="15" t="str"/>
      <x:c r="AL1143" s="7" t="str"/>
      <x:c r="AM1143" s="7" t="str">
        <x:v>AGUILAR ANN SHIRLEY</x:v>
      </x:c>
      <x:c r="AN1143" s="7" t="str">
        <x:v>https://cdicloud.insurance.ca.gov/cal/LicenseDetail?SearchType=IND&amp;SearchLicNbr=4103136&amp;SearchIndvId=4103136</x:v>
      </x:c>
      <x:c r="AO1143" s="7" t="str">
        <x:v>2026-10-08</x:v>
      </x:c>
      <x:c r="AP1143" s="7" t="str">
        <x:v>68de38381e63b31de3101e56cd9704d84107c58a7b6f97f068adfb4280664d40</x:v>
      </x:c>
      <x:c r="AQ1143" s="7" t="str">
        <x:v>Casualty / Active / 03/01/2021 / 03/01/2021 / 03/31/2027
Property / Active / 03/01/2021 / 03/01/2021 / 03/31/2027</x:v>
      </x:c>
      <x:c r="AR1143" s="7" t="str">
        <x:v>Active</x:v>
      </x:c>
      <x:c r="AS1143" s="7" t="str">
        <x:v>Current detail page</x:v>
      </x:c>
    </x:row>
    <x:row r="1144" ht="52" customHeight="1">
      <x:c r="A1144" s="7" t="str">
        <x:v>AGUILAR SILVIA MARITZA</x:v>
      </x:c>
      <x:c r="B1144" s="14" t="str">
        <x:f>"0C39134"</x:f>
        <x:v>0C39134</x:v>
      </x:c>
      <x:c r="C1144" s="7" t="str">
        <x:v>Omitted</x:v>
      </x:c>
      <x:c r="D1144" s="7" t="str">
        <x:v>FAIL</x:v>
      </x:c>
      <x:c r="E1144" s="13" t="str">
        <x:v>Pending</x:v>
      </x:c>
      <x:c r="F1144" s="13" t="str"/>
      <x:c r="G1144" s="13" t="str"/>
      <x:c r="H1144" s="13" t="str"/>
      <x:c r="I1144" s="7" t="str">
        <x:v>Was this person reviewed? If rejected, give the actual rule and evidence. If acceptable, correct the omission. Confirm the Life-qualification gate and any record change since selection.</x:v>
      </x:c>
      <x:c r="J1144" s="7" t="str">
        <x:v>L1</x:v>
      </x:c>
      <x:c r="K1144" s="7" t="str">
        <x:v>Verified qualifications do not include active general Life. Current target-pool mismatch; actual historical omission reason unknown.</x:v>
      </x:c>
      <x:c r="L1144" s="7" t="str">
        <x:v>Not supplied; membership is known, motive is not</x:v>
      </x:c>
      <x:c r="M1144" s="7" t="n">
        <x:v>7</x:v>
      </x:c>
      <x:c r="N1144" s="7" t="str">
        <x:v>Outside current general-Life recruiting pool</x:v>
      </x:c>
      <x:c r="O1144" s="7" t="str">
        <x:v>Not displayed</x:v>
      </x:c>
      <x:c r="P1144" s="7" t="str"/>
      <x:c r="Q1144" s="7" t="str"/>
      <x:c r="R1144" s="7" t="str"/>
      <x:c r="S1144" s="15" t="str"/>
      <x:c r="T1144" s="7" t="str">
        <x:v>No public business phone in collected record</x:v>
      </x:c>
      <x:c r="U1144" s="7" t="str"/>
      <x:c r="V1144" s="7" t="str">
        <x:v>Resident</x:v>
      </x:c>
      <x:c r="W1144" s="7" t="str">
        <x:v>CA</x:v>
      </x:c>
      <x:c r="X1144" s="7" t="str">
        <x:v>PRIMERICA FINANCIAL SERVICES INSURANCE MARKETING, INC. / Life-Only / 08/04/1998
PRIMERICA FINANCIAL SERVICES INSURANCE MARKETING, INC. / Property Broker-Agent / 11/09/1998
PRIMERICA FINANCIAL SERVICES INSURANCE MARKETING, INC. / Accident and Health / 08/04/1998
PRIMERICA FINANCIAL SERVICES INSURANCE MARKETING, INC. / Casualty Broker-Agent / 11/09/1998</x:v>
      </x:c>
      <x:c r="Y1144" s="7" t="str"/>
      <x:c r="Z1144" s="7" t="str"/>
      <x:c r="AA1144" s="7" t="str"/>
      <x:c r="AB1144" s="7" t="str"/>
      <x:c r="AC1144" s="7" t="str"/>
      <x:c r="AD1144" s="7" t="str">
        <x:v>Primerica relationship: matches an explicitly targeted recruiting segment</x:v>
      </x:c>
      <x:c r="AE1144" s="7" t="str">
        <x:v>No public business phone: contact enrichment needed, not proof of poor recruiting fit</x:v>
      </x:c>
      <x:c r="AF1144" s="16" t="str"/>
      <x:c r="AG1144" s="17" t="str"/>
      <x:c r="AH1144" s="7" t="str"/>
      <x:c r="AI1144" s="7" t="str"/>
      <x:c r="AJ1144" s="7" t="str"/>
      <x:c r="AK1144" s="15" t="str"/>
      <x:c r="AL1144" s="7" t="str"/>
      <x:c r="AM1144" s="7" t="str">
        <x:v>AGUILAR MARITZA SILVIA</x:v>
      </x:c>
      <x:c r="AN1144" s="7" t="str">
        <x:v>https://cdicloud.insurance.ca.gov/cal/LicenseDetail?SearchType=IND&amp;SearchLicNbr=0C39134&amp;SearchIndvId=313740</x:v>
      </x:c>
      <x:c r="AO1144" s="7" t="str">
        <x:v>2026-10-08</x:v>
      </x:c>
      <x:c r="AP1144" s="7" t="str">
        <x:v>148c205273ca7b82d6431c87a39f41762812a4f71c244ee87ae9526d56067ad4</x:v>
      </x:c>
      <x:c r="AQ1144" s="7" t="str">
        <x:v>Accident and Health / Inactive / 08/04/1998 / 08/31/2002 / 08/31/2002
Casualty Broker-Agent / Inactive / 11/09/1998 / 08/31/2002 / 08/31/2002
Life-Only / Inactive / 08/04/1998 / 08/31/2002 / 08/31/2002
Property Broker-Agent / Inactive / 11/09/1998 / 08/31/2002 / 08/31/2002</x:v>
      </x:c>
      <x:c r="AR1144" s="7" t="str">
        <x:v>Inactive</x:v>
      </x:c>
      <x:c r="AS1144" s="7" t="str">
        <x:v>Current detail page</x:v>
      </x:c>
    </x:row>
    <x:row r="1145" ht="52" customHeight="1">
      <x:c r="A1145" s="7" t="str">
        <x:v>AGUILAR SOFIA</x:v>
      </x:c>
      <x:c r="B1145" s="14" t="str">
        <x:f>"0F74087"</x:f>
        <x:v>0F74087</x:v>
      </x:c>
      <x:c r="C1145" s="7" t="str">
        <x:v>Omitted</x:v>
      </x:c>
      <x:c r="D1145" s="7" t="str">
        <x:v>FAIL</x:v>
      </x:c>
      <x:c r="E1145" s="13" t="str">
        <x:v>Pending</x:v>
      </x:c>
      <x:c r="F1145" s="13" t="str"/>
      <x:c r="G1145" s="13" t="str"/>
      <x:c r="H1145" s="13" t="str"/>
      <x:c r="I1145" s="7" t="str">
        <x:v>Was this person reviewed? If rejected, give the actual rule and evidence. If acceptable, correct the omission. Confirm the Life-qualification gate and any record change since selection.</x:v>
      </x:c>
      <x:c r="J1145" s="7" t="str">
        <x:v>L1</x:v>
      </x:c>
      <x:c r="K1145" s="7" t="str">
        <x:v>Verified qualifications do not include active general Life. Current target-pool mismatch; actual historical omission reason unknown.</x:v>
      </x:c>
      <x:c r="L1145" s="7" t="str">
        <x:v>Not supplied; membership is known, motive is not</x:v>
      </x:c>
      <x:c r="M1145" s="7" t="n">
        <x:v>7</x:v>
      </x:c>
      <x:c r="N1145" s="7" t="str">
        <x:v>Outside current general-Life recruiting pool</x:v>
      </x:c>
      <x:c r="O1145" s="7" t="str">
        <x:v>Inactive</x:v>
      </x:c>
      <x:c r="P1145" s="7" t="str">
        <x:v>08/07/2007</x:v>
      </x:c>
      <x:c r="Q1145" s="7" t="str">
        <x:v>08/31/2021</x:v>
      </x:c>
      <x:c r="R1145" s="7" t="str"/>
      <x:c r="S1145" s="15" t="str"/>
      <x:c r="T1145" s="7" t="str">
        <x:v>No public business phone in collected record</x:v>
      </x:c>
      <x:c r="U1145" s="7" t="str"/>
      <x:c r="V1145" s="7" t="str">
        <x:v>Resident</x:v>
      </x:c>
      <x:c r="W1145" s="7" t="str">
        <x:v>CA</x:v>
      </x:c>
      <x:c r="X1145" s="7" t="str"/>
      <x:c r="Y1145" s="7" t="str"/>
      <x:c r="Z1145" s="7" t="str"/>
      <x:c r="AA1145" s="7" t="str"/>
      <x:c r="AB1145" s="7" t="str"/>
      <x:c r="AC1145" s="7" t="str"/>
      <x:c r="AD1145" s="7" t="str">
        <x:v>No agency or insurer displayed: onboarding opportunity possible; existing business unknown</x:v>
      </x:c>
      <x:c r="AE1145" s="7" t="str">
        <x:v>No public business phone: contact enrichment needed, not proof of poor recruiting fit</x:v>
      </x:c>
      <x:c r="AF1145" s="16" t="str"/>
      <x:c r="AG1145" s="17" t="str"/>
      <x:c r="AH1145" s="7" t="str"/>
      <x:c r="AI1145" s="7" t="str">
        <x:v>English, Spanish, Spanish</x:v>
      </x:c>
      <x:c r="AJ1145" s="7" t="str"/>
      <x:c r="AK1145" s="15" t="str"/>
      <x:c r="AL1145" s="7" t="str"/>
      <x:c r="AM1145" s="7" t="str">
        <x:v>AGUILAR  SOFIA</x:v>
      </x:c>
      <x:c r="AN1145" s="7" t="str">
        <x:v>https://cdicloud.insurance.ca.gov/cal/LicenseDetail?SearchType=IND&amp;SearchLicNbr=0F74087&amp;SearchIndvId=1095336</x:v>
      </x:c>
      <x:c r="AO1145" s="7" t="str">
        <x:v>2026-10-08</x:v>
      </x:c>
      <x:c r="AP1145" s="7" t="str">
        <x:v>9b5ade6ecc6fdc97662e99ca6893aa4d912d87eac528d6d7bb522c0bd84a8d87</x:v>
      </x:c>
      <x:c r="AQ1145" s="7" t="str">
        <x:v>Accident &amp; Health or Sickness / Inactive / 08/07/2007 / 08/31/2021 / 08/31/2021
Life / Inactive / 08/07/2007 / 08/31/2021 / 08/31/2021</x:v>
      </x:c>
      <x:c r="AR1145" s="7" t="str">
        <x:v>Inactive</x:v>
      </x:c>
      <x:c r="AS1145" s="7" t="str">
        <x:v>Current detail page</x:v>
      </x:c>
    </x:row>
    <x:row r="1146" ht="52" customHeight="1">
      <x:c r="A1146" s="7" t="str">
        <x:v>AGUILAR SONIA</x:v>
      </x:c>
      <x:c r="B1146" s="14" t="str">
        <x:f>"0E30711"</x:f>
        <x:v>0E30711</x:v>
      </x:c>
      <x:c r="C1146" s="7" t="str">
        <x:v>Omitted</x:v>
      </x:c>
      <x:c r="D1146" s="7" t="str">
        <x:v>FAIL</x:v>
      </x:c>
      <x:c r="E1146" s="13" t="str">
        <x:v>Pending</x:v>
      </x:c>
      <x:c r="F1146" s="13" t="str"/>
      <x:c r="G1146" s="13" t="str"/>
      <x:c r="H1146" s="13" t="str"/>
      <x:c r="I1146" s="7" t="str">
        <x:v>Was this person reviewed? If rejected, give the actual rule and evidence. If acceptable, correct the omission. Confirm the Life-qualification gate and any record change since selection.</x:v>
      </x:c>
      <x:c r="J1146" s="7" t="str">
        <x:v>L1</x:v>
      </x:c>
      <x:c r="K1146" s="7" t="str">
        <x:v>Verified qualifications do not include active general Life. Current target-pool mismatch; actual historical omission reason unknown.</x:v>
      </x:c>
      <x:c r="L1146" s="7" t="str">
        <x:v>Not supplied; membership is known, motive is not</x:v>
      </x:c>
      <x:c r="M1146" s="7" t="n">
        <x:v>7</x:v>
      </x:c>
      <x:c r="N1146" s="7" t="str">
        <x:v>Outside current general-Life recruiting pool</x:v>
      </x:c>
      <x:c r="O1146" s="7" t="str">
        <x:v>Not displayed</x:v>
      </x:c>
      <x:c r="P1146" s="7" t="str"/>
      <x:c r="Q1146" s="7" t="str"/>
      <x:c r="R1146" s="7" t="str"/>
      <x:c r="S1146" s="15" t="str"/>
      <x:c r="T1146" s="7" t="str">
        <x:v>No public business phone in collected record</x:v>
      </x:c>
      <x:c r="U1146" s="7" t="str"/>
      <x:c r="V1146" s="7" t="str">
        <x:v>Resident</x:v>
      </x:c>
      <x:c r="W1146" s="7" t="str">
        <x:v>CA</x:v>
      </x:c>
      <x:c r="X1146" s="7" t="str"/>
      <x:c r="Y1146" s="7" t="str"/>
      <x:c r="Z1146" s="7" t="str"/>
      <x:c r="AA1146" s="7" t="str"/>
      <x:c r="AB1146" s="7" t="str"/>
      <x:c r="AC1146" s="7" t="str"/>
      <x:c r="AD1146" s="7" t="str">
        <x:v>No agency or insurer displayed: onboarding opportunity possible; existing business unknown</x:v>
      </x:c>
      <x:c r="AE1146" s="7" t="str">
        <x:v>No public business phone: contact enrichment needed, not proof of poor recruiting fit</x:v>
      </x:c>
      <x:c r="AF1146" s="16" t="str"/>
      <x:c r="AG1146" s="17" t="str"/>
      <x:c r="AH1146" s="7" t="str"/>
      <x:c r="AI1146" s="7" t="str"/>
      <x:c r="AJ1146" s="7" t="str"/>
      <x:c r="AK1146" s="15" t="str"/>
      <x:c r="AL1146" s="7" t="str"/>
      <x:c r="AM1146" s="7" t="str">
        <x:v>AGUILAR  SONIA</x:v>
      </x:c>
      <x:c r="AN1146" s="7" t="str">
        <x:v>https://cdicloud.insurance.ca.gov/cal/LicenseDetail?SearchType=IND&amp;SearchLicNbr=0E30711&amp;SearchIndvId=881212</x:v>
      </x:c>
      <x:c r="AO1146" s="7" t="str">
        <x:v>2026-10-08</x:v>
      </x:c>
      <x:c r="AP1146" s="7" t="str">
        <x:v>fdc8710dca6e0a902497a3423b62dd98b045997678fece92da82551d26ddb4b5</x:v>
      </x:c>
      <x:c r="AQ1146" s="7" t="str">
        <x:v>Accident and Health / Inactive / 01/23/2004 / 01/31/2006 / 01/31/2006
Life-Only / Inactive / 01/23/2004 / 01/31/2006 / 01/31/2006</x:v>
      </x:c>
      <x:c r="AR1146" s="7" t="str">
        <x:v>Inactive</x:v>
      </x:c>
      <x:c r="AS1146" s="7" t="str">
        <x:v>Current detail page</x:v>
      </x:c>
    </x:row>
    <x:row r="1147" ht="52" customHeight="1">
      <x:c r="A1147" s="7" t="str">
        <x:v>AGUILAR SOPHIE MICHELLE</x:v>
      </x:c>
      <x:c r="B1147" s="14" t="str">
        <x:f>"0K41182"</x:f>
        <x:v>0K41182</x:v>
      </x:c>
      <x:c r="C1147" s="7" t="str">
        <x:v>Omitted</x:v>
      </x:c>
      <x:c r="D1147" s="7" t="str">
        <x:v>FAIL</x:v>
      </x:c>
      <x:c r="E1147" s="13" t="str">
        <x:v>Pending</x:v>
      </x:c>
      <x:c r="F1147" s="13" t="str"/>
      <x:c r="G1147" s="13" t="str"/>
      <x:c r="H1147" s="13" t="str"/>
      <x:c r="I1147" s="7" t="str">
        <x:v>Was this person reviewed? If rejected, give the actual rule and evidence. If acceptable, correct the omission. Confirm the Life-qualification gate and any record change since selection.</x:v>
      </x:c>
      <x:c r="J1147" s="7" t="str">
        <x:v>L1</x:v>
      </x:c>
      <x:c r="K1147" s="7" t="str">
        <x:v>Verified qualifications do not include active general Life. Current target-pool mismatch; actual historical omission reason unknown.</x:v>
      </x:c>
      <x:c r="L1147" s="7" t="str">
        <x:v>Not supplied; membership is known, motive is not</x:v>
      </x:c>
      <x:c r="M1147" s="7" t="n">
        <x:v>7</x:v>
      </x:c>
      <x:c r="N1147" s="7" t="str">
        <x:v>Outside current general-Life recruiting pool</x:v>
      </x:c>
      <x:c r="O1147" s="7" t="str">
        <x:v>Not displayed</x:v>
      </x:c>
      <x:c r="P1147" s="7" t="str"/>
      <x:c r="Q1147" s="7" t="str"/>
      <x:c r="R1147" s="7" t="str"/>
      <x:c r="S1147" s="15" t="str"/>
      <x:c r="T1147" s="7" t="str">
        <x:v>No public business phone in collected record</x:v>
      </x:c>
      <x:c r="U1147" s="7" t="str"/>
      <x:c r="V1147" s="7" t="str">
        <x:v>Resident</x:v>
      </x:c>
      <x:c r="W1147" s="7" t="str">
        <x:v>CA</x:v>
      </x:c>
      <x:c r="X1147" s="7" t="str"/>
      <x:c r="Y1147" s="7" t="str"/>
      <x:c r="Z1147" s="7" t="str"/>
      <x:c r="AA1147" s="7" t="str"/>
      <x:c r="AB1147" s="7" t="str"/>
      <x:c r="AC1147" s="7" t="str"/>
      <x:c r="AD1147" s="7" t="str">
        <x:v>No agency or insurer displayed: onboarding opportunity possible; existing business unknown</x:v>
      </x:c>
      <x:c r="AE1147" s="7" t="str">
        <x:v>No public business phone: contact enrichment needed, not proof of poor recruiting fit</x:v>
      </x:c>
      <x:c r="AF1147" s="16" t="str"/>
      <x:c r="AG1147" s="17" t="str"/>
      <x:c r="AH1147" s="7" t="str"/>
      <x:c r="AI1147" s="7" t="str"/>
      <x:c r="AJ1147" s="7" t="str"/>
      <x:c r="AK1147" s="15" t="str"/>
      <x:c r="AL1147" s="7" t="str"/>
      <x:c r="AM1147" s="7" t="str">
        <x:v>Aguilar M Sophie | AGUILAR MICHELLE SOPHIE</x:v>
      </x:c>
      <x:c r="AN1147" s="7" t="str">
        <x:v>https://cdicloud.insurance.ca.gov/cal/LicenseDetail?SearchType=IND&amp;SearchLicNbr=0K41182&amp;SearchIndvId=1775783</x:v>
      </x:c>
      <x:c r="AO1147" s="7" t="str">
        <x:v>2026-10-08</x:v>
      </x:c>
      <x:c r="AP1147" s="7" t="str">
        <x:v>1d3a2f6e2b16812cdde1a9b0b0ddb73ba981f0a9cb1b37fcdde8a3bfe1ba8f24</x:v>
      </x:c>
      <x:c r="AQ1147" s="7" t="str">
        <x:v>Accident and Health / Inactive / 08/13/2015 / 08/31/2017 / 08/31/2017
Life-Only / Inactive / 08/13/2015 / 08/31/2017 / 08/31/2017</x:v>
      </x:c>
      <x:c r="AR1147" s="7" t="str">
        <x:v>Inactive</x:v>
      </x:c>
      <x:c r="AS1147" s="7" t="str">
        <x:v>Current detail page</x:v>
      </x:c>
    </x:row>
    <x:row r="1148" ht="52" customHeight="1">
      <x:c r="A1148" s="7" t="str">
        <x:v>AGUILAR SOTELLO JENNIFER NICHOLE</x:v>
      </x:c>
      <x:c r="B1148" s="14" t="str">
        <x:f>"4484568"</x:f>
        <x:v>4484568</x:v>
      </x:c>
      <x:c r="C1148" s="7" t="str">
        <x:v>Omitted</x:v>
      </x:c>
      <x:c r="D1148" s="7" t="str">
        <x:v>FAIL</x:v>
      </x:c>
      <x:c r="E1148" s="13" t="str">
        <x:v>Pending</x:v>
      </x:c>
      <x:c r="F1148" s="13" t="str"/>
      <x:c r="G1148" s="13" t="str"/>
      <x:c r="H1148" s="13" t="str"/>
      <x:c r="I1148" s="7" t="str">
        <x:v>Was this person reviewed? If rejected, give the actual rule and evidence. If acceptable, correct the omission. Confirm the Life-qualification gate and any record change since selection.</x:v>
      </x:c>
      <x:c r="J1148" s="7" t="str">
        <x:v>L1</x:v>
      </x:c>
      <x:c r="K1148" s="7" t="str">
        <x:v>Verified qualifications do not include active general Life. Current target-pool mismatch; actual historical omission reason unknown.</x:v>
      </x:c>
      <x:c r="L1148" s="7" t="str">
        <x:v>Not supplied; membership is known, motive is not</x:v>
      </x:c>
      <x:c r="M1148" s="7" t="n">
        <x:v>7</x:v>
      </x:c>
      <x:c r="N1148" s="7" t="str">
        <x:v>Outside current general-Life recruiting pool</x:v>
      </x:c>
      <x:c r="O1148" s="7" t="str">
        <x:v>Not displayed</x:v>
      </x:c>
      <x:c r="P1148" s="7" t="str"/>
      <x:c r="Q1148" s="7" t="str"/>
      <x:c r="R1148" s="7" t="str">
        <x:v>Personal Lines</x:v>
      </x:c>
      <x:c r="S1148" s="15" t="str"/>
      <x:c r="T1148" s="7" t="str">
        <x:v>No public business phone in collected record</x:v>
      </x:c>
      <x:c r="U1148" s="7" t="str">
        <x:v>9800 FREDERICKSBURG RD SAN ANTONIO TX, 78288-0001</x:v>
      </x:c>
      <x:c r="V1148" s="7" t="str">
        <x:v>Non-resident</x:v>
      </x:c>
      <x:c r="W1148" s="7" t="str">
        <x:v>TX</x:v>
      </x:c>
      <x:c r="X1148" s="7" t="str"/>
      <x:c r="Y1148" s="7" t="str">
        <x:v>GARRISON PROPERTY AND CASUALTY INSURANCE COMPANY / Personal Lines / 08/22/2025
UNITED SERVICES AUTOMOBILE ASSOCIATION / Personal Lines / 08/22/2025
USAA CASUALTY INSURANCE COMPANY / Personal Lines / 08/22/2025
USAA GENERAL INDEMNITY COMPANY / Personal Lines / 08/22/2025</x:v>
      </x:c>
      <x:c r="Z1148" s="7" t="str"/>
      <x:c r="AA1148" s="7" t="str"/>
      <x:c r="AB1148" s="7" t="str"/>
      <x:c r="AC1148" s="7" t="str"/>
      <x:c r="AD1148" s="7" t="str"/>
      <x:c r="AE1148"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1148" s="16" t="str"/>
      <x:c r="AG1148" s="17" t="str"/>
      <x:c r="AH1148" s="7" t="str"/>
      <x:c r="AI1148" s="7" t="str"/>
      <x:c r="AJ1148" s="7" t="str"/>
      <x:c r="AK1148" s="15" t="str"/>
      <x:c r="AL1148" s="7" t="str"/>
      <x:c r="AM1148" s="7" t="str">
        <x:v>AGUILAR SOTELLO NICHOLE JENNIFER</x:v>
      </x:c>
      <x:c r="AN1148" s="7" t="str">
        <x:v>https://cdicloud.insurance.ca.gov/cal/LicenseDetail?SearchType=IND&amp;SearchLicNbr=4484568&amp;SearchIndvId=4484568</x:v>
      </x:c>
      <x:c r="AO1148" s="7" t="str">
        <x:v>2026-10-08</x:v>
      </x:c>
      <x:c r="AP1148" s="7" t="str">
        <x:v>4f76810e4dc0e61a71f3f2ada010b116b16f6a3a4d2a8ffffe65e069bf67c6d4</x:v>
      </x:c>
      <x:c r="AQ1148" s="7" t="str">
        <x:v>Personal Lines / Active / 08/20/2025 / 08/20/2025 / 08/31/2027</x:v>
      </x:c>
      <x:c r="AR1148" s="7" t="str">
        <x:v>Active</x:v>
      </x:c>
      <x:c r="AS1148" s="7" t="str">
        <x:v>Current detail page</x:v>
      </x:c>
    </x:row>
    <x:row r="1149" ht="52" customHeight="1">
      <x:c r="A1149" s="7" t="str">
        <x:v>AGUILAR STACEY</x:v>
      </x:c>
      <x:c r="B1149" s="14" t="str">
        <x:f>"4480198"</x:f>
        <x:v>4480198</x:v>
      </x:c>
      <x:c r="C1149" s="7" t="str">
        <x:v>Omitted</x:v>
      </x:c>
      <x:c r="D1149" s="7" t="str">
        <x:v>FAIL</x:v>
      </x:c>
      <x:c r="E1149" s="13" t="str">
        <x:v>Pending</x:v>
      </x:c>
      <x:c r="F1149" s="13" t="str"/>
      <x:c r="G1149" s="13" t="str"/>
      <x:c r="H1149" s="13" t="str"/>
      <x:c r="I1149" s="7" t="str">
        <x:v>Was this person reviewed? If rejected, give the actual rule and evidence. If acceptable, correct the omission. Confirm the Life-qualification gate and any record change since selection.</x:v>
      </x:c>
      <x:c r="J1149" s="7" t="str">
        <x:v>L1</x:v>
      </x:c>
      <x:c r="K1149" s="7" t="str">
        <x:v>Verified qualifications do not include active general Life. Current target-pool mismatch; actual historical omission reason unknown.</x:v>
      </x:c>
      <x:c r="L1149" s="7" t="str">
        <x:v>Not supplied; membership is known, motive is not</x:v>
      </x:c>
      <x:c r="M1149" s="7" t="n">
        <x:v>7</x:v>
      </x:c>
      <x:c r="N1149" s="7" t="str">
        <x:v>Outside current general-Life recruiting pool</x:v>
      </x:c>
      <x:c r="O1149" s="7" t="str">
        <x:v>Not displayed</x:v>
      </x:c>
      <x:c r="P1149" s="7" t="str"/>
      <x:c r="Q1149" s="7" t="str"/>
      <x:c r="R1149" s="7" t="str">
        <x:v>Personal Lines</x:v>
      </x:c>
      <x:c r="S1149" s="15" t="str">
        <x:v>760-477-5454</x:v>
      </x:c>
      <x:c r="T1149" s="7" t="str">
        <x:v>Current CDI</x:v>
      </x:c>
      <x:c r="U1149" s="7" t="str">
        <x:v>17384 MAIN ST HESPERIA CA, 92345</x:v>
      </x:c>
      <x:c r="V1149" s="7" t="str">
        <x:v>Resident</x:v>
      </x:c>
      <x:c r="W1149" s="7" t="str">
        <x:v>CA</x:v>
      </x:c>
      <x:c r="X1149" s="7" t="str"/>
      <x:c r="Y1149" s="7" t="str"/>
      <x:c r="Z1149" s="7" t="str"/>
      <x:c r="AA1149" s="7" t="str"/>
      <x:c r="AB1149" s="7" t="str"/>
      <x:c r="AC1149" s="7" t="str"/>
      <x:c r="AD1149" s="7" t="str">
        <x:v>No agency or insurer displayed: onboarding opportunity possible; existing business unknown</x:v>
      </x:c>
      <x:c r="AE1149" s="7" t="str">
        <x:v>P&amp;C/Personal Lines authority without displayed core Life appointments; mixed profile requires review</x:v>
      </x:c>
      <x:c r="AF1149" s="16" t="str"/>
      <x:c r="AG1149" s="17" t="str"/>
      <x:c r="AH1149" s="7" t="str"/>
      <x:c r="AI1149" s="7" t="str">
        <x:v>English</x:v>
      </x:c>
      <x:c r="AJ1149" s="7" t="str"/>
      <x:c r="AK1149" s="15" t="str"/>
      <x:c r="AL1149" s="7" t="str"/>
      <x:c r="AM1149" s="7" t="str">
        <x:v>AGUILAR  STACEY</x:v>
      </x:c>
      <x:c r="AN1149" s="7" t="str">
        <x:v>https://cdicloud.insurance.ca.gov/cal/LicenseDetail?SearchType=IND&amp;SearchLicNbr=4480198&amp;SearchIndvId=4480198</x:v>
      </x:c>
      <x:c r="AO1149" s="7" t="str">
        <x:v>2026-10-08</x:v>
      </x:c>
      <x:c r="AP1149" s="7" t="str">
        <x:v>b6bddda8227b3b1280688e2475677563ef49a21c0cac84ba97abfb92c33f6d10</x:v>
      </x:c>
      <x:c r="AQ1149" s="7" t="str">
        <x:v>Personal Lines / Active / 08/07/2025 / 08/07/2025 / 08/31/2027</x:v>
      </x:c>
      <x:c r="AR1149" s="7" t="str">
        <x:v>Active</x:v>
      </x:c>
      <x:c r="AS1149" s="7" t="str">
        <x:v>Current detail page</x:v>
      </x:c>
    </x:row>
    <x:row r="1150" ht="52" customHeight="1">
      <x:c r="A1150" s="7" t="str">
        <x:v>AGUILAR STACEY MARIE</x:v>
      </x:c>
      <x:c r="B1150" s="14" t="str">
        <x:f>"0G12746"</x:f>
        <x:v>0G12746</x:v>
      </x:c>
      <x:c r="C1150" s="7" t="str">
        <x:v>Omitted</x:v>
      </x:c>
      <x:c r="D1150" s="7" t="str">
        <x:v>FAIL</x:v>
      </x:c>
      <x:c r="E1150" s="13" t="str">
        <x:v>Pending</x:v>
      </x:c>
      <x:c r="F1150" s="13" t="str"/>
      <x:c r="G1150" s="13" t="str"/>
      <x:c r="H1150" s="13" t="str"/>
      <x:c r="I1150" s="7" t="str">
        <x:v>Was this person reviewed? If rejected, give the actual rule and evidence. If acceptable, correct the omission. Confirm the Life-qualification gate and any record change since selection.</x:v>
      </x:c>
      <x:c r="J1150" s="7" t="str">
        <x:v>L1</x:v>
      </x:c>
      <x:c r="K1150" s="7" t="str">
        <x:v>Verified qualifications do not include active general Life. Current target-pool mismatch; actual historical omission reason unknown.</x:v>
      </x:c>
      <x:c r="L1150" s="7" t="str">
        <x:v>Not supplied; membership is known, motive is not</x:v>
      </x:c>
      <x:c r="M1150" s="7" t="n">
        <x:v>7</x:v>
      </x:c>
      <x:c r="N1150" s="7" t="str">
        <x:v>Outside current general-Life recruiting pool</x:v>
      </x:c>
      <x:c r="O1150" s="7" t="str">
        <x:v>Not displayed</x:v>
      </x:c>
      <x:c r="P1150" s="7" t="str"/>
      <x:c r="Q1150" s="7" t="str"/>
      <x:c r="R1150" s="7" t="str"/>
      <x:c r="S1150" s="15" t="str"/>
      <x:c r="T1150" s="7" t="str">
        <x:v>No public business phone in collected record</x:v>
      </x:c>
      <x:c r="U1150" s="7" t="str"/>
      <x:c r="V1150" s="7" t="str">
        <x:v>Resident</x:v>
      </x:c>
      <x:c r="W1150" s="7" t="str">
        <x:v>CA</x:v>
      </x:c>
      <x:c r="X1150" s="7" t="str"/>
      <x:c r="Y1150" s="7" t="str"/>
      <x:c r="Z1150" s="7" t="str"/>
      <x:c r="AA1150" s="7" t="str"/>
      <x:c r="AB1150" s="7" t="str"/>
      <x:c r="AC1150" s="7" t="str"/>
      <x:c r="AD1150" s="7" t="str">
        <x:v>No agency or insurer displayed: onboarding opportunity possible; existing business unknown</x:v>
      </x:c>
      <x:c r="AE1150" s="7" t="str">
        <x:v>No public business phone: contact enrichment needed, not proof of poor recruiting fit</x:v>
      </x:c>
      <x:c r="AF1150" s="16" t="str"/>
      <x:c r="AG1150" s="17" t="str"/>
      <x:c r="AH1150" s="7" t="str"/>
      <x:c r="AI1150" s="7" t="str"/>
      <x:c r="AJ1150" s="7" t="str"/>
      <x:c r="AK1150" s="15" t="str"/>
      <x:c r="AL1150" s="7" t="str"/>
      <x:c r="AM1150" s="7" t="str">
        <x:v>AGUILAR MARIE STACEY</x:v>
      </x:c>
      <x:c r="AN1150" s="7" t="str">
        <x:v>https://cdicloud.insurance.ca.gov/cal/LicenseDetail?SearchType=IND&amp;SearchLicNbr=0G12746&amp;SearchIndvId=1152565</x:v>
      </x:c>
      <x:c r="AO1150" s="7" t="str">
        <x:v>2026-10-08</x:v>
      </x:c>
      <x:c r="AP1150" s="7" t="str">
        <x:v>11c9051071c50d4be4eda8c937c118a5bea39c38b0bf75a89f70b416562aab77</x:v>
      </x:c>
      <x:c r="AQ1150" s="7" t="str">
        <x:v>Life-Only / Inactive / 05/30/2008 / 05/31/2010 / 05/31/2010</x:v>
      </x:c>
      <x:c r="AR1150" s="7" t="str">
        <x:v>Inactive</x:v>
      </x:c>
      <x:c r="AS1150" s="7" t="str">
        <x:v>Current detail page</x:v>
      </x:c>
    </x:row>
    <x:row r="1151" ht="52" customHeight="1">
      <x:c r="A1151" s="7" t="str">
        <x:v>AGUILAR STACY</x:v>
      </x:c>
      <x:c r="B1151" s="14" t="str">
        <x:f>"4375866"</x:f>
        <x:v>4375866</x:v>
      </x:c>
      <x:c r="C1151" s="7" t="str">
        <x:v>Omitted</x:v>
      </x:c>
      <x:c r="D1151" s="7" t="str">
        <x:v>FAIL</x:v>
      </x:c>
      <x:c r="E1151" s="13" t="str">
        <x:v>Pending</x:v>
      </x:c>
      <x:c r="F1151" s="13" t="str"/>
      <x:c r="G1151" s="13" t="str"/>
      <x:c r="H1151" s="13" t="str"/>
      <x:c r="I1151" s="7" t="str">
        <x:v>Was this person reviewed? If rejected, give the actual rule and evidence. If acceptable, correct the omission. Confirm the Life-qualification gate and any record change since selection.</x:v>
      </x:c>
      <x:c r="J1151" s="7" t="str">
        <x:v>L1</x:v>
      </x:c>
      <x:c r="K1151" s="7" t="str">
        <x:v>Verified qualifications do not include active general Life. Current target-pool mismatch; actual historical omission reason unknown.</x:v>
      </x:c>
      <x:c r="L1151" s="7" t="str">
        <x:v>Not supplied; membership is known, motive is not</x:v>
      </x:c>
      <x:c r="M1151" s="7" t="n">
        <x:v>7</x:v>
      </x:c>
      <x:c r="N1151" s="7" t="str">
        <x:v>Outside current general-Life recruiting pool</x:v>
      </x:c>
      <x:c r="O1151" s="7" t="str">
        <x:v>Inactive</x:v>
      </x:c>
      <x:c r="P1151" s="7" t="str">
        <x:v>04/23/2024</x:v>
      </x:c>
      <x:c r="Q1151" s="7" t="str">
        <x:v>04/30/2026</x:v>
      </x:c>
      <x:c r="R1151" s="7" t="str"/>
      <x:c r="S1151" s="15" t="str"/>
      <x:c r="T1151" s="7" t="str">
        <x:v>No public business phone in collected record</x:v>
      </x:c>
      <x:c r="U1151" s="7" t="str">
        <x:v>1830 F ST BAKERSFIELD CA, 93301</x:v>
      </x:c>
      <x:c r="V1151" s="7" t="str">
        <x:v>Resident</x:v>
      </x:c>
      <x:c r="W1151" s="7" t="str">
        <x:v>CA</x:v>
      </x:c>
      <x:c r="X1151" s="7" t="str"/>
      <x:c r="Y1151" s="7" t="str"/>
      <x:c r="Z1151" s="7" t="str"/>
      <x:c r="AA1151" s="7" t="str"/>
      <x:c r="AB1151" s="7" t="str"/>
      <x:c r="AC1151" s="7" t="str"/>
      <x:c r="AD1151" s="7" t="str">
        <x:v>No agency or insurer displayed: onboarding opportunity possible; existing business unknown</x:v>
      </x:c>
      <x:c r="AE1151" s="7" t="str">
        <x:v>No public business phone: contact enrichment needed, not proof of poor recruiting fit</x:v>
      </x:c>
      <x:c r="AF1151" s="16" t="str"/>
      <x:c r="AG1151" s="17" t="str"/>
      <x:c r="AH1151" s="7" t="str"/>
      <x:c r="AI1151" s="7" t="str">
        <x:v>English</x:v>
      </x:c>
      <x:c r="AJ1151" s="7" t="str"/>
      <x:c r="AK1151" s="15" t="str"/>
      <x:c r="AL1151" s="7" t="str"/>
      <x:c r="AM1151" s="7" t="str">
        <x:v>AGUILAR  STACY</x:v>
      </x:c>
      <x:c r="AN1151" s="7" t="str">
        <x:v>https://cdicloud.insurance.ca.gov/cal/LicenseDetail?SearchType=IND&amp;SearchLicNbr=4375866&amp;SearchIndvId=4375866</x:v>
      </x:c>
      <x:c r="AO1151" s="7" t="str">
        <x:v>2026-10-08</x:v>
      </x:c>
      <x:c r="AP1151" s="7" t="str">
        <x:v>110a585211893f1d2e1df9b06d66690c5970fbb8eddb3365edeb7dabdef6bf4e</x:v>
      </x:c>
      <x:c r="AQ1151" s="7" t="str">
        <x:v>Life / Inactive / 04/23/2024 / 04/30/2026 / 04/30/2026</x:v>
      </x:c>
      <x:c r="AR1151" s="7" t="str">
        <x:v>Inactive</x:v>
      </x:c>
      <x:c r="AS1151" s="7" t="str">
        <x:v>Current detail page</x:v>
      </x:c>
    </x:row>
    <x:row r="1152" ht="52" customHeight="1">
      <x:c r="A1152" s="7" t="str">
        <x:v>AGUILAR STEFAN-ANDONNI YAP</x:v>
      </x:c>
      <x:c r="B1152" s="14" t="str">
        <x:f>"0J05521"</x:f>
        <x:v>0J05521</x:v>
      </x:c>
      <x:c r="C1152" s="7" t="str">
        <x:v>Omitted</x:v>
      </x:c>
      <x:c r="D1152" s="7" t="str">
        <x:v>FAIL</x:v>
      </x:c>
      <x:c r="E1152" s="13" t="str">
        <x:v>Pending</x:v>
      </x:c>
      <x:c r="F1152" s="13" t="str"/>
      <x:c r="G1152" s="13" t="str"/>
      <x:c r="H1152" s="13" t="str"/>
      <x:c r="I1152" s="7" t="str">
        <x:v>Was this person reviewed? If rejected, give the actual rule and evidence. If acceptable, correct the omission. Confirm the Life-qualification gate and any record change since selection.</x:v>
      </x:c>
      <x:c r="J1152" s="7" t="str">
        <x:v>L1</x:v>
      </x:c>
      <x:c r="K1152" s="7" t="str">
        <x:v>Verified qualifications do not include active general Life. Current target-pool mismatch; actual historical omission reason unknown.</x:v>
      </x:c>
      <x:c r="L1152" s="7" t="str">
        <x:v>Not supplied; membership is known, motive is not</x:v>
      </x:c>
      <x:c r="M1152" s="7" t="n">
        <x:v>7</x:v>
      </x:c>
      <x:c r="N1152" s="7" t="str">
        <x:v>Outside current general-Life recruiting pool</x:v>
      </x:c>
      <x:c r="O1152" s="7" t="str">
        <x:v>Inactive</x:v>
      </x:c>
      <x:c r="P1152" s="7" t="str">
        <x:v>09/09/2014</x:v>
      </x:c>
      <x:c r="Q1152" s="7" t="str">
        <x:v>09/30/2022</x:v>
      </x:c>
      <x:c r="R1152" s="7" t="str"/>
      <x:c r="S1152" s="15" t="str">
        <x:v>323-847-3780</x:v>
      </x:c>
      <x:c r="T1152" s="7" t="str">
        <x:v>Current CDI</x:v>
      </x:c>
      <x:c r="U1152" s="7" t="str">
        <x:v>12007 LOS NIETOS RD SUITE 1 SANTA FE SPRINGS CA, 90670</x:v>
      </x:c>
      <x:c r="V1152" s="7" t="str">
        <x:v>Resident</x:v>
      </x:c>
      <x:c r="W1152" s="7" t="str">
        <x:v>CA</x:v>
      </x:c>
      <x:c r="X1152" s="7" t="str"/>
      <x:c r="Y1152" s="7" t="str"/>
      <x:c r="Z1152" s="7" t="str"/>
      <x:c r="AA1152" s="7" t="str"/>
      <x:c r="AB1152" s="7" t="str"/>
      <x:c r="AC1152" s="7" t="str"/>
      <x:c r="AD1152" s="7" t="str">
        <x:v>No agency or insurer displayed: onboarding opportunity possible; existing business unknown</x:v>
      </x:c>
      <x:c r="AE1152" s="7" t="str"/>
      <x:c r="AF1152" s="16" t="str"/>
      <x:c r="AG1152" s="17" t="str"/>
      <x:c r="AH1152" s="7" t="str"/>
      <x:c r="AI1152" s="7" t="str">
        <x:v>English</x:v>
      </x:c>
      <x:c r="AJ1152" s="7" t="str"/>
      <x:c r="AK1152" s="15" t="str"/>
      <x:c r="AL1152" s="7" t="str"/>
      <x:c r="AM1152" s="7" t="str">
        <x:v>aguilar y stefan andonni | AGUILAR YAP STEFAN-ANDONNI</x:v>
      </x:c>
      <x:c r="AN1152" s="7" t="str">
        <x:v>https://cdicloud.insurance.ca.gov/cal/LicenseDetail?SearchType=IND&amp;SearchLicNbr=0J05521&amp;SearchIndvId=1694719</x:v>
      </x:c>
      <x:c r="AO1152" s="7" t="str">
        <x:v>2026-10-08</x:v>
      </x:c>
      <x:c r="AP1152" s="7" t="str">
        <x:v>bf6bfc36c4f94dd138ad72ac5d6b7eddc485d497ec380a52071ff2961547aec5</x:v>
      </x:c>
      <x:c r="AQ1152" s="7" t="str">
        <x:v>Life / Inactive / 09/09/2014 / 09/30/2022 / 09/30/2022</x:v>
      </x:c>
      <x:c r="AR1152" s="7" t="str">
        <x:v>Inactive</x:v>
      </x:c>
      <x:c r="AS1152" s="7" t="str">
        <x:v>Current detail page</x:v>
      </x:c>
    </x:row>
    <x:row r="1153" ht="52" customHeight="1">
      <x:c r="A1153" s="7" t="str">
        <x:v>AGUILAR STEPHANIA DENISSE</x:v>
      </x:c>
      <x:c r="B1153" s="14" t="str">
        <x:f>"0I77590"</x:f>
        <x:v>0I77590</x:v>
      </x:c>
      <x:c r="C1153" s="7" t="str">
        <x:v>Omitted</x:v>
      </x:c>
      <x:c r="D1153" s="7" t="str">
        <x:v>FAIL</x:v>
      </x:c>
      <x:c r="E1153" s="13" t="str">
        <x:v>Pending</x:v>
      </x:c>
      <x:c r="F1153" s="13" t="str"/>
      <x:c r="G1153" s="13" t="str"/>
      <x:c r="H1153" s="13" t="str"/>
      <x:c r="I1153" s="7" t="str">
        <x:v>Was this person reviewed? If rejected, give the actual rule and evidence. If acceptable, correct the omission. Confirm the Life-qualification gate and any record change since selection.</x:v>
      </x:c>
      <x:c r="J1153" s="7" t="str">
        <x:v>L1</x:v>
      </x:c>
      <x:c r="K1153" s="7" t="str">
        <x:v>Verified qualifications do not include active general Life. Current target-pool mismatch; actual historical omission reason unknown.</x:v>
      </x:c>
      <x:c r="L1153" s="7" t="str">
        <x:v>Not supplied; membership is known, motive is not</x:v>
      </x:c>
      <x:c r="M1153" s="7" t="n">
        <x:v>7</x:v>
      </x:c>
      <x:c r="N1153" s="7" t="str">
        <x:v>Outside current general-Life recruiting pool</x:v>
      </x:c>
      <x:c r="O1153" s="7" t="str">
        <x:v>Not displayed</x:v>
      </x:c>
      <x:c r="P1153" s="7" t="str"/>
      <x:c r="Q1153" s="7" t="str"/>
      <x:c r="R1153" s="7" t="str"/>
      <x:c r="S1153" s="15" t="str"/>
      <x:c r="T1153" s="7" t="str">
        <x:v>No public business phone in collected record</x:v>
      </x:c>
      <x:c r="U1153" s="7" t="str"/>
      <x:c r="V1153" s="7" t="str">
        <x:v>Resident</x:v>
      </x:c>
      <x:c r="W1153" s="7" t="str">
        <x:v>CA</x:v>
      </x:c>
      <x:c r="X1153" s="7" t="str"/>
      <x:c r="Y1153" s="7" t="str"/>
      <x:c r="Z1153" s="7" t="str"/>
      <x:c r="AA1153" s="7" t="str"/>
      <x:c r="AB1153" s="7" t="str"/>
      <x:c r="AC1153" s="7" t="str"/>
      <x:c r="AD1153" s="7" t="str">
        <x:v>No agency or insurer displayed: onboarding opportunity possible; existing business unknown</x:v>
      </x:c>
      <x:c r="AE1153" s="7" t="str">
        <x:v>No public business phone: contact enrichment needed, not proof of poor recruiting fit</x:v>
      </x:c>
      <x:c r="AF1153" s="16" t="str"/>
      <x:c r="AG1153" s="17" t="str"/>
      <x:c r="AH1153" s="7" t="str"/>
      <x:c r="AI1153" s="7" t="str"/>
      <x:c r="AJ1153" s="7" t="str"/>
      <x:c r="AK1153" s="15" t="str"/>
      <x:c r="AL1153" s="7" t="str"/>
      <x:c r="AM1153" s="7" t="str">
        <x:v>Aguilar D Stephania | AGUILAR DENISSE STEPHANIA</x:v>
      </x:c>
      <x:c r="AN1153" s="7" t="str">
        <x:v>https://cdicloud.insurance.ca.gov/cal/LicenseDetail?SearchType=IND&amp;SearchLicNbr=0I77590&amp;SearchIndvId=1653361</x:v>
      </x:c>
      <x:c r="AO1153" s="7" t="str">
        <x:v>2026-10-08</x:v>
      </x:c>
      <x:c r="AP1153" s="7" t="str">
        <x:v>b221d9120def929b3c1ba770fe2c34ff64d102809c1ac4f5656f9786671d6489</x:v>
      </x:c>
      <x:c r="AQ1153" s="7" t="str">
        <x:v>Life-Only / Inactive / 02/20/2014 / 02/29/2016 / 02/29/2016</x:v>
      </x:c>
      <x:c r="AR1153" s="7" t="str">
        <x:v>Inactive</x:v>
      </x:c>
      <x:c r="AS1153" s="7" t="str">
        <x:v>Current detail page</x:v>
      </x:c>
    </x:row>
    <x:row r="1154" ht="52" customHeight="1">
      <x:c r="A1154" s="7" t="str">
        <x:v>AGUILAR STEPHANIE</x:v>
      </x:c>
      <x:c r="B1154" s="14" t="str">
        <x:f>"0K27809"</x:f>
        <x:v>0K27809</x:v>
      </x:c>
      <x:c r="C1154" s="7" t="str">
        <x:v>Omitted</x:v>
      </x:c>
      <x:c r="D1154" s="7" t="str">
        <x:v>FAIL</x:v>
      </x:c>
      <x:c r="E1154" s="13" t="str">
        <x:v>Pending</x:v>
      </x:c>
      <x:c r="F1154" s="13" t="str"/>
      <x:c r="G1154" s="13" t="str"/>
      <x:c r="H1154" s="13" t="str"/>
      <x:c r="I1154" s="7" t="str">
        <x:v>Was this person reviewed? If rejected, give the actual rule and evidence. If acceptable, correct the omission. Confirm the Life-qualification gate and any record change since selection.</x:v>
      </x:c>
      <x:c r="J1154" s="7" t="str">
        <x:v>L1</x:v>
      </x:c>
      <x:c r="K1154" s="7" t="str">
        <x:v>Verified qualifications do not include active general Life. Current target-pool mismatch; actual historical omission reason unknown.</x:v>
      </x:c>
      <x:c r="L1154" s="7" t="str">
        <x:v>Not supplied; membership is known, motive is not</x:v>
      </x:c>
      <x:c r="M1154" s="7" t="n">
        <x:v>7</x:v>
      </x:c>
      <x:c r="N1154" s="7" t="str">
        <x:v>Outside current general-Life recruiting pool</x:v>
      </x:c>
      <x:c r="O1154" s="7" t="str">
        <x:v>Inactive</x:v>
      </x:c>
      <x:c r="P1154" s="7" t="str">
        <x:v>10/20/2017</x:v>
      </x:c>
      <x:c r="Q1154" s="7" t="str">
        <x:v>06/30/2023</x:v>
      </x:c>
      <x:c r="R1154" s="7" t="str">
        <x:v>Casualty; Property</x:v>
      </x:c>
      <x:c r="S1154" s="15" t="str">
        <x:v>310-213-7488</x:v>
      </x:c>
      <x:c r="T1154" s="7" t="str">
        <x:v>Current CDI</x:v>
      </x:c>
      <x:c r="U1154" s="7" t="str">
        <x:v>9900 LAKEWOOD BLVD STE 201 DOWNEY CA, 90240-4040</x:v>
      </x:c>
      <x:c r="V1154" s="7" t="str">
        <x:v>Resident</x:v>
      </x:c>
      <x:c r="W1154" s="7" t="str">
        <x:v>CA</x:v>
      </x:c>
      <x:c r="X1154" s="7" t="str"/>
      <x:c r="Y1154" s="7" t="str">
        <x:v>AMGUARD INSURANCE COMPANY / Casualty / 04/04/2023
AMGUARD INSURANCE COMPANY / Property / 04/04/2023
FOREMOST INSURANCE COMPANY GRAND RAPIDS, MICHIGAN / Casualty / 07/07/2022
FOREMOST INSURANCE COMPANY GRAND RAPIDS, MICHIGAN / Property / 07/07/2022
NATIONAL SPECIALTY INSURANCE COMPANY / Casualty / 09/08/2022
NATIONAL SPECIALTY INSURANCE COMPANY / Property / 09/08/2022
NORGUARD INSURANCE COMPANY / Casualty / 04/04/2023
RLI INSURANCE COMPANY / Casualty / 08/10/2023
RLI INSURANCE COMPANY / Property / 08/10/2023
STATE NATIONAL INSURANCE COMPANY, INC. / Casualty / 09/08/2022
STATE NATIONAL INSURANCE COMPANY, INC. / Property / 09/08/2022</x:v>
      </x:c>
      <x:c r="Z1154" s="7" t="str"/>
      <x:c r="AA1154" s="7" t="str"/>
      <x:c r="AB1154" s="7" t="str"/>
      <x:c r="AC1154" s="7" t="str"/>
      <x:c r="AD1154" s="7" t="str"/>
      <x:c r="AE1154" s="7" t="str">
        <x:v>P&amp;C/Personal Lines authority without displayed core Life appointments; mixed profile requires review</x:v>
      </x:c>
      <x:c r="AF1154" s="16" t="str"/>
      <x:c r="AG1154" s="17" t="str"/>
      <x:c r="AH1154" s="7" t="str"/>
      <x:c r="AI1154" s="7" t="str">
        <x:v>English, Spanish, Spanish</x:v>
      </x:c>
      <x:c r="AJ1154" s="7" t="str"/>
      <x:c r="AK1154" s="15" t="str"/>
      <x:c r="AL1154" s="7" t="str"/>
      <x:c r="AM1154" s="7" t="str">
        <x:v>AGUILAR  STEPHANIE</x:v>
      </x:c>
      <x:c r="AN1154" s="7" t="str">
        <x:v>https://cdicloud.insurance.ca.gov/cal/LicenseDetail?SearchType=IND&amp;SearchLicNbr=0K27809&amp;SearchIndvId=1762803</x:v>
      </x:c>
      <x:c r="AO1154" s="7" t="str">
        <x:v>2026-10-08</x:v>
      </x:c>
      <x:c r="AP1154" s="7" t="str">
        <x:v>0eb13a6583e81940180a30d03d172f8da0934d8050fb65c5ab006038e06e20f2</x:v>
      </x:c>
      <x:c r="AQ1154" s="7" t="str">
        <x:v>Casualty / Active / 06/02/2015 / 07/18/2019 / 06/30/2027
Property / Active / 06/02/2015 / 07/18/2019 / 06/30/2027
Accident &amp; Health or Sickness / Inactive / 10/20/2017 / 06/30/2023 / 06/30/2023
Life / Inactive / 10/20/2017 / 06/30/2023 / 06/30/2023</x:v>
      </x:c>
      <x:c r="AR1154" s="7" t="str">
        <x:v>Active</x:v>
      </x:c>
      <x:c r="AS1154" s="7" t="str">
        <x:v>Current detail page</x:v>
      </x:c>
    </x:row>
    <x:row r="1155" ht="52" customHeight="1">
      <x:c r="A1155" s="7" t="str">
        <x:v>AGUILAR STEPHANIE ANN</x:v>
      </x:c>
      <x:c r="B1155" s="14" t="str">
        <x:f>"0I28477"</x:f>
        <x:v>0I28477</x:v>
      </x:c>
      <x:c r="C1155" s="7" t="str">
        <x:v>Omitted</x:v>
      </x:c>
      <x:c r="D1155" s="7" t="str">
        <x:v>FAIL</x:v>
      </x:c>
      <x:c r="E1155" s="13" t="str">
        <x:v>Pending</x:v>
      </x:c>
      <x:c r="F1155" s="13" t="str"/>
      <x:c r="G1155" s="13" t="str"/>
      <x:c r="H1155" s="13" t="str"/>
      <x:c r="I1155" s="7" t="str">
        <x:v>Was this person reviewed? If rejected, give the actual rule and evidence. If acceptable, correct the omission. Confirm the Life-qualification gate and any record change since selection.</x:v>
      </x:c>
      <x:c r="J1155" s="7" t="str">
        <x:v>L1</x:v>
      </x:c>
      <x:c r="K1155" s="7" t="str">
        <x:v>Verified qualifications do not include active general Life. Current target-pool mismatch; actual historical omission reason unknown.</x:v>
      </x:c>
      <x:c r="L1155" s="7" t="str">
        <x:v>Not supplied; membership is known, motive is not</x:v>
      </x:c>
      <x:c r="M1155" s="7" t="n">
        <x:v>7</x:v>
      </x:c>
      <x:c r="N1155" s="7" t="str">
        <x:v>Outside current general-Life recruiting pool</x:v>
      </x:c>
      <x:c r="O1155" s="7" t="str">
        <x:v>Not displayed</x:v>
      </x:c>
      <x:c r="P1155" s="7" t="str"/>
      <x:c r="Q1155" s="7" t="str"/>
      <x:c r="R1155" s="7" t="str"/>
      <x:c r="S1155" s="15" t="str"/>
      <x:c r="T1155" s="7" t="str">
        <x:v>No public business phone in collected record</x:v>
      </x:c>
      <x:c r="U1155" s="7" t="str"/>
      <x:c r="V1155" s="7" t="str">
        <x:v>Non-resident</x:v>
      </x:c>
      <x:c r="W1155" s="7" t="str">
        <x:v>TN</x:v>
      </x:c>
      <x:c r="X1155" s="7" t="str"/>
      <x:c r="Y1155" s="7" t="str"/>
      <x:c r="Z1155" s="7" t="str"/>
      <x:c r="AA1155" s="7" t="str"/>
      <x:c r="AB1155" s="7" t="str"/>
      <x:c r="AC1155" s="7" t="str"/>
      <x:c r="AD1155" s="7" t="str">
        <x:v>No agency or insurer displayed: onboarding opportunity possible; existing business unknown</x:v>
      </x:c>
      <x:c r="AE1155" s="7" t="str">
        <x:v>Nonresident or address state outside CA; confirm geographic recruiting scope | No public business phone: contact enrichment needed, not proof of poor recruiting fit</x:v>
      </x:c>
      <x:c r="AF1155" s="16" t="str"/>
      <x:c r="AG1155" s="17" t="str"/>
      <x:c r="AH1155" s="7" t="str"/>
      <x:c r="AI1155" s="7" t="str"/>
      <x:c r="AJ1155" s="7" t="str"/>
      <x:c r="AK1155" s="15" t="str"/>
      <x:c r="AL1155" s="7" t="str"/>
      <x:c r="AM1155" s="7" t="str">
        <x:v>AGUILAR ANN STEPHANIE</x:v>
      </x:c>
      <x:c r="AN1155" s="7" t="str">
        <x:v>https://cdicloud.insurance.ca.gov/cal/LicenseDetail?SearchType=IND&amp;SearchLicNbr=0I28477&amp;SearchIndvId=1568957</x:v>
      </x:c>
      <x:c r="AO1155" s="7" t="str">
        <x:v>2026-10-08</x:v>
      </x:c>
      <x:c r="AP1155" s="7" t="str">
        <x:v>8b902533ce9b916d5ffeb960080e6680def8529d8b75282c4f3a84d1ca6f98c1</x:v>
      </x:c>
      <x:c r="AQ1155" s="7" t="str">
        <x:v>Accident and Health / Inactive / 03/27/2013 / 03/31/2019 / 03/31/2019
Life-Only / Inactive / 03/27/2013 / 03/31/2015 / 03/31/2015</x:v>
      </x:c>
      <x:c r="AR1155" s="7" t="str">
        <x:v>Inactive</x:v>
      </x:c>
      <x:c r="AS1155" s="7" t="str">
        <x:v>Current detail page</x:v>
      </x:c>
    </x:row>
    <x:row r="1156" ht="52" customHeight="1">
      <x:c r="A1156" s="7" t="str">
        <x:v>AGUILAR STEPHANIE CHANNELLE</x:v>
      </x:c>
      <x:c r="B1156" s="14" t="str">
        <x:f>"0F11297"</x:f>
        <x:v>0F11297</x:v>
      </x:c>
      <x:c r="C1156" s="7" t="str">
        <x:v>Omitted</x:v>
      </x:c>
      <x:c r="D1156" s="7" t="str">
        <x:v>FAIL</x:v>
      </x:c>
      <x:c r="E1156" s="13" t="str">
        <x:v>Pending</x:v>
      </x:c>
      <x:c r="F1156" s="13" t="str"/>
      <x:c r="G1156" s="13" t="str"/>
      <x:c r="H1156" s="13" t="str"/>
      <x:c r="I1156" s="7" t="str">
        <x:v>Was this person reviewed? If rejected, give the actual rule and evidence. If acceptable, correct the omission. Confirm the Life-qualification gate and any record change since selection.</x:v>
      </x:c>
      <x:c r="J1156" s="7" t="str">
        <x:v>L1</x:v>
      </x:c>
      <x:c r="K1156" s="7" t="str">
        <x:v>Verified qualifications do not include active general Life. Current target-pool mismatch; actual historical omission reason unknown.</x:v>
      </x:c>
      <x:c r="L1156" s="7" t="str">
        <x:v>Not supplied; membership is known, motive is not</x:v>
      </x:c>
      <x:c r="M1156" s="7" t="n">
        <x:v>7</x:v>
      </x:c>
      <x:c r="N1156" s="7" t="str">
        <x:v>Outside current general-Life recruiting pool</x:v>
      </x:c>
      <x:c r="O1156" s="7" t="str">
        <x:v>Not displayed</x:v>
      </x:c>
      <x:c r="P1156" s="7" t="str"/>
      <x:c r="Q1156" s="7" t="str"/>
      <x:c r="R1156" s="7" t="str"/>
      <x:c r="S1156" s="15" t="str"/>
      <x:c r="T1156" s="7" t="str">
        <x:v>No public business phone in collected record</x:v>
      </x:c>
      <x:c r="U1156" s="7" t="str"/>
      <x:c r="V1156" s="7" t="str">
        <x:v>Resident</x:v>
      </x:c>
      <x:c r="W1156" s="7" t="str">
        <x:v>CA</x:v>
      </x:c>
      <x:c r="X1156" s="7" t="str"/>
      <x:c r="Y1156" s="7" t="str"/>
      <x:c r="Z1156" s="7" t="str"/>
      <x:c r="AA1156" s="7" t="str"/>
      <x:c r="AB1156" s="7" t="str"/>
      <x:c r="AC1156" s="7" t="str"/>
      <x:c r="AD1156" s="7" t="str">
        <x:v>No agency or insurer displayed: onboarding opportunity possible; existing business unknown</x:v>
      </x:c>
      <x:c r="AE1156" s="7" t="str">
        <x:v>No public business phone: contact enrichment needed, not proof of poor recruiting fit</x:v>
      </x:c>
      <x:c r="AF1156" s="16" t="str"/>
      <x:c r="AG1156" s="17" t="str"/>
      <x:c r="AH1156" s="7" t="str"/>
      <x:c r="AI1156" s="7" t="str"/>
      <x:c r="AJ1156" s="7" t="str"/>
      <x:c r="AK1156" s="15" t="str"/>
      <x:c r="AL1156" s="7" t="str"/>
      <x:c r="AM1156" s="7" t="str">
        <x:v>AGUILAR CHANNELLE STEPHANIE</x:v>
      </x:c>
      <x:c r="AN1156" s="7" t="str">
        <x:v>https://cdicloud.insurance.ca.gov/cal/LicenseDetail?SearchType=IND&amp;SearchLicNbr=0F11297&amp;SearchIndvId=1000925</x:v>
      </x:c>
      <x:c r="AO1156" s="7" t="str">
        <x:v>2026-10-08</x:v>
      </x:c>
      <x:c r="AP1156" s="7" t="str">
        <x:v>ac263093785e4579f76c7d4f8204b440742fc32515852332e1a6b8e2a577fc72</x:v>
      </x:c>
      <x:c r="AQ1156" s="7" t="str">
        <x:v>Accident and Health / Inactive / 03/24/2006 / 03/31/2010 / 03/31/2010
Life-Only / Inactive / 03/24/2006 / 03/31/2010 / 03/31/2010
Variable Contracts / Inactive / 10/03/2007 / 03/31/2010 / 03/31/2010</x:v>
      </x:c>
      <x:c r="AR1156" s="7" t="str">
        <x:v>Inactive</x:v>
      </x:c>
      <x:c r="AS1156" s="7" t="str">
        <x:v>Current detail page</x:v>
      </x:c>
    </x:row>
    <x:row r="1157" ht="52" customHeight="1">
      <x:c r="A1157" s="7" t="str">
        <x:v>AGUILAR STEPHANIE DENISE</x:v>
      </x:c>
      <x:c r="B1157" s="14" t="str">
        <x:f>"4037275"</x:f>
        <x:v>4037275</x:v>
      </x:c>
      <x:c r="C1157" s="7" t="str">
        <x:v>Omitted</x:v>
      </x:c>
      <x:c r="D1157" s="7" t="str">
        <x:v>FAIL</x:v>
      </x:c>
      <x:c r="E1157" s="13" t="str">
        <x:v>Pending</x:v>
      </x:c>
      <x:c r="F1157" s="13" t="str"/>
      <x:c r="G1157" s="13" t="str"/>
      <x:c r="H1157" s="13" t="str"/>
      <x:c r="I1157" s="7" t="str">
        <x:v>Was this person reviewed? If rejected, give the actual rule and evidence. If acceptable, correct the omission. Confirm the Life-qualification gate and any record change since selection.</x:v>
      </x:c>
      <x:c r="J1157" s="7" t="str">
        <x:v>L1</x:v>
      </x:c>
      <x:c r="K1157" s="7" t="str">
        <x:v>Verified qualifications do not include active general Life. Current target-pool mismatch; actual historical omission reason unknown.</x:v>
      </x:c>
      <x:c r="L1157" s="7" t="str">
        <x:v>Not supplied; membership is known, motive is not</x:v>
      </x:c>
      <x:c r="M1157" s="7" t="n">
        <x:v>7</x:v>
      </x:c>
      <x:c r="N1157" s="7" t="str">
        <x:v>Outside current general-Life recruiting pool</x:v>
      </x:c>
      <x:c r="O1157" s="7" t="str">
        <x:v>Inactive</x:v>
      </x:c>
      <x:c r="P1157" s="7" t="str">
        <x:v>04/10/2020</x:v>
      </x:c>
      <x:c r="Q1157" s="7" t="str">
        <x:v>04/30/2022</x:v>
      </x:c>
      <x:c r="R1157" s="7" t="str"/>
      <x:c r="S1157" s="15" t="str">
        <x:v>661-348-5264</x:v>
      </x:c>
      <x:c r="T1157" s="7" t="str">
        <x:v>Current CDI</x:v>
      </x:c>
      <x:c r="U1157" s="7" t="str">
        <x:v>100 JONES ST. BAKERSFIELD CA, 93309</x:v>
      </x:c>
      <x:c r="V1157" s="7" t="str">
        <x:v>Resident</x:v>
      </x:c>
      <x:c r="W1157" s="7" t="str">
        <x:v>CA</x:v>
      </x:c>
      <x:c r="X1157" s="7" t="str"/>
      <x:c r="Y1157" s="7" t="str"/>
      <x:c r="Z1157" s="7" t="str"/>
      <x:c r="AA1157" s="7" t="str"/>
      <x:c r="AB1157" s="7" t="str"/>
      <x:c r="AC1157" s="7" t="str"/>
      <x:c r="AD1157" s="7" t="str">
        <x:v>No agency or insurer displayed: onboarding opportunity possible; existing business unknown</x:v>
      </x:c>
      <x:c r="AE1157" s="7" t="str"/>
      <x:c r="AF1157" s="16" t="str"/>
      <x:c r="AG1157" s="17" t="str"/>
      <x:c r="AH1157" s="7" t="str"/>
      <x:c r="AI1157" s="7" t="str">
        <x:v>English</x:v>
      </x:c>
      <x:c r="AJ1157" s="7" t="str"/>
      <x:c r="AK1157" s="15" t="str"/>
      <x:c r="AL1157" s="7" t="str"/>
      <x:c r="AM1157" s="7" t="str">
        <x:v>Aguilar D Stephanie | AGUILAR DENISE STEPHANIE</x:v>
      </x:c>
      <x:c r="AN1157" s="7" t="str">
        <x:v>https://cdicloud.insurance.ca.gov/cal/LicenseDetail?SearchType=IND&amp;SearchLicNbr=4037275&amp;SearchIndvId=4037275</x:v>
      </x:c>
      <x:c r="AO1157" s="7" t="str">
        <x:v>2026-10-08</x:v>
      </x:c>
      <x:c r="AP1157" s="7" t="str">
        <x:v>a2d96322af0d040b74a79fe1f84d9bc6419f528b6ed899bfb76619b59e44d17f</x:v>
      </x:c>
      <x:c r="AQ1157" s="7" t="str">
        <x:v>Life / Inactive / 04/10/2020 / 04/30/2022 / 04/30/2022</x:v>
      </x:c>
      <x:c r="AR1157" s="7" t="str">
        <x:v>Inactive</x:v>
      </x:c>
      <x:c r="AS1157" s="7" t="str">
        <x:v>Current detail page</x:v>
      </x:c>
    </x:row>
    <x:row r="1158" ht="52" customHeight="1">
      <x:c r="A1158" s="7" t="str">
        <x:v>AGUILAR STEPHANIE MARE</x:v>
      </x:c>
      <x:c r="B1158" s="14" t="str">
        <x:f>"0K81679"</x:f>
        <x:v>0K81679</x:v>
      </x:c>
      <x:c r="C1158" s="7" t="str">
        <x:v>Omitted</x:v>
      </x:c>
      <x:c r="D1158" s="7" t="str">
        <x:v>FAIL</x:v>
      </x:c>
      <x:c r="E1158" s="13" t="str">
        <x:v>Pending</x:v>
      </x:c>
      <x:c r="F1158" s="13" t="str"/>
      <x:c r="G1158" s="13" t="str"/>
      <x:c r="H1158" s="13" t="str"/>
      <x:c r="I1158" s="7" t="str">
        <x:v>Was this person reviewed? If rejected, give the actual rule and evidence. If acceptable, correct the omission. Confirm the Life-qualification gate and any record change since selection.</x:v>
      </x:c>
      <x:c r="J1158" s="7" t="str">
        <x:v>L1</x:v>
      </x:c>
      <x:c r="K1158" s="7" t="str">
        <x:v>Verified qualifications do not include active general Life. Current target-pool mismatch; actual historical omission reason unknown.</x:v>
      </x:c>
      <x:c r="L1158" s="7" t="str">
        <x:v>Not supplied; membership is known, motive is not</x:v>
      </x:c>
      <x:c r="M1158" s="7" t="n">
        <x:v>7</x:v>
      </x:c>
      <x:c r="N1158" s="7" t="str">
        <x:v>Outside current general-Life recruiting pool</x:v>
      </x:c>
      <x:c r="O1158" s="7" t="str">
        <x:v>Not displayed</x:v>
      </x:c>
      <x:c r="P1158" s="7" t="str"/>
      <x:c r="Q1158" s="7" t="str"/>
      <x:c r="R1158" s="7" t="str"/>
      <x:c r="S1158" s="15" t="str"/>
      <x:c r="T1158" s="7" t="str">
        <x:v>No public business phone in collected record</x:v>
      </x:c>
      <x:c r="U1158" s="7" t="str"/>
      <x:c r="V1158" s="7" t="str">
        <x:v>Non-resident</x:v>
      </x:c>
      <x:c r="W1158" s="7" t="str">
        <x:v>TX</x:v>
      </x:c>
      <x:c r="X1158" s="7" t="str"/>
      <x:c r="Y1158" s="7" t="str"/>
      <x:c r="Z1158" s="7" t="str"/>
      <x:c r="AA1158" s="7" t="str"/>
      <x:c r="AB1158" s="7" t="str"/>
      <x:c r="AC1158" s="7" t="str"/>
      <x:c r="AD1158" s="7" t="str">
        <x:v>No agency or insurer displayed: onboarding opportunity possible; existing business unknown</x:v>
      </x:c>
      <x:c r="AE1158" s="7" t="str">
        <x:v>Nonresident or address state outside CA; confirm geographic recruiting scope | No public business phone: contact enrichment needed, not proof of poor recruiting fit</x:v>
      </x:c>
      <x:c r="AF1158" s="16" t="str"/>
      <x:c r="AG1158" s="17" t="str"/>
      <x:c r="AH1158" s="7" t="str"/>
      <x:c r="AI1158" s="7" t="str"/>
      <x:c r="AJ1158" s="7" t="str"/>
      <x:c r="AK1158" s="15" t="str"/>
      <x:c r="AL1158" s="7" t="str"/>
      <x:c r="AM1158" s="7" t="str">
        <x:v>AGUILAR MARE STEPHANIE</x:v>
      </x:c>
      <x:c r="AN1158" s="7" t="str">
        <x:v>https://cdicloud.insurance.ca.gov/cal/LicenseDetail?SearchType=IND&amp;SearchLicNbr=0K81679&amp;SearchIndvId=1828799</x:v>
      </x:c>
      <x:c r="AO1158" s="7" t="str">
        <x:v>2026-10-08</x:v>
      </x:c>
      <x:c r="AP1158" s="7" t="str">
        <x:v>572973d49e173f225f6d6151b9f376fb50bc8181218b210f999e5118072f695e</x:v>
      </x:c>
      <x:c r="AQ1158" s="7" t="str">
        <x:v>Accident and Health / Inactive / 03/25/2016 / 03/31/2020 / 03/31/2020
Life-Only / Inactive / 03/25/2016 / 03/31/2020 / 03/31/2020</x:v>
      </x:c>
      <x:c r="AR1158" s="7" t="str">
        <x:v>Inactive</x:v>
      </x:c>
      <x:c r="AS1158" s="7" t="str">
        <x:v>Current detail page</x:v>
      </x:c>
    </x:row>
    <x:row r="1159" ht="52" customHeight="1">
      <x:c r="A1159" s="7" t="str">
        <x:v>AGUILAR STEPHANIE MARIE</x:v>
      </x:c>
      <x:c r="B1159" s="14" t="str">
        <x:f>"4133981"</x:f>
        <x:v>4133981</x:v>
      </x:c>
      <x:c r="C1159" s="7" t="str">
        <x:v>Omitted</x:v>
      </x:c>
      <x:c r="D1159" s="7" t="str">
        <x:v>FAIL</x:v>
      </x:c>
      <x:c r="E1159" s="13" t="str">
        <x:v>Pending</x:v>
      </x:c>
      <x:c r="F1159" s="13" t="str"/>
      <x:c r="G1159" s="13" t="str"/>
      <x:c r="H1159" s="13" t="str"/>
      <x:c r="I1159" s="7" t="str">
        <x:v>Was this person reviewed? If rejected, give the actual rule and evidence. If acceptable, correct the omission. Confirm the Life-qualification gate and any record change since selection.</x:v>
      </x:c>
      <x:c r="J1159" s="7" t="str">
        <x:v>L1</x:v>
      </x:c>
      <x:c r="K1159" s="7" t="str">
        <x:v>Verified qualifications do not include active general Life. Current target-pool mismatch; actual historical omission reason unknown.</x:v>
      </x:c>
      <x:c r="L1159" s="7" t="str">
        <x:v>Not supplied; membership is known, motive is not</x:v>
      </x:c>
      <x:c r="M1159" s="7" t="n">
        <x:v>7</x:v>
      </x:c>
      <x:c r="N1159" s="7" t="str">
        <x:v>Outside current general-Life recruiting pool</x:v>
      </x:c>
      <x:c r="O1159" s="7" t="str">
        <x:v>Inactive</x:v>
      </x:c>
      <x:c r="P1159" s="7" t="str">
        <x:v>07/08/2021</x:v>
      </x:c>
      <x:c r="Q1159" s="7" t="str">
        <x:v>07/31/2023</x:v>
      </x:c>
      <x:c r="R1159" s="7" t="str"/>
      <x:c r="S1159" s="15" t="str">
        <x:v>559-623-3174</x:v>
      </x:c>
      <x:c r="T1159" s="7" t="str">
        <x:v>Current CDI</x:v>
      </x:c>
      <x:c r="U1159" s="7" t="str">
        <x:v>2806 SOUTH COURT STREET VISALIA CA, 93277</x:v>
      </x:c>
      <x:c r="V1159" s="7" t="str">
        <x:v>Resident</x:v>
      </x:c>
      <x:c r="W1159" s="7" t="str">
        <x:v>CA</x:v>
      </x:c>
      <x:c r="X1159" s="7" t="str"/>
      <x:c r="Y1159" s="7" t="str"/>
      <x:c r="Z1159" s="7" t="str"/>
      <x:c r="AA1159" s="7" t="str"/>
      <x:c r="AB1159" s="7" t="str"/>
      <x:c r="AC1159" s="7" t="str"/>
      <x:c r="AD1159" s="7" t="str">
        <x:v>No agency or insurer displayed: onboarding opportunity possible; existing business unknown</x:v>
      </x:c>
      <x:c r="AE1159" s="7" t="str"/>
      <x:c r="AF1159" s="16" t="str"/>
      <x:c r="AG1159" s="17" t="str"/>
      <x:c r="AH1159" s="7" t="str"/>
      <x:c r="AI1159" s="7" t="str">
        <x:v>English</x:v>
      </x:c>
      <x:c r="AJ1159" s="7" t="str"/>
      <x:c r="AK1159" s="15" t="str"/>
      <x:c r="AL1159" s="7" t="str"/>
      <x:c r="AM1159" s="7" t="str">
        <x:v>AGUILAR MARIE STEPHANIE</x:v>
      </x:c>
      <x:c r="AN1159" s="7" t="str">
        <x:v>https://cdicloud.insurance.ca.gov/cal/LicenseDetail?SearchType=IND&amp;SearchLicNbr=4133981&amp;SearchIndvId=4133981</x:v>
      </x:c>
      <x:c r="AO1159" s="7" t="str">
        <x:v>2026-10-08</x:v>
      </x:c>
      <x:c r="AP1159" s="7" t="str">
        <x:v>2f557a905257e404d1243d5cb03f7931b7e51d70a9983ea30c36d7f80fb385c1</x:v>
      </x:c>
      <x:c r="AQ1159" s="7" t="str">
        <x:v>Accident &amp; Health or Sickness / Inactive / 07/08/2021 / 07/31/2023 / 07/31/2023
Life / Inactive / 07/08/2021 / 07/31/2023 / 07/31/2023</x:v>
      </x:c>
      <x:c r="AR1159" s="7" t="str">
        <x:v>Inactive</x:v>
      </x:c>
      <x:c r="AS1159" s="7" t="str">
        <x:v>Current detail page</x:v>
      </x:c>
    </x:row>
    <x:row r="1160" ht="52" customHeight="1">
      <x:c r="A1160" s="7" t="str">
        <x:v>AGUILAR STEPHANIE V</x:v>
      </x:c>
      <x:c r="B1160" s="14" t="str">
        <x:f>"4093642"</x:f>
        <x:v>4093642</x:v>
      </x:c>
      <x:c r="C1160" s="7" t="str">
        <x:v>Omitted</x:v>
      </x:c>
      <x:c r="D1160" s="7" t="str">
        <x:v>FAIL</x:v>
      </x:c>
      <x:c r="E1160" s="13" t="str">
        <x:v>Pending</x:v>
      </x:c>
      <x:c r="F1160" s="13" t="str"/>
      <x:c r="G1160" s="13" t="str"/>
      <x:c r="H1160" s="13" t="str"/>
      <x:c r="I1160" s="7" t="str">
        <x:v>Was this person reviewed? If rejected, give the actual rule and evidence. If acceptable, correct the omission. Confirm the Life-qualification gate and any record change since selection.</x:v>
      </x:c>
      <x:c r="J1160" s="7" t="str">
        <x:v>L1</x:v>
      </x:c>
      <x:c r="K1160" s="7" t="str">
        <x:v>Verified qualifications do not include active general Life. Current target-pool mismatch; actual historical omission reason unknown.</x:v>
      </x:c>
      <x:c r="L1160" s="7" t="str">
        <x:v>Not supplied; membership is known, motive is not</x:v>
      </x:c>
      <x:c r="M1160" s="7" t="n">
        <x:v>7</x:v>
      </x:c>
      <x:c r="N1160" s="7" t="str">
        <x:v>Outside current general-Life recruiting pool</x:v>
      </x:c>
      <x:c r="O1160" s="7" t="str">
        <x:v>Not displayed</x:v>
      </x:c>
      <x:c r="P1160" s="7" t="str"/>
      <x:c r="Q1160" s="7" t="str"/>
      <x:c r="R1160" s="7" t="str"/>
      <x:c r="S1160" s="15" t="str">
        <x:v>408-416-6095</x:v>
      </x:c>
      <x:c r="T1160" s="7" t="str">
        <x:v>Current CDI</x:v>
      </x:c>
      <x:c r="U1160" s="7" t="str">
        <x:v>521 FAIRMONT DR LOS BANOS CA, 93635</x:v>
      </x:c>
      <x:c r="V1160" s="7" t="str">
        <x:v>Resident</x:v>
      </x:c>
      <x:c r="W1160" s="7" t="str">
        <x:v>CA</x:v>
      </x:c>
      <x:c r="X1160" s="7" t="str"/>
      <x:c r="Y1160" s="7" t="str"/>
      <x:c r="Z1160" s="7" t="str">
        <x:v>ORDER ID: &lt;PLBS14718&gt; B: LICENSE AND LICENSING RIGHTS OF RESPONDENT ARE HEREBY REVOKED. / 11/23/2023
ORDER ID: &lt;PLBS14718&gt; A: APPLICATION FOR LICENSE TO ACT AS AN INSURANCE PRODUCER IS HEREBY DENIED; ISSUE IN LIEU THEREOF A RESTRICTED LICENSE. MONETARY PENALTY IN THE AMOUNT OF FIVE HUNDRED (500) DOLLARS. / 12/15/2021</x:v>
      </x:c>
      <x:c r="AA1160" s="7" t="str"/>
      <x:c r="AB1160" s="7" t="str"/>
      <x:c r="AC1160" s="7" t="str"/>
      <x:c r="AD1160" s="7" t="str">
        <x:v>No agency or insurer displayed: onboarding opportunity possible; existing business unknown</x:v>
      </x:c>
      <x:c r="AE1160" s="7" t="str">
        <x:v>Enforcement order requires direct review; latest displayed order is not a removal order</x:v>
      </x:c>
      <x:c r="AF1160" s="16" t="str"/>
      <x:c r="AG1160" s="17" t="str"/>
      <x:c r="AH1160" s="7" t="str"/>
      <x:c r="AI1160" s="7" t="str">
        <x:v>English</x:v>
      </x:c>
      <x:c r="AJ1160" s="7" t="str"/>
      <x:c r="AK1160" s="15" t="str"/>
      <x:c r="AL1160" s="7" t="str"/>
      <x:c r="AM1160" s="7" t="str">
        <x:v>AGUILAR V STEPHANIE</x:v>
      </x:c>
      <x:c r="AN1160" s="7" t="str">
        <x:v>https://cdicloud.insurance.ca.gov/cal/LicenseDetail?SearchType=IND&amp;SearchLicNbr=4093642&amp;SearchIndvId=4093642</x:v>
      </x:c>
      <x:c r="AO1160" s="7" t="str">
        <x:v>2026-10-08</x:v>
      </x:c>
      <x:c r="AP1160" s="7" t="str">
        <x:v>95fba5c6fec8cc9fd500113a8d2f5db5341baf5211d45dc29da3c9d153b2b6fb</x:v>
      </x:c>
      <x:c r="AQ1160" s="7" t="str">
        <x:v>Personal Lines / Inactive / 12/15/2021 / 11/23/2023 / 11/23/2023</x:v>
      </x:c>
      <x:c r="AR1160" s="7" t="str">
        <x:v>Inactive</x:v>
      </x:c>
      <x:c r="AS1160" s="7" t="str">
        <x:v>Current detail page</x:v>
      </x:c>
    </x:row>
    <x:row r="1161" ht="52" customHeight="1">
      <x:c r="A1161" s="7" t="str">
        <x:v>AGUILAR STEVE ANTHONY</x:v>
      </x:c>
      <x:c r="B1161" s="14" t="str">
        <x:f>"1845954"</x:f>
        <x:v>1845954</x:v>
      </x:c>
      <x:c r="C1161" s="7" t="str">
        <x:v>Omitted</x:v>
      </x:c>
      <x:c r="D1161" s="7" t="str">
        <x:v>FAIL</x:v>
      </x:c>
      <x:c r="E1161" s="13" t="str">
        <x:v>Pending</x:v>
      </x:c>
      <x:c r="F1161" s="13" t="str"/>
      <x:c r="G1161" s="13" t="str"/>
      <x:c r="H1161" s="13" t="str"/>
      <x:c r="I1161" s="7" t="str">
        <x:v>Was this person reviewed? If rejected, give the actual rule and evidence. If acceptable, correct the omission. Confirm the Life-qualification gate and any record change since selection.</x:v>
      </x:c>
      <x:c r="J1161" s="7" t="str">
        <x:v>L1</x:v>
      </x:c>
      <x:c r="K1161" s="7" t="str">
        <x:v>Verified qualifications do not include active general Life. Current target-pool mismatch; actual historical omission reason unknown.</x:v>
      </x:c>
      <x:c r="L1161" s="7" t="str">
        <x:v>Not supplied; membership is known, motive is not</x:v>
      </x:c>
      <x:c r="M1161" s="7" t="n">
        <x:v>7</x:v>
      </x:c>
      <x:c r="N1161" s="7" t="str">
        <x:v>Outside current general-Life recruiting pool</x:v>
      </x:c>
      <x:c r="O1161" s="7" t="str">
        <x:v>Not displayed</x:v>
      </x:c>
      <x:c r="P1161" s="7" t="str"/>
      <x:c r="Q1161" s="7" t="str"/>
      <x:c r="R1161" s="7" t="str"/>
      <x:c r="S1161" s="15" t="str"/>
      <x:c r="T1161" s="7" t="str">
        <x:v>No public business phone in collected record</x:v>
      </x:c>
      <x:c r="U1161" s="7" t="str"/>
      <x:c r="V1161" s="7" t="str">
        <x:v>Resident</x:v>
      </x:c>
      <x:c r="W1161" s="7" t="str">
        <x:v>CA</x:v>
      </x:c>
      <x:c r="X1161" s="7" t="str"/>
      <x:c r="Y1161" s="7" t="str"/>
      <x:c r="Z1161" s="7" t="str"/>
      <x:c r="AA1161" s="7" t="str"/>
      <x:c r="AB1161" s="7" t="str"/>
      <x:c r="AC1161" s="7" t="str"/>
      <x:c r="AD1161" s="7" t="str">
        <x:v>No agency or insurer displayed: onboarding opportunity possible; existing business unknown</x:v>
      </x:c>
      <x:c r="AE1161" s="7" t="str">
        <x:v>No public business phone: contact enrichment needed, not proof of poor recruiting fit</x:v>
      </x:c>
      <x:c r="AF1161" s="16" t="str"/>
      <x:c r="AG1161" s="17" t="str"/>
      <x:c r="AH1161" s="7" t="str"/>
      <x:c r="AI1161" s="7" t="str"/>
      <x:c r="AJ1161" s="7" t="str"/>
      <x:c r="AK1161" s="15" t="str"/>
      <x:c r="AL1161" s="7" t="str"/>
      <x:c r="AM1161" s="7" t="str">
        <x:v>AGUILAR ANTHONY STEVE</x:v>
      </x:c>
      <x:c r="AN1161" s="7" t="str">
        <x:v>https://cdicloud.insurance.ca.gov/cal/LicenseDetail?SearchType=IND&amp;SearchLicNbr=1845954&amp;SearchIndvId=1504217</x:v>
      </x:c>
      <x:c r="AO1161" s="7" t="str">
        <x:v>2026-10-08</x:v>
      </x:c>
      <x:c r="AP1161" s="7" t="str">
        <x:v>fe3637c0449f1a02170744e18415814ae1f9ce0e67f7717061636896868c9f27</x:v>
      </x:c>
      <x:c r="AQ1161" s="7" t="str">
        <x:v>Bail Agent / Inactive / 03/20/2012 / 07/29/2014 / 07/29/2014</x:v>
      </x:c>
      <x:c r="AR1161" s="7" t="str">
        <x:v>Inactive</x:v>
      </x:c>
      <x:c r="AS1161" s="7" t="str">
        <x:v>Current detail page</x:v>
      </x:c>
    </x:row>
    <x:row r="1162" ht="52" customHeight="1">
      <x:c r="A1162" s="7" t="str">
        <x:v>AGUILAR STEVEN MICHAEL</x:v>
      </x:c>
      <x:c r="B1162" s="14" t="str">
        <x:f>"0D43294"</x:f>
        <x:v>0D43294</x:v>
      </x:c>
      <x:c r="C1162" s="7" t="str">
        <x:v>Omitted</x:v>
      </x:c>
      <x:c r="D1162" s="7" t="str">
        <x:v>FAIL</x:v>
      </x:c>
      <x:c r="E1162" s="13" t="str">
        <x:v>Pending</x:v>
      </x:c>
      <x:c r="F1162" s="13" t="str"/>
      <x:c r="G1162" s="13" t="str"/>
      <x:c r="H1162" s="13" t="str"/>
      <x:c r="I1162" s="7" t="str">
        <x:v>Was this person reviewed? If rejected, give the actual rule and evidence. If acceptable, correct the omission. Confirm the Life-qualification gate and any record change since selection.</x:v>
      </x:c>
      <x:c r="J1162" s="7" t="str">
        <x:v>L1</x:v>
      </x:c>
      <x:c r="K1162" s="7" t="str">
        <x:v>Verified qualifications do not include active general Life. Current target-pool mismatch; actual historical omission reason unknown.</x:v>
      </x:c>
      <x:c r="L1162" s="7" t="str">
        <x:v>Not supplied; membership is known, motive is not</x:v>
      </x:c>
      <x:c r="M1162" s="7" t="n">
        <x:v>7</x:v>
      </x:c>
      <x:c r="N1162" s="7" t="str">
        <x:v>Outside current general-Life recruiting pool</x:v>
      </x:c>
      <x:c r="O1162" s="7" t="str">
        <x:v>Not displayed</x:v>
      </x:c>
      <x:c r="P1162" s="7" t="str"/>
      <x:c r="Q1162" s="7" t="str"/>
      <x:c r="R1162" s="7" t="str">
        <x:v>Casualty; Property</x:v>
      </x:c>
      <x:c r="S1162" s="15" t="str"/>
      <x:c r="T1162" s="7" t="str">
        <x:v>No public business phone in collected record</x:v>
      </x:c>
      <x:c r="U1162" s="7" t="str">
        <x:v>HUB INTERNATIONAL INSURANCE SERVICES INC. 6565 AMERICAS PKWY NE STE 720 ALBUQUERQUE NM, 87110-8116</x:v>
      </x:c>
      <x:c r="V1162" s="7" t="str">
        <x:v>Non-resident</x:v>
      </x:c>
      <x:c r="W1162" s="7" t="str">
        <x:v>NM</x:v>
      </x:c>
      <x:c r="X1162" s="7" t="str"/>
      <x:c r="Y1162" s="7" t="str">
        <x:v>AMGUARD INSURANCE COMPANY / Casualty / 02/27/2026
AMGUARD INSURANCE COMPANY / Property / 02/27/2026
BERKSHIRE HATHAWAY DIRECT INSURANCE COMPANY / Casualty / 03/13/2026
BERKSHIRE HATHAWAY DIRECT INSURANCE COMPANY / Property / 03/13/2026
FARMINGTON CASUALTY COMPANY / Casualty / 04/10/2025
FARMINGTON CASUALTY COMPANY / Property / 04/10/2025
FIDELITY AND GUARANTY INSURANCE COMPANY / Casualty / 04/10/2025
FIDELITY AND GUARANTY INSURANCE COMPANY / Property / 04/10/2025
HARTFORD FIRE INSURANCE COMPANY / Casualty / 02/26/2014
HARTFORD FIRE INSURANCE COMPANY / Property / 02/26/2014
SENTINEL INSURANCE COMPANY, LTD. / Casualty / 12/27/2018
SENTINEL INSURANCE COMPANY, LTD. / Property / 12/27/2018
ST. PAUL FIRE AND MARINE INSURANCE COMPANY / Casualty / 08/14/2018
ST. PAUL FIRE AND MARINE INSURANCE COMPANY / Property / 08/14/2018
ST. PAUL GUARDIAN INSURANCE COMPANY / Casualty / 08/14/2018
ST. PAUL GUARDIAN INSURANCE COMPANY / Property / 08/14/2018
ST. PAUL MERCURY INSURANCE COMPANY / Casualty / 08/14/2018
ST. PAUL MERCURY INSURANCE COMPANY / Property / 08/14/2018
STANDARD FIRE INSURANCE COMPANY (THE) / Casualty / 09/22/2020
STANDARD FIRE INSURANCE COMPANY (THE) / Property / 09/22/2020
TRAVELERS CASUALTY AND SURETY COMPANY OF AMERICA / Casualty / 05/27/2020
TRAVELERS CASUALTY AND SURETY COMPANY OF AMERICA / Property / 05/27/2020
TRAVELERS CASUALTY COMPANY OF CONNECTICUT / Casualty / 07/31/2026
TRAVELERS CASUALTY COMPANY OF CONNECTICUT / Property / 07/31/2026
TRAVELERS CASUALTY INSURANCE COMPANY OF AMERICA / Casualty / 08/14/2018
TRAVELERS CASUALTY INSURANCE COMPANY OF AMERICA / Property / 08/14/2018
TRAVELERS INDEMNITY COMPANY OF CONNECTICUT (THE) / Casualty / 08/14/2018
TRAVELERS INDEMNITY COMPANY OF CONNECTICUT (THE) / Property / 08/14/2018
TRAVELERS PROPERTY CASUALTY COMPANY OF AMERICA / Casualty / 08/14/2018
TRAVELERS PROPERTY CASUALTY COMPANY OF AMERICA / Property / 08/14/2018</x:v>
      </x:c>
      <x:c r="Z1162" s="7" t="str"/>
      <x:c r="AA1162" s="7" t="str"/>
      <x:c r="AB1162" s="7" t="str"/>
      <x:c r="AC1162" s="7" t="str"/>
      <x:c r="AD1162" s="7" t="str"/>
      <x:c r="AE1162"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1162" s="16" t="str"/>
      <x:c r="AG1162" s="17" t="str"/>
      <x:c r="AH1162" s="7" t="str"/>
      <x:c r="AI1162" s="7" t="str"/>
      <x:c r="AJ1162" s="7" t="str"/>
      <x:c r="AK1162" s="15" t="str"/>
      <x:c r="AL1162" s="7" t="str"/>
      <x:c r="AM1162" s="7" t="str">
        <x:v>AGUILAR MICHAEL STEVEN</x:v>
      </x:c>
      <x:c r="AN1162" s="7" t="str">
        <x:v>https://cdicloud.insurance.ca.gov/cal/LicenseDetail?SearchType=IND&amp;SearchLicNbr=0D43294&amp;SearchIndvId=597897</x:v>
      </x:c>
      <x:c r="AO1162" s="7" t="str">
        <x:v>2026-10-08</x:v>
      </x:c>
      <x:c r="AP1162" s="7" t="str">
        <x:v>d48f8e1d37218e85183cb0a605536881f2d964331b0e45ff20bc83f7ad30da10</x:v>
      </x:c>
      <x:c r="AQ1162" s="7" t="str">
        <x:v>Casualty / Active / 10/31/2001 / 10/31/2001 / 10/31/2027
Property / Active / 10/31/2001 / 10/31/2001 / 10/31/2027</x:v>
      </x:c>
      <x:c r="AR1162" s="7" t="str">
        <x:v>Active</x:v>
      </x:c>
      <x:c r="AS1162" s="7" t="str">
        <x:v>Current detail page</x:v>
      </x:c>
    </x:row>
    <x:row r="1163" ht="52" customHeight="1">
      <x:c r="A1163" s="7" t="str">
        <x:v>AGUILAR STEVEN RAUL</x:v>
      </x:c>
      <x:c r="B1163" s="14" t="str">
        <x:f>"0I97011"</x:f>
        <x:v>0I97011</x:v>
      </x:c>
      <x:c r="C1163" s="7" t="str">
        <x:v>Omitted</x:v>
      </x:c>
      <x:c r="D1163" s="7" t="str">
        <x:v>FAIL</x:v>
      </x:c>
      <x:c r="E1163" s="13" t="str">
        <x:v>Pending</x:v>
      </x:c>
      <x:c r="F1163" s="13" t="str"/>
      <x:c r="G1163" s="13" t="str"/>
      <x:c r="H1163" s="13" t="str"/>
      <x:c r="I1163" s="7" t="str">
        <x:v>Was this person reviewed? If rejected, give the actual rule and evidence. If acceptable, correct the omission. Confirm the Life-qualification gate and any record change since selection.</x:v>
      </x:c>
      <x:c r="J1163" s="7" t="str">
        <x:v>L1</x:v>
      </x:c>
      <x:c r="K1163" s="7" t="str">
        <x:v>Verified qualifications do not include active general Life. Current target-pool mismatch; actual historical omission reason unknown.</x:v>
      </x:c>
      <x:c r="L1163" s="7" t="str">
        <x:v>Not supplied; membership is known, motive is not</x:v>
      </x:c>
      <x:c r="M1163" s="7" t="n">
        <x:v>7</x:v>
      </x:c>
      <x:c r="N1163" s="7" t="str">
        <x:v>Outside current general-Life recruiting pool</x:v>
      </x:c>
      <x:c r="O1163" s="7" t="str">
        <x:v>Not displayed</x:v>
      </x:c>
      <x:c r="P1163" s="7" t="str"/>
      <x:c r="Q1163" s="7" t="str"/>
      <x:c r="R1163" s="7" t="str"/>
      <x:c r="S1163" s="15" t="str"/>
      <x:c r="T1163" s="7" t="str">
        <x:v>No public business phone in collected record</x:v>
      </x:c>
      <x:c r="U1163" s="7" t="str"/>
      <x:c r="V1163" s="7" t="str">
        <x:v>Resident</x:v>
      </x:c>
      <x:c r="W1163" s="7" t="str">
        <x:v>CA</x:v>
      </x:c>
      <x:c r="X1163" s="7" t="str"/>
      <x:c r="Y1163" s="7" t="str"/>
      <x:c r="Z1163" s="7" t="str"/>
      <x:c r="AA1163" s="7" t="str"/>
      <x:c r="AB1163" s="7" t="str"/>
      <x:c r="AC1163" s="7" t="str"/>
      <x:c r="AD1163" s="7" t="str">
        <x:v>No agency or insurer displayed: onboarding opportunity possible; existing business unknown</x:v>
      </x:c>
      <x:c r="AE1163" s="7" t="str">
        <x:v>No public business phone: contact enrichment needed, not proof of poor recruiting fit</x:v>
      </x:c>
      <x:c r="AF1163" s="16" t="str"/>
      <x:c r="AG1163" s="17" t="str"/>
      <x:c r="AH1163" s="7" t="str"/>
      <x:c r="AI1163" s="7" t="str"/>
      <x:c r="AJ1163" s="7" t="str"/>
      <x:c r="AK1163" s="15" t="str"/>
      <x:c r="AL1163" s="7" t="str"/>
      <x:c r="AM1163" s="7" t="str">
        <x:v>Aguilar R Steven | AGUILAR RAUL STEVEN</x:v>
      </x:c>
      <x:c r="AN1163" s="7" t="str">
        <x:v>https://cdicloud.insurance.ca.gov/cal/LicenseDetail?SearchType=IND&amp;SearchLicNbr=0I97011&amp;SearchIndvId=1663540</x:v>
      </x:c>
      <x:c r="AO1163" s="7" t="str">
        <x:v>2026-10-08</x:v>
      </x:c>
      <x:c r="AP1163" s="7" t="str">
        <x:v>eb660381aa2fff6c391ce0146fe50c9761faa7aff1278d01321aa3ec3b2ccdce</x:v>
      </x:c>
      <x:c r="AQ1163" s="7" t="str">
        <x:v>Life-Only / Inactive / 07/09/2014 / 07/31/2018 / 07/31/2018</x:v>
      </x:c>
      <x:c r="AR1163" s="7" t="str">
        <x:v>Inactive</x:v>
      </x:c>
      <x:c r="AS1163" s="7" t="str">
        <x:v>Current detail page</x:v>
      </x:c>
    </x:row>
    <x:row r="1164" ht="52" customHeight="1">
      <x:c r="A1164" s="7" t="str">
        <x:v>AGUILAR STEVIE</x:v>
      </x:c>
      <x:c r="B1164" s="14" t="str">
        <x:f>"4186746"</x:f>
        <x:v>4186746</x:v>
      </x:c>
      <x:c r="C1164" s="7" t="str">
        <x:v>Omitted</x:v>
      </x:c>
      <x:c r="D1164" s="7" t="str">
        <x:v>FAIL</x:v>
      </x:c>
      <x:c r="E1164" s="13" t="str">
        <x:v>Pending</x:v>
      </x:c>
      <x:c r="F1164" s="13" t="str"/>
      <x:c r="G1164" s="13" t="str"/>
      <x:c r="H1164" s="13" t="str"/>
      <x:c r="I1164" s="7" t="str">
        <x:v>Was this person reviewed? If rejected, give the actual rule and evidence. If acceptable, correct the omission. Confirm the Life-qualification gate and any record change since selection.</x:v>
      </x:c>
      <x:c r="J1164" s="7" t="str">
        <x:v>L1</x:v>
      </x:c>
      <x:c r="K1164" s="7" t="str">
        <x:v>Verified qualifications do not include active general Life. Current target-pool mismatch; actual historical omission reason unknown.</x:v>
      </x:c>
      <x:c r="L1164" s="7" t="str">
        <x:v>Not supplied; membership is known, motive is not</x:v>
      </x:c>
      <x:c r="M1164" s="7" t="n">
        <x:v>7</x:v>
      </x:c>
      <x:c r="N1164" s="7" t="str">
        <x:v>Outside current general-Life recruiting pool</x:v>
      </x:c>
      <x:c r="O1164" s="7" t="str">
        <x:v>Not displayed</x:v>
      </x:c>
      <x:c r="P1164" s="7" t="str"/>
      <x:c r="Q1164" s="7" t="str"/>
      <x:c r="R1164" s="7" t="str">
        <x:v>Personal Lines</x:v>
      </x:c>
      <x:c r="S1164" s="15" t="str"/>
      <x:c r="T1164" s="7" t="str">
        <x:v>No public business phone in collected record</x:v>
      </x:c>
      <x:c r="U1164" s="7" t="str">
        <x:v>9800 FREDERICKSBURG RD SAN ANTONIO TX, 78288</x:v>
      </x:c>
      <x:c r="V1164" s="7" t="str">
        <x:v>Non-resident</x:v>
      </x:c>
      <x:c r="W1164" s="7" t="str">
        <x:v>TX</x:v>
      </x:c>
      <x:c r="X1164" s="7" t="str"/>
      <x:c r="Y1164" s="7" t="str"/>
      <x:c r="Z1164" s="7" t="str"/>
      <x:c r="AA1164" s="7" t="str"/>
      <x:c r="AB1164" s="7" t="str"/>
      <x:c r="AC1164" s="7" t="str"/>
      <x:c r="AD1164" s="7" t="str">
        <x:v>No agency or insurer displayed: onboarding opportunity possible; existing business unknown</x:v>
      </x:c>
      <x:c r="AE1164"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1164" s="16" t="str"/>
      <x:c r="AG1164" s="17" t="str"/>
      <x:c r="AH1164" s="7" t="str"/>
      <x:c r="AI1164" s="7" t="str"/>
      <x:c r="AJ1164" s="7" t="str"/>
      <x:c r="AK1164" s="15" t="str"/>
      <x:c r="AL1164" s="7" t="str"/>
      <x:c r="AM1164" s="7" t="str">
        <x:v>AGUILAR  STEVIE</x:v>
      </x:c>
      <x:c r="AN1164" s="7" t="str">
        <x:v>https://cdicloud.insurance.ca.gov/cal/LicenseDetail?SearchType=IND&amp;SearchLicNbr=4186746&amp;SearchIndvId=4186746</x:v>
      </x:c>
      <x:c r="AO1164" s="7" t="str">
        <x:v>2026-10-08</x:v>
      </x:c>
      <x:c r="AP1164" s="7" t="str">
        <x:v>1525ecd6cbdec66f1c9d80188e7c33c3f570a110c3ded395bcaeb31c3fec80e4</x:v>
      </x:c>
      <x:c r="AQ1164" s="7" t="str">
        <x:v>Personal Lines / Active / 01/18/2022 / 01/18/2022 / 01/31/2028</x:v>
      </x:c>
      <x:c r="AR1164" s="7" t="str">
        <x:v>Active</x:v>
      </x:c>
      <x:c r="AS1164" s="7" t="str">
        <x:v>Current detail page</x:v>
      </x:c>
    </x:row>
    <x:row r="1165" ht="52" customHeight="1">
      <x:c r="A1165" s="7" t="str">
        <x:v>AGUILAR SUSAN LOUISE</x:v>
      </x:c>
      <x:c r="B1165" s="14" t="str">
        <x:f>"0B11644"</x:f>
        <x:v>0B11644</x:v>
      </x:c>
      <x:c r="C1165" s="7" t="str">
        <x:v>Omitted</x:v>
      </x:c>
      <x:c r="D1165" s="7" t="str">
        <x:v>FAIL</x:v>
      </x:c>
      <x:c r="E1165" s="13" t="str">
        <x:v>Pending</x:v>
      </x:c>
      <x:c r="F1165" s="13" t="str"/>
      <x:c r="G1165" s="13" t="str"/>
      <x:c r="H1165" s="13" t="str"/>
      <x:c r="I1165" s="7" t="str">
        <x:v>Was this person reviewed? If rejected, give the actual rule and evidence. If acceptable, correct the omission. Confirm the Life-qualification gate and any record change since selection.</x:v>
      </x:c>
      <x:c r="J1165" s="7" t="str">
        <x:v>L1</x:v>
      </x:c>
      <x:c r="K1165" s="7" t="str">
        <x:v>Verified qualifications do not include active general Life. Current target-pool mismatch; actual historical omission reason unknown.</x:v>
      </x:c>
      <x:c r="L1165" s="7" t="str">
        <x:v>Not supplied; membership is known, motive is not</x:v>
      </x:c>
      <x:c r="M1165" s="7" t="n">
        <x:v>7</x:v>
      </x:c>
      <x:c r="N1165" s="7" t="str">
        <x:v>Outside current general-Life recruiting pool</x:v>
      </x:c>
      <x:c r="O1165" s="7" t="str">
        <x:v>Not displayed</x:v>
      </x:c>
      <x:c r="P1165" s="7" t="str"/>
      <x:c r="Q1165" s="7" t="str"/>
      <x:c r="R1165" s="7" t="str"/>
      <x:c r="S1165" s="15" t="str"/>
      <x:c r="T1165" s="7" t="str">
        <x:v>No public business phone in collected record</x:v>
      </x:c>
      <x:c r="U1165" s="7" t="str"/>
      <x:c r="V1165" s="7" t="str">
        <x:v>Resident</x:v>
      </x:c>
      <x:c r="W1165" s="7" t="str">
        <x:v>CA</x:v>
      </x:c>
      <x:c r="X1165" s="7" t="str"/>
      <x:c r="Y1165" s="7" t="str"/>
      <x:c r="Z1165" s="7" t="str"/>
      <x:c r="AA1165" s="7" t="str"/>
      <x:c r="AB1165" s="7" t="str"/>
      <x:c r="AC1165" s="7" t="str"/>
      <x:c r="AD1165" s="7" t="str">
        <x:v>No agency or insurer displayed: onboarding opportunity possible; existing business unknown</x:v>
      </x:c>
      <x:c r="AE1165" s="7" t="str">
        <x:v>No public business phone: contact enrichment needed, not proof of poor recruiting fit</x:v>
      </x:c>
      <x:c r="AF1165" s="16" t="str"/>
      <x:c r="AG1165" s="17" t="str"/>
      <x:c r="AH1165" s="7" t="str"/>
      <x:c r="AI1165" s="7" t="str"/>
      <x:c r="AJ1165" s="7" t="str"/>
      <x:c r="AK1165" s="15" t="str"/>
      <x:c r="AL1165" s="7" t="str"/>
      <x:c r="AM1165" s="7" t="str">
        <x:v>AGUILAR LOUISE SUSAN</x:v>
      </x:c>
      <x:c r="AN1165" s="7" t="str">
        <x:v>https://cdicloud.insurance.ca.gov/cal/LicenseDetail?SearchType=IND&amp;SearchLicNbr=0B11644&amp;SearchIndvId=193214</x:v>
      </x:c>
      <x:c r="AO1165" s="7" t="str">
        <x:v>2026-10-08</x:v>
      </x:c>
      <x:c r="AP1165" s="7" t="str">
        <x:v>01821d3ccabe0b91d918778cb0d9421dda4bdafbd403bcc8f4e6140c98c7791f</x:v>
      </x:c>
      <x:c r="AQ1165" s="7" t="str">
        <x:v>Accident and Health / Inactive / 03/02/1993 / 03/31/1995 / 03/31/1995
Life-Only / Inactive / 03/02/1993 / 03/31/1995 / 03/31/1995</x:v>
      </x:c>
      <x:c r="AR1165" s="7" t="str">
        <x:v>Inactive</x:v>
      </x:c>
      <x:c r="AS1165" s="7" t="str">
        <x:v>Current detail page</x:v>
      </x:c>
    </x:row>
    <x:row r="1166" ht="52" customHeight="1">
      <x:c r="A1166" s="7" t="str">
        <x:v>AGUILAR SYLVIA</x:v>
      </x:c>
      <x:c r="B1166" s="14" t="str">
        <x:f>"0740071"</x:f>
        <x:v>0740071</x:v>
      </x:c>
      <x:c r="C1166" s="7" t="str">
        <x:v>Omitted</x:v>
      </x:c>
      <x:c r="D1166" s="7" t="str">
        <x:v>FAIL</x:v>
      </x:c>
      <x:c r="E1166" s="13" t="str">
        <x:v>Pending</x:v>
      </x:c>
      <x:c r="F1166" s="13" t="str"/>
      <x:c r="G1166" s="13" t="str"/>
      <x:c r="H1166" s="13" t="str"/>
      <x:c r="I1166" s="7" t="str">
        <x:v>Was this person reviewed? If rejected, give the actual rule and evidence. If acceptable, correct the omission. Confirm the Life-qualification gate and any record change since selection.</x:v>
      </x:c>
      <x:c r="J1166" s="7" t="str">
        <x:v>L1</x:v>
      </x:c>
      <x:c r="K1166" s="7" t="str">
        <x:v>Verified qualifications do not include active general Life. Current target-pool mismatch; actual historical omission reason unknown.</x:v>
      </x:c>
      <x:c r="L1166" s="7" t="str">
        <x:v>Not supplied; membership is known, motive is not</x:v>
      </x:c>
      <x:c r="M1166" s="7" t="n">
        <x:v>7</x:v>
      </x:c>
      <x:c r="N1166" s="7" t="str">
        <x:v>Outside current general-Life recruiting pool</x:v>
      </x:c>
      <x:c r="O1166" s="7" t="str">
        <x:v>Not displayed</x:v>
      </x:c>
      <x:c r="P1166" s="7" t="str"/>
      <x:c r="Q1166" s="7" t="str"/>
      <x:c r="R1166" s="7" t="str"/>
      <x:c r="S1166" s="15" t="str"/>
      <x:c r="T1166" s="7" t="str">
        <x:v>No public business phone in collected record</x:v>
      </x:c>
      <x:c r="U1166" s="7" t="str"/>
      <x:c r="V1166" s="7" t="str">
        <x:v>Resident</x:v>
      </x:c>
      <x:c r="W1166" s="7" t="str">
        <x:v>CA</x:v>
      </x:c>
      <x:c r="X1166" s="7" t="str"/>
      <x:c r="Y1166" s="7" t="str"/>
      <x:c r="Z1166" s="7" t="str"/>
      <x:c r="AA1166" s="7" t="str"/>
      <x:c r="AB1166" s="7" t="str"/>
      <x:c r="AC1166" s="7" t="str"/>
      <x:c r="AD1166" s="7" t="str">
        <x:v>No agency or insurer displayed: onboarding opportunity possible; existing business unknown</x:v>
      </x:c>
      <x:c r="AE1166" s="7" t="str">
        <x:v>No public business phone: contact enrichment needed, not proof of poor recruiting fit</x:v>
      </x:c>
      <x:c r="AF1166" s="16" t="str"/>
      <x:c r="AG1166" s="17" t="str"/>
      <x:c r="AH1166" s="7" t="str"/>
      <x:c r="AI1166" s="7" t="str"/>
      <x:c r="AJ1166" s="7" t="str"/>
      <x:c r="AK1166" s="15" t="str"/>
      <x:c r="AL1166" s="7" t="str"/>
      <x:c r="AM1166" s="7" t="str">
        <x:v>AGUILAR  SYLVIA</x:v>
      </x:c>
      <x:c r="AN1166" s="7" t="str">
        <x:v>https://cdicloud.insurance.ca.gov/cal/LicenseDetail?SearchType=IND&amp;SearchLicNbr=0740071&amp;SearchIndvId=100969</x:v>
      </x:c>
      <x:c r="AO1166" s="7" t="str">
        <x:v>2026-10-08</x:v>
      </x:c>
      <x:c r="AP1166" s="7" t="str">
        <x:v>ebb4d97b57d7e645ec36b2328c522697cfdc4044e1ab01c330d74c2e058dfcdd</x:v>
      </x:c>
      <x:c r="AQ1166" s="7" t="str">
        <x:v>Casualty Broker-Agent / Inactive / 01/19/1988 / 01/31/1998 / 01/31/1998
Property Broker-Agent / Inactive / 01/19/1988 / 01/31/1998 / 01/31/1998</x:v>
      </x:c>
      <x:c r="AR1166" s="7" t="str">
        <x:v>Inactive</x:v>
      </x:c>
      <x:c r="AS1166" s="7" t="str">
        <x:v>Current detail page</x:v>
      </x:c>
    </x:row>
    <x:row r="1167" ht="52" customHeight="1">
      <x:c r="A1167" s="7" t="str">
        <x:v>AGUILAR SYLVIA</x:v>
      </x:c>
      <x:c r="B1167" s="14" t="str">
        <x:f>"4539421"</x:f>
        <x:v>4539421</x:v>
      </x:c>
      <x:c r="C1167" s="7" t="str">
        <x:v>Omitted</x:v>
      </x:c>
      <x:c r="D1167" s="7" t="str">
        <x:v>FAIL</x:v>
      </x:c>
      <x:c r="E1167" s="13" t="str">
        <x:v>Pending</x:v>
      </x:c>
      <x:c r="F1167" s="13" t="str"/>
      <x:c r="G1167" s="13" t="str"/>
      <x:c r="H1167" s="13" t="str"/>
      <x:c r="I1167" s="7" t="str">
        <x:v>Was this person reviewed? If rejected, give the actual rule and evidence. If acceptable, correct the omission. Confirm the Life-qualification gate and any record change since selection.</x:v>
      </x:c>
      <x:c r="J1167" s="7" t="str">
        <x:v>L1</x:v>
      </x:c>
      <x:c r="K1167" s="7" t="str">
        <x:v>Verified qualifications do not include active general Life. Current target-pool mismatch; actual historical omission reason unknown.</x:v>
      </x:c>
      <x:c r="L1167" s="7" t="str">
        <x:v>Not supplied; membership is known, motive is not</x:v>
      </x:c>
      <x:c r="M1167" s="7" t="n">
        <x:v>7</x:v>
      </x:c>
      <x:c r="N1167" s="7" t="str">
        <x:v>Outside current general-Life recruiting pool</x:v>
      </x:c>
      <x:c r="O1167" s="7" t="str">
        <x:v>Not displayed</x:v>
      </x:c>
      <x:c r="P1167" s="7" t="str"/>
      <x:c r="Q1167" s="7" t="str"/>
      <x:c r="R1167" s="7" t="str">
        <x:v>Motor Club Agent</x:v>
      </x:c>
      <x:c r="S1167" s="15" t="str"/>
      <x:c r="T1167" s="7" t="str">
        <x:v>No public business phone in collected record</x:v>
      </x:c>
      <x:c r="U1167" s="7" t="str">
        <x:v>1008 BLOSSOM HILL RD STE G1 SAN JOSE CA, 95123</x:v>
      </x:c>
      <x:c r="V1167" s="7" t="str">
        <x:v>Resident</x:v>
      </x:c>
      <x:c r="W1167" s="7" t="str">
        <x:v>CA</x:v>
      </x:c>
      <x:c r="X1167" s="7" t="str"/>
      <x:c r="Y1167" s="7" t="str">
        <x:v>AMERICAN TRAVELER MOTOR CLUB, LLC (THE) / Motor Club / 04/21/2026</x:v>
      </x:c>
      <x:c r="Z1167" s="7" t="str"/>
      <x:c r="AA1167" s="7" t="str"/>
      <x:c r="AB1167" s="7" t="str"/>
      <x:c r="AC1167" s="7" t="str"/>
      <x:c r="AD1167" s="7" t="str"/>
      <x:c r="AE1167" s="7" t="str">
        <x:v>No public business phone: contact enrichment needed, not proof of poor recruiting fit</x:v>
      </x:c>
      <x:c r="AF1167" s="16" t="str"/>
      <x:c r="AG1167" s="17" t="str"/>
      <x:c r="AH1167" s="7" t="str"/>
      <x:c r="AI1167" s="7" t="str">
        <x:v>English</x:v>
      </x:c>
      <x:c r="AJ1167" s="7" t="str"/>
      <x:c r="AK1167" s="15" t="str"/>
      <x:c r="AL1167" s="7" t="str"/>
      <x:c r="AM1167" s="7" t="str">
        <x:v>AGUILAR  SYLVIA</x:v>
      </x:c>
      <x:c r="AN1167" s="7" t="str">
        <x:v>https://cdicloud.insurance.ca.gov/cal/LicenseDetail?SearchType=IND&amp;SearchLicNbr=4539421&amp;SearchIndvId=4539421</x:v>
      </x:c>
      <x:c r="AO1167" s="7" t="str">
        <x:v>2026-10-08</x:v>
      </x:c>
      <x:c r="AP1167" s="7" t="str">
        <x:v>994ccc814303fe456ef71da1daec0b9f3a2965b1168217f4a50c8a4289f0b314</x:v>
      </x:c>
      <x:c r="AQ1167" s="7" t="str">
        <x:v>Motor Club Agent / Active / 04/17/2026 / 04/17/2026 / 04/30/2028</x:v>
      </x:c>
      <x:c r="AR1167" s="7" t="str">
        <x:v>Active</x:v>
      </x:c>
      <x:c r="AS1167" s="7" t="str">
        <x:v>Current detail page</x:v>
      </x:c>
    </x:row>
    <x:row r="1168" ht="52" customHeight="1">
      <x:c r="A1168" s="7" t="str">
        <x:v>AGUILAR SYLVIA ESQUIVEL</x:v>
      </x:c>
      <x:c r="B1168" s="14" t="str">
        <x:f>"0M90781"</x:f>
        <x:v>0M90781</x:v>
      </x:c>
      <x:c r="C1168" s="7" t="str">
        <x:v>Omitted</x:v>
      </x:c>
      <x:c r="D1168" s="7" t="str">
        <x:v>FAIL</x:v>
      </x:c>
      <x:c r="E1168" s="13" t="str">
        <x:v>Pending</x:v>
      </x:c>
      <x:c r="F1168" s="13" t="str"/>
      <x:c r="G1168" s="13" t="str"/>
      <x:c r="H1168" s="13" t="str"/>
      <x:c r="I1168" s="7" t="str">
        <x:v>Was this person reviewed? If rejected, give the actual rule and evidence. If acceptable, correct the omission. Confirm the Life-qualification gate and any record change since selection.</x:v>
      </x:c>
      <x:c r="J1168" s="7" t="str">
        <x:v>L1</x:v>
      </x:c>
      <x:c r="K1168" s="7" t="str">
        <x:v>Verified qualifications do not include active general Life. Current target-pool mismatch; actual historical omission reason unknown.</x:v>
      </x:c>
      <x:c r="L1168" s="7" t="str">
        <x:v>Not supplied; membership is known, motive is not</x:v>
      </x:c>
      <x:c r="M1168" s="7" t="n">
        <x:v>7</x:v>
      </x:c>
      <x:c r="N1168" s="7" t="str">
        <x:v>Outside current general-Life recruiting pool</x:v>
      </x:c>
      <x:c r="O1168" s="7" t="str">
        <x:v>Not displayed</x:v>
      </x:c>
      <x:c r="P1168" s="7" t="str"/>
      <x:c r="Q1168" s="7" t="str"/>
      <x:c r="R1168" s="7" t="str"/>
      <x:c r="S1168" s="15" t="str"/>
      <x:c r="T1168" s="7" t="str">
        <x:v>No public business phone in collected record</x:v>
      </x:c>
      <x:c r="U1168" s="7" t="str"/>
      <x:c r="V1168" s="7" t="str">
        <x:v>Resident</x:v>
      </x:c>
      <x:c r="W1168" s="7" t="str">
        <x:v>CA</x:v>
      </x:c>
      <x:c r="X1168" s="7" t="str"/>
      <x:c r="Y1168" s="7" t="str"/>
      <x:c r="Z1168" s="7" t="str"/>
      <x:c r="AA1168" s="7" t="str"/>
      <x:c r="AB1168" s="7" t="str"/>
      <x:c r="AC1168" s="7" t="str"/>
      <x:c r="AD1168" s="7" t="str">
        <x:v>No agency or insurer displayed: onboarding opportunity possible; existing business unknown</x:v>
      </x:c>
      <x:c r="AE1168" s="7" t="str">
        <x:v>No public business phone: contact enrichment needed, not proof of poor recruiting fit</x:v>
      </x:c>
      <x:c r="AF1168" s="16" t="str"/>
      <x:c r="AG1168" s="17" t="str"/>
      <x:c r="AH1168" s="7" t="str"/>
      <x:c r="AI1168" s="7" t="str"/>
      <x:c r="AJ1168" s="7" t="str"/>
      <x:c r="AK1168" s="15" t="str"/>
      <x:c r="AL1168" s="7" t="str"/>
      <x:c r="AM1168" s="7" t="str">
        <x:v>Aguilar E Sylvia | AGUILAR ESQUIVEL SYLVIA</x:v>
      </x:c>
      <x:c r="AN1168" s="7" t="str">
        <x:v>https://cdicloud.insurance.ca.gov/cal/LicenseDetail?SearchType=IND&amp;SearchLicNbr=0M90781&amp;SearchIndvId=2095101</x:v>
      </x:c>
      <x:c r="AO1168" s="7" t="str">
        <x:v>2026-10-08</x:v>
      </x:c>
      <x:c r="AP1168" s="7" t="str">
        <x:v>80674fea149ac0242702ab3b686795d93471de87fcb615963daf7b748ee91f83</x:v>
      </x:c>
      <x:c r="AQ1168" s="7" t="str">
        <x:v>Life-Only / Inactive / 04/03/2019 / 04/30/2021 / 04/30/2021</x:v>
      </x:c>
      <x:c r="AR1168" s="7" t="str">
        <x:v>Inactive</x:v>
      </x:c>
      <x:c r="AS1168" s="7" t="str">
        <x:v>Current detail page</x:v>
      </x:c>
    </x:row>
    <x:row r="1169" ht="52" customHeight="1">
      <x:c r="A1169" s="7" t="str">
        <x:v>AGUILAR SYLVIA G</x:v>
      </x:c>
      <x:c r="B1169" s="14" t="str">
        <x:f>"4275812"</x:f>
        <x:v>4275812</x:v>
      </x:c>
      <x:c r="C1169" s="7" t="str">
        <x:v>Omitted</x:v>
      </x:c>
      <x:c r="D1169" s="7" t="str">
        <x:v>FAIL</x:v>
      </x:c>
      <x:c r="E1169" s="13" t="str">
        <x:v>Pending</x:v>
      </x:c>
      <x:c r="F1169" s="13" t="str"/>
      <x:c r="G1169" s="13" t="str"/>
      <x:c r="H1169" s="13" t="str"/>
      <x:c r="I1169" s="7" t="str">
        <x:v>Was this person reviewed? If rejected, give the actual rule and evidence. If acceptable, correct the omission. Confirm the Life-qualification gate and any record change since selection.</x:v>
      </x:c>
      <x:c r="J1169" s="7" t="str">
        <x:v>L1</x:v>
      </x:c>
      <x:c r="K1169" s="7" t="str">
        <x:v>Verified qualifications do not include active general Life. Current target-pool mismatch; actual historical omission reason unknown.</x:v>
      </x:c>
      <x:c r="L1169" s="7" t="str">
        <x:v>Not supplied; membership is known, motive is not</x:v>
      </x:c>
      <x:c r="M1169" s="7" t="n">
        <x:v>7</x:v>
      </x:c>
      <x:c r="N1169" s="7" t="str">
        <x:v>Outside current general-Life recruiting pool</x:v>
      </x:c>
      <x:c r="O1169" s="7" t="str">
        <x:v>Not displayed</x:v>
      </x:c>
      <x:c r="P1169" s="7" t="str"/>
      <x:c r="Q1169" s="7" t="str"/>
      <x:c r="R1169" s="7" t="str">
        <x:v>Casualty; Property</x:v>
      </x:c>
      <x:c r="S1169" s="15" t="str"/>
      <x:c r="T1169" s="7" t="str">
        <x:v>No public business phone in collected record</x:v>
      </x:c>
      <x:c r="U1169" s="7" t="str">
        <x:v>1324 E 7TH ST BROWNSVILLE TX, 78520-7241</x:v>
      </x:c>
      <x:c r="V1169" s="7" t="str">
        <x:v>Non-resident</x:v>
      </x:c>
      <x:c r="W1169" s="7" t="str">
        <x:v>TX</x:v>
      </x:c>
      <x:c r="X1169" s="7" t="str"/>
      <x:c r="Y1169" s="7" t="str"/>
      <x:c r="Z1169" s="7" t="str"/>
      <x:c r="AA1169" s="7" t="str"/>
      <x:c r="AB1169" s="7" t="str"/>
      <x:c r="AC1169" s="7" t="str"/>
      <x:c r="AD1169" s="7" t="str">
        <x:v>No agency or insurer displayed: onboarding opportunity possible; existing business unknown</x:v>
      </x:c>
      <x:c r="AE1169"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1169" s="16" t="str"/>
      <x:c r="AG1169" s="17" t="str"/>
      <x:c r="AH1169" s="7" t="str"/>
      <x:c r="AI1169" s="7" t="str"/>
      <x:c r="AJ1169" s="7" t="str"/>
      <x:c r="AK1169" s="15" t="str"/>
      <x:c r="AL1169" s="7" t="str"/>
      <x:c r="AM1169" s="7" t="str">
        <x:v>AGUILAR G SYLVIA</x:v>
      </x:c>
      <x:c r="AN1169" s="7" t="str">
        <x:v>https://cdicloud.insurance.ca.gov/cal/LicenseDetail?SearchType=IND&amp;SearchLicNbr=4275812&amp;SearchIndvId=4275812</x:v>
      </x:c>
      <x:c r="AO1169" s="7" t="str">
        <x:v>2026-10-08</x:v>
      </x:c>
      <x:c r="AP1169" s="7" t="str">
        <x:v>cb7e6015603a92a6c436ebc6303c7f52728ed44faf00296af11bd35b3f69e60f</x:v>
      </x:c>
      <x:c r="AQ1169" s="7" t="str">
        <x:v>Casualty / Active / 02/23/2023 / 02/23/2023 / 02/28/2027
Property / Active / 02/23/2023 / 02/23/2023 / 02/28/2027</x:v>
      </x:c>
      <x:c r="AR1169" s="7" t="str">
        <x:v>Active</x:v>
      </x:c>
      <x:c r="AS1169" s="7" t="str">
        <x:v>Current detail page</x:v>
      </x:c>
    </x:row>
    <x:row r="1170" ht="52" customHeight="1">
      <x:c r="A1170" s="7" t="str">
        <x:v>AGUILAR SYLVIA GUERRERO</x:v>
      </x:c>
      <x:c r="B1170" s="14" t="str">
        <x:f>"0C43126"</x:f>
        <x:v>0C43126</x:v>
      </x:c>
      <x:c r="C1170" s="7" t="str">
        <x:v>Omitted</x:v>
      </x:c>
      <x:c r="D1170" s="7" t="str">
        <x:v>FAIL</x:v>
      </x:c>
      <x:c r="E1170" s="13" t="str">
        <x:v>Pending</x:v>
      </x:c>
      <x:c r="F1170" s="13" t="str"/>
      <x:c r="G1170" s="13" t="str"/>
      <x:c r="H1170" s="13" t="str"/>
      <x:c r="I1170" s="7" t="str">
        <x:v>Was this person reviewed? If rejected, give the actual rule and evidence. If acceptable, correct the omission. Confirm the Life-qualification gate and any record change since selection.</x:v>
      </x:c>
      <x:c r="J1170" s="7" t="str">
        <x:v>L1</x:v>
      </x:c>
      <x:c r="K1170" s="7" t="str">
        <x:v>Verified qualifications do not include active general Life. Current target-pool mismatch; actual historical omission reason unknown.</x:v>
      </x:c>
      <x:c r="L1170" s="7" t="str">
        <x:v>Not supplied; membership is known, motive is not</x:v>
      </x:c>
      <x:c r="M1170" s="7" t="n">
        <x:v>7</x:v>
      </x:c>
      <x:c r="N1170" s="7" t="str">
        <x:v>Outside current general-Life recruiting pool</x:v>
      </x:c>
      <x:c r="O1170" s="7" t="str">
        <x:v>Inactive</x:v>
      </x:c>
      <x:c r="P1170" s="7" t="str">
        <x:v>09/11/1998</x:v>
      </x:c>
      <x:c r="Q1170" s="7" t="str">
        <x:v>01/31/2022</x:v>
      </x:c>
      <x:c r="R1170" s="7" t="str"/>
      <x:c r="S1170" s="15" t="str"/>
      <x:c r="T1170" s="7" t="str">
        <x:v>No public business phone in collected record</x:v>
      </x:c>
      <x:c r="U1170" s="7" t="str">
        <x:v>145 S. STATE COLLEGE BLVD 115 BREA CA, 92821</x:v>
      </x:c>
      <x:c r="V1170" s="7" t="str">
        <x:v>Resident</x:v>
      </x:c>
      <x:c r="W1170" s="7" t="str">
        <x:v>CA</x:v>
      </x:c>
      <x:c r="X1170" s="7" t="str"/>
      <x:c r="Y1170" s="7" t="str"/>
      <x:c r="Z1170" s="7" t="str"/>
      <x:c r="AA1170" s="7" t="str"/>
      <x:c r="AB1170" s="7" t="str"/>
      <x:c r="AC1170" s="7" t="str"/>
      <x:c r="AD1170" s="7" t="str">
        <x:v>No agency or insurer displayed: onboarding opportunity possible; existing business unknown</x:v>
      </x:c>
      <x:c r="AE1170" s="7" t="str">
        <x:v>No public business phone: contact enrichment needed, not proof of poor recruiting fit</x:v>
      </x:c>
      <x:c r="AF1170" s="16" t="str"/>
      <x:c r="AG1170" s="17" t="str"/>
      <x:c r="AH1170" s="7" t="str"/>
      <x:c r="AI1170" s="7" t="str"/>
      <x:c r="AJ1170" s="7" t="str"/>
      <x:c r="AK1170" s="15" t="str"/>
      <x:c r="AL1170" s="7" t="str"/>
      <x:c r="AM1170" s="7" t="str">
        <x:v>AGUILAR GUERRERO SYLVIA</x:v>
      </x:c>
      <x:c r="AN1170" s="7" t="str">
        <x:v>https://cdicloud.insurance.ca.gov/cal/LicenseDetail?SearchType=IND&amp;SearchLicNbr=0C43126&amp;SearchIndvId=317525</x:v>
      </x:c>
      <x:c r="AO1170" s="7" t="str">
        <x:v>2026-10-08</x:v>
      </x:c>
      <x:c r="AP1170" s="7" t="str">
        <x:v>4dac524882761fd0245c7147b5f1a69faeff07bd9de74591481a17845cbde7cd</x:v>
      </x:c>
      <x:c r="AQ1170" s="7" t="str">
        <x:v>Accident &amp; Health or Sickness / Inactive / 09/11/1998 / 01/31/2022 / 01/31/2022
Life / Inactive / 09/11/1998 / 01/31/2022 / 01/31/2022</x:v>
      </x:c>
      <x:c r="AR1170" s="7" t="str">
        <x:v>Inactive</x:v>
      </x:c>
      <x:c r="AS1170" s="7" t="str">
        <x:v>Current detail page</x:v>
      </x:c>
    </x:row>
    <x:row r="1171" ht="52" customHeight="1">
      <x:c r="A1171" s="7" t="str">
        <x:v>AGUILAR TABITHA NOELLE</x:v>
      </x:c>
      <x:c r="B1171" s="14" t="str">
        <x:f>"0I12624"</x:f>
        <x:v>0I12624</x:v>
      </x:c>
      <x:c r="C1171" s="7" t="str">
        <x:v>Omitted</x:v>
      </x:c>
      <x:c r="D1171" s="7" t="str">
        <x:v>FAIL</x:v>
      </x:c>
      <x:c r="E1171" s="13" t="str">
        <x:v>Pending</x:v>
      </x:c>
      <x:c r="F1171" s="13" t="str"/>
      <x:c r="G1171" s="13" t="str"/>
      <x:c r="H1171" s="13" t="str"/>
      <x:c r="I1171" s="7" t="str">
        <x:v>Was this person reviewed? If rejected, give the actual rule and evidence. If acceptable, correct the omission. Confirm the Life-qualification gate and any record change since selection.</x:v>
      </x:c>
      <x:c r="J1171" s="7" t="str">
        <x:v>L1</x:v>
      </x:c>
      <x:c r="K1171" s="7" t="str">
        <x:v>Verified qualifications do not include active general Life. Current target-pool mismatch; actual historical omission reason unknown.</x:v>
      </x:c>
      <x:c r="L1171" s="7" t="str">
        <x:v>Not supplied; membership is known, motive is not</x:v>
      </x:c>
      <x:c r="M1171" s="7" t="n">
        <x:v>7</x:v>
      </x:c>
      <x:c r="N1171" s="7" t="str">
        <x:v>Outside current general-Life recruiting pool</x:v>
      </x:c>
      <x:c r="O1171" s="7" t="str">
        <x:v>Not displayed</x:v>
      </x:c>
      <x:c r="P1171" s="7" t="str"/>
      <x:c r="Q1171" s="7" t="str"/>
      <x:c r="R1171" s="7" t="str"/>
      <x:c r="S1171" s="15" t="str"/>
      <x:c r="T1171" s="7" t="str">
        <x:v>No public business phone in collected record</x:v>
      </x:c>
      <x:c r="U1171" s="7" t="str"/>
      <x:c r="V1171" s="7" t="str">
        <x:v>Non-resident</x:v>
      </x:c>
      <x:c r="W1171" s="7" t="str">
        <x:v>VA</x:v>
      </x:c>
      <x:c r="X1171" s="7" t="str"/>
      <x:c r="Y1171" s="7" t="str"/>
      <x:c r="Z1171" s="7" t="str"/>
      <x:c r="AA1171" s="7" t="str"/>
      <x:c r="AB1171" s="7" t="str"/>
      <x:c r="AC1171" s="7" t="str"/>
      <x:c r="AD1171" s="7" t="str">
        <x:v>No agency or insurer displayed: onboarding opportunity possible; existing business unknown</x:v>
      </x:c>
      <x:c r="AE1171" s="7" t="str">
        <x:v>Nonresident or address state outside CA; confirm geographic recruiting scope | No public business phone: contact enrichment needed, not proof of poor recruiting fit</x:v>
      </x:c>
      <x:c r="AF1171" s="16" t="str"/>
      <x:c r="AG1171" s="17" t="str"/>
      <x:c r="AH1171" s="7" t="str"/>
      <x:c r="AI1171" s="7" t="str"/>
      <x:c r="AJ1171" s="7" t="str"/>
      <x:c r="AK1171" s="15" t="str"/>
      <x:c r="AL1171" s="7" t="str"/>
      <x:c r="AM1171" s="7" t="str">
        <x:v>AGUILAR NOELLE TABITHA</x:v>
      </x:c>
      <x:c r="AN1171" s="7" t="str">
        <x:v>https://cdicloud.insurance.ca.gov/cal/LicenseDetail?SearchType=IND&amp;SearchLicNbr=0I12624&amp;SearchIndvId=1538815</x:v>
      </x:c>
      <x:c r="AO1171" s="7" t="str">
        <x:v>2026-10-08</x:v>
      </x:c>
      <x:c r="AP1171" s="7" t="str">
        <x:v>1cf59ee357eab213f6bf2623690b6f8552b2ce0b793c27437f942397b48c8ef6</x:v>
      </x:c>
      <x:c r="AQ1171" s="7" t="str">
        <x:v>Personal Lines Broker-Agent / Inactive / 11/06/2012 / 11/30/2016 / 11/30/2016</x:v>
      </x:c>
      <x:c r="AR1171" s="7" t="str">
        <x:v>Inactive</x:v>
      </x:c>
      <x:c r="AS1171" s="7" t="str">
        <x:v>Current detail page</x:v>
      </x:c>
    </x:row>
    <x:row r="1172" ht="52" customHeight="1">
      <x:c r="A1172" s="7" t="str">
        <x:v>AGUILAR TAI JABRIEL</x:v>
      </x:c>
      <x:c r="B1172" s="14" t="str">
        <x:f>"4320680"</x:f>
        <x:v>4320680</x:v>
      </x:c>
      <x:c r="C1172" s="7" t="str">
        <x:v>Omitted</x:v>
      </x:c>
      <x:c r="D1172" s="7" t="str">
        <x:v>FAIL</x:v>
      </x:c>
      <x:c r="E1172" s="13" t="str">
        <x:v>Pending</x:v>
      </x:c>
      <x:c r="F1172" s="13" t="str"/>
      <x:c r="G1172" s="13" t="str"/>
      <x:c r="H1172" s="13" t="str"/>
      <x:c r="I1172" s="7" t="str">
        <x:v>Was this person reviewed? If rejected, give the actual rule and evidence. If acceptable, correct the omission. Confirm the Life-qualification gate and any record change since selection.</x:v>
      </x:c>
      <x:c r="J1172" s="7" t="str">
        <x:v>L1</x:v>
      </x:c>
      <x:c r="K1172" s="7" t="str">
        <x:v>Verified qualifications do not include active general Life. Current target-pool mismatch; actual historical omission reason unknown.</x:v>
      </x:c>
      <x:c r="L1172" s="7" t="str">
        <x:v>Not supplied; membership is known, motive is not</x:v>
      </x:c>
      <x:c r="M1172" s="7" t="n">
        <x:v>7</x:v>
      </x:c>
      <x:c r="N1172" s="7" t="str">
        <x:v>Outside current general-Life recruiting pool</x:v>
      </x:c>
      <x:c r="O1172" s="7" t="str">
        <x:v>Inactive</x:v>
      </x:c>
      <x:c r="P1172" s="7" t="str">
        <x:v>08/24/2023</x:v>
      </x:c>
      <x:c r="Q1172" s="7" t="str">
        <x:v>08/31/2025</x:v>
      </x:c>
      <x:c r="R1172" s="7" t="str"/>
      <x:c r="S1172" s="15" t="str"/>
      <x:c r="T1172" s="7" t="str">
        <x:v>No public business phone in collected record</x:v>
      </x:c>
      <x:c r="U1172" s="7" t="str">
        <x:v>17802 IH 10 UNIT 114 SAN ANTONIO TX, 78257</x:v>
      </x:c>
      <x:c r="V1172" s="7" t="str">
        <x:v>Non-resident</x:v>
      </x:c>
      <x:c r="W1172" s="7" t="str">
        <x:v>TX</x:v>
      </x:c>
      <x:c r="X1172" s="7" t="str"/>
      <x:c r="Y1172" s="7" t="str"/>
      <x:c r="Z1172" s="7" t="str"/>
      <x:c r="AA1172" s="7" t="str"/>
      <x:c r="AB1172" s="7" t="str"/>
      <x:c r="AC1172" s="7" t="str"/>
      <x:c r="AD1172" s="7" t="str">
        <x:v>No agency or insurer displayed: onboarding opportunity possible; existing business unknown</x:v>
      </x:c>
      <x:c r="AE1172" s="7" t="str">
        <x:v>Nonresident or address state outside CA; confirm geographic recruiting scope | No public business phone: contact enrichment needed, not proof of poor recruiting fit</x:v>
      </x:c>
      <x:c r="AF1172" s="16" t="str"/>
      <x:c r="AG1172" s="17" t="str"/>
      <x:c r="AH1172" s="7" t="str"/>
      <x:c r="AI1172" s="7" t="str"/>
      <x:c r="AJ1172" s="7" t="str"/>
      <x:c r="AK1172" s="15" t="str"/>
      <x:c r="AL1172" s="7" t="str"/>
      <x:c r="AM1172" s="7" t="str">
        <x:v>AGUILAR JABRIEL TAI</x:v>
      </x:c>
      <x:c r="AN1172" s="7" t="str">
        <x:v>https://cdicloud.insurance.ca.gov/cal/LicenseDetail?SearchType=IND&amp;SearchLicNbr=4320680&amp;SearchIndvId=4320680</x:v>
      </x:c>
      <x:c r="AO1172" s="7" t="str">
        <x:v>2026-10-08</x:v>
      </x:c>
      <x:c r="AP1172" s="7" t="str">
        <x:v>10613fa5363be161c4cdb6b5bb0d2584a5a8a7264f6410bd9fbac517d539297b</x:v>
      </x:c>
      <x:c r="AQ1172" s="7" t="str">
        <x:v>Accident &amp; Health or Sickness / Inactive / 08/24/2023 / 08/31/2025 / 08/31/2025
Life / Inactive / 08/24/2023 / 08/31/2025 / 08/31/2025</x:v>
      </x:c>
      <x:c r="AR1172" s="7" t="str">
        <x:v>Inactive</x:v>
      </x:c>
      <x:c r="AS1172" s="7" t="str">
        <x:v>Current detail page</x:v>
      </x:c>
    </x:row>
    <x:row r="1173" ht="52" customHeight="1">
      <x:c r="A1173" s="7" t="str">
        <x:v>AGUILAR TANIA</x:v>
      </x:c>
      <x:c r="B1173" s="14" t="str">
        <x:f>"0K88099"</x:f>
        <x:v>0K88099</x:v>
      </x:c>
      <x:c r="C1173" s="7" t="str">
        <x:v>Omitted</x:v>
      </x:c>
      <x:c r="D1173" s="7" t="str">
        <x:v>FAIL</x:v>
      </x:c>
      <x:c r="E1173" s="13" t="str">
        <x:v>Pending</x:v>
      </x:c>
      <x:c r="F1173" s="13" t="str"/>
      <x:c r="G1173" s="13" t="str"/>
      <x:c r="H1173" s="13" t="str"/>
      <x:c r="I1173" s="7" t="str">
        <x:v>Was this person reviewed? If rejected, give the actual rule and evidence. If acceptable, correct the omission. Confirm the Life-qualification gate and any record change since selection.</x:v>
      </x:c>
      <x:c r="J1173" s="7" t="str">
        <x:v>L1</x:v>
      </x:c>
      <x:c r="K1173" s="7" t="str">
        <x:v>Verified qualifications do not include active general Life. Current target-pool mismatch; actual historical omission reason unknown.</x:v>
      </x:c>
      <x:c r="L1173" s="7" t="str">
        <x:v>Not supplied; membership is known, motive is not</x:v>
      </x:c>
      <x:c r="M1173" s="7" t="n">
        <x:v>7</x:v>
      </x:c>
      <x:c r="N1173" s="7" t="str">
        <x:v>Outside current general-Life recruiting pool</x:v>
      </x:c>
      <x:c r="O1173" s="7" t="str">
        <x:v>Not displayed</x:v>
      </x:c>
      <x:c r="P1173" s="7" t="str"/>
      <x:c r="Q1173" s="7" t="str"/>
      <x:c r="R1173" s="7" t="str"/>
      <x:c r="S1173" s="15" t="str"/>
      <x:c r="T1173" s="7" t="str">
        <x:v>No public business phone in collected record</x:v>
      </x:c>
      <x:c r="U1173" s="7" t="str"/>
      <x:c r="V1173" s="7" t="str">
        <x:v>Resident</x:v>
      </x:c>
      <x:c r="W1173" s="7" t="str">
        <x:v>CA</x:v>
      </x:c>
      <x:c r="X1173" s="7" t="str"/>
      <x:c r="Y1173" s="7" t="str"/>
      <x:c r="Z1173" s="7" t="str"/>
      <x:c r="AA1173" s="7" t="str"/>
      <x:c r="AB1173" s="7" t="str"/>
      <x:c r="AC1173" s="7" t="str"/>
      <x:c r="AD1173" s="7" t="str">
        <x:v>No agency or insurer displayed: onboarding opportunity possible; existing business unknown</x:v>
      </x:c>
      <x:c r="AE1173" s="7" t="str">
        <x:v>No public business phone: contact enrichment needed, not proof of poor recruiting fit</x:v>
      </x:c>
      <x:c r="AF1173" s="16" t="str"/>
      <x:c r="AG1173" s="17" t="str"/>
      <x:c r="AH1173" s="7" t="str"/>
      <x:c r="AI1173" s="7" t="str"/>
      <x:c r="AJ1173" s="7" t="str"/>
      <x:c r="AK1173" s="15" t="str"/>
      <x:c r="AL1173" s="7" t="str"/>
      <x:c r="AM1173" s="7" t="str">
        <x:v>AGUILAR  TANIA</x:v>
      </x:c>
      <x:c r="AN1173" s="7" t="str">
        <x:v>https://cdicloud.insurance.ca.gov/cal/LicenseDetail?SearchType=IND&amp;SearchLicNbr=0K88099&amp;SearchIndvId=1835892</x:v>
      </x:c>
      <x:c r="AO1173" s="7" t="str">
        <x:v>2026-10-08</x:v>
      </x:c>
      <x:c r="AP1173" s="7" t="str">
        <x:v>35532e34900383a4bea75c078c3b8d76d37e83b1bdcbf3ab8dd2e7aa21b4ebbf</x:v>
      </x:c>
      <x:c r="AQ1173" s="7" t="str">
        <x:v>Personal Lines Broker-Agent / Inactive / 05/04/2016 / 05/31/2018 / 05/31/2018</x:v>
      </x:c>
      <x:c r="AR1173" s="7" t="str">
        <x:v>Inactive</x:v>
      </x:c>
      <x:c r="AS1173" s="7" t="str">
        <x:v>Current detail page</x:v>
      </x:c>
    </x:row>
    <x:row r="1174" ht="52" customHeight="1">
      <x:c r="A1174" s="7" t="str">
        <x:v>AGUILAR TARA LYNN</x:v>
      </x:c>
      <x:c r="B1174" s="14" t="str">
        <x:f>"0E78033"</x:f>
        <x:v>0E78033</x:v>
      </x:c>
      <x:c r="C1174" s="7" t="str">
        <x:v>Omitted</x:v>
      </x:c>
      <x:c r="D1174" s="7" t="str">
        <x:v>FAIL</x:v>
      </x:c>
      <x:c r="E1174" s="13" t="str">
        <x:v>Pending</x:v>
      </x:c>
      <x:c r="F1174" s="13" t="str"/>
      <x:c r="G1174" s="13" t="str"/>
      <x:c r="H1174" s="13" t="str"/>
      <x:c r="I1174" s="7" t="str">
        <x:v>Was this person reviewed? If rejected, give the actual rule and evidence. If acceptable, correct the omission. Confirm the Life-qualification gate and any record change since selection.</x:v>
      </x:c>
      <x:c r="J1174" s="7" t="str">
        <x:v>L1</x:v>
      </x:c>
      <x:c r="K1174" s="7" t="str">
        <x:v>Verified qualifications do not include active general Life. Current target-pool mismatch; actual historical omission reason unknown.</x:v>
      </x:c>
      <x:c r="L1174" s="7" t="str">
        <x:v>Not supplied; membership is known, motive is not</x:v>
      </x:c>
      <x:c r="M1174" s="7" t="n">
        <x:v>7</x:v>
      </x:c>
      <x:c r="N1174" s="7" t="str">
        <x:v>Outside current general-Life recruiting pool</x:v>
      </x:c>
      <x:c r="O1174" s="7" t="str">
        <x:v>Not displayed</x:v>
      </x:c>
      <x:c r="P1174" s="7" t="str"/>
      <x:c r="Q1174" s="7" t="str"/>
      <x:c r="R1174" s="7" t="str"/>
      <x:c r="S1174" s="15" t="str"/>
      <x:c r="T1174" s="7" t="str">
        <x:v>No public business phone in collected record</x:v>
      </x:c>
      <x:c r="U1174" s="7" t="str"/>
      <x:c r="V1174" s="7" t="str">
        <x:v>Non-resident</x:v>
      </x:c>
      <x:c r="W1174" s="7" t="str">
        <x:v>VA</x:v>
      </x:c>
      <x:c r="X1174" s="7" t="str"/>
      <x:c r="Y1174" s="7" t="str"/>
      <x:c r="Z1174" s="7" t="str"/>
      <x:c r="AA1174" s="7" t="str"/>
      <x:c r="AB1174" s="7" t="str"/>
      <x:c r="AC1174" s="7" t="str"/>
      <x:c r="AD1174" s="7" t="str">
        <x:v>No agency or insurer displayed: onboarding opportunity possible; existing business unknown</x:v>
      </x:c>
      <x:c r="AE1174" s="7" t="str">
        <x:v>Nonresident or address state outside CA; confirm geographic recruiting scope | No public business phone: contact enrichment needed, not proof of poor recruiting fit</x:v>
      </x:c>
      <x:c r="AF1174" s="16" t="str"/>
      <x:c r="AG1174" s="17" t="str"/>
      <x:c r="AH1174" s="7" t="str"/>
      <x:c r="AI1174" s="7" t="str"/>
      <x:c r="AJ1174" s="7" t="str"/>
      <x:c r="AK1174" s="15" t="str"/>
      <x:c r="AL1174" s="7" t="str"/>
      <x:c r="AM1174" s="7" t="str">
        <x:v>AGUILAR LYNN TARA</x:v>
      </x:c>
      <x:c r="AN1174" s="7" t="str">
        <x:v>https://cdicloud.insurance.ca.gov/cal/LicenseDetail?SearchType=IND&amp;SearchLicNbr=0E78033&amp;SearchIndvId=949235</x:v>
      </x:c>
      <x:c r="AO1174" s="7" t="str">
        <x:v>2026-10-08</x:v>
      </x:c>
      <x:c r="AP1174" s="7" t="str">
        <x:v>5b1770ac2eceeb42f99929e694ae880200a6ba6fe17a419b9b8eb1e743a46f17</x:v>
      </x:c>
      <x:c r="AQ1174" s="7" t="str">
        <x:v>Casualty Broker-Agent / Inactive / 05/03/2005 / 05/31/2007 / 05/31/2007
Property Broker-Agent / Inactive / 05/03/2005 / 05/31/2007 / 05/31/2007</x:v>
      </x:c>
      <x:c r="AR1174" s="7" t="str">
        <x:v>Inactive</x:v>
      </x:c>
      <x:c r="AS1174" s="7" t="str">
        <x:v>Current detail page</x:v>
      </x:c>
    </x:row>
    <x:row r="1175" ht="52" customHeight="1">
      <x:c r="A1175" s="7" t="str">
        <x:v>AGUILAR TASMANN</x:v>
      </x:c>
      <x:c r="B1175" s="14" t="str">
        <x:f>"4040396"</x:f>
        <x:v>4040396</x:v>
      </x:c>
      <x:c r="C1175" s="7" t="str">
        <x:v>Omitted</x:v>
      </x:c>
      <x:c r="D1175" s="7" t="str">
        <x:v>FAIL</x:v>
      </x:c>
      <x:c r="E1175" s="13" t="str">
        <x:v>Pending</x:v>
      </x:c>
      <x:c r="F1175" s="13" t="str"/>
      <x:c r="G1175" s="13" t="str"/>
      <x:c r="H1175" s="13" t="str"/>
      <x:c r="I1175" s="7" t="str">
        <x:v>Was this person reviewed? If rejected, give the actual rule and evidence. If acceptable, correct the omission. Confirm the Life-qualification gate and any record change since selection.</x:v>
      </x:c>
      <x:c r="J1175" s="7" t="str">
        <x:v>L1</x:v>
      </x:c>
      <x:c r="K1175" s="7" t="str">
        <x:v>Verified qualifications do not include active general Life. Current target-pool mismatch; actual historical omission reason unknown.</x:v>
      </x:c>
      <x:c r="L1175" s="7" t="str">
        <x:v>Not supplied; membership is known, motive is not</x:v>
      </x:c>
      <x:c r="M1175" s="7" t="n">
        <x:v>7</x:v>
      </x:c>
      <x:c r="N1175" s="7" t="str">
        <x:v>Outside current general-Life recruiting pool</x:v>
      </x:c>
      <x:c r="O1175" s="7" t="str">
        <x:v>Not displayed</x:v>
      </x:c>
      <x:c r="P1175" s="7" t="str"/>
      <x:c r="Q1175" s="7" t="str"/>
      <x:c r="R1175" s="7" t="str"/>
      <x:c r="S1175" s="15" t="str"/>
      <x:c r="T1175" s="7" t="str">
        <x:v>No public business phone in collected record</x:v>
      </x:c>
      <x:c r="U1175" s="7" t="str">
        <x:v>1445 SE QUARTZ LN WAUKEE IA, 50263-8797</x:v>
      </x:c>
      <x:c r="V1175" s="7" t="str">
        <x:v>Non-resident</x:v>
      </x:c>
      <x:c r="W1175" s="7" t="str">
        <x:v>IA</x:v>
      </x:c>
      <x:c r="X1175" s="7" t="str"/>
      <x:c r="Y1175" s="7" t="str"/>
      <x:c r="Z1175" s="7" t="str"/>
      <x:c r="AA1175" s="7" t="str"/>
      <x:c r="AB1175" s="7" t="str"/>
      <x:c r="AC1175" s="7" t="str"/>
      <x:c r="AD1175" s="7" t="str">
        <x:v>No agency or insurer displayed: onboarding opportunity possible; existing business unknown</x:v>
      </x:c>
      <x:c r="AE1175" s="7" t="str">
        <x:v>Nonresident or address state outside CA; confirm geographic recruiting scope | No public business phone: contact enrichment needed, not proof of poor recruiting fit</x:v>
      </x:c>
      <x:c r="AF1175" s="16" t="str"/>
      <x:c r="AG1175" s="17" t="str"/>
      <x:c r="AH1175" s="7" t="str"/>
      <x:c r="AI1175" s="7" t="str"/>
      <x:c r="AJ1175" s="7" t="str"/>
      <x:c r="AK1175" s="15" t="str"/>
      <x:c r="AL1175" s="7" t="str"/>
      <x:c r="AM1175" s="7" t="str">
        <x:v>AGUILAR  TASMANN</x:v>
      </x:c>
      <x:c r="AN1175" s="7" t="str">
        <x:v>https://cdicloud.insurance.ca.gov/cal/LicenseDetail?SearchType=IND&amp;SearchLicNbr=4040396&amp;SearchIndvId=4040396</x:v>
      </x:c>
      <x:c r="AO1175" s="7" t="str">
        <x:v>2026-10-08</x:v>
      </x:c>
      <x:c r="AP1175" s="7" t="str">
        <x:v>1c051bf05036a018b1f7d145ee42692a2b102d7b70c5d40bb17e0ff40444236e</x:v>
      </x:c>
      <x:c r="AQ1175" s="7" t="str">
        <x:v>Personal Lines / Inactive / 04/27/2020 / 04/30/2022 / 04/30/2022</x:v>
      </x:c>
      <x:c r="AR1175" s="7" t="str">
        <x:v>Inactive</x:v>
      </x:c>
      <x:c r="AS1175" s="7" t="str">
        <x:v>Current detail page</x:v>
      </x:c>
    </x:row>
    <x:row r="1176" ht="52" customHeight="1">
      <x:c r="A1176" s="7" t="str">
        <x:v>AGUILAR TATIANA</x:v>
      </x:c>
      <x:c r="B1176" s="14" t="str">
        <x:f>"4289255"</x:f>
        <x:v>4289255</x:v>
      </x:c>
      <x:c r="C1176" s="7" t="str">
        <x:v>Omitted</x:v>
      </x:c>
      <x:c r="D1176" s="7" t="str">
        <x:v>FAIL</x:v>
      </x:c>
      <x:c r="E1176" s="13" t="str">
        <x:v>Pending</x:v>
      </x:c>
      <x:c r="F1176" s="13" t="str"/>
      <x:c r="G1176" s="13" t="str"/>
      <x:c r="H1176" s="13" t="str"/>
      <x:c r="I1176" s="7" t="str">
        <x:v>Was this person reviewed? If rejected, give the actual rule and evidence. If acceptable, correct the omission. Confirm the Life-qualification gate and any record change since selection.</x:v>
      </x:c>
      <x:c r="J1176" s="7" t="str">
        <x:v>L1</x:v>
      </x:c>
      <x:c r="K1176" s="7" t="str">
        <x:v>Verified qualifications do not include active general Life. Current target-pool mismatch; actual historical omission reason unknown.</x:v>
      </x:c>
      <x:c r="L1176" s="7" t="str">
        <x:v>Not supplied; membership is known, motive is not</x:v>
      </x:c>
      <x:c r="M1176" s="7" t="n">
        <x:v>7</x:v>
      </x:c>
      <x:c r="N1176" s="7" t="str">
        <x:v>Outside current general-Life recruiting pool</x:v>
      </x:c>
      <x:c r="O1176" s="7" t="str">
        <x:v>Not displayed</x:v>
      </x:c>
      <x:c r="P1176" s="7" t="str"/>
      <x:c r="Q1176" s="7" t="str"/>
      <x:c r="R1176" s="7" t="str"/>
      <x:c r="S1176" s="15" t="str"/>
      <x:c r="T1176" s="7" t="str">
        <x:v>No public business phone in collected record</x:v>
      </x:c>
      <x:c r="U1176" s="7" t="str">
        <x:v>1031 ENGLISH IVY DR PROSPER TX, 75078-5659</x:v>
      </x:c>
      <x:c r="V1176" s="7" t="str">
        <x:v>Non-resident</x:v>
      </x:c>
      <x:c r="W1176" s="7" t="str">
        <x:v>TX</x:v>
      </x:c>
      <x:c r="X1176" s="7" t="str"/>
      <x:c r="Y1176" s="7" t="str"/>
      <x:c r="Z1176" s="7" t="str"/>
      <x:c r="AA1176" s="7" t="str"/>
      <x:c r="AB1176" s="7" t="str"/>
      <x:c r="AC1176" s="7" t="str"/>
      <x:c r="AD1176" s="7" t="str">
        <x:v>No agency or insurer displayed: onboarding opportunity possible; existing business unknown</x:v>
      </x:c>
      <x:c r="AE1176" s="7" t="str">
        <x:v>Nonresident or address state outside CA; confirm geographic recruiting scope | No public business phone: contact enrichment needed, not proof of poor recruiting fit</x:v>
      </x:c>
      <x:c r="AF1176" s="16" t="str"/>
      <x:c r="AG1176" s="17" t="str"/>
      <x:c r="AH1176" s="7" t="str"/>
      <x:c r="AI1176" s="7" t="str"/>
      <x:c r="AJ1176" s="7" t="str"/>
      <x:c r="AK1176" s="15" t="str"/>
      <x:c r="AL1176" s="7" t="str"/>
      <x:c r="AM1176" s="7" t="str">
        <x:v>AGUILAR  TATIANA</x:v>
      </x:c>
      <x:c r="AN1176" s="7" t="str">
        <x:v>https://cdicloud.insurance.ca.gov/cal/LicenseDetail?SearchType=IND&amp;SearchLicNbr=4289255&amp;SearchIndvId=4289255</x:v>
      </x:c>
      <x:c r="AO1176" s="7" t="str">
        <x:v>2026-10-08</x:v>
      </x:c>
      <x:c r="AP1176" s="7" t="str">
        <x:v>732357f98f7e09ba6b6dc77d94ff0fa93a2243ade92c6001b424daee2ed6cb5f</x:v>
      </x:c>
      <x:c r="AQ1176" s="7" t="str">
        <x:v>Accident &amp; Health or Sickness / Inactive / 04/20/2023 / 04/30/2025 / 04/30/2025</x:v>
      </x:c>
      <x:c r="AR1176" s="7" t="str">
        <x:v>Inactive</x:v>
      </x:c>
      <x:c r="AS1176" s="7" t="str">
        <x:v>Current detail page</x:v>
      </x:c>
    </x:row>
    <x:row r="1177" ht="52" customHeight="1">
      <x:c r="A1177" s="7" t="str">
        <x:v>AGUILAR TATIANA MIRIAM</x:v>
      </x:c>
      <x:c r="B1177" s="14" t="str">
        <x:f>"4377170"</x:f>
        <x:v>4377170</x:v>
      </x:c>
      <x:c r="C1177" s="7" t="str">
        <x:v>Omitted</x:v>
      </x:c>
      <x:c r="D1177" s="7" t="str">
        <x:v>FAIL</x:v>
      </x:c>
      <x:c r="E1177" s="13" t="str">
        <x:v>Pending</x:v>
      </x:c>
      <x:c r="F1177" s="13" t="str"/>
      <x:c r="G1177" s="13" t="str"/>
      <x:c r="H1177" s="13" t="str"/>
      <x:c r="I1177" s="7" t="str">
        <x:v>Was this person reviewed? If rejected, give the actual rule and evidence. If acceptable, correct the omission. Confirm the Life-qualification gate and any record change since selection.</x:v>
      </x:c>
      <x:c r="J1177" s="7" t="str">
        <x:v>L1</x:v>
      </x:c>
      <x:c r="K1177" s="7" t="str">
        <x:v>Verified qualifications do not include active general Life. Current target-pool mismatch; actual historical omission reason unknown.</x:v>
      </x:c>
      <x:c r="L1177" s="7" t="str">
        <x:v>Not supplied; membership is known, motive is not</x:v>
      </x:c>
      <x:c r="M1177" s="7" t="n">
        <x:v>7</x:v>
      </x:c>
      <x:c r="N1177" s="7" t="str">
        <x:v>Outside current general-Life recruiting pool</x:v>
      </x:c>
      <x:c r="O1177" s="7" t="str">
        <x:v>Not displayed</x:v>
      </x:c>
      <x:c r="P1177" s="7" t="str"/>
      <x:c r="Q1177" s="7" t="str"/>
      <x:c r="R1177" s="7" t="str"/>
      <x:c r="S1177" s="15" t="str">
        <x:v>619-552-0337</x:v>
      </x:c>
      <x:c r="T1177" s="7" t="str">
        <x:v>Current CDI</x:v>
      </x:c>
      <x:c r="U1177" s="7" t="str">
        <x:v>7650 MISSION VALLEY RD SAN DIEGO CA, 92108</x:v>
      </x:c>
      <x:c r="V1177" s="7" t="str">
        <x:v>Resident</x:v>
      </x:c>
      <x:c r="W1177" s="7" t="str">
        <x:v>CA</x:v>
      </x:c>
      <x:c r="X1177" s="7" t="str"/>
      <x:c r="Y1177" s="7" t="str"/>
      <x:c r="Z1177" s="7" t="str"/>
      <x:c r="AA1177" s="7" t="str"/>
      <x:c r="AB1177" s="7" t="str"/>
      <x:c r="AC1177" s="7" t="str"/>
      <x:c r="AD1177" s="7" t="str">
        <x:v>No agency or insurer displayed: onboarding opportunity possible; existing business unknown</x:v>
      </x:c>
      <x:c r="AE1177" s="7" t="str"/>
      <x:c r="AF1177" s="16" t="str"/>
      <x:c r="AG1177" s="17" t="str"/>
      <x:c r="AH1177" s="7" t="str"/>
      <x:c r="AI1177" s="7" t="str">
        <x:v>English</x:v>
      </x:c>
      <x:c r="AJ1177" s="7" t="str"/>
      <x:c r="AK1177" s="15" t="str"/>
      <x:c r="AL1177" s="7" t="str"/>
      <x:c r="AM1177" s="7" t="str">
        <x:v>AGUILAR MIRIAM TATIANA</x:v>
      </x:c>
      <x:c r="AN1177" s="7" t="str">
        <x:v>https://cdicloud.insurance.ca.gov/cal/LicenseDetail?SearchType=IND&amp;SearchLicNbr=4377170&amp;SearchIndvId=4377170</x:v>
      </x:c>
      <x:c r="AO1177" s="7" t="str">
        <x:v>2026-10-08</x:v>
      </x:c>
      <x:c r="AP1177" s="7" t="str">
        <x:v>651dce51bb7c90ea7d96808af120af933798a2d2c29a0a4240cc81c281bba25b</x:v>
      </x:c>
      <x:c r="AQ1177" s="7" t="str">
        <x:v>Personal Lines / Inactive / 04/30/2024 / 04/30/2026 / 04/30/2026</x:v>
      </x:c>
      <x:c r="AR1177" s="7" t="str">
        <x:v>Inactive</x:v>
      </x:c>
      <x:c r="AS1177" s="7" t="str">
        <x:v>Current detail page</x:v>
      </x:c>
    </x:row>
    <x:row r="1178" ht="52" customHeight="1">
      <x:c r="A1178" s="7" t="str">
        <x:v>AGUILAR TAYLOR SHA E</x:v>
      </x:c>
      <x:c r="B1178" s="14" t="str">
        <x:f>"0I28598"</x:f>
        <x:v>0I28598</x:v>
      </x:c>
      <x:c r="C1178" s="7" t="str">
        <x:v>Omitted</x:v>
      </x:c>
      <x:c r="D1178" s="7" t="str">
        <x:v>FAIL</x:v>
      </x:c>
      <x:c r="E1178" s="13" t="str">
        <x:v>Pending</x:v>
      </x:c>
      <x:c r="F1178" s="13" t="str"/>
      <x:c r="G1178" s="13" t="str"/>
      <x:c r="H1178" s="13" t="str"/>
      <x:c r="I1178" s="7" t="str">
        <x:v>Was this person reviewed? If rejected, give the actual rule and evidence. If acceptable, correct the omission. Confirm the Life-qualification gate and any record change since selection.</x:v>
      </x:c>
      <x:c r="J1178" s="7" t="str">
        <x:v>L1</x:v>
      </x:c>
      <x:c r="K1178" s="7" t="str">
        <x:v>Verified qualifications do not include active general Life. Current target-pool mismatch; actual historical omission reason unknown.</x:v>
      </x:c>
      <x:c r="L1178" s="7" t="str">
        <x:v>Not supplied; membership is known, motive is not</x:v>
      </x:c>
      <x:c r="M1178" s="7" t="n">
        <x:v>7</x:v>
      </x:c>
      <x:c r="N1178" s="7" t="str">
        <x:v>Outside current general-Life recruiting pool</x:v>
      </x:c>
      <x:c r="O1178" s="7" t="str">
        <x:v>Not displayed</x:v>
      </x:c>
      <x:c r="P1178" s="7" t="str"/>
      <x:c r="Q1178" s="7" t="str"/>
      <x:c r="R1178" s="7" t="str"/>
      <x:c r="S1178" s="15" t="str"/>
      <x:c r="T1178" s="7" t="str">
        <x:v>No public business phone in collected record</x:v>
      </x:c>
      <x:c r="U1178" s="7" t="str"/>
      <x:c r="V1178" s="7" t="str">
        <x:v>Non-resident</x:v>
      </x:c>
      <x:c r="W1178" s="7" t="str">
        <x:v>KS</x:v>
      </x:c>
      <x:c r="X1178" s="7" t="str"/>
      <x:c r="Y1178" s="7" t="str"/>
      <x:c r="Z1178" s="7" t="str"/>
      <x:c r="AA1178" s="7" t="str"/>
      <x:c r="AB1178" s="7" t="str"/>
      <x:c r="AC1178" s="7" t="str"/>
      <x:c r="AD1178" s="7" t="str">
        <x:v>No agency or insurer displayed: onboarding opportunity possible; existing business unknown</x:v>
      </x:c>
      <x:c r="AE1178" s="7" t="str">
        <x:v>Nonresident or address state outside CA; confirm geographic recruiting scope | No public business phone: contact enrichment needed, not proof of poor recruiting fit</x:v>
      </x:c>
      <x:c r="AF1178" s="16" t="str"/>
      <x:c r="AG1178" s="17" t="str"/>
      <x:c r="AH1178" s="7" t="str"/>
      <x:c r="AI1178" s="7" t="str"/>
      <x:c r="AJ1178" s="7" t="str"/>
      <x:c r="AK1178" s="15" t="str"/>
      <x:c r="AL1178" s="7" t="str"/>
      <x:c r="AM1178" s="7" t="str">
        <x:v>AGUILAR SHA E TAYLOR</x:v>
      </x:c>
      <x:c r="AN1178" s="7" t="str">
        <x:v>https://cdicloud.insurance.ca.gov/cal/LicenseDetail?SearchType=IND&amp;SearchLicNbr=0I28598&amp;SearchIndvId=1583589</x:v>
      </x:c>
      <x:c r="AO1178" s="7" t="str">
        <x:v>2026-10-08</x:v>
      </x:c>
      <x:c r="AP1178" s="7" t="str">
        <x:v>0eb321463a45639c8bd194ced81f331839ed1be93cb9708d60aa5924c9fe5192</x:v>
      </x:c>
      <x:c r="AQ1178" s="7" t="str">
        <x:v>Casualty Broker-Agent / Inactive / 08/16/2013 / 08/31/2015 / 08/31/2015
Property Broker-Agent / Inactive / 08/16/2013 / 08/31/2015 / 08/31/2015</x:v>
      </x:c>
      <x:c r="AR1178" s="7" t="str">
        <x:v>Inactive</x:v>
      </x:c>
      <x:c r="AS1178" s="7" t="str">
        <x:v>Current detail page</x:v>
      </x:c>
    </x:row>
    <x:row r="1179" ht="52" customHeight="1">
      <x:c r="A1179" s="7" t="str">
        <x:v>AGUILAR TERESA</x:v>
      </x:c>
      <x:c r="B1179" s="14" t="str">
        <x:f>"0D01032"</x:f>
        <x:v>0D01032</x:v>
      </x:c>
      <x:c r="C1179" s="7" t="str">
        <x:v>Omitted</x:v>
      </x:c>
      <x:c r="D1179" s="7" t="str">
        <x:v>FAIL</x:v>
      </x:c>
      <x:c r="E1179" s="13" t="str">
        <x:v>Pending</x:v>
      </x:c>
      <x:c r="F1179" s="13" t="str"/>
      <x:c r="G1179" s="13" t="str"/>
      <x:c r="H1179" s="13" t="str"/>
      <x:c r="I1179" s="7" t="str">
        <x:v>Was this person reviewed? If rejected, give the actual rule and evidence. If acceptable, correct the omission. Confirm the Life-qualification gate and any record change since selection.</x:v>
      </x:c>
      <x:c r="J1179" s="7" t="str">
        <x:v>L1</x:v>
      </x:c>
      <x:c r="K1179" s="7" t="str">
        <x:v>Verified qualifications do not include active general Life. Current target-pool mismatch; actual historical omission reason unknown.</x:v>
      </x:c>
      <x:c r="L1179" s="7" t="str">
        <x:v>Not supplied; membership is known, motive is not</x:v>
      </x:c>
      <x:c r="M1179" s="7" t="n">
        <x:v>7</x:v>
      </x:c>
      <x:c r="N1179" s="7" t="str">
        <x:v>Outside current general-Life recruiting pool</x:v>
      </x:c>
      <x:c r="O1179" s="7" t="str">
        <x:v>Not displayed</x:v>
      </x:c>
      <x:c r="P1179" s="7" t="str"/>
      <x:c r="Q1179" s="7" t="str"/>
      <x:c r="R1179" s="7" t="str"/>
      <x:c r="S1179" s="15" t="str"/>
      <x:c r="T1179" s="7" t="str">
        <x:v>No public business phone in collected record</x:v>
      </x:c>
      <x:c r="U1179" s="7" t="str"/>
      <x:c r="V1179" s="7" t="str">
        <x:v>Resident</x:v>
      </x:c>
      <x:c r="W1179" s="7" t="str">
        <x:v>CA</x:v>
      </x:c>
      <x:c r="X1179" s="7" t="str">
        <x:v>PRIMERICA FINANCIAL SERVICES INSURANCE MARKETING, INC. / Life-Only / 07/20/2000
PRIMERICA FINANCIAL SERVICES INSURANCE MARKETING, INC. / Accident and Health / 07/20/2000</x:v>
      </x:c>
      <x:c r="Y1179" s="7" t="str"/>
      <x:c r="Z1179" s="7" t="str"/>
      <x:c r="AA1179" s="7" t="str"/>
      <x:c r="AB1179" s="7" t="str"/>
      <x:c r="AC1179" s="7" t="str"/>
      <x:c r="AD1179" s="7" t="str">
        <x:v>Primerica relationship: matches an explicitly targeted recruiting segment</x:v>
      </x:c>
      <x:c r="AE1179" s="7" t="str">
        <x:v>No public business phone: contact enrichment needed, not proof of poor recruiting fit</x:v>
      </x:c>
      <x:c r="AF1179" s="16" t="str"/>
      <x:c r="AG1179" s="17" t="str"/>
      <x:c r="AH1179" s="7" t="str"/>
      <x:c r="AI1179" s="7" t="str"/>
      <x:c r="AJ1179" s="7" t="str"/>
      <x:c r="AK1179" s="15" t="str"/>
      <x:c r="AL1179" s="7" t="str"/>
      <x:c r="AM1179" s="7" t="str">
        <x:v>AGUILAR  TERESA</x:v>
      </x:c>
      <x:c r="AN1179" s="7" t="str">
        <x:v>https://cdicloud.insurance.ca.gov/cal/LicenseDetail?SearchType=IND&amp;SearchLicNbr=0D01032&amp;SearchIndvId=498288</x:v>
      </x:c>
      <x:c r="AO1179" s="7" t="str">
        <x:v>2026-10-08</x:v>
      </x:c>
      <x:c r="AP1179" s="7" t="str">
        <x:v>c298771567ad744d0c9323353dd9a2accd3311aa7d6992084c16ecebd9da6ed4</x:v>
      </x:c>
      <x:c r="AQ1179" s="7" t="str">
        <x:v>Accident and Health / Inactive / 07/20/2000 / 07/31/2002 / 07/31/2002
Life-Only / Inactive / 07/20/2000 / 07/31/2002 / 07/31/2002</x:v>
      </x:c>
      <x:c r="AR1179" s="7" t="str">
        <x:v>Inactive</x:v>
      </x:c>
      <x:c r="AS1179" s="7" t="str">
        <x:v>Current detail page</x:v>
      </x:c>
    </x:row>
    <x:row r="1180" ht="52" customHeight="1">
      <x:c r="A1180" s="7" t="str">
        <x:v>AGUILAR TERESA BELEN</x:v>
      </x:c>
      <x:c r="B1180" s="14" t="str">
        <x:f>"0K39791"</x:f>
        <x:v>0K39791</x:v>
      </x:c>
      <x:c r="C1180" s="7" t="str">
        <x:v>Omitted</x:v>
      </x:c>
      <x:c r="D1180" s="7" t="str">
        <x:v>FAIL</x:v>
      </x:c>
      <x:c r="E1180" s="13" t="str">
        <x:v>Pending</x:v>
      </x:c>
      <x:c r="F1180" s="13" t="str"/>
      <x:c r="G1180" s="13" t="str"/>
      <x:c r="H1180" s="13" t="str"/>
      <x:c r="I1180" s="7" t="str">
        <x:v>Was this person reviewed? If rejected, give the actual rule and evidence. If acceptable, correct the omission. Confirm the Life-qualification gate and any record change since selection.</x:v>
      </x:c>
      <x:c r="J1180" s="7" t="str">
        <x:v>L1</x:v>
      </x:c>
      <x:c r="K1180" s="7" t="str">
        <x:v>Verified qualifications do not include active general Life. Current target-pool mismatch; actual historical omission reason unknown.</x:v>
      </x:c>
      <x:c r="L1180" s="7" t="str">
        <x:v>Not supplied; membership is known, motive is not</x:v>
      </x:c>
      <x:c r="M1180" s="7" t="n">
        <x:v>7</x:v>
      </x:c>
      <x:c r="N1180" s="7" t="str">
        <x:v>Outside current general-Life recruiting pool</x:v>
      </x:c>
      <x:c r="O1180" s="7" t="str">
        <x:v>Not displayed</x:v>
      </x:c>
      <x:c r="P1180" s="7" t="str"/>
      <x:c r="Q1180" s="7" t="str"/>
      <x:c r="R1180" s="7" t="str"/>
      <x:c r="S1180" s="15" t="str"/>
      <x:c r="T1180" s="7" t="str">
        <x:v>No public business phone in collected record</x:v>
      </x:c>
      <x:c r="U1180" s="7" t="str"/>
      <x:c r="V1180" s="7" t="str">
        <x:v>Resident</x:v>
      </x:c>
      <x:c r="W1180" s="7" t="str">
        <x:v>CA</x:v>
      </x:c>
      <x:c r="X1180" s="7" t="str"/>
      <x:c r="Y1180" s="7" t="str"/>
      <x:c r="Z1180" s="7" t="str"/>
      <x:c r="AA1180" s="7" t="str"/>
      <x:c r="AB1180" s="7" t="str"/>
      <x:c r="AC1180" s="7" t="str"/>
      <x:c r="AD1180" s="7" t="str">
        <x:v>No agency or insurer displayed: onboarding opportunity possible; existing business unknown</x:v>
      </x:c>
      <x:c r="AE1180" s="7" t="str">
        <x:v>No public business phone: contact enrichment needed, not proof of poor recruiting fit</x:v>
      </x:c>
      <x:c r="AF1180" s="16" t="str"/>
      <x:c r="AG1180" s="17" t="str"/>
      <x:c r="AH1180" s="7" t="str"/>
      <x:c r="AI1180" s="7" t="str"/>
      <x:c r="AJ1180" s="7" t="str"/>
      <x:c r="AK1180" s="15" t="str"/>
      <x:c r="AL1180" s="7" t="str"/>
      <x:c r="AM1180" s="7" t="str">
        <x:v>Aguilar B Teresa | AGUILAR BELEN TERESA</x:v>
      </x:c>
      <x:c r="AN1180" s="7" t="str">
        <x:v>https://cdicloud.insurance.ca.gov/cal/LicenseDetail?SearchType=IND&amp;SearchLicNbr=0K39791&amp;SearchIndvId=1775782</x:v>
      </x:c>
      <x:c r="AO1180" s="7" t="str">
        <x:v>2026-10-08</x:v>
      </x:c>
      <x:c r="AP1180" s="7" t="str">
        <x:v>aedb97a28c2e164767c9f9fec613e5e02c7b6f1fce85967ffba2dccff6d4e85f</x:v>
      </x:c>
      <x:c r="AQ1180" s="7" t="str">
        <x:v>Life-Only / Inactive / 08/05/2015 / 08/31/2017 / 08/31/2017</x:v>
      </x:c>
      <x:c r="AR1180" s="7" t="str">
        <x:v>Inactive</x:v>
      </x:c>
      <x:c r="AS1180" s="7" t="str">
        <x:v>Current detail page</x:v>
      </x:c>
    </x:row>
    <x:row r="1181" ht="52" customHeight="1">
      <x:c r="A1181" s="7" t="str">
        <x:v>AGUILAR TERESA CHRISTINE</x:v>
      </x:c>
      <x:c r="B1181" s="14" t="str">
        <x:f>"0H47088"</x:f>
        <x:v>0H47088</x:v>
      </x:c>
      <x:c r="C1181" s="7" t="str">
        <x:v>Omitted</x:v>
      </x:c>
      <x:c r="D1181" s="7" t="str">
        <x:v>FAIL</x:v>
      </x:c>
      <x:c r="E1181" s="13" t="str">
        <x:v>Pending</x:v>
      </x:c>
      <x:c r="F1181" s="13" t="str"/>
      <x:c r="G1181" s="13" t="str"/>
      <x:c r="H1181" s="13" t="str"/>
      <x:c r="I1181" s="7" t="str">
        <x:v>Was this person reviewed? If rejected, give the actual rule and evidence. If acceptable, correct the omission. Confirm the Life-qualification gate and any record change since selection.</x:v>
      </x:c>
      <x:c r="J1181" s="7" t="str">
        <x:v>L1</x:v>
      </x:c>
      <x:c r="K1181" s="7" t="str">
        <x:v>Verified qualifications do not include active general Life. Current target-pool mismatch; actual historical omission reason unknown.</x:v>
      </x:c>
      <x:c r="L1181" s="7" t="str">
        <x:v>Not supplied; membership is known, motive is not</x:v>
      </x:c>
      <x:c r="M1181" s="7" t="n">
        <x:v>7</x:v>
      </x:c>
      <x:c r="N1181" s="7" t="str">
        <x:v>Outside current general-Life recruiting pool</x:v>
      </x:c>
      <x:c r="O1181" s="7" t="str">
        <x:v>Not displayed</x:v>
      </x:c>
      <x:c r="P1181" s="7" t="str"/>
      <x:c r="Q1181" s="7" t="str"/>
      <x:c r="R1181" s="7" t="str"/>
      <x:c r="S1181" s="15" t="str"/>
      <x:c r="T1181" s="7" t="str">
        <x:v>No public business phone in collected record</x:v>
      </x:c>
      <x:c r="U1181" s="7" t="str"/>
      <x:c r="V1181" s="7" t="str">
        <x:v>Resident</x:v>
      </x:c>
      <x:c r="W1181" s="7" t="str">
        <x:v>CA</x:v>
      </x:c>
      <x:c r="X1181" s="7" t="str"/>
      <x:c r="Y1181" s="7" t="str"/>
      <x:c r="Z1181" s="7" t="str"/>
      <x:c r="AA1181" s="7" t="str"/>
      <x:c r="AB1181" s="7" t="str"/>
      <x:c r="AC1181" s="7" t="str"/>
      <x:c r="AD1181" s="7" t="str">
        <x:v>No agency or insurer displayed: onboarding opportunity possible; existing business unknown</x:v>
      </x:c>
      <x:c r="AE1181" s="7" t="str">
        <x:v>No public business phone: contact enrichment needed, not proof of poor recruiting fit</x:v>
      </x:c>
      <x:c r="AF1181" s="16" t="str"/>
      <x:c r="AG1181" s="17" t="str"/>
      <x:c r="AH1181" s="7" t="str"/>
      <x:c r="AI1181" s="7" t="str"/>
      <x:c r="AJ1181" s="7" t="str"/>
      <x:c r="AK1181" s="15" t="str"/>
      <x:c r="AL1181" s="7" t="str"/>
      <x:c r="AM1181" s="7" t="str">
        <x:v>AGUILAR CHRISTINE TERESA</x:v>
      </x:c>
      <x:c r="AN1181" s="7" t="str">
        <x:v>https://cdicloud.insurance.ca.gov/cal/LicenseDetail?SearchType=IND&amp;SearchLicNbr=0H47088&amp;SearchIndvId=1461246</x:v>
      </x:c>
      <x:c r="AO1181" s="7" t="str">
        <x:v>2026-10-08</x:v>
      </x:c>
      <x:c r="AP1181" s="7" t="str">
        <x:v>edd3078204bda7356ca9ad46c4ef66a840c48d3f06df04f2947707ede6bf7d26</x:v>
      </x:c>
      <x:c r="AQ1181" s="7" t="str">
        <x:v>Life-Only / Inactive / 07/07/2011 / 07/31/2015 / 07/31/2015</x:v>
      </x:c>
      <x:c r="AR1181" s="7" t="str">
        <x:v>Inactive</x:v>
      </x:c>
      <x:c r="AS1181" s="7" t="str">
        <x:v>Current detail page</x:v>
      </x:c>
    </x:row>
    <x:row r="1182" ht="52" customHeight="1">
      <x:c r="A1182" s="7" t="str">
        <x:v>AGUILAR TERESA IBETH</x:v>
      </x:c>
      <x:c r="B1182" s="14" t="str">
        <x:f>"2123826"</x:f>
        <x:v>2123826</x:v>
      </x:c>
      <x:c r="C1182" s="7" t="str">
        <x:v>Omitted</x:v>
      </x:c>
      <x:c r="D1182" s="7" t="str">
        <x:v>FAIL</x:v>
      </x:c>
      <x:c r="E1182" s="13" t="str">
        <x:v>Pending</x:v>
      </x:c>
      <x:c r="F1182" s="13" t="str"/>
      <x:c r="G1182" s="13" t="str"/>
      <x:c r="H1182" s="13" t="str"/>
      <x:c r="I1182" s="7" t="str">
        <x:v>Was this person reviewed? If rejected, give the actual rule and evidence. If acceptable, correct the omission. Confirm the Life-qualification gate and any record change since selection.</x:v>
      </x:c>
      <x:c r="J1182" s="7" t="str">
        <x:v>L1</x:v>
      </x:c>
      <x:c r="K1182" s="7" t="str">
        <x:v>Verified qualifications do not include active general Life. Current target-pool mismatch; actual historical omission reason unknown.</x:v>
      </x:c>
      <x:c r="L1182" s="7" t="str">
        <x:v>Not supplied; membership is known, motive is not</x:v>
      </x:c>
      <x:c r="M1182" s="7" t="n">
        <x:v>7</x:v>
      </x:c>
      <x:c r="N1182" s="7" t="str">
        <x:v>Outside current general-Life recruiting pool</x:v>
      </x:c>
      <x:c r="O1182" s="7" t="str">
        <x:v>Not displayed</x:v>
      </x:c>
      <x:c r="P1182" s="7" t="str"/>
      <x:c r="Q1182" s="7" t="str"/>
      <x:c r="R1182" s="7" t="str"/>
      <x:c r="S1182" s="15" t="str">
        <x:v>619-496-0913</x:v>
      </x:c>
      <x:c r="T1182" s="7" t="str">
        <x:v>Current CDI</x:v>
      </x:c>
      <x:c r="U1182" s="7" t="str">
        <x:v>4761 CONVOY ST SAN DIEGO CA, 92111</x:v>
      </x:c>
      <x:c r="V1182" s="7" t="str">
        <x:v>Resident</x:v>
      </x:c>
      <x:c r="W1182" s="7" t="str">
        <x:v>CA</x:v>
      </x:c>
      <x:c r="X1182" s="7" t="str"/>
      <x:c r="Y1182" s="7" t="str"/>
      <x:c r="Z1182" s="7" t="str"/>
      <x:c r="AA1182" s="7" t="str"/>
      <x:c r="AB1182" s="7" t="str"/>
      <x:c r="AC1182" s="7" t="str"/>
      <x:c r="AD1182" s="7" t="str">
        <x:v>No agency or insurer displayed: onboarding opportunity possible; existing business unknown</x:v>
      </x:c>
      <x:c r="AE1182" s="7" t="str"/>
      <x:c r="AF1182" s="16" t="str"/>
      <x:c r="AG1182" s="17" t="str"/>
      <x:c r="AH1182" s="7" t="str"/>
      <x:c r="AI1182" s="7" t="str">
        <x:v>English</x:v>
      </x:c>
      <x:c r="AJ1182" s="7" t="str"/>
      <x:c r="AK1182" s="15" t="str"/>
      <x:c r="AL1182" s="7" t="str"/>
      <x:c r="AM1182" s="7" t="str">
        <x:v>AGUILAR IBETH TERESA</x:v>
      </x:c>
      <x:c r="AN1182" s="7" t="str">
        <x:v>https://cdicloud.insurance.ca.gov/cal/LicenseDetail?SearchType=IND&amp;SearchLicNbr=2123826&amp;SearchIndvId=2123826</x:v>
      </x:c>
      <x:c r="AO1182" s="7" t="str">
        <x:v>2026-10-08</x:v>
      </x:c>
      <x:c r="AP1182" s="7" t="str">
        <x:v>6ea994b47791b4acb1224a4480d14f950aa9ebb16e394a996a900e9517351aa5</x:v>
      </x:c>
      <x:c r="AQ1182" s="7" t="str">
        <x:v>Personal Lines / Inactive / 09/19/2019 / 09/30/2023 / 09/30/2023</x:v>
      </x:c>
      <x:c r="AR1182" s="7" t="str">
        <x:v>Inactive</x:v>
      </x:c>
      <x:c r="AS1182" s="7" t="str">
        <x:v>Current detail page</x:v>
      </x:c>
    </x:row>
    <x:row r="1183" ht="52" customHeight="1">
      <x:c r="A1183" s="7" t="str">
        <x:v>AGUILAR THELMA</x:v>
      </x:c>
      <x:c r="B1183" s="14" t="str">
        <x:f>"0L87401"</x:f>
        <x:v>0L87401</x:v>
      </x:c>
      <x:c r="C1183" s="7" t="str">
        <x:v>Omitted</x:v>
      </x:c>
      <x:c r="D1183" s="7" t="str">
        <x:v>FAIL</x:v>
      </x:c>
      <x:c r="E1183" s="13" t="str">
        <x:v>Pending</x:v>
      </x:c>
      <x:c r="F1183" s="13" t="str"/>
      <x:c r="G1183" s="13" t="str"/>
      <x:c r="H1183" s="13" t="str"/>
      <x:c r="I1183" s="7" t="str">
        <x:v>Was this person reviewed? If rejected, give the actual rule and evidence. If acceptable, correct the omission. Confirm the Life-qualification gate and any record change since selection.</x:v>
      </x:c>
      <x:c r="J1183" s="7" t="str">
        <x:v>L1</x:v>
      </x:c>
      <x:c r="K1183" s="7" t="str">
        <x:v>Verified qualifications do not include active general Life. Current target-pool mismatch; actual historical omission reason unknown.</x:v>
      </x:c>
      <x:c r="L1183" s="7" t="str">
        <x:v>Not supplied; membership is known, motive is not</x:v>
      </x:c>
      <x:c r="M1183" s="7" t="n">
        <x:v>7</x:v>
      </x:c>
      <x:c r="N1183" s="7" t="str">
        <x:v>Outside current general-Life recruiting pool</x:v>
      </x:c>
      <x:c r="O1183" s="7" t="str">
        <x:v>Not displayed</x:v>
      </x:c>
      <x:c r="P1183" s="7" t="str"/>
      <x:c r="Q1183" s="7" t="str"/>
      <x:c r="R1183" s="7" t="str">
        <x:v>Casualty; Property</x:v>
      </x:c>
      <x:c r="S1183" s="15" t="str">
        <x:v>909-587-2646</x:v>
      </x:c>
      <x:c r="T1183" s="7" t="str">
        <x:v>Current CDI</x:v>
      </x:c>
      <x:c r="U1183" s="7" t="str">
        <x:v>8558 WHEELER AVE FONTANA CA, 92335</x:v>
      </x:c>
      <x:c r="V1183" s="7" t="str">
        <x:v>Resident</x:v>
      </x:c>
      <x:c r="W1183" s="7" t="str">
        <x:v>CA</x:v>
      </x:c>
      <x:c r="X1183" s="7" t="str"/>
      <x:c r="Y1183" s="7" t="str"/>
      <x:c r="Z1183" s="7" t="str"/>
      <x:c r="AA1183" s="7" t="str"/>
      <x:c r="AB1183" s="7" t="str"/>
      <x:c r="AC1183" s="7" t="str"/>
      <x:c r="AD1183" s="7" t="str">
        <x:v>No agency or insurer displayed: onboarding opportunity possible; existing business unknown</x:v>
      </x:c>
      <x:c r="AE1183" s="7" t="str">
        <x:v>P&amp;C/Personal Lines authority without displayed core Life appointments; mixed profile requires review</x:v>
      </x:c>
      <x:c r="AF1183" s="16" t="str"/>
      <x:c r="AG1183" s="17" t="str"/>
      <x:c r="AH1183" s="7" t="str"/>
      <x:c r="AI1183" s="7" t="str">
        <x:v>English</x:v>
      </x:c>
      <x:c r="AJ1183" s="7" t="str"/>
      <x:c r="AK1183" s="15" t="str"/>
      <x:c r="AL1183" s="7" t="str"/>
      <x:c r="AM1183" s="7" t="str">
        <x:v>AGUILAR  THELMA</x:v>
      </x:c>
      <x:c r="AN1183" s="7" t="str">
        <x:v>https://cdicloud.insurance.ca.gov/cal/LicenseDetail?SearchType=IND&amp;SearchLicNbr=0L87401&amp;SearchIndvId=1953521</x:v>
      </x:c>
      <x:c r="AO1183" s="7" t="str">
        <x:v>2026-10-08</x:v>
      </x:c>
      <x:c r="AP1183" s="7" t="str">
        <x:v>831a7eb84270e0c2d0fad7cf2b5069001ef3f1ec3ed8a03c1fdaac58c3f64ca4</x:v>
      </x:c>
      <x:c r="AQ1183" s="7" t="str">
        <x:v>Casualty / Active / 08/09/2017 / 08/09/2017 / 08/31/2027
Property / Active / 08/09/2017 / 08/09/2017 / 08/31/2027</x:v>
      </x:c>
      <x:c r="AR1183" s="7" t="str">
        <x:v>Active</x:v>
      </x:c>
      <x:c r="AS1183" s="7" t="str">
        <x:v>Current detail page</x:v>
      </x:c>
    </x:row>
    <x:row r="1184" ht="52" customHeight="1">
      <x:c r="A1184" s="7" t="str">
        <x:v>AGUILAR THELMA</x:v>
      </x:c>
      <x:c r="B1184" s="14" t="str">
        <x:f>"4041465"</x:f>
        <x:v>4041465</x:v>
      </x:c>
      <x:c r="C1184" s="7" t="str">
        <x:v>Omitted</x:v>
      </x:c>
      <x:c r="D1184" s="7" t="str">
        <x:v>FAIL</x:v>
      </x:c>
      <x:c r="E1184" s="13" t="str">
        <x:v>Pending</x:v>
      </x:c>
      <x:c r="F1184" s="13" t="str"/>
      <x:c r="G1184" s="13" t="str"/>
      <x:c r="H1184" s="13" t="str"/>
      <x:c r="I1184" s="7" t="str">
        <x:v>Was this person reviewed? If rejected, give the actual rule and evidence. If acceptable, correct the omission. Confirm the Life-qualification gate and any record change since selection.</x:v>
      </x:c>
      <x:c r="J1184" s="7" t="str">
        <x:v>L1</x:v>
      </x:c>
      <x:c r="K1184" s="7" t="str">
        <x:v>Verified qualifications do not include active general Life. Current target-pool mismatch; actual historical omission reason unknown.</x:v>
      </x:c>
      <x:c r="L1184" s="7" t="str">
        <x:v>Not supplied; membership is known, motive is not</x:v>
      </x:c>
      <x:c r="M1184" s="7" t="n">
        <x:v>7</x:v>
      </x:c>
      <x:c r="N1184" s="7" t="str">
        <x:v>Outside current general-Life recruiting pool</x:v>
      </x:c>
      <x:c r="O1184" s="7" t="str">
        <x:v>Not displayed</x:v>
      </x:c>
      <x:c r="P1184" s="7" t="str"/>
      <x:c r="Q1184" s="7" t="str"/>
      <x:c r="R1184" s="7" t="str">
        <x:v>Casualty; Property</x:v>
      </x:c>
      <x:c r="S1184" s="15" t="str">
        <x:v>714-502-0802</x:v>
      </x:c>
      <x:c r="T1184" s="7" t="str">
        <x:v>Current CDI</x:v>
      </x:c>
      <x:c r="U1184" s="7" t="str">
        <x:v>305 S STATE COLLEGE BLVD ANAHEIM CA, 92806</x:v>
      </x:c>
      <x:c r="V1184" s="7" t="str">
        <x:v>Resident</x:v>
      </x:c>
      <x:c r="W1184" s="7" t="str">
        <x:v>CA</x:v>
      </x:c>
      <x:c r="X1184" s="7" t="str"/>
      <x:c r="Y1184" s="7" t="str">
        <x:v>COAST NATIONAL INSURANCE COMPANY / Casualty / 06/15/2020
COAST NATIONAL INSURANCE COMPANY / Property / 06/15/2020
FARMERS INSURANCE EXCHANGE / Casualty / 06/15/2020
FARMERS INSURANCE EXCHANGE / Property / 06/15/2020
FIRE INSURANCE EXCHANGE / Casualty / 06/15/2020
FIRE INSURANCE EXCHANGE / Property / 06/15/2020
FOREMOST INSURANCE COMPANY GRAND RAPIDS, MICHIGAN / Casualty / 06/15/2020
FOREMOST INSURANCE COMPANY GRAND RAPIDS, MICHIGAN / Property / 06/15/2020
MID-CENTURY INSURANCE COMPANY / Casualty / 06/15/2020
MID-CENTURY INSURANCE COMPANY / Property / 06/15/2020
TRUCK INSURANCE EXCHANGE / Casualty / 06/15/2020
TRUCK INSURANCE EXCHANGE / Property / 06/15/2020</x:v>
      </x:c>
      <x:c r="Z1184" s="7" t="str"/>
      <x:c r="AA1184" s="7" t="str"/>
      <x:c r="AB1184" s="7" t="str"/>
      <x:c r="AC1184" s="7" t="str"/>
      <x:c r="AD1184" s="7" t="str"/>
      <x:c r="AE1184" s="7" t="str">
        <x:v>P&amp;C/Personal Lines authority without displayed core Life appointments; mixed profile requires review</x:v>
      </x:c>
      <x:c r="AF1184" s="16" t="str"/>
      <x:c r="AG1184" s="17" t="str"/>
      <x:c r="AH1184" s="7" t="str"/>
      <x:c r="AI1184" s="7" t="str">
        <x:v>English</x:v>
      </x:c>
      <x:c r="AJ1184" s="7" t="str"/>
      <x:c r="AK1184" s="15" t="str"/>
      <x:c r="AL1184" s="7" t="str"/>
      <x:c r="AM1184" s="7" t="str">
        <x:v>AGUILAR  THELMA</x:v>
      </x:c>
      <x:c r="AN1184" s="7" t="str">
        <x:v>https://cdicloud.insurance.ca.gov/cal/LicenseDetail?SearchType=IND&amp;SearchLicNbr=4041465&amp;SearchIndvId=4041465</x:v>
      </x:c>
      <x:c r="AO1184" s="7" t="str">
        <x:v>2026-10-08</x:v>
      </x:c>
      <x:c r="AP1184" s="7" t="str">
        <x:v>f69ee481864587f5160b7fe8ac2a989af84bdb7a9f3e306847889f9fd7907d9e</x:v>
      </x:c>
      <x:c r="AQ1184" s="7" t="str">
        <x:v>Casualty / Active / 05/08/2020 / 05/08/2020 / 05/31/2028
Property / Active / 05/08/2020 / 05/08/2020 / 05/31/2028</x:v>
      </x:c>
      <x:c r="AR1184" s="7" t="str">
        <x:v>Active</x:v>
      </x:c>
      <x:c r="AS1184" s="7" t="str">
        <x:v>Current detail page</x:v>
      </x:c>
    </x:row>
    <x:row r="1185" ht="52" customHeight="1">
      <x:c r="A1185" s="7" t="str">
        <x:v>AGUILAR THELMA EDWINA</x:v>
      </x:c>
      <x:c r="B1185" s="14" t="str">
        <x:f>"0F73923"</x:f>
        <x:v>0F73923</x:v>
      </x:c>
      <x:c r="C1185" s="7" t="str">
        <x:v>Omitted</x:v>
      </x:c>
      <x:c r="D1185" s="7" t="str">
        <x:v>FAIL</x:v>
      </x:c>
      <x:c r="E1185" s="13" t="str">
        <x:v>Pending</x:v>
      </x:c>
      <x:c r="F1185" s="13" t="str"/>
      <x:c r="G1185" s="13" t="str"/>
      <x:c r="H1185" s="13" t="str"/>
      <x:c r="I1185" s="7" t="str">
        <x:v>Was this person reviewed? If rejected, give the actual rule and evidence. If acceptable, correct the omission. Confirm the Life-qualification gate and any record change since selection.</x:v>
      </x:c>
      <x:c r="J1185" s="7" t="str">
        <x:v>L1</x:v>
      </x:c>
      <x:c r="K1185" s="7" t="str">
        <x:v>Verified qualifications do not include active general Life. Current target-pool mismatch; actual historical omission reason unknown.</x:v>
      </x:c>
      <x:c r="L1185" s="7" t="str">
        <x:v>Not supplied; membership is known, motive is not</x:v>
      </x:c>
      <x:c r="M1185" s="7" t="n">
        <x:v>7</x:v>
      </x:c>
      <x:c r="N1185" s="7" t="str">
        <x:v>Outside current general-Life recruiting pool</x:v>
      </x:c>
      <x:c r="O1185" s="7" t="str">
        <x:v>Not displayed</x:v>
      </x:c>
      <x:c r="P1185" s="7" t="str"/>
      <x:c r="Q1185" s="7" t="str"/>
      <x:c r="R1185" s="7" t="str"/>
      <x:c r="S1185" s="15" t="str"/>
      <x:c r="T1185" s="7" t="str">
        <x:v>No public business phone in collected record</x:v>
      </x:c>
      <x:c r="U1185" s="7" t="str"/>
      <x:c r="V1185" s="7" t="str">
        <x:v>Resident</x:v>
      </x:c>
      <x:c r="W1185" s="7" t="str">
        <x:v>CA</x:v>
      </x:c>
      <x:c r="X1185" s="7" t="str"/>
      <x:c r="Y1185" s="7" t="str"/>
      <x:c r="Z1185" s="7" t="str"/>
      <x:c r="AA1185" s="7" t="str"/>
      <x:c r="AB1185" s="7" t="str"/>
      <x:c r="AC1185" s="7" t="str"/>
      <x:c r="AD1185" s="7" t="str">
        <x:v>No agency or insurer displayed: onboarding opportunity possible; existing business unknown</x:v>
      </x:c>
      <x:c r="AE1185" s="7" t="str">
        <x:v>No public business phone: contact enrichment needed, not proof of poor recruiting fit</x:v>
      </x:c>
      <x:c r="AF1185" s="16" t="str"/>
      <x:c r="AG1185" s="17" t="str"/>
      <x:c r="AH1185" s="7" t="str"/>
      <x:c r="AI1185" s="7" t="str"/>
      <x:c r="AJ1185" s="7" t="str"/>
      <x:c r="AK1185" s="15" t="str"/>
      <x:c r="AL1185" s="7" t="str"/>
      <x:c r="AM1185" s="7" t="str">
        <x:v>AGUILAR EDWINA THELMA</x:v>
      </x:c>
      <x:c r="AN1185" s="7" t="str">
        <x:v>https://cdicloud.insurance.ca.gov/cal/LicenseDetail?SearchType=IND&amp;SearchLicNbr=0F73923&amp;SearchIndvId=1091796</x:v>
      </x:c>
      <x:c r="AO1185" s="7" t="str">
        <x:v>2026-10-08</x:v>
      </x:c>
      <x:c r="AP1185" s="7" t="str">
        <x:v>05e864b6e2c3b829a0649be18e00785bd3df9cfcf4e0a6531d8ab167532e5fb9</x:v>
      </x:c>
      <x:c r="AQ1185" s="7" t="str">
        <x:v>Accident and Health / Inactive / 07/16/2007 / 07/31/2009 / 07/31/2009
Life-Only / Inactive / 07/16/2007 / 07/31/2009 / 07/31/2009</x:v>
      </x:c>
      <x:c r="AR1185" s="7" t="str">
        <x:v>Inactive</x:v>
      </x:c>
      <x:c r="AS1185" s="7" t="str">
        <x:v>Current detail page</x:v>
      </x:c>
    </x:row>
    <x:row r="1186" ht="52" customHeight="1">
      <x:c r="A1186" s="7" t="str">
        <x:v>AGUILAR THERESA M</x:v>
      </x:c>
      <x:c r="B1186" s="14" t="str">
        <x:f>"0C07634"</x:f>
        <x:v>0C07634</x:v>
      </x:c>
      <x:c r="C1186" s="7" t="str">
        <x:v>Omitted</x:v>
      </x:c>
      <x:c r="D1186" s="7" t="str">
        <x:v>FAIL</x:v>
      </x:c>
      <x:c r="E1186" s="13" t="str">
        <x:v>Pending</x:v>
      </x:c>
      <x:c r="F1186" s="13" t="str"/>
      <x:c r="G1186" s="13" t="str"/>
      <x:c r="H1186" s="13" t="str"/>
      <x:c r="I1186" s="7" t="str">
        <x:v>Was this person reviewed? If rejected, give the actual rule and evidence. If acceptable, correct the omission. Confirm the Life-qualification gate and any record change since selection.</x:v>
      </x:c>
      <x:c r="J1186" s="7" t="str">
        <x:v>L1</x:v>
      </x:c>
      <x:c r="K1186" s="7" t="str">
        <x:v>Verified qualifications do not include active general Life. Current target-pool mismatch; actual historical omission reason unknown.</x:v>
      </x:c>
      <x:c r="L1186" s="7" t="str">
        <x:v>Not supplied; membership is known, motive is not</x:v>
      </x:c>
      <x:c r="M1186" s="7" t="n">
        <x:v>7</x:v>
      </x:c>
      <x:c r="N1186" s="7" t="str">
        <x:v>Outside current general-Life recruiting pool</x:v>
      </x:c>
      <x:c r="O1186" s="7" t="str">
        <x:v>Not displayed</x:v>
      </x:c>
      <x:c r="P1186" s="7" t="str"/>
      <x:c r="Q1186" s="7" t="str"/>
      <x:c r="R1186" s="7" t="str"/>
      <x:c r="S1186" s="15" t="str">
        <x:v>619-301-4329</x:v>
      </x:c>
      <x:c r="T1186" s="7" t="str">
        <x:v>Current CDI</x:v>
      </x:c>
      <x:c r="U1186" s="7" t="str">
        <x:v>3960 W PT LOMA BLVD #H276 SAN DIEGO CA, 92110</x:v>
      </x:c>
      <x:c r="V1186" s="7" t="str">
        <x:v>Resident</x:v>
      </x:c>
      <x:c r="W1186" s="7" t="str">
        <x:v>CA</x:v>
      </x:c>
      <x:c r="X1186" s="7" t="str"/>
      <x:c r="Y1186" s="7" t="str"/>
      <x:c r="Z1186" s="7" t="str"/>
      <x:c r="AA1186" s="7" t="str"/>
      <x:c r="AB1186" s="7" t="str"/>
      <x:c r="AC1186" s="7" t="str"/>
      <x:c r="AD1186" s="7" t="str">
        <x:v>No agency or insurer displayed: onboarding opportunity possible; existing business unknown</x:v>
      </x:c>
      <x:c r="AE1186" s="7" t="str"/>
      <x:c r="AF1186" s="16" t="str"/>
      <x:c r="AG1186" s="17" t="str"/>
      <x:c r="AH1186" s="7" t="str"/>
      <x:c r="AI1186" s="7" t="str">
        <x:v>English</x:v>
      </x:c>
      <x:c r="AJ1186" s="7" t="str"/>
      <x:c r="AK1186" s="15" t="str"/>
      <x:c r="AL1186" s="7" t="str"/>
      <x:c r="AM1186" s="7" t="str">
        <x:v>AGUILAR M THERESA</x:v>
      </x:c>
      <x:c r="AN1186" s="7" t="str">
        <x:v>https://cdicloud.insurance.ca.gov/cal/LicenseDetail?SearchType=IND&amp;SearchLicNbr=0C07634&amp;SearchIndvId=283958</x:v>
      </x:c>
      <x:c r="AO1186" s="7" t="str">
        <x:v>2026-10-08</x:v>
      </x:c>
      <x:c r="AP1186" s="7" t="str">
        <x:v>1989f460a6628c037df655f8b7537a360c7eefcb99a99304cc06e4a316015ec5</x:v>
      </x:c>
      <x:c r="AQ1186" s="7" t="str">
        <x:v>Casualty / Inactive / 07/17/1997 / 07/31/2024 / 07/31/2024
Property / Inactive / 07/17/1997 / 07/31/2024 / 07/31/2024</x:v>
      </x:c>
      <x:c r="AR1186" s="7" t="str">
        <x:v>Inactive</x:v>
      </x:c>
      <x:c r="AS1186" s="7" t="str">
        <x:v>Current detail page</x:v>
      </x:c>
    </x:row>
    <x:row r="1187" ht="52" customHeight="1">
      <x:c r="A1187" s="7" t="str">
        <x:v>AGUILAR THOMAS ERASMO</x:v>
      </x:c>
      <x:c r="B1187" s="14" t="str">
        <x:f>"0F88181"</x:f>
        <x:v>0F88181</x:v>
      </x:c>
      <x:c r="C1187" s="7" t="str">
        <x:v>Omitted</x:v>
      </x:c>
      <x:c r="D1187" s="7" t="str">
        <x:v>FAIL</x:v>
      </x:c>
      <x:c r="E1187" s="13" t="str">
        <x:v>Pending</x:v>
      </x:c>
      <x:c r="F1187" s="13" t="str"/>
      <x:c r="G1187" s="13" t="str"/>
      <x:c r="H1187" s="13" t="str"/>
      <x:c r="I1187" s="7" t="str">
        <x:v>Was this person reviewed? If rejected, give the actual rule and evidence. If acceptable, correct the omission. Confirm the Life-qualification gate and any record change since selection.</x:v>
      </x:c>
      <x:c r="J1187" s="7" t="str">
        <x:v>L1</x:v>
      </x:c>
      <x:c r="K1187" s="7" t="str">
        <x:v>Verified qualifications do not include active general Life. Current target-pool mismatch; actual historical omission reason unknown.</x:v>
      </x:c>
      <x:c r="L1187" s="7" t="str">
        <x:v>Not supplied; membership is known, motive is not</x:v>
      </x:c>
      <x:c r="M1187" s="7" t="n">
        <x:v>7</x:v>
      </x:c>
      <x:c r="N1187" s="7" t="str">
        <x:v>Outside current general-Life recruiting pool</x:v>
      </x:c>
      <x:c r="O1187" s="7" t="str">
        <x:v>Not displayed</x:v>
      </x:c>
      <x:c r="P1187" s="7" t="str"/>
      <x:c r="Q1187" s="7" t="str"/>
      <x:c r="R1187" s="7" t="str"/>
      <x:c r="S1187" s="15" t="str"/>
      <x:c r="T1187" s="7" t="str">
        <x:v>No public business phone in collected record</x:v>
      </x:c>
      <x:c r="U1187" s="7" t="str"/>
      <x:c r="V1187" s="7" t="str">
        <x:v>Resident</x:v>
      </x:c>
      <x:c r="W1187" s="7" t="str">
        <x:v>CA</x:v>
      </x:c>
      <x:c r="X1187" s="7" t="str"/>
      <x:c r="Y1187" s="7" t="str"/>
      <x:c r="Z1187" s="7" t="str"/>
      <x:c r="AA1187" s="7" t="str"/>
      <x:c r="AB1187" s="7" t="str"/>
      <x:c r="AC1187" s="7" t="str"/>
      <x:c r="AD1187" s="7" t="str">
        <x:v>No agency or insurer displayed: onboarding opportunity possible; existing business unknown</x:v>
      </x:c>
      <x:c r="AE1187" s="7" t="str">
        <x:v>No public business phone: contact enrichment needed, not proof of poor recruiting fit</x:v>
      </x:c>
      <x:c r="AF1187" s="16" t="str"/>
      <x:c r="AG1187" s="17" t="str"/>
      <x:c r="AH1187" s="7" t="str"/>
      <x:c r="AI1187" s="7" t="str"/>
      <x:c r="AJ1187" s="7" t="str"/>
      <x:c r="AK1187" s="15" t="str"/>
      <x:c r="AL1187" s="7" t="str"/>
      <x:c r="AM1187" s="7" t="str">
        <x:v>AGUILAR ERASMO THOMAS</x:v>
      </x:c>
      <x:c r="AN1187" s="7" t="str">
        <x:v>https://cdicloud.insurance.ca.gov/cal/LicenseDetail?SearchType=IND&amp;SearchLicNbr=0F88181&amp;SearchIndvId=1112612</x:v>
      </x:c>
      <x:c r="AO1187" s="7" t="str">
        <x:v>2026-10-08</x:v>
      </x:c>
      <x:c r="AP1187" s="7" t="str">
        <x:v>cd0dc3033eb99cf3c814615af520d65ef450bf54bfb98fa9675c3e5e06f57772</x:v>
      </x:c>
      <x:c r="AQ1187" s="7" t="str">
        <x:v>Accident and Health / Inactive / 11/21/2007 / 11/30/2011 / 11/30/2011
Life-Only / Inactive / 11/21/2007 / 11/30/2011 / 11/30/2011
Variable Contracts / Inactive / 07/31/2008 / 11/30/2011 / 11/30/2011</x:v>
      </x:c>
      <x:c r="AR1187" s="7" t="str">
        <x:v>Inactive</x:v>
      </x:c>
      <x:c r="AS1187" s="7" t="str">
        <x:v>Current detail page</x:v>
      </x:c>
    </x:row>
    <x:row r="1188" ht="52" customHeight="1">
      <x:c r="A1188" s="7" t="str">
        <x:v>AGUILAR THOMAS GARCIA</x:v>
      </x:c>
      <x:c r="B1188" s="14" t="str">
        <x:f>"0N10493"</x:f>
        <x:v>0N10493</x:v>
      </x:c>
      <x:c r="C1188" s="7" t="str">
        <x:v>Omitted</x:v>
      </x:c>
      <x:c r="D1188" s="7" t="str">
        <x:v>FAIL</x:v>
      </x:c>
      <x:c r="E1188" s="13" t="str">
        <x:v>Pending</x:v>
      </x:c>
      <x:c r="F1188" s="13" t="str"/>
      <x:c r="G1188" s="13" t="str"/>
      <x:c r="H1188" s="13" t="str"/>
      <x:c r="I1188" s="7" t="str">
        <x:v>Was this person reviewed? If rejected, give the actual rule and evidence. If acceptable, correct the omission. Confirm the Life-qualification gate and any record change since selection.</x:v>
      </x:c>
      <x:c r="J1188" s="7" t="str">
        <x:v>L1</x:v>
      </x:c>
      <x:c r="K1188" s="7" t="str">
        <x:v>Verified qualifications do not include active general Life. Current target-pool mismatch; actual historical omission reason unknown.</x:v>
      </x:c>
      <x:c r="L1188" s="7" t="str">
        <x:v>Not supplied; membership is known, motive is not</x:v>
      </x:c>
      <x:c r="M1188" s="7" t="n">
        <x:v>7</x:v>
      </x:c>
      <x:c r="N1188" s="7" t="str">
        <x:v>Outside current general-Life recruiting pool</x:v>
      </x:c>
      <x:c r="O1188" s="7" t="str">
        <x:v>Inactive</x:v>
      </x:c>
      <x:c r="P1188" s="7" t="str">
        <x:v>07/29/2019</x:v>
      </x:c>
      <x:c r="Q1188" s="7" t="str">
        <x:v>07/31/2021</x:v>
      </x:c>
      <x:c r="R1188" s="7" t="str"/>
      <x:c r="S1188" s="15" t="str"/>
      <x:c r="T1188" s="7" t="str">
        <x:v>No public business phone in collected record</x:v>
      </x:c>
      <x:c r="U1188" s="7" t="str"/>
      <x:c r="V1188" s="7" t="str">
        <x:v>Resident</x:v>
      </x:c>
      <x:c r="W1188" s="7" t="str">
        <x:v>CA</x:v>
      </x:c>
      <x:c r="X1188" s="7" t="str"/>
      <x:c r="Y1188" s="7" t="str"/>
      <x:c r="Z1188" s="7" t="str"/>
      <x:c r="AA1188" s="7" t="str"/>
      <x:c r="AB1188" s="7" t="str"/>
      <x:c r="AC1188" s="7" t="str"/>
      <x:c r="AD1188" s="7" t="str">
        <x:v>No agency or insurer displayed: onboarding opportunity possible; existing business unknown</x:v>
      </x:c>
      <x:c r="AE1188" s="7" t="str">
        <x:v>No public business phone: contact enrichment needed, not proof of poor recruiting fit</x:v>
      </x:c>
      <x:c r="AF1188" s="16" t="str"/>
      <x:c r="AG1188" s="17" t="str"/>
      <x:c r="AH1188" s="7" t="str"/>
      <x:c r="AI1188" s="7" t="str"/>
      <x:c r="AJ1188" s="7" t="str"/>
      <x:c r="AK1188" s="15" t="str"/>
      <x:c r="AL1188" s="7" t="str"/>
      <x:c r="AM1188" s="7" t="str">
        <x:v>AGUILAR GARCIA THOMAS</x:v>
      </x:c>
      <x:c r="AN1188" s="7" t="str">
        <x:v>https://cdicloud.insurance.ca.gov/cal/LicenseDetail?SearchType=IND&amp;SearchLicNbr=0N10493&amp;SearchIndvId=2121382</x:v>
      </x:c>
      <x:c r="AO1188" s="7" t="str">
        <x:v>2026-10-08</x:v>
      </x:c>
      <x:c r="AP1188" s="7" t="str">
        <x:v>957aeac4df8ec3832a123a2db8385c444f1278bfed9d5a313d5ee41c8d931a10</x:v>
      </x:c>
      <x:c r="AQ1188" s="7" t="str">
        <x:v>Accident &amp; Health or Sickness / Inactive / 07/29/2019 / 07/31/2021 / 07/31/2021
Life / Inactive / 07/29/2019 / 07/31/2021 / 07/31/2021</x:v>
      </x:c>
      <x:c r="AR1188" s="7" t="str">
        <x:v>Inactive</x:v>
      </x:c>
      <x:c r="AS1188" s="7" t="str">
        <x:v>Current detail page</x:v>
      </x:c>
    </x:row>
    <x:row r="1189" ht="52" customHeight="1">
      <x:c r="A1189" s="7" t="str">
        <x:v>AGUILAR TIFFANY</x:v>
      </x:c>
      <x:c r="B1189" s="14" t="str">
        <x:f>"0J18465"</x:f>
        <x:v>0J18465</x:v>
      </x:c>
      <x:c r="C1189" s="7" t="str">
        <x:v>Omitted</x:v>
      </x:c>
      <x:c r="D1189" s="7" t="str">
        <x:v>FAIL</x:v>
      </x:c>
      <x:c r="E1189" s="13" t="str">
        <x:v>Pending</x:v>
      </x:c>
      <x:c r="F1189" s="13" t="str"/>
      <x:c r="G1189" s="13" t="str"/>
      <x:c r="H1189" s="13" t="str"/>
      <x:c r="I1189" s="7" t="str">
        <x:v>Was this person reviewed? If rejected, give the actual rule and evidence. If acceptable, correct the omission. Confirm the Life-qualification gate and any record change since selection.</x:v>
      </x:c>
      <x:c r="J1189" s="7" t="str">
        <x:v>L1</x:v>
      </x:c>
      <x:c r="K1189" s="7" t="str">
        <x:v>Verified qualifications do not include active general Life. Current target-pool mismatch; actual historical omission reason unknown.</x:v>
      </x:c>
      <x:c r="L1189" s="7" t="str">
        <x:v>Not supplied; membership is known, motive is not</x:v>
      </x:c>
      <x:c r="M1189" s="7" t="n">
        <x:v>7</x:v>
      </x:c>
      <x:c r="N1189" s="7" t="str">
        <x:v>Outside current general-Life recruiting pool</x:v>
      </x:c>
      <x:c r="O1189" s="7" t="str">
        <x:v>Not displayed</x:v>
      </x:c>
      <x:c r="P1189" s="7" t="str"/>
      <x:c r="Q1189" s="7" t="str"/>
      <x:c r="R1189" s="7" t="str"/>
      <x:c r="S1189" s="15" t="str"/>
      <x:c r="T1189" s="7" t="str">
        <x:v>No public business phone in collected record</x:v>
      </x:c>
      <x:c r="U1189" s="7" t="str"/>
      <x:c r="V1189" s="7" t="str">
        <x:v>Resident</x:v>
      </x:c>
      <x:c r="W1189" s="7" t="str">
        <x:v>CA</x:v>
      </x:c>
      <x:c r="X1189" s="7" t="str"/>
      <x:c r="Y1189" s="7" t="str"/>
      <x:c r="Z1189" s="7" t="str"/>
      <x:c r="AA1189" s="7" t="str"/>
      <x:c r="AB1189" s="7" t="str"/>
      <x:c r="AC1189" s="7" t="str"/>
      <x:c r="AD1189" s="7" t="str">
        <x:v>No agency or insurer displayed: onboarding opportunity possible; existing business unknown</x:v>
      </x:c>
      <x:c r="AE1189" s="7" t="str">
        <x:v>No public business phone: contact enrichment needed, not proof of poor recruiting fit</x:v>
      </x:c>
      <x:c r="AF1189" s="16" t="str"/>
      <x:c r="AG1189" s="17" t="str"/>
      <x:c r="AH1189" s="7" t="str"/>
      <x:c r="AI1189" s="7" t="str"/>
      <x:c r="AJ1189" s="7" t="str"/>
      <x:c r="AK1189" s="15" t="str"/>
      <x:c r="AL1189" s="7" t="str"/>
      <x:c r="AM1189" s="7" t="str">
        <x:v>AGUILAR  TIFFANY</x:v>
      </x:c>
      <x:c r="AN1189" s="7" t="str">
        <x:v>https://cdicloud.insurance.ca.gov/cal/LicenseDetail?SearchType=IND&amp;SearchLicNbr=0J18465&amp;SearchIndvId=1707302</x:v>
      </x:c>
      <x:c r="AO1189" s="7" t="str">
        <x:v>2026-10-08</x:v>
      </x:c>
      <x:c r="AP1189" s="7" t="str">
        <x:v>7314a49985975ee927ec972124bdc5d286e15a7e25be539a6a1d278959a76406</x:v>
      </x:c>
      <x:c r="AQ1189" s="7" t="str">
        <x:v>Accident and Health / Inactive / 11/07/2014 / 11/30/2016 / 11/30/2016
Life-Only / Inactive / 11/07/2014 / 11/30/2016 / 11/30/2016</x:v>
      </x:c>
      <x:c r="AR1189" s="7" t="str">
        <x:v>Inactive</x:v>
      </x:c>
      <x:c r="AS1189" s="7" t="str">
        <x:v>Current detail page</x:v>
      </x:c>
    </x:row>
    <x:row r="1190" ht="52" customHeight="1">
      <x:c r="A1190" s="7" t="str">
        <x:v>AGUILAR TIMOTHY DANIEL</x:v>
      </x:c>
      <x:c r="B1190" s="14" t="str">
        <x:f>"0B05962"</x:f>
        <x:v>0B05962</x:v>
      </x:c>
      <x:c r="C1190" s="7" t="str">
        <x:v>Omitted</x:v>
      </x:c>
      <x:c r="D1190" s="7" t="str">
        <x:v>FAIL</x:v>
      </x:c>
      <x:c r="E1190" s="13" t="str">
        <x:v>Pending</x:v>
      </x:c>
      <x:c r="F1190" s="13" t="str"/>
      <x:c r="G1190" s="13" t="str"/>
      <x:c r="H1190" s="13" t="str"/>
      <x:c r="I1190" s="7" t="str">
        <x:v>Was this person reviewed? If rejected, give the actual rule and evidence. If acceptable, correct the omission. Confirm the Life-qualification gate and any record change since selection.</x:v>
      </x:c>
      <x:c r="J1190" s="7" t="str">
        <x:v>L1</x:v>
      </x:c>
      <x:c r="K1190" s="7" t="str">
        <x:v>Verified qualifications do not include active general Life. Current target-pool mismatch; actual historical omission reason unknown.</x:v>
      </x:c>
      <x:c r="L1190" s="7" t="str">
        <x:v>Not supplied; membership is known, motive is not</x:v>
      </x:c>
      <x:c r="M1190" s="7" t="n">
        <x:v>7</x:v>
      </x:c>
      <x:c r="N1190" s="7" t="str">
        <x:v>Outside current general-Life recruiting pool</x:v>
      </x:c>
      <x:c r="O1190" s="7" t="str">
        <x:v>Not displayed</x:v>
      </x:c>
      <x:c r="P1190" s="7" t="str"/>
      <x:c r="Q1190" s="7" t="str"/>
      <x:c r="R1190" s="7" t="str"/>
      <x:c r="S1190" s="15" t="str"/>
      <x:c r="T1190" s="7" t="str">
        <x:v>No public business phone in collected record</x:v>
      </x:c>
      <x:c r="U1190" s="7" t="str"/>
      <x:c r="V1190" s="7" t="str">
        <x:v>Resident</x:v>
      </x:c>
      <x:c r="W1190" s="7" t="str">
        <x:v>CA</x:v>
      </x:c>
      <x:c r="X1190" s="7" t="str"/>
      <x:c r="Y1190" s="7" t="str"/>
      <x:c r="Z1190" s="7" t="str"/>
      <x:c r="AA1190" s="7" t="str"/>
      <x:c r="AB1190" s="7" t="str"/>
      <x:c r="AC1190" s="7" t="str"/>
      <x:c r="AD1190" s="7" t="str">
        <x:v>No agency or insurer displayed: onboarding opportunity possible; existing business unknown</x:v>
      </x:c>
      <x:c r="AE1190" s="7" t="str">
        <x:v>No public business phone: contact enrichment needed, not proof of poor recruiting fit</x:v>
      </x:c>
      <x:c r="AF1190" s="16" t="str"/>
      <x:c r="AG1190" s="17" t="str"/>
      <x:c r="AH1190" s="7" t="str"/>
      <x:c r="AI1190" s="7" t="str"/>
      <x:c r="AJ1190" s="7" t="str"/>
      <x:c r="AK1190" s="15" t="str"/>
      <x:c r="AL1190" s="7" t="str"/>
      <x:c r="AM1190" s="7" t="str">
        <x:v>AGUILAR DANIEL TIMOTHY</x:v>
      </x:c>
      <x:c r="AN1190" s="7" t="str">
        <x:v>https://cdicloud.insurance.ca.gov/cal/LicenseDetail?SearchType=IND&amp;SearchLicNbr=0B05962&amp;SearchIndvId=187961</x:v>
      </x:c>
      <x:c r="AO1190" s="7" t="str">
        <x:v>2026-10-08</x:v>
      </x:c>
      <x:c r="AP1190" s="7" t="str">
        <x:v>7fdc2077e5bd9116dd14f890cc4694e88504966a945891a57b276a68ded46515</x:v>
      </x:c>
      <x:c r="AQ1190" s="7" t="str">
        <x:v>Accident and Health / Inactive / 11/04/1992 / 11/30/1998 / 11/30/1998
Life-Only / Inactive / 11/04/1992 / 11/30/1998 / 11/30/1998
Variable Contracts / Inactive / 11/04/1992 / 11/30/1998 / 11/30/1998</x:v>
      </x:c>
      <x:c r="AR1190" s="7" t="str">
        <x:v>Inactive</x:v>
      </x:c>
      <x:c r="AS1190" s="7" t="str">
        <x:v>Current detail page</x:v>
      </x:c>
    </x:row>
    <x:row r="1191" ht="52" customHeight="1">
      <x:c r="A1191" s="7" t="str">
        <x:v>AGUILAR TIMOTHY MICHAEL</x:v>
      </x:c>
      <x:c r="B1191" s="14" t="str">
        <x:f>"0B81008"</x:f>
        <x:v>0B81008</x:v>
      </x:c>
      <x:c r="C1191" s="7" t="str">
        <x:v>Omitted</x:v>
      </x:c>
      <x:c r="D1191" s="7" t="str">
        <x:v>FAIL</x:v>
      </x:c>
      <x:c r="E1191" s="13" t="str">
        <x:v>Pending</x:v>
      </x:c>
      <x:c r="F1191" s="13" t="str"/>
      <x:c r="G1191" s="13" t="str"/>
      <x:c r="H1191" s="13" t="str"/>
      <x:c r="I1191" s="7" t="str">
        <x:v>Was this person reviewed? If rejected, give the actual rule and evidence. If acceptable, correct the omission. Confirm the Life-qualification gate and any record change since selection.</x:v>
      </x:c>
      <x:c r="J1191" s="7" t="str">
        <x:v>L1</x:v>
      </x:c>
      <x:c r="K1191" s="7" t="str">
        <x:v>Verified qualifications do not include active general Life. Current target-pool mismatch; actual historical omission reason unknown.</x:v>
      </x:c>
      <x:c r="L1191" s="7" t="str">
        <x:v>Not supplied; membership is known, motive is not</x:v>
      </x:c>
      <x:c r="M1191" s="7" t="n">
        <x:v>7</x:v>
      </x:c>
      <x:c r="N1191" s="7" t="str">
        <x:v>Outside current general-Life recruiting pool</x:v>
      </x:c>
      <x:c r="O1191" s="7" t="str">
        <x:v>Not displayed</x:v>
      </x:c>
      <x:c r="P1191" s="7" t="str"/>
      <x:c r="Q1191" s="7" t="str"/>
      <x:c r="R1191" s="7" t="str"/>
      <x:c r="S1191" s="15" t="str"/>
      <x:c r="T1191" s="7" t="str">
        <x:v>No public business phone in collected record</x:v>
      </x:c>
      <x:c r="U1191" s="7" t="str"/>
      <x:c r="V1191" s="7" t="str">
        <x:v>Non-resident</x:v>
      </x:c>
      <x:c r="W1191" s="7" t="str">
        <x:v>TX</x:v>
      </x:c>
      <x:c r="X1191" s="7" t="str"/>
      <x:c r="Y1191" s="7" t="str"/>
      <x:c r="Z1191" s="7" t="str"/>
      <x:c r="AA1191" s="7" t="str"/>
      <x:c r="AB1191" s="7" t="str"/>
      <x:c r="AC1191" s="7" t="str"/>
      <x:c r="AD1191" s="7" t="str">
        <x:v>No agency or insurer displayed: onboarding opportunity possible; existing business unknown</x:v>
      </x:c>
      <x:c r="AE1191" s="7" t="str">
        <x:v>Nonresident or address state outside CA; confirm geographic recruiting scope | No public business phone: contact enrichment needed, not proof of poor recruiting fit</x:v>
      </x:c>
      <x:c r="AF1191" s="16" t="str"/>
      <x:c r="AG1191" s="17" t="str"/>
      <x:c r="AH1191" s="7" t="str"/>
      <x:c r="AI1191" s="7" t="str"/>
      <x:c r="AJ1191" s="7" t="str"/>
      <x:c r="AK1191" s="15" t="str"/>
      <x:c r="AL1191" s="7" t="str"/>
      <x:c r="AM1191" s="7" t="str">
        <x:v>AGUILAR MICHAEL TIMOTHY</x:v>
      </x:c>
      <x:c r="AN1191" s="7" t="str">
        <x:v>https://cdicloud.insurance.ca.gov/cal/LicenseDetail?SearchType=IND&amp;SearchLicNbr=0B81008&amp;SearchIndvId=258693</x:v>
      </x:c>
      <x:c r="AO1191" s="7" t="str">
        <x:v>2026-10-08</x:v>
      </x:c>
      <x:c r="AP1191" s="7" t="str">
        <x:v>58c8b228a2be6efc29a5cdbd3a6dda9874d6675a93e85a79891496db13b21e85</x:v>
      </x:c>
      <x:c r="AQ1191" s="7" t="str">
        <x:v>Accident and Health / Inactive / 09/12/2011 / 09/30/2015 / 09/30/2015
Casualty Broker-Agent / Inactive / 05/17/1996 / 09/30/2015 / 09/30/2015
Property Broker-Agent / Inactive / 05/17/1996 / 09/30/2015 / 09/30/2015</x:v>
      </x:c>
      <x:c r="AR1191" s="7" t="str">
        <x:v>Inactive</x:v>
      </x:c>
      <x:c r="AS1191" s="7" t="str">
        <x:v>Current detail page</x:v>
      </x:c>
    </x:row>
    <x:row r="1192" ht="52" customHeight="1">
      <x:c r="A1192" s="7" t="str">
        <x:v>AGUILAR TLASECA MARIBEL</x:v>
      </x:c>
      <x:c r="B1192" s="14" t="str">
        <x:f>"4135572"</x:f>
        <x:v>4135572</x:v>
      </x:c>
      <x:c r="C1192" s="7" t="str">
        <x:v>Omitted</x:v>
      </x:c>
      <x:c r="D1192" s="7" t="str">
        <x:v>FAIL</x:v>
      </x:c>
      <x:c r="E1192" s="13" t="str">
        <x:v>Pending</x:v>
      </x:c>
      <x:c r="F1192" s="13" t="str"/>
      <x:c r="G1192" s="13" t="str"/>
      <x:c r="H1192" s="13" t="str"/>
      <x:c r="I1192" s="7" t="str">
        <x:v>Was this person reviewed? If rejected, give the actual rule and evidence. If acceptable, correct the omission. Confirm the Life-qualification gate and any record change since selection.</x:v>
      </x:c>
      <x:c r="J1192" s="7" t="str">
        <x:v>L1</x:v>
      </x:c>
      <x:c r="K1192" s="7" t="str">
        <x:v>Verified qualifications do not include active general Life. Current target-pool mismatch; actual historical omission reason unknown.</x:v>
      </x:c>
      <x:c r="L1192" s="7" t="str">
        <x:v>Not supplied; membership is known, motive is not</x:v>
      </x:c>
      <x:c r="M1192" s="7" t="n">
        <x:v>7</x:v>
      </x:c>
      <x:c r="N1192" s="7" t="str">
        <x:v>Outside current general-Life recruiting pool</x:v>
      </x:c>
      <x:c r="O1192" s="7" t="str">
        <x:v>Inactive</x:v>
      </x:c>
      <x:c r="P1192" s="7" t="str">
        <x:v>07/06/2021</x:v>
      </x:c>
      <x:c r="Q1192" s="7" t="str">
        <x:v>07/31/2023</x:v>
      </x:c>
      <x:c r="R1192" s="7" t="str"/>
      <x:c r="S1192" s="15" t="str">
        <x:v>323-675-7679</x:v>
      </x:c>
      <x:c r="T1192" s="7" t="str">
        <x:v>Current CDI</x:v>
      </x:c>
      <x:c r="U1192" s="7" t="str">
        <x:v>1001 1/2 E 45TH ST LOS ANGELES CA, 90011</x:v>
      </x:c>
      <x:c r="V1192" s="7" t="str">
        <x:v>Resident</x:v>
      </x:c>
      <x:c r="W1192" s="7" t="str">
        <x:v>CA</x:v>
      </x:c>
      <x:c r="X1192" s="7" t="str"/>
      <x:c r="Y1192" s="7" t="str"/>
      <x:c r="Z1192" s="7" t="str"/>
      <x:c r="AA1192" s="7" t="str"/>
      <x:c r="AB1192" s="7" t="str"/>
      <x:c r="AC1192" s="7" t="str"/>
      <x:c r="AD1192" s="7" t="str">
        <x:v>No agency or insurer displayed: onboarding opportunity possible; existing business unknown</x:v>
      </x:c>
      <x:c r="AE1192" s="7" t="str"/>
      <x:c r="AF1192" s="16" t="str"/>
      <x:c r="AG1192" s="17" t="str"/>
      <x:c r="AH1192" s="7" t="str"/>
      <x:c r="AI1192" s="7" t="str">
        <x:v>English</x:v>
      </x:c>
      <x:c r="AJ1192" s="7" t="str"/>
      <x:c r="AK1192" s="15" t="str"/>
      <x:c r="AL1192" s="7" t="str"/>
      <x:c r="AM1192" s="7" t="str">
        <x:v>Aguilar  Maribel | AGUILAR TLASECA  MARIBEL</x:v>
      </x:c>
      <x:c r="AN1192" s="7" t="str">
        <x:v>https://cdicloud.insurance.ca.gov/cal/LicenseDetail?SearchType=IND&amp;SearchLicNbr=4135572&amp;SearchIndvId=4135572</x:v>
      </x:c>
      <x:c r="AO1192" s="7" t="str">
        <x:v>2026-10-08</x:v>
      </x:c>
      <x:c r="AP1192" s="7" t="str">
        <x:v>1be880dd0d45b5528ee81efec558add3a42dc0ecc519723d464b75b7b393e909</x:v>
      </x:c>
      <x:c r="AQ1192" s="7" t="str">
        <x:v>Life / Inactive / 07/06/2021 / 07/31/2023 / 07/31/2023</x:v>
      </x:c>
      <x:c r="AR1192" s="7" t="str">
        <x:v>Inactive</x:v>
      </x:c>
      <x:c r="AS1192" s="7" t="str">
        <x:v>Current detail page</x:v>
      </x:c>
    </x:row>
    <x:row r="1193" ht="52" customHeight="1">
      <x:c r="A1193" s="7" t="str">
        <x:v>AGUILAR TRACY MEE</x:v>
      </x:c>
      <x:c r="B1193" s="14" t="str">
        <x:f>"0G68872"</x:f>
        <x:v>0G68872</x:v>
      </x:c>
      <x:c r="C1193" s="7" t="str">
        <x:v>Omitted</x:v>
      </x:c>
      <x:c r="D1193" s="7" t="str">
        <x:v>FAIL</x:v>
      </x:c>
      <x:c r="E1193" s="13" t="str">
        <x:v>Pending</x:v>
      </x:c>
      <x:c r="F1193" s="13" t="str"/>
      <x:c r="G1193" s="13" t="str"/>
      <x:c r="H1193" s="13" t="str"/>
      <x:c r="I1193" s="7" t="str">
        <x:v>Was this person reviewed? If rejected, give the actual rule and evidence. If acceptable, correct the omission. Confirm the Life-qualification gate and any record change since selection.</x:v>
      </x:c>
      <x:c r="J1193" s="7" t="str">
        <x:v>L1</x:v>
      </x:c>
      <x:c r="K1193" s="7" t="str">
        <x:v>Verified qualifications do not include active general Life. Current target-pool mismatch; actual historical omission reason unknown.</x:v>
      </x:c>
      <x:c r="L1193" s="7" t="str">
        <x:v>Not supplied; membership is known, motive is not</x:v>
      </x:c>
      <x:c r="M1193" s="7" t="n">
        <x:v>7</x:v>
      </x:c>
      <x:c r="N1193" s="7" t="str">
        <x:v>Outside current general-Life recruiting pool</x:v>
      </x:c>
      <x:c r="O1193" s="7" t="str">
        <x:v>Not displayed</x:v>
      </x:c>
      <x:c r="P1193" s="7" t="str"/>
      <x:c r="Q1193" s="7" t="str"/>
      <x:c r="R1193" s="7" t="str"/>
      <x:c r="S1193" s="15" t="str"/>
      <x:c r="T1193" s="7" t="str">
        <x:v>No public business phone in collected record</x:v>
      </x:c>
      <x:c r="U1193" s="7" t="str"/>
      <x:c r="V1193" s="7" t="str">
        <x:v>Resident</x:v>
      </x:c>
      <x:c r="W1193" s="7" t="str">
        <x:v>CA</x:v>
      </x:c>
      <x:c r="X1193" s="7" t="str"/>
      <x:c r="Y1193" s="7" t="str"/>
      <x:c r="Z1193" s="7" t="str"/>
      <x:c r="AA1193" s="7" t="str"/>
      <x:c r="AB1193" s="7" t="str"/>
      <x:c r="AC1193" s="7" t="str"/>
      <x:c r="AD1193" s="7" t="str">
        <x:v>No agency or insurer displayed: onboarding opportunity possible; existing business unknown</x:v>
      </x:c>
      <x:c r="AE1193" s="7" t="str">
        <x:v>No public business phone: contact enrichment needed, not proof of poor recruiting fit</x:v>
      </x:c>
      <x:c r="AF1193" s="16" t="str"/>
      <x:c r="AG1193" s="17" t="str"/>
      <x:c r="AH1193" s="7" t="str"/>
      <x:c r="AI1193" s="7" t="str"/>
      <x:c r="AJ1193" s="7" t="str"/>
      <x:c r="AK1193" s="15" t="str"/>
      <x:c r="AL1193" s="7" t="str"/>
      <x:c r="AM1193" s="7" t="str">
        <x:v>AGUILAR MEE TRACY</x:v>
      </x:c>
      <x:c r="AN1193" s="7" t="str">
        <x:v>https://cdicloud.insurance.ca.gov/cal/LicenseDetail?SearchType=IND&amp;SearchLicNbr=0G68872&amp;SearchIndvId=1273110</x:v>
      </x:c>
      <x:c r="AO1193" s="7" t="str">
        <x:v>2026-10-08</x:v>
      </x:c>
      <x:c r="AP1193" s="7" t="str">
        <x:v>f4680087a93061b1eaa8322ba95c4a315d062a0705b8e9f33ff7b98fc60061fd</x:v>
      </x:c>
      <x:c r="AQ1193" s="7" t="str">
        <x:v>Title Marketing Representative / Inactive / 07/16/2009 / 07/31/2012 / 07/31/2012</x:v>
      </x:c>
      <x:c r="AR1193" s="7" t="str">
        <x:v>Inactive</x:v>
      </x:c>
      <x:c r="AS1193" s="7" t="str">
        <x:v>Current detail page</x:v>
      </x:c>
    </x:row>
    <x:row r="1194" ht="52" customHeight="1">
      <x:c r="A1194" s="7" t="str">
        <x:v>AGUILAR TRAVIS</x:v>
      </x:c>
      <x:c r="B1194" s="14" t="str">
        <x:f>"0M80066"</x:f>
        <x:v>0M80066</x:v>
      </x:c>
      <x:c r="C1194" s="7" t="str">
        <x:v>Omitted</x:v>
      </x:c>
      <x:c r="D1194" s="7" t="str">
        <x:v>FAIL</x:v>
      </x:c>
      <x:c r="E1194" s="13" t="str">
        <x:v>Pending</x:v>
      </x:c>
      <x:c r="F1194" s="13" t="str"/>
      <x:c r="G1194" s="13" t="str"/>
      <x:c r="H1194" s="13" t="str"/>
      <x:c r="I1194" s="7" t="str">
        <x:v>Was this person reviewed? If rejected, give the actual rule and evidence. If acceptable, correct the omission. Confirm the Life-qualification gate and any record change since selection.</x:v>
      </x:c>
      <x:c r="J1194" s="7" t="str">
        <x:v>L1</x:v>
      </x:c>
      <x:c r="K1194" s="7" t="str">
        <x:v>Verified qualifications do not include active general Life. Current target-pool mismatch; actual historical omission reason unknown.</x:v>
      </x:c>
      <x:c r="L1194" s="7" t="str">
        <x:v>Not supplied; membership is known, motive is not</x:v>
      </x:c>
      <x:c r="M1194" s="7" t="n">
        <x:v>7</x:v>
      </x:c>
      <x:c r="N1194" s="7" t="str">
        <x:v>Outside current general-Life recruiting pool</x:v>
      </x:c>
      <x:c r="O1194" s="7" t="str">
        <x:v>Not displayed</x:v>
      </x:c>
      <x:c r="P1194" s="7" t="str"/>
      <x:c r="Q1194" s="7" t="str"/>
      <x:c r="R1194" s="7" t="str"/>
      <x:c r="S1194" s="15" t="str"/>
      <x:c r="T1194" s="7" t="str">
        <x:v>No public business phone in collected record</x:v>
      </x:c>
      <x:c r="U1194" s="7" t="str">
        <x:v>3211 BROAD ST. 117 SAN LUIS OBISPO CA, 93401</x:v>
      </x:c>
      <x:c r="V1194" s="7" t="str">
        <x:v>Resident</x:v>
      </x:c>
      <x:c r="W1194" s="7" t="str">
        <x:v>CA</x:v>
      </x:c>
      <x:c r="X1194" s="7" t="str"/>
      <x:c r="Y1194" s="7" t="str"/>
      <x:c r="Z1194" s="7" t="str"/>
      <x:c r="AA1194" s="7" t="str"/>
      <x:c r="AB1194" s="7" t="str"/>
      <x:c r="AC1194" s="7" t="str"/>
      <x:c r="AD1194" s="7" t="str">
        <x:v>No agency or insurer displayed: onboarding opportunity possible; existing business unknown</x:v>
      </x:c>
      <x:c r="AE1194" s="7" t="str">
        <x:v>No public business phone: contact enrichment needed, not proof of poor recruiting fit</x:v>
      </x:c>
      <x:c r="AF1194" s="16" t="str"/>
      <x:c r="AG1194" s="17" t="str"/>
      <x:c r="AH1194" s="7" t="str"/>
      <x:c r="AI1194" s="7" t="str"/>
      <x:c r="AJ1194" s="7" t="str"/>
      <x:c r="AK1194" s="15" t="str"/>
      <x:c r="AL1194" s="7" t="str"/>
      <x:c r="AM1194" s="7" t="str">
        <x:v>AGUILAR  TRAVIS | AGUILAR MATTHEW TRAVIS</x:v>
      </x:c>
      <x:c r="AN1194" s="7" t="str">
        <x:v>https://cdicloud.insurance.ca.gov/cal/LicenseDetail?SearchType=IND&amp;SearchLicNbr=0M80066&amp;SearchIndvId=2079888</x:v>
      </x:c>
      <x:c r="AO1194" s="7" t="str">
        <x:v>2026-10-08</x:v>
      </x:c>
      <x:c r="AP1194" s="7" t="str">
        <x:v>c87e53927e92d7e0e211da6894613530913244a30d1b10ed17e8c4e42e67404a</x:v>
      </x:c>
      <x:c r="AQ1194" s="7" t="str">
        <x:v>Personal Lines Broker-Agent / Inactive / 01/29/2019 / 11/23/2020 / 11/23/2020
Accident and Health / Inactive / 11/23/2020 / 01/26/2022 / 01/26/2022
Casualty Broker-Agent / Inactive / 11/23/2020 / 01/26/2022 / 01/26/2022
Life-Only / Inactive / 11/23/2020 / 01/26/2022 / 01/26/2022
Property Broker-Agent / Inactive / 11/23/2020 / 01/26/2022 / 01/26/2022</x:v>
      </x:c>
      <x:c r="AR1194" s="7" t="str">
        <x:v>Inactive</x:v>
      </x:c>
      <x:c r="AS1194" s="7" t="str">
        <x:v>Current detail page</x:v>
      </x:c>
    </x:row>
    <x:row r="1195" ht="52" customHeight="1">
      <x:c r="A1195" s="7" t="str">
        <x:v>AGUILAR TREVOR AGUILAR</x:v>
      </x:c>
      <x:c r="B1195" s="14" t="str">
        <x:f>"4111127"</x:f>
        <x:v>4111127</x:v>
      </x:c>
      <x:c r="C1195" s="7" t="str">
        <x:v>Omitted</x:v>
      </x:c>
      <x:c r="D1195" s="7" t="str">
        <x:v>FAIL</x:v>
      </x:c>
      <x:c r="E1195" s="13" t="str">
        <x:v>Pending</x:v>
      </x:c>
      <x:c r="F1195" s="13" t="str"/>
      <x:c r="G1195" s="13" t="str"/>
      <x:c r="H1195" s="13" t="str"/>
      <x:c r="I1195" s="7" t="str">
        <x:v>Was this person reviewed? If rejected, give the actual rule and evidence. If acceptable, correct the omission. Confirm the Life-qualification gate and any record change since selection.</x:v>
      </x:c>
      <x:c r="J1195" s="7" t="str">
        <x:v>L1</x:v>
      </x:c>
      <x:c r="K1195" s="7" t="str">
        <x:v>Verified qualifications do not include active general Life. Current target-pool mismatch; actual historical omission reason unknown.</x:v>
      </x:c>
      <x:c r="L1195" s="7" t="str">
        <x:v>Not supplied; membership is known, motive is not</x:v>
      </x:c>
      <x:c r="M1195" s="7" t="n">
        <x:v>7</x:v>
      </x:c>
      <x:c r="N1195" s="7" t="str">
        <x:v>Outside current general-Life recruiting pool</x:v>
      </x:c>
      <x:c r="O1195" s="7" t="str">
        <x:v>Inactive</x:v>
      </x:c>
      <x:c r="P1195" s="7" t="str">
        <x:v>03/16/2021</x:v>
      </x:c>
      <x:c r="Q1195" s="7" t="str">
        <x:v>03/31/2023</x:v>
      </x:c>
      <x:c r="R1195" s="7" t="str"/>
      <x:c r="S1195" s="15" t="str">
        <x:v>559-375-2779</x:v>
      </x:c>
      <x:c r="T1195" s="7" t="str">
        <x:v>Current CDI</x:v>
      </x:c>
      <x:c r="U1195" s="7" t="str">
        <x:v>516 W SHAW AVE FRESNO CA, 93704</x:v>
      </x:c>
      <x:c r="V1195" s="7" t="str">
        <x:v>Resident</x:v>
      </x:c>
      <x:c r="W1195" s="7" t="str">
        <x:v>CA</x:v>
      </x:c>
      <x:c r="X1195" s="7" t="str"/>
      <x:c r="Y1195" s="7" t="str"/>
      <x:c r="Z1195" s="7" t="str"/>
      <x:c r="AA1195" s="7" t="str"/>
      <x:c r="AB1195" s="7" t="str"/>
      <x:c r="AC1195" s="7" t="str"/>
      <x:c r="AD1195" s="7" t="str">
        <x:v>No agency or insurer displayed: onboarding opportunity possible; existing business unknown</x:v>
      </x:c>
      <x:c r="AE1195" s="7" t="str"/>
      <x:c r="AF1195" s="16" t="str"/>
      <x:c r="AG1195" s="17" t="str"/>
      <x:c r="AH1195" s="7" t="str"/>
      <x:c r="AI1195" s="7" t="str">
        <x:v>English</x:v>
      </x:c>
      <x:c r="AJ1195" s="7" t="str"/>
      <x:c r="AK1195" s="15" t="str"/>
      <x:c r="AL1195" s="7" t="str"/>
      <x:c r="AM1195" s="7" t="str">
        <x:v>AGUILAR AGUILAR TREVOR</x:v>
      </x:c>
      <x:c r="AN1195" s="7" t="str">
        <x:v>https://cdicloud.insurance.ca.gov/cal/LicenseDetail?SearchType=IND&amp;SearchLicNbr=4111127&amp;SearchIndvId=4111127</x:v>
      </x:c>
      <x:c r="AO1195" s="7" t="str">
        <x:v>2026-10-08</x:v>
      </x:c>
      <x:c r="AP1195" s="7" t="str">
        <x:v>8ad56a2444abbc8cc842846cc5ad764e5c94e2ffe8cce42e0217d405361b10f2</x:v>
      </x:c>
      <x:c r="AQ1195" s="7" t="str">
        <x:v>Life / Inactive / 03/16/2021 / 03/31/2023 / 03/31/2023</x:v>
      </x:c>
      <x:c r="AR1195" s="7" t="str">
        <x:v>Inactive</x:v>
      </x:c>
      <x:c r="AS1195" s="7" t="str">
        <x:v>Current detail page</x:v>
      </x:c>
    </x:row>
    <x:row r="1196" ht="52" customHeight="1">
      <x:c r="A1196" s="7" t="str">
        <x:v>AGUILAR ULYSSES</x:v>
      </x:c>
      <x:c r="B1196" s="14" t="str">
        <x:f>"0H88658"</x:f>
        <x:v>0H88658</x:v>
      </x:c>
      <x:c r="C1196" s="7" t="str">
        <x:v>Omitted</x:v>
      </x:c>
      <x:c r="D1196" s="7" t="str">
        <x:v>FAIL</x:v>
      </x:c>
      <x:c r="E1196" s="13" t="str">
        <x:v>Pending</x:v>
      </x:c>
      <x:c r="F1196" s="13" t="str"/>
      <x:c r="G1196" s="13" t="str"/>
      <x:c r="H1196" s="13" t="str"/>
      <x:c r="I1196" s="7" t="str">
        <x:v>Was this person reviewed? If rejected, give the actual rule and evidence. If acceptable, correct the omission. Confirm the Life-qualification gate and any record change since selection.</x:v>
      </x:c>
      <x:c r="J1196" s="7" t="str">
        <x:v>L1</x:v>
      </x:c>
      <x:c r="K1196" s="7" t="str">
        <x:v>Verified qualifications do not include active general Life. Current target-pool mismatch; actual historical omission reason unknown.</x:v>
      </x:c>
      <x:c r="L1196" s="7" t="str">
        <x:v>Not supplied; membership is known, motive is not</x:v>
      </x:c>
      <x:c r="M1196" s="7" t="n">
        <x:v>7</x:v>
      </x:c>
      <x:c r="N1196" s="7" t="str">
        <x:v>Outside current general-Life recruiting pool</x:v>
      </x:c>
      <x:c r="O1196" s="7" t="str">
        <x:v>Not displayed</x:v>
      </x:c>
      <x:c r="P1196" s="7" t="str"/>
      <x:c r="Q1196" s="7" t="str"/>
      <x:c r="R1196" s="7" t="str"/>
      <x:c r="S1196" s="15" t="str"/>
      <x:c r="T1196" s="7" t="str">
        <x:v>No public business phone in collected record</x:v>
      </x:c>
      <x:c r="U1196" s="7" t="str"/>
      <x:c r="V1196" s="7" t="str">
        <x:v>Resident</x:v>
      </x:c>
      <x:c r="W1196" s="7" t="str">
        <x:v>KS</x:v>
      </x:c>
      <x:c r="X1196" s="7" t="str"/>
      <x:c r="Y1196" s="7" t="str"/>
      <x:c r="Z1196" s="7" t="str"/>
      <x:c r="AA1196" s="7" t="str"/>
      <x:c r="AB1196" s="7" t="str"/>
      <x:c r="AC1196" s="7" t="str"/>
      <x:c r="AD1196" s="7" t="str">
        <x:v>No agency or insurer displayed: onboarding opportunity possible; existing business unknown</x:v>
      </x:c>
      <x:c r="AE1196" s="7" t="str">
        <x:v>Nonresident or address state outside CA; confirm geographic recruiting scope | No public business phone: contact enrichment needed, not proof of poor recruiting fit</x:v>
      </x:c>
      <x:c r="AF1196" s="16" t="str"/>
      <x:c r="AG1196" s="17" t="str"/>
      <x:c r="AH1196" s="7" t="str"/>
      <x:c r="AI1196" s="7" t="str"/>
      <x:c r="AJ1196" s="7" t="str"/>
      <x:c r="AK1196" s="15" t="str"/>
      <x:c r="AL1196" s="7" t="str"/>
      <x:c r="AM1196" s="7" t="str">
        <x:v>AGUILAR  ULYSSES</x:v>
      </x:c>
      <x:c r="AN1196" s="7" t="str">
        <x:v>https://cdicloud.insurance.ca.gov/cal/LicenseDetail?SearchType=IND&amp;SearchLicNbr=0H88658&amp;SearchIndvId=1514046</x:v>
      </x:c>
      <x:c r="AO1196" s="7" t="str">
        <x:v>2026-10-08</x:v>
      </x:c>
      <x:c r="AP1196" s="7" t="str">
        <x:v>bb7d49d24505021031c96ed0aad02d9c23483a75c701e8b72c2fa0da157f7357</x:v>
      </x:c>
      <x:c r="AQ1196" s="7" t="str">
        <x:v>Accident and Health / Inactive / 06/07/2013 / 05/31/2016 / 05/31/2016
Casualty Broker-Agent / Inactive / 05/30/2012 / 05/31/2016 / 05/31/2016
Life-Only / Inactive / 06/07/2013 / 05/31/2016 / 05/31/2016
Property Broker-Agent / Inactive / 05/30/2012 / 05/31/2016 / 05/31/2016</x:v>
      </x:c>
      <x:c r="AR1196" s="7" t="str">
        <x:v>Inactive</x:v>
      </x:c>
      <x:c r="AS1196" s="7" t="str">
        <x:v>Current detail page</x:v>
      </x:c>
    </x:row>
    <x:row r="1197" ht="52" customHeight="1">
      <x:c r="A1197" s="7" t="str">
        <x:v>AGUILAR VALDEZ CLARA GUADALUPE</x:v>
      </x:c>
      <x:c r="B1197" s="14" t="str">
        <x:f>"4275906"</x:f>
        <x:v>4275906</x:v>
      </x:c>
      <x:c r="C1197" s="7" t="str">
        <x:v>Omitted</x:v>
      </x:c>
      <x:c r="D1197" s="7" t="str">
        <x:v>FAIL</x:v>
      </x:c>
      <x:c r="E1197" s="13" t="str">
        <x:v>Pending</x:v>
      </x:c>
      <x:c r="F1197" s="13" t="str"/>
      <x:c r="G1197" s="13" t="str"/>
      <x:c r="H1197" s="13" t="str"/>
      <x:c r="I1197" s="7" t="str">
        <x:v>Was this person reviewed? If rejected, give the actual rule and evidence. If acceptable, correct the omission. Confirm the Life-qualification gate and any record change since selection.</x:v>
      </x:c>
      <x:c r="J1197" s="7" t="str">
        <x:v>L1</x:v>
      </x:c>
      <x:c r="K1197" s="7" t="str">
        <x:v>Verified qualifications do not include active general Life. Current target-pool mismatch; actual historical omission reason unknown.</x:v>
      </x:c>
      <x:c r="L1197" s="7" t="str">
        <x:v>Not supplied; membership is known, motive is not</x:v>
      </x:c>
      <x:c r="M1197" s="7" t="n">
        <x:v>7</x:v>
      </x:c>
      <x:c r="N1197" s="7" t="str">
        <x:v>Outside current general-Life recruiting pool</x:v>
      </x:c>
      <x:c r="O1197" s="7" t="str">
        <x:v>Not displayed</x:v>
      </x:c>
      <x:c r="P1197" s="7" t="str"/>
      <x:c r="Q1197" s="7" t="str"/>
      <x:c r="R1197" s="7" t="str"/>
      <x:c r="S1197" s="15" t="str"/>
      <x:c r="T1197" s="7" t="str">
        <x:v>No public business phone in collected record</x:v>
      </x:c>
      <x:c r="U1197" s="7" t="str">
        <x:v>4125 E VENTURA AVE SUITE 105 FRESNO CA, 93702</x:v>
      </x:c>
      <x:c r="V1197" s="7" t="str">
        <x:v>Resident</x:v>
      </x:c>
      <x:c r="W1197" s="7" t="str">
        <x:v>CA</x:v>
      </x:c>
      <x:c r="X1197" s="7" t="str"/>
      <x:c r="Y1197" s="7" t="str"/>
      <x:c r="Z1197" s="7" t="str"/>
      <x:c r="AA1197" s="7" t="str"/>
      <x:c r="AB1197" s="7" t="str"/>
      <x:c r="AC1197" s="7" t="str"/>
      <x:c r="AD1197" s="7" t="str">
        <x:v>No agency or insurer displayed: onboarding opportunity possible; existing business unknown</x:v>
      </x:c>
      <x:c r="AE1197" s="7" t="str">
        <x:v>No public business phone: contact enrichment needed, not proof of poor recruiting fit</x:v>
      </x:c>
      <x:c r="AF1197" s="16" t="str"/>
      <x:c r="AG1197" s="17" t="str"/>
      <x:c r="AH1197" s="7" t="str"/>
      <x:c r="AI1197" s="7" t="str"/>
      <x:c r="AJ1197" s="7" t="str"/>
      <x:c r="AK1197" s="15" t="str"/>
      <x:c r="AL1197" s="7" t="str"/>
      <x:c r="AM1197" s="7" t="str">
        <x:v>Aguilar Guadalupe Clara | AGUILAR VALDEZ GUADALUPE CLARA</x:v>
      </x:c>
      <x:c r="AN1197" s="7" t="str">
        <x:v>https://cdicloud.insurance.ca.gov/cal/LicenseDetail?SearchType=IND&amp;SearchLicNbr=4275906&amp;SearchIndvId=4275906</x:v>
      </x:c>
      <x:c r="AO1197" s="7" t="str">
        <x:v>2026-10-08</x:v>
      </x:c>
      <x:c r="AP1197" s="7" t="str">
        <x:v>80c6acd6c21a6f7c7095ceb4664a0f0dd37bb61c981daabda9d60bd3410a9d1f</x:v>
      </x:c>
      <x:c r="AQ1197" s="7" t="str">
        <x:v>Personal Lines / Inactive / 02/24/2023 / 02/28/2025 / 02/28/2025</x:v>
      </x:c>
      <x:c r="AR1197" s="7" t="str">
        <x:v>Inactive</x:v>
      </x:c>
      <x:c r="AS1197" s="7" t="str">
        <x:v>Current detail page</x:v>
      </x:c>
    </x:row>
    <x:row r="1198" ht="52" customHeight="1">
      <x:c r="A1198" s="7" t="str">
        <x:v>AGUILAR VALERIE</x:v>
      </x:c>
      <x:c r="B1198" s="14" t="str">
        <x:f>"4379904"</x:f>
        <x:v>4379904</x:v>
      </x:c>
      <x:c r="C1198" s="7" t="str">
        <x:v>Omitted</x:v>
      </x:c>
      <x:c r="D1198" s="7" t="str">
        <x:v>FAIL</x:v>
      </x:c>
      <x:c r="E1198" s="13" t="str">
        <x:v>Pending</x:v>
      </x:c>
      <x:c r="F1198" s="13" t="str"/>
      <x:c r="G1198" s="13" t="str"/>
      <x:c r="H1198" s="13" t="str"/>
      <x:c r="I1198" s="7" t="str">
        <x:v>Was this person reviewed? If rejected, give the actual rule and evidence. If acceptable, correct the omission. Confirm the Life-qualification gate and any record change since selection.</x:v>
      </x:c>
      <x:c r="J1198" s="7" t="str">
        <x:v>L1</x:v>
      </x:c>
      <x:c r="K1198" s="7" t="str">
        <x:v>Verified qualifications do not include active general Life. Current target-pool mismatch; actual historical omission reason unknown.</x:v>
      </x:c>
      <x:c r="L1198" s="7" t="str">
        <x:v>Not supplied; membership is known, motive is not</x:v>
      </x:c>
      <x:c r="M1198" s="7" t="n">
        <x:v>7</x:v>
      </x:c>
      <x:c r="N1198" s="7" t="str">
        <x:v>Outside current general-Life recruiting pool</x:v>
      </x:c>
      <x:c r="O1198" s="7" t="str">
        <x:v>Inactive</x:v>
      </x:c>
      <x:c r="P1198" s="7" t="str">
        <x:v>05/13/2024</x:v>
      </x:c>
      <x:c r="Q1198" s="7" t="str">
        <x:v>05/31/2026</x:v>
      </x:c>
      <x:c r="R1198" s="7" t="str"/>
      <x:c r="S1198" s="15" t="str">
        <x:v>424-391-6851</x:v>
      </x:c>
      <x:c r="T1198" s="7" t="str">
        <x:v>Current CDI</x:v>
      </x:c>
      <x:c r="U1198" s="7" t="str">
        <x:v>14623 ROXTON AVE GARDENA CA, 90249</x:v>
      </x:c>
      <x:c r="V1198" s="7" t="str">
        <x:v>Resident</x:v>
      </x:c>
      <x:c r="W1198" s="7" t="str">
        <x:v>CA</x:v>
      </x:c>
      <x:c r="X1198" s="7" t="str"/>
      <x:c r="Y1198" s="7" t="str"/>
      <x:c r="Z1198" s="7" t="str"/>
      <x:c r="AA1198" s="7" t="str"/>
      <x:c r="AB1198" s="7" t="str"/>
      <x:c r="AC1198" s="7" t="str"/>
      <x:c r="AD1198" s="7" t="str">
        <x:v>No agency or insurer displayed: onboarding opportunity possible; existing business unknown</x:v>
      </x:c>
      <x:c r="AE1198" s="7" t="str"/>
      <x:c r="AF1198" s="16" t="str"/>
      <x:c r="AG1198" s="17" t="str"/>
      <x:c r="AH1198" s="7" t="str"/>
      <x:c r="AI1198" s="7" t="str">
        <x:v>English</x:v>
      </x:c>
      <x:c r="AJ1198" s="7" t="str"/>
      <x:c r="AK1198" s="15" t="str"/>
      <x:c r="AL1198" s="7" t="str"/>
      <x:c r="AM1198" s="7" t="str">
        <x:v>AGUILAR  VALERIE</x:v>
      </x:c>
      <x:c r="AN1198" s="7" t="str">
        <x:v>https://cdicloud.insurance.ca.gov/cal/LicenseDetail?SearchType=IND&amp;SearchLicNbr=4379904&amp;SearchIndvId=4379904</x:v>
      </x:c>
      <x:c r="AO1198" s="7" t="str">
        <x:v>2026-10-08</x:v>
      </x:c>
      <x:c r="AP1198" s="7" t="str">
        <x:v>97124dade693ed2f02c8ab72b37d646f01868ad2db6fa6752eb799f5644b64cd</x:v>
      </x:c>
      <x:c r="AQ1198" s="7" t="str">
        <x:v>Accident &amp; Health or Sickness / Inactive / 05/13/2024 / 05/31/2026 / 05/31/2026
Life / Inactive / 05/13/2024 / 05/31/2026 / 05/31/2026</x:v>
      </x:c>
      <x:c r="AR1198" s="7" t="str">
        <x:v>Inactive</x:v>
      </x:c>
      <x:c r="AS1198" s="7" t="str">
        <x:v>Current detail page</x:v>
      </x:c>
    </x:row>
    <x:row r="1199" ht="52" customHeight="1">
      <x:c r="A1199" s="7" t="str">
        <x:v>AGUILAR VANESSA GABRIELA</x:v>
      </x:c>
      <x:c r="B1199" s="14" t="str">
        <x:f>"0K09280"</x:f>
        <x:v>0K09280</x:v>
      </x:c>
      <x:c r="C1199" s="7" t="str">
        <x:v>Omitted</x:v>
      </x:c>
      <x:c r="D1199" s="7" t="str">
        <x:v>FAIL</x:v>
      </x:c>
      <x:c r="E1199" s="13" t="str">
        <x:v>Pending</x:v>
      </x:c>
      <x:c r="F1199" s="13" t="str"/>
      <x:c r="G1199" s="13" t="str"/>
      <x:c r="H1199" s="13" t="str"/>
      <x:c r="I1199" s="7" t="str">
        <x:v>Was this person reviewed? If rejected, give the actual rule and evidence. If acceptable, correct the omission. Confirm the Life-qualification gate and any record change since selection.</x:v>
      </x:c>
      <x:c r="J1199" s="7" t="str">
        <x:v>L1</x:v>
      </x:c>
      <x:c r="K1199" s="7" t="str">
        <x:v>Verified qualifications do not include active general Life. Current target-pool mismatch; actual historical omission reason unknown.</x:v>
      </x:c>
      <x:c r="L1199" s="7" t="str">
        <x:v>Not supplied; membership is known, motive is not</x:v>
      </x:c>
      <x:c r="M1199" s="7" t="n">
        <x:v>7</x:v>
      </x:c>
      <x:c r="N1199" s="7" t="str">
        <x:v>Outside current general-Life recruiting pool</x:v>
      </x:c>
      <x:c r="O1199" s="7" t="str">
        <x:v>Not displayed</x:v>
      </x:c>
      <x:c r="P1199" s="7" t="str"/>
      <x:c r="Q1199" s="7" t="str"/>
      <x:c r="R1199" s="7" t="str"/>
      <x:c r="S1199" s="15" t="str"/>
      <x:c r="T1199" s="7" t="str">
        <x:v>No public business phone in collected record</x:v>
      </x:c>
      <x:c r="U1199" s="7" t="str"/>
      <x:c r="V1199" s="7" t="str">
        <x:v>Resident</x:v>
      </x:c>
      <x:c r="W1199" s="7" t="str">
        <x:v>CA</x:v>
      </x:c>
      <x:c r="X1199" s="7" t="str"/>
      <x:c r="Y1199" s="7" t="str"/>
      <x:c r="Z1199" s="7" t="str"/>
      <x:c r="AA1199" s="7" t="str"/>
      <x:c r="AB1199" s="7" t="str">
        <x:v>SANCHEZ ROBERTO CARLOS / Casualty / 02/23/2015
SANCHEZ ROBERTO CARLOS / Property / 02/23/2015</x:v>
      </x:c>
      <x:c r="AC1199" s="7" t="str"/>
      <x:c r="AD1199" s="7" t="str">
        <x:v>No agency or insurer displayed: onboarding opportunity possible; existing business unknown</x:v>
      </x:c>
      <x:c r="AE1199" s="7" t="str">
        <x:v>Sponsor relationships displayed: SANCHEZ ROBERTO CARLOS; inspect line-specific relationship, not a blanket employment inference | No public business phone: contact enrichment needed, not proof of poor recruiting fit</x:v>
      </x:c>
      <x:c r="AF1199" s="16" t="str"/>
      <x:c r="AG1199" s="17" t="str"/>
      <x:c r="AH1199" s="7" t="str"/>
      <x:c r="AI1199" s="7" t="str"/>
      <x:c r="AJ1199" s="7" t="str"/>
      <x:c r="AK1199" s="15" t="str"/>
      <x:c r="AL1199" s="7" t="str"/>
      <x:c r="AM1199" s="7" t="str">
        <x:v>AGUILAR GABRIELA VANESSA</x:v>
      </x:c>
      <x:c r="AN1199" s="7" t="str">
        <x:v>https://cdicloud.insurance.ca.gov/cal/LicenseDetail?SearchType=IND&amp;SearchLicNbr=0K09280&amp;SearchIndvId=1738300</x:v>
      </x:c>
      <x:c r="AO1199" s="7" t="str">
        <x:v>2026-10-08</x:v>
      </x:c>
      <x:c r="AP1199" s="7" t="str">
        <x:v>0eb1772e0d293d761cecfb67e2ca87347184fcb1a1abaf7a2aeda536c5fc4b1a</x:v>
      </x:c>
      <x:c r="AQ1199" s="7" t="str">
        <x:v>Casualty Broker-Agent / Inactive / 02/10/2015 / 02/28/2017 / 02/28/2017
Property Broker-Agent / Inactive / 02/10/2015 / 02/28/2017 / 02/28/2017</x:v>
      </x:c>
      <x:c r="AR1199" s="7" t="str">
        <x:v>Inactive</x:v>
      </x:c>
      <x:c r="AS1199" s="7" t="str">
        <x:v>Current detail page</x:v>
      </x:c>
    </x:row>
    <x:row r="1200" ht="52" customHeight="1">
      <x:c r="A1200" s="7" t="str">
        <x:v>AGUILAR VANESSA JO</x:v>
      </x:c>
      <x:c r="B1200" s="14" t="str">
        <x:f>"4430510"</x:f>
        <x:v>4430510</x:v>
      </x:c>
      <x:c r="C1200" s="7" t="str">
        <x:v>Omitted</x:v>
      </x:c>
      <x:c r="D1200" s="7" t="str">
        <x:v>FAIL</x:v>
      </x:c>
      <x:c r="E1200" s="13" t="str">
        <x:v>Pending</x:v>
      </x:c>
      <x:c r="F1200" s="13" t="str"/>
      <x:c r="G1200" s="13" t="str"/>
      <x:c r="H1200" s="13" t="str"/>
      <x:c r="I1200" s="7" t="str">
        <x:v>Was this person reviewed? If rejected, give the actual rule and evidence. If acceptable, correct the omission. Confirm the Life-qualification gate and any record change since selection.</x:v>
      </x:c>
      <x:c r="J1200" s="7" t="str">
        <x:v>L1</x:v>
      </x:c>
      <x:c r="K1200" s="7" t="str">
        <x:v>Verified qualifications do not include active general Life. Current target-pool mismatch; actual historical omission reason unknown.</x:v>
      </x:c>
      <x:c r="L1200" s="7" t="str">
        <x:v>Not supplied; membership is known, motive is not</x:v>
      </x:c>
      <x:c r="M1200" s="7" t="n">
        <x:v>7</x:v>
      </x:c>
      <x:c r="N1200" s="7" t="str">
        <x:v>Outside current general-Life recruiting pool</x:v>
      </x:c>
      <x:c r="O1200" s="7" t="str">
        <x:v>Not displayed</x:v>
      </x:c>
      <x:c r="P1200" s="7" t="str"/>
      <x:c r="Q1200" s="7" t="str"/>
      <x:c r="R1200" s="7" t="str">
        <x:v>Casualty; Property</x:v>
      </x:c>
      <x:c r="S1200" s="15" t="str"/>
      <x:c r="T1200" s="7" t="str">
        <x:v>No public business phone in collected record</x:v>
      </x:c>
      <x:c r="U1200" s="7" t="str">
        <x:v>101 W VILLA MARIA RD BRYAN TX, 77801-3028</x:v>
      </x:c>
      <x:c r="V1200" s="7" t="str">
        <x:v>Non-resident</x:v>
      </x:c>
      <x:c r="W1200" s="7" t="str">
        <x:v>TX</x:v>
      </x:c>
      <x:c r="X1200" s="7" t="str"/>
      <x:c r="Y1200" s="7" t="str"/>
      <x:c r="Z1200" s="7" t="str"/>
      <x:c r="AA1200" s="7" t="str"/>
      <x:c r="AB1200" s="7" t="str"/>
      <x:c r="AC1200" s="7" t="str"/>
      <x:c r="AD1200" s="7" t="str">
        <x:v>No agency or insurer displayed: onboarding opportunity possible; existing business unknown</x:v>
      </x:c>
      <x:c r="AE1200"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1200" s="16" t="str"/>
      <x:c r="AG1200" s="17" t="str"/>
      <x:c r="AH1200" s="7" t="str"/>
      <x:c r="AI1200" s="7" t="str"/>
      <x:c r="AJ1200" s="7" t="str"/>
      <x:c r="AK1200" s="15" t="str"/>
      <x:c r="AL1200" s="7" t="str"/>
      <x:c r="AM1200" s="7" t="str">
        <x:v>AGUILAR JO VANESSA</x:v>
      </x:c>
      <x:c r="AN1200" s="7" t="str">
        <x:v>https://cdicloud.insurance.ca.gov/cal/LicenseDetail?SearchType=IND&amp;SearchLicNbr=4430510&amp;SearchIndvId=4430510</x:v>
      </x:c>
      <x:c r="AO1200" s="7" t="str">
        <x:v>2026-10-08</x:v>
      </x:c>
      <x:c r="AP1200" s="7" t="str">
        <x:v>c3120700dc5ec2bcd30f748c121c81e4f645f0a3e3200704ae7c8b234c6e4a55</x:v>
      </x:c>
      <x:c r="AQ1200" s="7" t="str">
        <x:v>Casualty / Active / 12/03/2024 / 12/03/2024 / 12/31/2026
Property / Active / 12/03/2024 / 12/03/2024 / 12/31/2026</x:v>
      </x:c>
      <x:c r="AR1200" s="7" t="str">
        <x:v>Active</x:v>
      </x:c>
      <x:c r="AS1200" s="7" t="str">
        <x:v>Current detail page</x:v>
      </x:c>
    </x:row>
    <x:row r="1201" ht="52" customHeight="1">
      <x:c r="A1201" s="7" t="str">
        <x:v>AGUILAR VANESSA LETICIA</x:v>
      </x:c>
      <x:c r="B1201" s="14" t="str">
        <x:f>"0F12252"</x:f>
        <x:v>0F12252</x:v>
      </x:c>
      <x:c r="C1201" s="7" t="str">
        <x:v>Omitted</x:v>
      </x:c>
      <x:c r="D1201" s="7" t="str">
        <x:v>FAIL</x:v>
      </x:c>
      <x:c r="E1201" s="13" t="str">
        <x:v>Pending</x:v>
      </x:c>
      <x:c r="F1201" s="13" t="str"/>
      <x:c r="G1201" s="13" t="str"/>
      <x:c r="H1201" s="13" t="str"/>
      <x:c r="I1201" s="7" t="str">
        <x:v>Was this person reviewed? If rejected, give the actual rule and evidence. If acceptable, correct the omission. Confirm the Life-qualification gate and any record change since selection.</x:v>
      </x:c>
      <x:c r="J1201" s="7" t="str">
        <x:v>L1</x:v>
      </x:c>
      <x:c r="K1201" s="7" t="str">
        <x:v>Verified qualifications do not include active general Life. Current target-pool mismatch; actual historical omission reason unknown.</x:v>
      </x:c>
      <x:c r="L1201" s="7" t="str">
        <x:v>Not supplied; membership is known, motive is not</x:v>
      </x:c>
      <x:c r="M1201" s="7" t="n">
        <x:v>7</x:v>
      </x:c>
      <x:c r="N1201" s="7" t="str">
        <x:v>Outside current general-Life recruiting pool</x:v>
      </x:c>
      <x:c r="O1201" s="7" t="str">
        <x:v>Not displayed</x:v>
      </x:c>
      <x:c r="P1201" s="7" t="str"/>
      <x:c r="Q1201" s="7" t="str"/>
      <x:c r="R1201" s="7" t="str"/>
      <x:c r="S1201" s="15" t="str"/>
      <x:c r="T1201" s="7" t="str">
        <x:v>No public business phone in collected record</x:v>
      </x:c>
      <x:c r="U1201" s="7" t="str"/>
      <x:c r="V1201" s="7" t="str">
        <x:v>Non-resident</x:v>
      </x:c>
      <x:c r="W1201" s="7" t="str">
        <x:v>AZ</x:v>
      </x:c>
      <x:c r="X1201" s="7" t="str"/>
      <x:c r="Y1201" s="7" t="str"/>
      <x:c r="Z1201" s="7" t="str"/>
      <x:c r="AA1201" s="7" t="str"/>
      <x:c r="AB1201" s="7" t="str"/>
      <x:c r="AC1201" s="7" t="str"/>
      <x:c r="AD1201" s="7" t="str">
        <x:v>No agency or insurer displayed: onboarding opportunity possible; existing business unknown</x:v>
      </x:c>
      <x:c r="AE1201" s="7" t="str">
        <x:v>Nonresident or address state outside CA; confirm geographic recruiting scope | No public business phone: contact enrichment needed, not proof of poor recruiting fit</x:v>
      </x:c>
      <x:c r="AF1201" s="16" t="str"/>
      <x:c r="AG1201" s="17" t="str"/>
      <x:c r="AH1201" s="7" t="str"/>
      <x:c r="AI1201" s="7" t="str"/>
      <x:c r="AJ1201" s="7" t="str"/>
      <x:c r="AK1201" s="15" t="str"/>
      <x:c r="AL1201" s="7" t="str"/>
      <x:c r="AM1201" s="7" t="str">
        <x:v>AGUILAR LETICIA VANESSA</x:v>
      </x:c>
      <x:c r="AN1201" s="7" t="str">
        <x:v>https://cdicloud.insurance.ca.gov/cal/LicenseDetail?SearchType=IND&amp;SearchLicNbr=0F12252&amp;SearchIndvId=1001376</x:v>
      </x:c>
      <x:c r="AO1201" s="7" t="str">
        <x:v>2026-10-08</x:v>
      </x:c>
      <x:c r="AP1201" s="7" t="str">
        <x:v>b1972fcb402b61935760cd93b1543b33d15ec5079b89cdf01b5e36daeb88c975</x:v>
      </x:c>
      <x:c r="AQ1201" s="7" t="str">
        <x:v>Casualty Broker-Agent / Inactive / 03/28/2006 / 03/22/2010 / 03/22/2010
Property Broker-Agent / Inactive / 03/28/2006 / 03/22/2010 / 03/22/2010</x:v>
      </x:c>
      <x:c r="AR1201" s="7" t="str">
        <x:v>Inactive</x:v>
      </x:c>
      <x:c r="AS1201" s="7" t="str">
        <x:v>Current detail page</x:v>
      </x:c>
    </x:row>
    <x:row r="1202" ht="52" customHeight="1">
      <x:c r="A1202" s="7" t="str">
        <x:v>AGUILAR VANESSA LIZETH</x:v>
      </x:c>
      <x:c r="B1202" s="14" t="str">
        <x:f>"0E61765"</x:f>
        <x:v>0E61765</x:v>
      </x:c>
      <x:c r="C1202" s="7" t="str">
        <x:v>Omitted</x:v>
      </x:c>
      <x:c r="D1202" s="7" t="str">
        <x:v>FAIL</x:v>
      </x:c>
      <x:c r="E1202" s="13" t="str">
        <x:v>Pending</x:v>
      </x:c>
      <x:c r="F1202" s="13" t="str"/>
      <x:c r="G1202" s="13" t="str"/>
      <x:c r="H1202" s="13" t="str"/>
      <x:c r="I1202" s="7" t="str">
        <x:v>Was this person reviewed? If rejected, give the actual rule and evidence. If acceptable, correct the omission. Confirm the Life-qualification gate and any record change since selection.</x:v>
      </x:c>
      <x:c r="J1202" s="7" t="str">
        <x:v>L1</x:v>
      </x:c>
      <x:c r="K1202" s="7" t="str">
        <x:v>Verified qualifications do not include active general Life. Current target-pool mismatch; actual historical omission reason unknown.</x:v>
      </x:c>
      <x:c r="L1202" s="7" t="str">
        <x:v>Not supplied; membership is known, motive is not</x:v>
      </x:c>
      <x:c r="M1202" s="7" t="n">
        <x:v>7</x:v>
      </x:c>
      <x:c r="N1202" s="7" t="str">
        <x:v>Outside current general-Life recruiting pool</x:v>
      </x:c>
      <x:c r="O1202" s="7" t="str">
        <x:v>Not displayed</x:v>
      </x:c>
      <x:c r="P1202" s="7" t="str"/>
      <x:c r="Q1202" s="7" t="str"/>
      <x:c r="R1202" s="7" t="str"/>
      <x:c r="S1202" s="15" t="str"/>
      <x:c r="T1202" s="7" t="str">
        <x:v>No public business phone in collected record</x:v>
      </x:c>
      <x:c r="U1202" s="7" t="str"/>
      <x:c r="V1202" s="7" t="str">
        <x:v>Resident</x:v>
      </x:c>
      <x:c r="W1202" s="7" t="str">
        <x:v>CA</x:v>
      </x:c>
      <x:c r="X1202" s="7" t="str"/>
      <x:c r="Y1202" s="7" t="str"/>
      <x:c r="Z1202" s="7" t="str"/>
      <x:c r="AA1202" s="7" t="str"/>
      <x:c r="AB1202" s="7" t="str"/>
      <x:c r="AC1202" s="7" t="str"/>
      <x:c r="AD1202" s="7" t="str">
        <x:v>No agency or insurer displayed: onboarding opportunity possible; existing business unknown</x:v>
      </x:c>
      <x:c r="AE1202" s="7" t="str">
        <x:v>No public business phone: contact enrichment needed, not proof of poor recruiting fit</x:v>
      </x:c>
      <x:c r="AF1202" s="16" t="str"/>
      <x:c r="AG1202" s="17" t="str"/>
      <x:c r="AH1202" s="7" t="str"/>
      <x:c r="AI1202" s="7" t="str"/>
      <x:c r="AJ1202" s="7" t="str"/>
      <x:c r="AK1202" s="15" t="str"/>
      <x:c r="AL1202" s="7" t="str"/>
      <x:c r="AM1202" s="7" t="str">
        <x:v>AGUILAR LIZETH VANESSA</x:v>
      </x:c>
      <x:c r="AN1202" s="7" t="str">
        <x:v>https://cdicloud.insurance.ca.gov/cal/LicenseDetail?SearchType=IND&amp;SearchLicNbr=0E61765&amp;SearchIndvId=958094</x:v>
      </x:c>
      <x:c r="AO1202" s="7" t="str">
        <x:v>2026-10-08</x:v>
      </x:c>
      <x:c r="AP1202" s="7" t="str">
        <x:v>f8496b2994d8bc75dc5bb331f2f7ed0aaad27e5da1bc3d7acf94cbaddb6df511</x:v>
      </x:c>
      <x:c r="AQ1202" s="7" t="str">
        <x:v>Motor Club Agent / Inactive / 06/29/2005 / 06/30/2007 / 06/30/2007</x:v>
      </x:c>
      <x:c r="AR1202" s="7" t="str">
        <x:v>Inactive</x:v>
      </x:c>
      <x:c r="AS1202" s="7" t="str">
        <x:v>Current detail page</x:v>
      </x:c>
    </x:row>
    <x:row r="1203" ht="52" customHeight="1">
      <x:c r="A1203" s="7" t="str">
        <x:v>AGUILAR VELA JULIO</x:v>
      </x:c>
      <x:c r="B1203" s="14" t="str">
        <x:f>"4315443"</x:f>
        <x:v>4315443</x:v>
      </x:c>
      <x:c r="C1203" s="7" t="str">
        <x:v>Omitted</x:v>
      </x:c>
      <x:c r="D1203" s="7" t="str">
        <x:v>FAIL</x:v>
      </x:c>
      <x:c r="E1203" s="13" t="str">
        <x:v>Pending</x:v>
      </x:c>
      <x:c r="F1203" s="13" t="str"/>
      <x:c r="G1203" s="13" t="str"/>
      <x:c r="H1203" s="13" t="str"/>
      <x:c r="I1203" s="7" t="str">
        <x:v>Was this person reviewed? If rejected, give the actual rule and evidence. If acceptable, correct the omission. Confirm the Life-qualification gate and any record change since selection.</x:v>
      </x:c>
      <x:c r="J1203" s="7" t="str">
        <x:v>L1</x:v>
      </x:c>
      <x:c r="K1203" s="7" t="str">
        <x:v>Verified qualifications do not include active general Life. Current target-pool mismatch; actual historical omission reason unknown.</x:v>
      </x:c>
      <x:c r="L1203" s="7" t="str">
        <x:v>Not supplied; membership is known, motive is not</x:v>
      </x:c>
      <x:c r="M1203" s="7" t="n">
        <x:v>7</x:v>
      </x:c>
      <x:c r="N1203" s="7" t="str">
        <x:v>Outside current general-Life recruiting pool</x:v>
      </x:c>
      <x:c r="O1203" s="7" t="str">
        <x:v>Not displayed</x:v>
      </x:c>
      <x:c r="P1203" s="7" t="str"/>
      <x:c r="Q1203" s="7" t="str"/>
      <x:c r="R1203" s="7" t="str">
        <x:v>Personal Lines</x:v>
      </x:c>
      <x:c r="S1203" s="15" t="str"/>
      <x:c r="T1203" s="7" t="str">
        <x:v>No public business phone in collected record</x:v>
      </x:c>
      <x:c r="U1203" s="7" t="str">
        <x:v>PROGRESSIVE INSURANCE 3302 S FALKENBURG RD RIVERVIEW FL, 33578-0510</x:v>
      </x:c>
      <x:c r="V1203" s="7" t="str">
        <x:v>Non-resident</x:v>
      </x:c>
      <x:c r="W1203" s="7" t="str">
        <x:v>FL</x:v>
      </x:c>
      <x:c r="X1203" s="7" t="str">
        <x:v>PROGRESSIVE ADVANTAGE AGENCY INC / Personal Lines / 08/18/2023</x:v>
      </x:c>
      <x:c r="Y1203" s="7" t="str"/>
      <x:c r="Z1203" s="7" t="str"/>
      <x:c r="AA1203" s="7" t="str"/>
      <x:c r="AB1203" s="7" t="str"/>
      <x:c r="AC1203" s="7" t="str"/>
      <x:c r="AD1203" s="7" t="str"/>
      <x:c r="AE1203"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1203" s="16" t="str"/>
      <x:c r="AG1203" s="17" t="str"/>
      <x:c r="AH1203" s="7" t="str"/>
      <x:c r="AI1203" s="7" t="str"/>
      <x:c r="AJ1203" s="7" t="str"/>
      <x:c r="AK1203" s="15" t="str"/>
      <x:c r="AL1203" s="7" t="str"/>
      <x:c r="AM1203" s="7" t="str">
        <x:v>AGUILAR VELA  JULIO</x:v>
      </x:c>
      <x:c r="AN1203" s="7" t="str">
        <x:v>https://cdicloud.insurance.ca.gov/cal/LicenseDetail?SearchType=IND&amp;SearchLicNbr=4315443&amp;SearchIndvId=4315443</x:v>
      </x:c>
      <x:c r="AO1203" s="7" t="str">
        <x:v>2026-10-08</x:v>
      </x:c>
      <x:c r="AP1203" s="7" t="str">
        <x:v>41513218c8d50e6147f7309350bd9ffb3a3664c0b18e751dd8b62b8b89584415</x:v>
      </x:c>
      <x:c r="AQ1203" s="7" t="str">
        <x:v>Personal Lines / Active / 08/16/2023 / 08/16/2023 / 08/31/2027</x:v>
      </x:c>
      <x:c r="AR1203" s="7" t="str">
        <x:v>Active</x:v>
      </x:c>
      <x:c r="AS1203" s="7" t="str">
        <x:v>Current detail page</x:v>
      </x:c>
    </x:row>
    <x:row r="1204" ht="52" customHeight="1">
      <x:c r="A1204" s="7" t="str">
        <x:v>AGUILAR VELASQUEZ ARIEL ENRIQUE</x:v>
      </x:c>
      <x:c r="B1204" s="14" t="str">
        <x:f>"4270774"</x:f>
        <x:v>4270774</x:v>
      </x:c>
      <x:c r="C1204" s="7" t="str">
        <x:v>Omitted</x:v>
      </x:c>
      <x:c r="D1204" s="7" t="str">
        <x:v>FAIL</x:v>
      </x:c>
      <x:c r="E1204" s="13" t="str">
        <x:v>Pending</x:v>
      </x:c>
      <x:c r="F1204" s="13" t="str"/>
      <x:c r="G1204" s="13" t="str"/>
      <x:c r="H1204" s="13" t="str"/>
      <x:c r="I1204" s="7" t="str">
        <x:v>Was this person reviewed? If rejected, give the actual rule and evidence. If acceptable, correct the omission. Confirm the Life-qualification gate and any record change since selection.</x:v>
      </x:c>
      <x:c r="J1204" s="7" t="str">
        <x:v>L1</x:v>
      </x:c>
      <x:c r="K1204" s="7" t="str">
        <x:v>Verified qualifications do not include active general Life. Current target-pool mismatch; actual historical omission reason unknown.</x:v>
      </x:c>
      <x:c r="L1204" s="7" t="str">
        <x:v>Not supplied; membership is known, motive is not</x:v>
      </x:c>
      <x:c r="M1204" s="7" t="n">
        <x:v>7</x:v>
      </x:c>
      <x:c r="N1204" s="7" t="str">
        <x:v>Outside current general-Life recruiting pool</x:v>
      </x:c>
      <x:c r="O1204" s="7" t="str">
        <x:v>Inactive</x:v>
      </x:c>
      <x:c r="P1204" s="7" t="str">
        <x:v>02/09/2023</x:v>
      </x:c>
      <x:c r="Q1204" s="7" t="str">
        <x:v>02/28/2025</x:v>
      </x:c>
      <x:c r="R1204" s="7" t="str"/>
      <x:c r="S1204" s="15" t="str"/>
      <x:c r="T1204" s="7" t="str">
        <x:v>No public business phone in collected record</x:v>
      </x:c>
      <x:c r="U1204" s="7" t="str">
        <x:v>74040 EL PASEO STE F PALM DESERT CA, 92260</x:v>
      </x:c>
      <x:c r="V1204" s="7" t="str">
        <x:v>Resident</x:v>
      </x:c>
      <x:c r="W1204" s="7" t="str">
        <x:v>CA</x:v>
      </x:c>
      <x:c r="X1204" s="7" t="str"/>
      <x:c r="Y1204" s="7" t="str"/>
      <x:c r="Z1204" s="7" t="str"/>
      <x:c r="AA1204" s="7" t="str"/>
      <x:c r="AB1204" s="7" t="str"/>
      <x:c r="AC1204" s="7" t="str"/>
      <x:c r="AD1204" s="7" t="str">
        <x:v>No agency or insurer displayed: onboarding opportunity possible; existing business unknown</x:v>
      </x:c>
      <x:c r="AE1204" s="7" t="str">
        <x:v>No public business phone: contact enrichment needed, not proof of poor recruiting fit</x:v>
      </x:c>
      <x:c r="AF1204" s="16" t="str"/>
      <x:c r="AG1204" s="17" t="str"/>
      <x:c r="AH1204" s="7" t="str"/>
      <x:c r="AI1204" s="7" t="str"/>
      <x:c r="AJ1204" s="7" t="str"/>
      <x:c r="AK1204" s="15" t="str"/>
      <x:c r="AL1204" s="7" t="str"/>
      <x:c r="AM1204" s="7" t="str">
        <x:v>AGUILAR VELASQUEZ ENRIQUE ARIEL</x:v>
      </x:c>
      <x:c r="AN1204" s="7" t="str">
        <x:v>https://cdicloud.insurance.ca.gov/cal/LicenseDetail?SearchType=IND&amp;SearchLicNbr=4270774&amp;SearchIndvId=4270774</x:v>
      </x:c>
      <x:c r="AO1204" s="7" t="str">
        <x:v>2026-10-08</x:v>
      </x:c>
      <x:c r="AP1204" s="7" t="str">
        <x:v>9c5d2aff0681f55f35a60073d614436c38c2fb0d510c0547d464ee385cca309e</x:v>
      </x:c>
      <x:c r="AQ1204" s="7" t="str">
        <x:v>Life / Inactive / 02/09/2023 / 02/28/2025 / 02/28/2025</x:v>
      </x:c>
      <x:c r="AR1204" s="7" t="str">
        <x:v>Inactive</x:v>
      </x:c>
      <x:c r="AS1204" s="7" t="str">
        <x:v>Current detail page</x:v>
      </x:c>
    </x:row>
    <x:row r="1205" ht="52" customHeight="1">
      <x:c r="A1205" s="7" t="str">
        <x:v>AGUILAR VERONICA</x:v>
      </x:c>
      <x:c r="B1205" s="14" t="str">
        <x:f>"4150150"</x:f>
        <x:v>4150150</x:v>
      </x:c>
      <x:c r="C1205" s="7" t="str">
        <x:v>Omitted</x:v>
      </x:c>
      <x:c r="D1205" s="7" t="str">
        <x:v>FAIL</x:v>
      </x:c>
      <x:c r="E1205" s="13" t="str">
        <x:v>Pending</x:v>
      </x:c>
      <x:c r="F1205" s="13" t="str"/>
      <x:c r="G1205" s="13" t="str"/>
      <x:c r="H1205" s="13" t="str"/>
      <x:c r="I1205" s="7" t="str">
        <x:v>Was this person reviewed? If rejected, give the actual rule and evidence. If acceptable, correct the omission. Confirm the Life-qualification gate and any record change since selection.</x:v>
      </x:c>
      <x:c r="J1205" s="7" t="str">
        <x:v>L1</x:v>
      </x:c>
      <x:c r="K1205" s="7" t="str">
        <x:v>Verified qualifications do not include active general Life. Current target-pool mismatch; actual historical omission reason unknown.</x:v>
      </x:c>
      <x:c r="L1205" s="7" t="str">
        <x:v>Not supplied; membership is known, motive is not</x:v>
      </x:c>
      <x:c r="M1205" s="7" t="n">
        <x:v>7</x:v>
      </x:c>
      <x:c r="N1205" s="7" t="str">
        <x:v>Outside current general-Life recruiting pool</x:v>
      </x:c>
      <x:c r="O1205" s="7" t="str">
        <x:v>Inactive</x:v>
      </x:c>
      <x:c r="P1205" s="7" t="str">
        <x:v>08/27/2021</x:v>
      </x:c>
      <x:c r="Q1205" s="7" t="str">
        <x:v>08/31/2023</x:v>
      </x:c>
      <x:c r="R1205" s="7" t="str"/>
      <x:c r="S1205" s="15" t="str"/>
      <x:c r="T1205" s="7" t="str">
        <x:v>No public business phone in collected record</x:v>
      </x:c>
      <x:c r="U1205" s="7" t="str">
        <x:v>1830 F STREET BAKERSFIELD CA, 93301</x:v>
      </x:c>
      <x:c r="V1205" s="7" t="str">
        <x:v>Resident</x:v>
      </x:c>
      <x:c r="W1205" s="7" t="str">
        <x:v>CA</x:v>
      </x:c>
      <x:c r="X1205" s="7" t="str"/>
      <x:c r="Y1205" s="7" t="str"/>
      <x:c r="Z1205" s="7" t="str"/>
      <x:c r="AA1205" s="7" t="str"/>
      <x:c r="AB1205" s="7" t="str"/>
      <x:c r="AC1205" s="7" t="str"/>
      <x:c r="AD1205" s="7" t="str">
        <x:v>No agency or insurer displayed: onboarding opportunity possible; existing business unknown</x:v>
      </x:c>
      <x:c r="AE1205" s="7" t="str">
        <x:v>No public business phone: contact enrichment needed, not proof of poor recruiting fit</x:v>
      </x:c>
      <x:c r="AF1205" s="16" t="str"/>
      <x:c r="AG1205" s="17" t="str"/>
      <x:c r="AH1205" s="7" t="str"/>
      <x:c r="AI1205" s="7" t="str">
        <x:v>English</x:v>
      </x:c>
      <x:c r="AJ1205" s="7" t="str"/>
      <x:c r="AK1205" s="15" t="str"/>
      <x:c r="AL1205" s="7" t="str"/>
      <x:c r="AM1205" s="7" t="str">
        <x:v>AGUILAR  VERONICA</x:v>
      </x:c>
      <x:c r="AN1205" s="7" t="str">
        <x:v>https://cdicloud.insurance.ca.gov/cal/LicenseDetail?SearchType=IND&amp;SearchLicNbr=4150150&amp;SearchIndvId=4150150</x:v>
      </x:c>
      <x:c r="AO1205" s="7" t="str">
        <x:v>2026-10-08</x:v>
      </x:c>
      <x:c r="AP1205" s="7" t="str">
        <x:v>c7c502c24b609a8a7ad8acb45eb8be6ca989dce629023f9145a49750f57cc600</x:v>
      </x:c>
      <x:c r="AQ1205" s="7" t="str">
        <x:v>Life / Inactive / 08/27/2021 / 08/31/2023 / 08/31/2023</x:v>
      </x:c>
      <x:c r="AR1205" s="7" t="str">
        <x:v>Inactive</x:v>
      </x:c>
      <x:c r="AS1205" s="7" t="str">
        <x:v>Current detail page</x:v>
      </x:c>
    </x:row>
    <x:row r="1206" ht="52" customHeight="1">
      <x:c r="A1206" s="7" t="str">
        <x:v>AGUILAR VERONICA G</x:v>
      </x:c>
      <x:c r="B1206" s="14" t="str">
        <x:f>"4079240"</x:f>
        <x:v>4079240</x:v>
      </x:c>
      <x:c r="C1206" s="7" t="str">
        <x:v>Omitted</x:v>
      </x:c>
      <x:c r="D1206" s="7" t="str">
        <x:v>FAIL</x:v>
      </x:c>
      <x:c r="E1206" s="13" t="str">
        <x:v>Pending</x:v>
      </x:c>
      <x:c r="F1206" s="13" t="str"/>
      <x:c r="G1206" s="13" t="str"/>
      <x:c r="H1206" s="13" t="str"/>
      <x:c r="I1206" s="7" t="str">
        <x:v>Was this person reviewed? If rejected, give the actual rule and evidence. If acceptable, correct the omission. Confirm the Life-qualification gate and any record change since selection.</x:v>
      </x:c>
      <x:c r="J1206" s="7" t="str">
        <x:v>L1</x:v>
      </x:c>
      <x:c r="K1206" s="7" t="str">
        <x:v>Verified qualifications do not include active general Life. Current target-pool mismatch; actual historical omission reason unknown.</x:v>
      </x:c>
      <x:c r="L1206" s="7" t="str">
        <x:v>Not supplied; membership is known, motive is not</x:v>
      </x:c>
      <x:c r="M1206" s="7" t="n">
        <x:v>7</x:v>
      </x:c>
      <x:c r="N1206" s="7" t="str">
        <x:v>Outside current general-Life recruiting pool</x:v>
      </x:c>
      <x:c r="O1206" s="7" t="str">
        <x:v>Not displayed</x:v>
      </x:c>
      <x:c r="P1206" s="7" t="str"/>
      <x:c r="Q1206" s="7" t="str"/>
      <x:c r="R1206" s="7" t="str"/>
      <x:c r="S1206" s="15" t="str"/>
      <x:c r="T1206" s="7" t="str">
        <x:v>No public business phone in collected record</x:v>
      </x:c>
      <x:c r="U1206" s="7" t="str">
        <x:v>501 NE 31ST STREET APT 307 MIAMI FL, 33137</x:v>
      </x:c>
      <x:c r="V1206" s="7" t="str">
        <x:v>Non-resident</x:v>
      </x:c>
      <x:c r="W1206" s="7" t="str">
        <x:v>FL</x:v>
      </x:c>
      <x:c r="X1206" s="7" t="str"/>
      <x:c r="Y1206" s="7" t="str"/>
      <x:c r="Z1206" s="7" t="str"/>
      <x:c r="AA1206" s="7" t="str"/>
      <x:c r="AB1206" s="7" t="str"/>
      <x:c r="AC1206" s="7" t="str"/>
      <x:c r="AD1206" s="7" t="str">
        <x:v>No agency or insurer displayed: onboarding opportunity possible; existing business unknown</x:v>
      </x:c>
      <x:c r="AE1206" s="7" t="str">
        <x:v>Nonresident or address state outside CA; confirm geographic recruiting scope | No public business phone: contact enrichment needed, not proof of poor recruiting fit</x:v>
      </x:c>
      <x:c r="AF1206" s="16" t="str"/>
      <x:c r="AG1206" s="17" t="str"/>
      <x:c r="AH1206" s="7" t="str"/>
      <x:c r="AI1206" s="7" t="str"/>
      <x:c r="AJ1206" s="7" t="str"/>
      <x:c r="AK1206" s="15" t="str"/>
      <x:c r="AL1206" s="7" t="str"/>
      <x:c r="AM1206" s="7" t="str">
        <x:v>AGUILAR G VERONICA</x:v>
      </x:c>
      <x:c r="AN1206" s="7" t="str">
        <x:v>https://cdicloud.insurance.ca.gov/cal/LicenseDetail?SearchType=IND&amp;SearchLicNbr=4079240&amp;SearchIndvId=4079240</x:v>
      </x:c>
      <x:c r="AO1206" s="7" t="str">
        <x:v>2026-10-08</x:v>
      </x:c>
      <x:c r="AP1206" s="7" t="str">
        <x:v>850ba44fe767665a1efd8f136fbc9452320dceb8947d515f8c5f809ad336d671</x:v>
      </x:c>
      <x:c r="AQ1206" s="7" t="str">
        <x:v>Accident &amp; Health or Sickness / Inactive / 10/15/2020 / 10/31/2022 / 10/31/2022</x:v>
      </x:c>
      <x:c r="AR1206" s="7" t="str">
        <x:v>Inactive</x:v>
      </x:c>
      <x:c r="AS1206" s="7" t="str">
        <x:v>Current detail page</x:v>
      </x:c>
    </x:row>
    <x:row r="1207" ht="52" customHeight="1">
      <x:c r="A1207" s="7" t="str">
        <x:v>AGUILAR VERONICA JANET</x:v>
      </x:c>
      <x:c r="B1207" s="14" t="str">
        <x:f>"4472906"</x:f>
        <x:v>4472906</x:v>
      </x:c>
      <x:c r="C1207" s="7" t="str">
        <x:v>Omitted</x:v>
      </x:c>
      <x:c r="D1207" s="7" t="str">
        <x:v>FAIL</x:v>
      </x:c>
      <x:c r="E1207" s="13" t="str">
        <x:v>Pending</x:v>
      </x:c>
      <x:c r="F1207" s="13" t="str"/>
      <x:c r="G1207" s="13" t="str"/>
      <x:c r="H1207" s="13" t="str"/>
      <x:c r="I1207" s="7" t="str">
        <x:v>Was this person reviewed? If rejected, give the actual rule and evidence. If acceptable, correct the omission. Confirm the Life-qualification gate and any record change since selection.</x:v>
      </x:c>
      <x:c r="J1207" s="7" t="str">
        <x:v>L1</x:v>
      </x:c>
      <x:c r="K1207" s="7" t="str">
        <x:v>Verified qualifications do not include active general Life. Current target-pool mismatch; actual historical omission reason unknown.</x:v>
      </x:c>
      <x:c r="L1207" s="7" t="str">
        <x:v>Not supplied; membership is known, motive is not</x:v>
      </x:c>
      <x:c r="M1207" s="7" t="n">
        <x:v>7</x:v>
      </x:c>
      <x:c r="N1207" s="7" t="str">
        <x:v>Outside current general-Life recruiting pool</x:v>
      </x:c>
      <x:c r="O1207" s="7" t="str">
        <x:v>Not displayed</x:v>
      </x:c>
      <x:c r="P1207" s="7" t="str"/>
      <x:c r="Q1207" s="7" t="str"/>
      <x:c r="R1207" s="7" t="str">
        <x:v>Accident &amp; Health or Sickness</x:v>
      </x:c>
      <x:c r="S1207" s="15" t="str"/>
      <x:c r="T1207" s="7" t="str">
        <x:v>No public business phone in collected record</x:v>
      </x:c>
      <x:c r="U1207" s="7" t="str">
        <x:v>111 MAITLAND AVE S MAITLAND FL, 32751</x:v>
      </x:c>
      <x:c r="V1207" s="7" t="str">
        <x:v>Non-resident</x:v>
      </x:c>
      <x:c r="W1207" s="7" t="str">
        <x:v>FL</x:v>
      </x:c>
      <x:c r="X1207" s="7" t="str"/>
      <x:c r="Y1207" s="7" t="str">
        <x:v>ANTHEM BLUE CROSS LIFE AND HEALTH INSURANCE COMPANY / Accident &amp; Health or Sickness / 07/08/2025</x:v>
      </x:c>
      <x:c r="Z1207" s="7" t="str"/>
      <x:c r="AA1207" s="7" t="str"/>
      <x:c r="AB1207" s="7" t="str"/>
      <x:c r="AC1207" s="7" t="str"/>
      <x:c r="AD1207" s="7" t="str">
        <x:v>Active A&amp;H supports optional cross-selling; not necessary for target products</x:v>
      </x:c>
      <x:c r="AE1207" s="7" t="str">
        <x:v>Displayed insurer appointments are A&amp;H/disability only despite active Life authority | Nonresident or address state outside CA; confirm geographic recruiting scope | No public business phone: contact enrichment needed, not proof of poor recruiting fit</x:v>
      </x:c>
      <x:c r="AF1207" s="16" t="str"/>
      <x:c r="AG1207" s="17" t="str"/>
      <x:c r="AH1207" s="7" t="str"/>
      <x:c r="AI1207" s="7" t="str"/>
      <x:c r="AJ1207" s="7" t="str"/>
      <x:c r="AK1207" s="15" t="str"/>
      <x:c r="AL1207" s="7" t="str"/>
      <x:c r="AM1207" s="7" t="str">
        <x:v>AGUILAR JANET VERONICA</x:v>
      </x:c>
      <x:c r="AN1207" s="7" t="str">
        <x:v>https://cdicloud.insurance.ca.gov/cal/LicenseDetail?SearchType=IND&amp;SearchLicNbr=4472906&amp;SearchIndvId=4472906</x:v>
      </x:c>
      <x:c r="AO1207" s="7" t="str">
        <x:v>2026-10-08</x:v>
      </x:c>
      <x:c r="AP1207" s="7" t="str">
        <x:v>a5d115e4a1b47462bbfdd4718fbf7b4798896e62fe2371a8a54e6aff9f0314d8</x:v>
      </x:c>
      <x:c r="AQ1207" s="7" t="str">
        <x:v>Accident &amp; Health or Sickness / Active / 06/25/2025 / 06/25/2025 / 06/30/2027</x:v>
      </x:c>
      <x:c r="AR1207" s="7" t="str">
        <x:v>Active</x:v>
      </x:c>
      <x:c r="AS1207" s="7" t="str">
        <x:v>Current detail page</x:v>
      </x:c>
    </x:row>
    <x:row r="1208" ht="52" customHeight="1">
      <x:c r="A1208" s="7" t="str">
        <x:v>AGUILAR VERONICA MARIE</x:v>
      </x:c>
      <x:c r="B1208" s="14" t="str">
        <x:f>"4387002"</x:f>
        <x:v>4387002</x:v>
      </x:c>
      <x:c r="C1208" s="7" t="str">
        <x:v>Omitted</x:v>
      </x:c>
      <x:c r="D1208" s="7" t="str">
        <x:v>FAIL</x:v>
      </x:c>
      <x:c r="E1208" s="13" t="str">
        <x:v>Pending</x:v>
      </x:c>
      <x:c r="F1208" s="13" t="str"/>
      <x:c r="G1208" s="13" t="str"/>
      <x:c r="H1208" s="13" t="str"/>
      <x:c r="I1208" s="7" t="str">
        <x:v>Was this person reviewed? If rejected, give the actual rule and evidence. If acceptable, correct the omission. Confirm the Life-qualification gate and any record change since selection.</x:v>
      </x:c>
      <x:c r="J1208" s="7" t="str">
        <x:v>L1</x:v>
      </x:c>
      <x:c r="K1208" s="7" t="str">
        <x:v>Verified qualifications do not include active general Life. Current target-pool mismatch; actual historical omission reason unknown.</x:v>
      </x:c>
      <x:c r="L1208" s="7" t="str">
        <x:v>Not supplied; membership is known, motive is not</x:v>
      </x:c>
      <x:c r="M1208" s="7" t="n">
        <x:v>7</x:v>
      </x:c>
      <x:c r="N1208" s="7" t="str">
        <x:v>Outside current general-Life recruiting pool</x:v>
      </x:c>
      <x:c r="O1208" s="7" t="str">
        <x:v>Not displayed</x:v>
      </x:c>
      <x:c r="P1208" s="7" t="str"/>
      <x:c r="Q1208" s="7" t="str"/>
      <x:c r="R1208" s="7" t="str"/>
      <x:c r="S1208" s="15" t="str">
        <x:v>925-550-0780</x:v>
      </x:c>
      <x:c r="T1208" s="7" t="str">
        <x:v>Current CDI</x:v>
      </x:c>
      <x:c r="U1208" s="7" t="str">
        <x:v>9984 RIVER VIEW CIR STOCKTON CA, 95209</x:v>
      </x:c>
      <x:c r="V1208" s="7" t="str">
        <x:v>Resident</x:v>
      </x:c>
      <x:c r="W1208" s="7" t="str">
        <x:v>CA</x:v>
      </x:c>
      <x:c r="X1208" s="7" t="str"/>
      <x:c r="Y1208" s="7" t="str"/>
      <x:c r="Z1208" s="7" t="str"/>
      <x:c r="AA1208" s="7" t="str"/>
      <x:c r="AB1208" s="7" t="str"/>
      <x:c r="AC1208" s="7" t="str"/>
      <x:c r="AD1208" s="7" t="str">
        <x:v>No agency or insurer displayed: onboarding opportunity possible; existing business unknown</x:v>
      </x:c>
      <x:c r="AE1208" s="7" t="str"/>
      <x:c r="AF1208" s="16" t="str"/>
      <x:c r="AG1208" s="17" t="str"/>
      <x:c r="AH1208" s="7" t="str"/>
      <x:c r="AI1208" s="7" t="str">
        <x:v>English</x:v>
      </x:c>
      <x:c r="AJ1208" s="7" t="str"/>
      <x:c r="AK1208" s="15" t="str"/>
      <x:c r="AL1208" s="7" t="str"/>
      <x:c r="AM1208" s="7" t="str">
        <x:v>AGUILAR MARIE VERONICA</x:v>
      </x:c>
      <x:c r="AN1208" s="7" t="str">
        <x:v>https://cdicloud.insurance.ca.gov/cal/LicenseDetail?SearchType=IND&amp;SearchLicNbr=4387002&amp;SearchIndvId=4387002</x:v>
      </x:c>
      <x:c r="AO1208" s="7" t="str">
        <x:v>2026-10-08</x:v>
      </x:c>
      <x:c r="AP1208" s="7" t="str">
        <x:v>79b69a842c5273871797d6bd75233dc60483e14d023185ca7cf2684f43d8d320</x:v>
      </x:c>
      <x:c r="AQ1208" s="7" t="str">
        <x:v>Accident &amp; Health or Sickness / Inactive / 07/08/2024 / 07/31/2026 / 07/31/2026</x:v>
      </x:c>
      <x:c r="AR1208" s="7" t="str">
        <x:v>Inactive</x:v>
      </x:c>
      <x:c r="AS1208" s="7" t="str">
        <x:v>Current detail page</x:v>
      </x:c>
    </x:row>
    <x:row r="1209" ht="52" customHeight="1">
      <x:c r="A1209" s="7" t="str">
        <x:v>AGUILAR VERONICA WENDY</x:v>
      </x:c>
      <x:c r="B1209" s="14" t="str">
        <x:f>"0E99445"</x:f>
        <x:v>0E99445</x:v>
      </x:c>
      <x:c r="C1209" s="7" t="str">
        <x:v>Omitted</x:v>
      </x:c>
      <x:c r="D1209" s="7" t="str">
        <x:v>FAIL</x:v>
      </x:c>
      <x:c r="E1209" s="13" t="str">
        <x:v>Pending</x:v>
      </x:c>
      <x:c r="F1209" s="13" t="str"/>
      <x:c r="G1209" s="13" t="str"/>
      <x:c r="H1209" s="13" t="str"/>
      <x:c r="I1209" s="7" t="str">
        <x:v>Was this person reviewed? If rejected, give the actual rule and evidence. If acceptable, correct the omission. Confirm the Life-qualification gate and any record change since selection.</x:v>
      </x:c>
      <x:c r="J1209" s="7" t="str">
        <x:v>L1</x:v>
      </x:c>
      <x:c r="K1209" s="7" t="str">
        <x:v>Verified qualifications do not include active general Life. Current target-pool mismatch; actual historical omission reason unknown.</x:v>
      </x:c>
      <x:c r="L1209" s="7" t="str">
        <x:v>Not supplied; membership is known, motive is not</x:v>
      </x:c>
      <x:c r="M1209" s="7" t="n">
        <x:v>7</x:v>
      </x:c>
      <x:c r="N1209" s="7" t="str">
        <x:v>Outside current general-Life recruiting pool</x:v>
      </x:c>
      <x:c r="O1209" s="7" t="str">
        <x:v>Not displayed</x:v>
      </x:c>
      <x:c r="P1209" s="7" t="str"/>
      <x:c r="Q1209" s="7" t="str"/>
      <x:c r="R1209" s="7" t="str"/>
      <x:c r="S1209" s="15" t="str"/>
      <x:c r="T1209" s="7" t="str">
        <x:v>No public business phone in collected record</x:v>
      </x:c>
      <x:c r="U1209" s="7" t="str"/>
      <x:c r="V1209" s="7" t="str">
        <x:v>Resident</x:v>
      </x:c>
      <x:c r="W1209" s="7" t="str">
        <x:v>CA</x:v>
      </x:c>
      <x:c r="X1209" s="7" t="str"/>
      <x:c r="Y1209" s="7" t="str"/>
      <x:c r="Z1209" s="7" t="str"/>
      <x:c r="AA1209" s="7" t="str"/>
      <x:c r="AB1209" s="7" t="str"/>
      <x:c r="AC1209" s="7" t="str"/>
      <x:c r="AD1209" s="7" t="str">
        <x:v>No agency or insurer displayed: onboarding opportunity possible; existing business unknown</x:v>
      </x:c>
      <x:c r="AE1209" s="7" t="str">
        <x:v>No public business phone: contact enrichment needed, not proof of poor recruiting fit</x:v>
      </x:c>
      <x:c r="AF1209" s="16" t="str"/>
      <x:c r="AG1209" s="17" t="str"/>
      <x:c r="AH1209" s="7" t="str"/>
      <x:c r="AI1209" s="7" t="str"/>
      <x:c r="AJ1209" s="7" t="str"/>
      <x:c r="AK1209" s="15" t="str"/>
      <x:c r="AL1209" s="7" t="str"/>
      <x:c r="AM1209" s="7" t="str">
        <x:v>AGUILAR WENDY VERONICA</x:v>
      </x:c>
      <x:c r="AN1209" s="7" t="str">
        <x:v>https://cdicloud.insurance.ca.gov/cal/LicenseDetail?SearchType=IND&amp;SearchLicNbr=0E99445&amp;SearchIndvId=980664</x:v>
      </x:c>
      <x:c r="AO1209" s="7" t="str">
        <x:v>2026-10-08</x:v>
      </x:c>
      <x:c r="AP1209" s="7" t="str">
        <x:v>072620708dddecf3eb5893125ba50e5aba828da3be5d301e178db60fe42f6649</x:v>
      </x:c>
      <x:c r="AQ1209" s="7" t="str">
        <x:v>Casualty Broker-Agent / Inactive / 11/18/2005 / 11/30/2007 / 11/30/2007
Property Broker-Agent / Inactive / 11/18/2005 / 11/30/2007 / 11/30/2007</x:v>
      </x:c>
      <x:c r="AR1209" s="7" t="str">
        <x:v>Inactive</x:v>
      </x:c>
      <x:c r="AS1209" s="7" t="str">
        <x:v>Current detail page</x:v>
      </x:c>
    </x:row>
    <x:row r="1210" ht="52" customHeight="1">
      <x:c r="A1210" s="7" t="str">
        <x:v>AGUILAR VERONICA YAMILETH</x:v>
      </x:c>
      <x:c r="B1210" s="14" t="str">
        <x:f>"4172119"</x:f>
        <x:v>4172119</x:v>
      </x:c>
      <x:c r="C1210" s="7" t="str">
        <x:v>Omitted</x:v>
      </x:c>
      <x:c r="D1210" s="7" t="str">
        <x:v>FAIL</x:v>
      </x:c>
      <x:c r="E1210" s="13" t="str">
        <x:v>Pending</x:v>
      </x:c>
      <x:c r="F1210" s="13" t="str"/>
      <x:c r="G1210" s="13" t="str"/>
      <x:c r="H1210" s="13" t="str"/>
      <x:c r="I1210" s="7" t="str">
        <x:v>Was this person reviewed? If rejected, give the actual rule and evidence. If acceptable, correct the omission. Confirm the Life-qualification gate and any record change since selection.</x:v>
      </x:c>
      <x:c r="J1210" s="7" t="str">
        <x:v>L1</x:v>
      </x:c>
      <x:c r="K1210" s="7" t="str">
        <x:v>Verified qualifications do not include active general Life. Current target-pool mismatch; actual historical omission reason unknown.</x:v>
      </x:c>
      <x:c r="L1210" s="7" t="str">
        <x:v>Not supplied; membership is known, motive is not</x:v>
      </x:c>
      <x:c r="M1210" s="7" t="n">
        <x:v>7</x:v>
      </x:c>
      <x:c r="N1210" s="7" t="str">
        <x:v>Outside current general-Life recruiting pool</x:v>
      </x:c>
      <x:c r="O1210" s="7" t="str">
        <x:v>Inactive</x:v>
      </x:c>
      <x:c r="P1210" s="7" t="str">
        <x:v>11/12/2021</x:v>
      </x:c>
      <x:c r="Q1210" s="7" t="str">
        <x:v>11/30/2023</x:v>
      </x:c>
      <x:c r="R1210" s="7" t="str"/>
      <x:c r="S1210" s="15" t="str">
        <x:v>661-616-1358</x:v>
      </x:c>
      <x:c r="T1210" s="7" t="str">
        <x:v>Current CDI</x:v>
      </x:c>
      <x:c r="U1210" s="7" t="str">
        <x:v>1412 17TH ST STE 216 BAKERSFIELD CA, 93301</x:v>
      </x:c>
      <x:c r="V1210" s="7" t="str">
        <x:v>Resident</x:v>
      </x:c>
      <x:c r="W1210" s="7" t="str">
        <x:v>CA</x:v>
      </x:c>
      <x:c r="X1210" s="7" t="str"/>
      <x:c r="Y1210" s="7" t="str"/>
      <x:c r="Z1210" s="7" t="str"/>
      <x:c r="AA1210" s="7" t="str"/>
      <x:c r="AB1210" s="7" t="str"/>
      <x:c r="AC1210" s="7" t="str"/>
      <x:c r="AD1210" s="7" t="str">
        <x:v>No agency or insurer displayed: onboarding opportunity possible; existing business unknown</x:v>
      </x:c>
      <x:c r="AE1210" s="7" t="str"/>
      <x:c r="AF1210" s="16" t="str"/>
      <x:c r="AG1210" s="17" t="str"/>
      <x:c r="AH1210" s="7" t="str"/>
      <x:c r="AI1210" s="7" t="str">
        <x:v>English</x:v>
      </x:c>
      <x:c r="AJ1210" s="7" t="str"/>
      <x:c r="AK1210" s="15" t="str"/>
      <x:c r="AL1210" s="7" t="str"/>
      <x:c r="AM1210" s="7" t="str">
        <x:v>AGUILAR YAMILETH VERONICA</x:v>
      </x:c>
      <x:c r="AN1210" s="7" t="str">
        <x:v>https://cdicloud.insurance.ca.gov/cal/LicenseDetail?SearchType=IND&amp;SearchLicNbr=4172119&amp;SearchIndvId=4172119</x:v>
      </x:c>
      <x:c r="AO1210" s="7" t="str">
        <x:v>2026-10-08</x:v>
      </x:c>
      <x:c r="AP1210" s="7" t="str">
        <x:v>00a1b6a7717fe33b074244993815286b15755532876ea5c2493abb37007a0cbb</x:v>
      </x:c>
      <x:c r="AQ1210" s="7" t="str">
        <x:v>Life / Inactive / 11/12/2021 / 11/30/2023 / 11/30/2023</x:v>
      </x:c>
      <x:c r="AR1210" s="7" t="str">
        <x:v>Inactive</x:v>
      </x:c>
      <x:c r="AS1210" s="7" t="str">
        <x:v>Current detail page</x:v>
      </x:c>
    </x:row>
    <x:row r="1211" ht="52" customHeight="1">
      <x:c r="A1211" s="7" t="str">
        <x:v>AGUILAR VICENTE</x:v>
      </x:c>
      <x:c r="B1211" s="14" t="str">
        <x:f>"4370959"</x:f>
        <x:v>4370959</x:v>
      </x:c>
      <x:c r="C1211" s="7" t="str">
        <x:v>Omitted</x:v>
      </x:c>
      <x:c r="D1211" s="7" t="str">
        <x:v>FAIL</x:v>
      </x:c>
      <x:c r="E1211" s="13" t="str">
        <x:v>Pending</x:v>
      </x:c>
      <x:c r="F1211" s="13" t="str"/>
      <x:c r="G1211" s="13" t="str"/>
      <x:c r="H1211" s="13" t="str"/>
      <x:c r="I1211" s="7" t="str">
        <x:v>Was this person reviewed? If rejected, give the actual rule and evidence. If acceptable, correct the omission. Confirm the Life-qualification gate and any record change since selection.</x:v>
      </x:c>
      <x:c r="J1211" s="7" t="str">
        <x:v>L1</x:v>
      </x:c>
      <x:c r="K1211" s="7" t="str">
        <x:v>Verified qualifications do not include active general Life. Current target-pool mismatch; actual historical omission reason unknown.</x:v>
      </x:c>
      <x:c r="L1211" s="7" t="str">
        <x:v>Not supplied; membership is known, motive is not</x:v>
      </x:c>
      <x:c r="M1211" s="7" t="n">
        <x:v>7</x:v>
      </x:c>
      <x:c r="N1211" s="7" t="str">
        <x:v>Outside current general-Life recruiting pool</x:v>
      </x:c>
      <x:c r="O1211" s="7" t="str">
        <x:v>Inactive</x:v>
      </x:c>
      <x:c r="P1211" s="7" t="str">
        <x:v>04/10/2024</x:v>
      </x:c>
      <x:c r="Q1211" s="7" t="str">
        <x:v>04/30/2026</x:v>
      </x:c>
      <x:c r="R1211" s="7" t="str"/>
      <x:c r="S1211" s="15" t="str">
        <x:v>805-342-2555</x:v>
      </x:c>
      <x:c r="T1211" s="7" t="str">
        <x:v>Current CDI</x:v>
      </x:c>
      <x:c r="U1211" s="7" t="str">
        <x:v>108 W 5TH ST OXNARD CA, 93030</x:v>
      </x:c>
      <x:c r="V1211" s="7" t="str">
        <x:v>Resident</x:v>
      </x:c>
      <x:c r="W1211" s="7" t="str">
        <x:v>CA</x:v>
      </x:c>
      <x:c r="X1211" s="7" t="str"/>
      <x:c r="Y1211" s="7" t="str"/>
      <x:c r="Z1211" s="7" t="str"/>
      <x:c r="AA1211" s="7" t="str"/>
      <x:c r="AB1211" s="7" t="str"/>
      <x:c r="AC1211" s="7" t="str"/>
      <x:c r="AD1211" s="7" t="str">
        <x:v>No agency or insurer displayed: onboarding opportunity possible; existing business unknown</x:v>
      </x:c>
      <x:c r="AE1211" s="7" t="str"/>
      <x:c r="AF1211" s="16" t="str"/>
      <x:c r="AG1211" s="17" t="str"/>
      <x:c r="AH1211" s="7" t="str"/>
      <x:c r="AI1211" s="7" t="str">
        <x:v>English</x:v>
      </x:c>
      <x:c r="AJ1211" s="7" t="str"/>
      <x:c r="AK1211" s="15" t="str"/>
      <x:c r="AL1211" s="7" t="str"/>
      <x:c r="AM1211" s="7" t="str">
        <x:v>AGUILAR  VICENTE</x:v>
      </x:c>
      <x:c r="AN1211" s="7" t="str">
        <x:v>https://cdicloud.insurance.ca.gov/cal/LicenseDetail?SearchType=IND&amp;SearchLicNbr=4370959&amp;SearchIndvId=4370959</x:v>
      </x:c>
      <x:c r="AO1211" s="7" t="str">
        <x:v>2026-10-08</x:v>
      </x:c>
      <x:c r="AP1211" s="7" t="str">
        <x:v>d98f6b4d9631917e83565344047ef6d519bdb89d2fcdc9568e5b71cde3e66f8c</x:v>
      </x:c>
      <x:c r="AQ1211" s="7" t="str">
        <x:v>Life / Inactive / 04/10/2024 / 04/30/2026 / 04/30/2026</x:v>
      </x:c>
      <x:c r="AR1211" s="7" t="str">
        <x:v>Inactive</x:v>
      </x:c>
      <x:c r="AS1211" s="7" t="str">
        <x:v>Current detail page</x:v>
      </x:c>
    </x:row>
    <x:row r="1212" ht="52" customHeight="1">
      <x:c r="A1212" s="7" t="str">
        <x:v>AGUILAR VICKI MARIE</x:v>
      </x:c>
      <x:c r="B1212" s="14" t="str">
        <x:f>"4302258"</x:f>
        <x:v>4302258</x:v>
      </x:c>
      <x:c r="C1212" s="7" t="str">
        <x:v>Omitted</x:v>
      </x:c>
      <x:c r="D1212" s="7" t="str">
        <x:v>FAIL</x:v>
      </x:c>
      <x:c r="E1212" s="13" t="str">
        <x:v>Pending</x:v>
      </x:c>
      <x:c r="F1212" s="13" t="str"/>
      <x:c r="G1212" s="13" t="str"/>
      <x:c r="H1212" s="13" t="str"/>
      <x:c r="I1212" s="7" t="str">
        <x:v>Was this person reviewed? If rejected, give the actual rule and evidence. If acceptable, correct the omission. Confirm the Life-qualification gate and any record change since selection.</x:v>
      </x:c>
      <x:c r="J1212" s="7" t="str">
        <x:v>L1</x:v>
      </x:c>
      <x:c r="K1212" s="7" t="str">
        <x:v>Verified qualifications do not include active general Life. Current target-pool mismatch; actual historical omission reason unknown.</x:v>
      </x:c>
      <x:c r="L1212" s="7" t="str">
        <x:v>Not supplied; membership is known, motive is not</x:v>
      </x:c>
      <x:c r="M1212" s="7" t="n">
        <x:v>7</x:v>
      </x:c>
      <x:c r="N1212" s="7" t="str">
        <x:v>Outside current general-Life recruiting pool</x:v>
      </x:c>
      <x:c r="O1212" s="7" t="str">
        <x:v>Not displayed</x:v>
      </x:c>
      <x:c r="P1212" s="7" t="str"/>
      <x:c r="Q1212" s="7" t="str"/>
      <x:c r="R1212" s="7" t="str">
        <x:v>Title Marketing Representative</x:v>
      </x:c>
      <x:c r="S1212" s="15" t="str">
        <x:v>209-419-8984</x:v>
      </x:c>
      <x:c r="T1212" s="7" t="str">
        <x:v>Current CDI</x:v>
      </x:c>
      <x:c r="U1212" s="7" t="str">
        <x:v>11321 PROSPECT DR. #1 JACKSON CA, 95642</x:v>
      </x:c>
      <x:c r="V1212" s="7" t="str">
        <x:v>Resident</x:v>
      </x:c>
      <x:c r="W1212" s="7" t="str">
        <x:v>CA</x:v>
      </x:c>
      <x:c r="X1212" s="7" t="str"/>
      <x:c r="Y1212" s="7" t="str">
        <x:v>PLACER TITLE COMPANY / Title Marketing Representative / 06/07/2023</x:v>
      </x:c>
      <x:c r="Z1212" s="7" t="str"/>
      <x:c r="AA1212" s="7" t="str"/>
      <x:c r="AB1212" s="7" t="str"/>
      <x:c r="AC1212" s="7" t="str"/>
      <x:c r="AD1212" s="7" t="str"/>
      <x:c r="AE1212" s="7" t="str"/>
      <x:c r="AF1212" s="16" t="str"/>
      <x:c r="AG1212" s="17" t="str"/>
      <x:c r="AH1212" s="7" t="str"/>
      <x:c r="AI1212" s="7" t="str">
        <x:v>English</x:v>
      </x:c>
      <x:c r="AJ1212" s="7" t="str"/>
      <x:c r="AK1212" s="15" t="str"/>
      <x:c r="AL1212" s="7" t="str"/>
      <x:c r="AM1212" s="7" t="str">
        <x:v>AGUILAR MARIE VICKI</x:v>
      </x:c>
      <x:c r="AN1212" s="7" t="str">
        <x:v>https://cdicloud.insurance.ca.gov/cal/LicenseDetail?SearchType=IND&amp;SearchLicNbr=4302258&amp;SearchIndvId=4302258</x:v>
      </x:c>
      <x:c r="AO1212" s="7" t="str">
        <x:v>2026-10-08</x:v>
      </x:c>
      <x:c r="AP1212" s="7" t="str">
        <x:v>3cad1d6fdc6c908822bcb68fa13c46f1e65846208e4aac772e4a6a8391325a1d</x:v>
      </x:c>
      <x:c r="AQ1212" s="7" t="str">
        <x:v>Title Marketing Representative / Active / 06/07/2023 / 06/07/2023 / 06/30/2029</x:v>
      </x:c>
      <x:c r="AR1212" s="7" t="str">
        <x:v>Active</x:v>
      </x:c>
      <x:c r="AS1212" s="7" t="str">
        <x:v>Current detail page</x:v>
      </x:c>
    </x:row>
    <x:row r="1213" ht="52" customHeight="1">
      <x:c r="A1213" s="7" t="str">
        <x:v>AGUILAR VICKIE LYNN</x:v>
      </x:c>
      <x:c r="B1213" s="14" t="str">
        <x:f>"0D13522"</x:f>
        <x:v>0D13522</x:v>
      </x:c>
      <x:c r="C1213" s="7" t="str">
        <x:v>Omitted</x:v>
      </x:c>
      <x:c r="D1213" s="7" t="str">
        <x:v>FAIL</x:v>
      </x:c>
      <x:c r="E1213" s="13" t="str">
        <x:v>Pending</x:v>
      </x:c>
      <x:c r="F1213" s="13" t="str"/>
      <x:c r="G1213" s="13" t="str"/>
      <x:c r="H1213" s="13" t="str"/>
      <x:c r="I1213" s="7" t="str">
        <x:v>Was this person reviewed? If rejected, give the actual rule and evidence. If acceptable, correct the omission. Confirm the Life-qualification gate and any record change since selection.</x:v>
      </x:c>
      <x:c r="J1213" s="7" t="str">
        <x:v>L1</x:v>
      </x:c>
      <x:c r="K1213" s="7" t="str">
        <x:v>Verified qualifications do not include active general Life. Current target-pool mismatch; actual historical omission reason unknown.</x:v>
      </x:c>
      <x:c r="L1213" s="7" t="str">
        <x:v>Not supplied; membership is known, motive is not</x:v>
      </x:c>
      <x:c r="M1213" s="7" t="n">
        <x:v>7</x:v>
      </x:c>
      <x:c r="N1213" s="7" t="str">
        <x:v>Outside current general-Life recruiting pool</x:v>
      </x:c>
      <x:c r="O1213" s="7" t="str">
        <x:v>Not displayed</x:v>
      </x:c>
      <x:c r="P1213" s="7" t="str"/>
      <x:c r="Q1213" s="7" t="str"/>
      <x:c r="R1213" s="7" t="str"/>
      <x:c r="S1213" s="15" t="str"/>
      <x:c r="T1213" s="7" t="str">
        <x:v>No public business phone in collected record</x:v>
      </x:c>
      <x:c r="U1213" s="7" t="str"/>
      <x:c r="V1213" s="7" t="str">
        <x:v>Non-resident</x:v>
      </x:c>
      <x:c r="W1213" s="7" t="str">
        <x:v>IA</x:v>
      </x:c>
      <x:c r="X1213" s="7" t="str"/>
      <x:c r="Y1213" s="7" t="str"/>
      <x:c r="Z1213" s="7" t="str"/>
      <x:c r="AA1213" s="7" t="str"/>
      <x:c r="AB1213" s="7" t="str"/>
      <x:c r="AC1213" s="7" t="str"/>
      <x:c r="AD1213" s="7" t="str">
        <x:v>No agency or insurer displayed: onboarding opportunity possible; existing business unknown</x:v>
      </x:c>
      <x:c r="AE1213" s="7" t="str">
        <x:v>Nonresident or address state outside CA; confirm geographic recruiting scope | No public business phone: contact enrichment needed, not proof of poor recruiting fit</x:v>
      </x:c>
      <x:c r="AF1213" s="16" t="str"/>
      <x:c r="AG1213" s="17" t="str"/>
      <x:c r="AH1213" s="7" t="str"/>
      <x:c r="AI1213" s="7" t="str"/>
      <x:c r="AJ1213" s="7" t="str"/>
      <x:c r="AK1213" s="15" t="str"/>
      <x:c r="AL1213" s="7" t="str"/>
      <x:c r="AM1213" s="7" t="str">
        <x:v>AGUILAR LYNN VICKIE</x:v>
      </x:c>
      <x:c r="AN1213" s="7" t="str">
        <x:v>https://cdicloud.insurance.ca.gov/cal/LicenseDetail?SearchType=IND&amp;SearchLicNbr=0D13522&amp;SearchIndvId=523141</x:v>
      </x:c>
      <x:c r="AO1213" s="7" t="str">
        <x:v>2026-10-08</x:v>
      </x:c>
      <x:c r="AP1213" s="7" t="str">
        <x:v>246640928dfc5ab3857a936c2a6e99715e62080de06d464b6668b570684d419a</x:v>
      </x:c>
      <x:c r="AQ1213" s="7" t="str">
        <x:v>Accident and Health / Inactive / 12/13/2000 / 12/31/2002 / 12/31/2002
Life-Only / Inactive / 12/13/2000 / 12/31/2002 / 12/31/2002</x:v>
      </x:c>
      <x:c r="AR1213" s="7" t="str">
        <x:v>Inactive</x:v>
      </x:c>
      <x:c r="AS1213" s="7" t="str">
        <x:v>Current detail page</x:v>
      </x:c>
    </x:row>
    <x:row r="1214" ht="52" customHeight="1">
      <x:c r="A1214" s="7" t="str">
        <x:v>AGUILAR VICTOR</x:v>
      </x:c>
      <x:c r="B1214" s="14" t="str">
        <x:f>"2125222"</x:f>
        <x:v>2125222</x:v>
      </x:c>
      <x:c r="C1214" s="7" t="str">
        <x:v>Omitted</x:v>
      </x:c>
      <x:c r="D1214" s="7" t="str">
        <x:v>FAIL</x:v>
      </x:c>
      <x:c r="E1214" s="13" t="str">
        <x:v>Pending</x:v>
      </x:c>
      <x:c r="F1214" s="13" t="str"/>
      <x:c r="G1214" s="13" t="str"/>
      <x:c r="H1214" s="13" t="str"/>
      <x:c r="I1214" s="7" t="str">
        <x:v>Was this person reviewed? If rejected, give the actual rule and evidence. If acceptable, correct the omission. Confirm the Life-qualification gate and any record change since selection.</x:v>
      </x:c>
      <x:c r="J1214" s="7" t="str">
        <x:v>L1</x:v>
      </x:c>
      <x:c r="K1214" s="7" t="str">
        <x:v>Verified qualifications do not include active general Life. Current target-pool mismatch; actual historical omission reason unknown.</x:v>
      </x:c>
      <x:c r="L1214" s="7" t="str">
        <x:v>Not supplied; membership is known, motive is not</x:v>
      </x:c>
      <x:c r="M1214" s="7" t="n">
        <x:v>7</x:v>
      </x:c>
      <x:c r="N1214" s="7" t="str">
        <x:v>Outside current general-Life recruiting pool</x:v>
      </x:c>
      <x:c r="O1214" s="7" t="str">
        <x:v>Inactive</x:v>
      </x:c>
      <x:c r="P1214" s="7" t="str">
        <x:v>09/26/2019</x:v>
      </x:c>
      <x:c r="Q1214" s="7" t="str">
        <x:v>09/30/2023</x:v>
      </x:c>
      <x:c r="R1214" s="7" t="str"/>
      <x:c r="S1214" s="15" t="str"/>
      <x:c r="T1214" s="7" t="str">
        <x:v>No public business phone in collected record</x:v>
      </x:c>
      <x:c r="U1214" s="7" t="str">
        <x:v>713 SE 9TH ST ANKENY IA, 50021-3645</x:v>
      </x:c>
      <x:c r="V1214" s="7" t="str">
        <x:v>Non-resident</x:v>
      </x:c>
      <x:c r="W1214" s="7" t="str">
        <x:v>IA</x:v>
      </x:c>
      <x:c r="X1214" s="7" t="str"/>
      <x:c r="Y1214" s="7" t="str"/>
      <x:c r="Z1214" s="7" t="str"/>
      <x:c r="AA1214" s="7" t="str"/>
      <x:c r="AB1214" s="7" t="str"/>
      <x:c r="AC1214" s="7" t="str"/>
      <x:c r="AD1214" s="7" t="str">
        <x:v>No agency or insurer displayed: onboarding opportunity possible; existing business unknown</x:v>
      </x:c>
      <x:c r="AE1214" s="7" t="str">
        <x:v>Nonresident or address state outside CA; confirm geographic recruiting scope | No public business phone: contact enrichment needed, not proof of poor recruiting fit</x:v>
      </x:c>
      <x:c r="AF1214" s="16" t="str"/>
      <x:c r="AG1214" s="17" t="str"/>
      <x:c r="AH1214" s="7" t="str"/>
      <x:c r="AI1214" s="7" t="str"/>
      <x:c r="AJ1214" s="7" t="str"/>
      <x:c r="AK1214" s="15" t="str"/>
      <x:c r="AL1214" s="7" t="str"/>
      <x:c r="AM1214" s="7" t="str">
        <x:v>AGUILAR  VICTOR</x:v>
      </x:c>
      <x:c r="AN1214" s="7" t="str">
        <x:v>https://cdicloud.insurance.ca.gov/cal/LicenseDetail?SearchType=IND&amp;SearchLicNbr=2125222&amp;SearchIndvId=2125222</x:v>
      </x:c>
      <x:c r="AO1214" s="7" t="str">
        <x:v>2026-10-08</x:v>
      </x:c>
      <x:c r="AP1214" s="7" t="str">
        <x:v>a1056f1396964826b802ddca1396be79dc93d9992ad56f0277c717e68083f474</x:v>
      </x:c>
      <x:c r="AQ1214" s="7" t="str">
        <x:v>Accident &amp; Health or Sickness / Inactive / 09/26/2019 / 09/30/2023 / 09/30/2023
Life / Inactive / 09/26/2019 / 09/30/2023 / 09/30/2023</x:v>
      </x:c>
      <x:c r="AR1214" s="7" t="str">
        <x:v>Inactive</x:v>
      </x:c>
      <x:c r="AS1214" s="7" t="str">
        <x:v>Current detail page</x:v>
      </x:c>
    </x:row>
    <x:row r="1215" ht="52" customHeight="1">
      <x:c r="A1215" s="7" t="str">
        <x:v>AGUILAR VICTOR</x:v>
      </x:c>
      <x:c r="B1215" s="14" t="str">
        <x:f>"4063746"</x:f>
        <x:v>4063746</x:v>
      </x:c>
      <x:c r="C1215" s="7" t="str">
        <x:v>Omitted</x:v>
      </x:c>
      <x:c r="D1215" s="7" t="str">
        <x:v>FAIL</x:v>
      </x:c>
      <x:c r="E1215" s="13" t="str">
        <x:v>Pending</x:v>
      </x:c>
      <x:c r="F1215" s="13" t="str"/>
      <x:c r="G1215" s="13" t="str"/>
      <x:c r="H1215" s="13" t="str"/>
      <x:c r="I1215" s="7" t="str">
        <x:v>Was this person reviewed? If rejected, give the actual rule and evidence. If acceptable, correct the omission. Confirm the Life-qualification gate and any record change since selection.</x:v>
      </x:c>
      <x:c r="J1215" s="7" t="str">
        <x:v>L1</x:v>
      </x:c>
      <x:c r="K1215" s="7" t="str">
        <x:v>Verified qualifications do not include active general Life. Current target-pool mismatch; actual historical omission reason unknown.</x:v>
      </x:c>
      <x:c r="L1215" s="7" t="str">
        <x:v>Not supplied; membership is known, motive is not</x:v>
      </x:c>
      <x:c r="M1215" s="7" t="n">
        <x:v>7</x:v>
      </x:c>
      <x:c r="N1215" s="7" t="str">
        <x:v>Outside current general-Life recruiting pool</x:v>
      </x:c>
      <x:c r="O1215" s="7" t="str">
        <x:v>Not displayed</x:v>
      </x:c>
      <x:c r="P1215" s="7" t="str"/>
      <x:c r="Q1215" s="7" t="str"/>
      <x:c r="R1215" s="7" t="str"/>
      <x:c r="S1215" s="15" t="str"/>
      <x:c r="T1215" s="7" t="str">
        <x:v>No public business phone in collected record</x:v>
      </x:c>
      <x:c r="U1215" s="7" t="str">
        <x:v>339 MCKENNA AVE NEW BRAUNFELS TX, 78130</x:v>
      </x:c>
      <x:c r="V1215" s="7" t="str">
        <x:v>Non-resident</x:v>
      </x:c>
      <x:c r="W1215" s="7" t="str">
        <x:v>TX</x:v>
      </x:c>
      <x:c r="X1215" s="7" t="str"/>
      <x:c r="Y1215" s="7" t="str"/>
      <x:c r="Z1215" s="7" t="str"/>
      <x:c r="AA1215" s="7" t="str"/>
      <x:c r="AB1215" s="7" t="str"/>
      <x:c r="AC1215" s="7" t="str"/>
      <x:c r="AD1215" s="7" t="str">
        <x:v>No agency or insurer displayed: onboarding opportunity possible; existing business unknown</x:v>
      </x:c>
      <x:c r="AE1215" s="7" t="str">
        <x:v>Nonresident or address state outside CA; confirm geographic recruiting scope | No public business phone: contact enrichment needed, not proof of poor recruiting fit</x:v>
      </x:c>
      <x:c r="AF1215" s="16" t="str"/>
      <x:c r="AG1215" s="17" t="str"/>
      <x:c r="AH1215" s="7" t="str"/>
      <x:c r="AI1215" s="7" t="str"/>
      <x:c r="AJ1215" s="7" t="str"/>
      <x:c r="AK1215" s="15" t="str"/>
      <x:c r="AL1215" s="7" t="str"/>
      <x:c r="AM1215" s="7" t="str">
        <x:v>AGUILAR  VICTOR</x:v>
      </x:c>
      <x:c r="AN1215" s="7" t="str">
        <x:v>https://cdicloud.insurance.ca.gov/cal/LicenseDetail?SearchType=IND&amp;SearchLicNbr=4063746&amp;SearchIndvId=4063746</x:v>
      </x:c>
      <x:c r="AO1215" s="7" t="str">
        <x:v>2026-10-08</x:v>
      </x:c>
      <x:c r="AP1215" s="7" t="str">
        <x:v>2e8771a5d763459dc2c7c6cebcfab0cc09ca9276221819d12fb4be6d70322dfe</x:v>
      </x:c>
      <x:c r="AQ1215" s="7" t="str">
        <x:v>Personal Lines / Inactive / 09/28/2020 / 09/30/2022 / 09/30/2022</x:v>
      </x:c>
      <x:c r="AR1215" s="7" t="str">
        <x:v>Inactive</x:v>
      </x:c>
      <x:c r="AS1215" s="7" t="str">
        <x:v>Current detail page</x:v>
      </x:c>
    </x:row>
    <x:row r="1216" ht="52" customHeight="1">
      <x:c r="A1216" s="7" t="str">
        <x:v>AGUILAR VICTORIA</x:v>
      </x:c>
      <x:c r="B1216" s="14" t="str">
        <x:f>"4277647"</x:f>
        <x:v>4277647</x:v>
      </x:c>
      <x:c r="C1216" s="7" t="str">
        <x:v>Omitted</x:v>
      </x:c>
      <x:c r="D1216" s="7" t="str">
        <x:v>FAIL</x:v>
      </x:c>
      <x:c r="E1216" s="13" t="str">
        <x:v>Pending</x:v>
      </x:c>
      <x:c r="F1216" s="13" t="str"/>
      <x:c r="G1216" s="13" t="str"/>
      <x:c r="H1216" s="13" t="str"/>
      <x:c r="I1216" s="7" t="str">
        <x:v>Was this person reviewed? If rejected, give the actual rule and evidence. If acceptable, correct the omission. Confirm the Life-qualification gate and any record change since selection.</x:v>
      </x:c>
      <x:c r="J1216" s="7" t="str">
        <x:v>L1</x:v>
      </x:c>
      <x:c r="K1216" s="7" t="str">
        <x:v>Verified qualifications do not include active general Life. Current target-pool mismatch; actual historical omission reason unknown.</x:v>
      </x:c>
      <x:c r="L1216" s="7" t="str">
        <x:v>Not supplied; membership is known, motive is not</x:v>
      </x:c>
      <x:c r="M1216" s="7" t="n">
        <x:v>7</x:v>
      </x:c>
      <x:c r="N1216" s="7" t="str">
        <x:v>Outside current general-Life recruiting pool</x:v>
      </x:c>
      <x:c r="O1216" s="7" t="str">
        <x:v>Inactive</x:v>
      </x:c>
      <x:c r="P1216" s="7" t="str">
        <x:v>02/27/2023</x:v>
      </x:c>
      <x:c r="Q1216" s="7" t="str">
        <x:v>02/28/2025</x:v>
      </x:c>
      <x:c r="R1216" s="7" t="str">
        <x:v>Accident &amp; Health or Sickness</x:v>
      </x:c>
      <x:c r="S1216" s="15" t="str"/>
      <x:c r="T1216" s="7" t="str">
        <x:v>No public business phone in collected record</x:v>
      </x:c>
      <x:c r="U1216" s="7" t="str">
        <x:v>1709 SCOTTSDALE DR ARLINGTON TX, 76018-1868</x:v>
      </x:c>
      <x:c r="V1216" s="7" t="str">
        <x:v>Non-resident</x:v>
      </x:c>
      <x:c r="W1216" s="7" t="str">
        <x:v>TX</x:v>
      </x:c>
      <x:c r="X1216" s="7" t="str"/>
      <x:c r="Y1216" s="7" t="str"/>
      <x:c r="Z1216" s="7" t="str"/>
      <x:c r="AA1216" s="7" t="str"/>
      <x:c r="AB1216" s="7" t="str"/>
      <x:c r="AC1216" s="7" t="str"/>
      <x:c r="AD1216" s="7" t="str">
        <x:v>No agency or insurer displayed: onboarding opportunity possible; existing business unknown | Active A&amp;H supports optional cross-selling; not necessary for target products</x:v>
      </x:c>
      <x:c r="AE1216" s="7" t="str">
        <x:v>Nonresident or address state outside CA; confirm geographic recruiting scope | No public business phone: contact enrichment needed, not proof of poor recruiting fit</x:v>
      </x:c>
      <x:c r="AF1216" s="16" t="str"/>
      <x:c r="AG1216" s="17" t="str"/>
      <x:c r="AH1216" s="7" t="str"/>
      <x:c r="AI1216" s="7" t="str"/>
      <x:c r="AJ1216" s="7" t="str"/>
      <x:c r="AK1216" s="15" t="str"/>
      <x:c r="AL1216" s="7" t="str"/>
      <x:c r="AM1216" s="7" t="str">
        <x:v>AGUILAR  VICTORIA</x:v>
      </x:c>
      <x:c r="AN1216" s="7" t="str">
        <x:v>https://cdicloud.insurance.ca.gov/cal/LicenseDetail?SearchType=IND&amp;SearchLicNbr=4277647&amp;SearchIndvId=4277647</x:v>
      </x:c>
      <x:c r="AO1216" s="7" t="str">
        <x:v>2026-10-08</x:v>
      </x:c>
      <x:c r="AP1216" s="7" t="str">
        <x:v>8e218d309d654094834363bfde82c7bc61b8df24c00d0fc0fb1ecb3f1bb51a41</x:v>
      </x:c>
      <x:c r="AQ1216" s="7" t="str">
        <x:v>Accident &amp; Health or Sickness / Active / 02/27/2023 / 10/01/2026 / 10/31/2028
Life / Inactive / 02/27/2023 / 02/28/2025 / 02/28/2025</x:v>
      </x:c>
      <x:c r="AR1216" s="7" t="str">
        <x:v>Active</x:v>
      </x:c>
      <x:c r="AS1216" s="7" t="str">
        <x:v>Current detail page</x:v>
      </x:c>
    </x:row>
    <x:row r="1217" ht="52" customHeight="1">
      <x:c r="A1217" s="7" t="str">
        <x:v>AGUILAR VICTORIA ANNE</x:v>
      </x:c>
      <x:c r="B1217" s="14" t="str">
        <x:f>"0I54773"</x:f>
        <x:v>0I54773</x:v>
      </x:c>
      <x:c r="C1217" s="7" t="str">
        <x:v>Omitted</x:v>
      </x:c>
      <x:c r="D1217" s="7" t="str">
        <x:v>FAIL</x:v>
      </x:c>
      <x:c r="E1217" s="13" t="str">
        <x:v>Pending</x:v>
      </x:c>
      <x:c r="F1217" s="13" t="str"/>
      <x:c r="G1217" s="13" t="str"/>
      <x:c r="H1217" s="13" t="str"/>
      <x:c r="I1217" s="7" t="str">
        <x:v>Was this person reviewed? If rejected, give the actual rule and evidence. If acceptable, correct the omission. Confirm the Life-qualification gate and any record change since selection.</x:v>
      </x:c>
      <x:c r="J1217" s="7" t="str">
        <x:v>L1</x:v>
      </x:c>
      <x:c r="K1217" s="7" t="str">
        <x:v>Verified qualifications do not include active general Life. Current target-pool mismatch; actual historical omission reason unknown.</x:v>
      </x:c>
      <x:c r="L1217" s="7" t="str">
        <x:v>Not supplied; membership is known, motive is not</x:v>
      </x:c>
      <x:c r="M1217" s="7" t="n">
        <x:v>7</x:v>
      </x:c>
      <x:c r="N1217" s="7" t="str">
        <x:v>Outside current general-Life recruiting pool</x:v>
      </x:c>
      <x:c r="O1217" s="7" t="str">
        <x:v>Not displayed</x:v>
      </x:c>
      <x:c r="P1217" s="7" t="str"/>
      <x:c r="Q1217" s="7" t="str"/>
      <x:c r="R1217" s="7" t="str"/>
      <x:c r="S1217" s="15" t="str"/>
      <x:c r="T1217" s="7" t="str">
        <x:v>No public business phone in collected record</x:v>
      </x:c>
      <x:c r="U1217" s="7" t="str"/>
      <x:c r="V1217" s="7" t="str">
        <x:v>Non-resident</x:v>
      </x:c>
      <x:c r="W1217" s="7" t="str">
        <x:v>KY</x:v>
      </x:c>
      <x:c r="X1217" s="7" t="str"/>
      <x:c r="Y1217" s="7" t="str"/>
      <x:c r="Z1217" s="7" t="str"/>
      <x:c r="AA1217" s="7" t="str"/>
      <x:c r="AB1217" s="7" t="str"/>
      <x:c r="AC1217" s="7" t="str"/>
      <x:c r="AD1217" s="7" t="str">
        <x:v>No agency or insurer displayed: onboarding opportunity possible; existing business unknown</x:v>
      </x:c>
      <x:c r="AE1217" s="7" t="str">
        <x:v>Nonresident or address state outside CA; confirm geographic recruiting scope | No public business phone: contact enrichment needed, not proof of poor recruiting fit</x:v>
      </x:c>
      <x:c r="AF1217" s="16" t="str"/>
      <x:c r="AG1217" s="17" t="str"/>
      <x:c r="AH1217" s="7" t="str"/>
      <x:c r="AI1217" s="7" t="str"/>
      <x:c r="AJ1217" s="7" t="str"/>
      <x:c r="AK1217" s="15" t="str"/>
      <x:c r="AL1217" s="7" t="str"/>
      <x:c r="AM1217" s="7" t="str">
        <x:v>AGUILAR ANNE VICTORIA</x:v>
      </x:c>
      <x:c r="AN1217" s="7" t="str">
        <x:v>https://cdicloud.insurance.ca.gov/cal/LicenseDetail?SearchType=IND&amp;SearchLicNbr=0I54773&amp;SearchIndvId=1610429</x:v>
      </x:c>
      <x:c r="AO1217" s="7" t="str">
        <x:v>2026-10-08</x:v>
      </x:c>
      <x:c r="AP1217" s="7" t="str">
        <x:v>f12454dd862cfd1865191651bc394bb61b794fcd26523eae268af78f76b636a6</x:v>
      </x:c>
      <x:c r="AQ1217" s="7" t="str">
        <x:v>Accident and Health / Inactive / 09/25/2013 / 09/30/2015 / 09/30/2015</x:v>
      </x:c>
      <x:c r="AR1217" s="7" t="str">
        <x:v>Inactive</x:v>
      </x:c>
      <x:c r="AS1217" s="7" t="str">
        <x:v>Current detail page</x:v>
      </x:c>
    </x:row>
    <x:row r="1218" ht="52" customHeight="1">
      <x:c r="A1218" s="7" t="str">
        <x:v>AGUILAR VICTORIA ELIZABETH</x:v>
      </x:c>
      <x:c r="B1218" s="14" t="str">
        <x:f>"1620118"</x:f>
        <x:v>1620118</x:v>
      </x:c>
      <x:c r="C1218" s="7" t="str">
        <x:v>Omitted</x:v>
      </x:c>
      <x:c r="D1218" s="7" t="str">
        <x:v>FAIL</x:v>
      </x:c>
      <x:c r="E1218" s="13" t="str">
        <x:v>Pending</x:v>
      </x:c>
      <x:c r="F1218" s="13" t="str"/>
      <x:c r="G1218" s="13" t="str"/>
      <x:c r="H1218" s="13" t="str"/>
      <x:c r="I1218" s="7" t="str">
        <x:v>Was this person reviewed? If rejected, give the actual rule and evidence. If acceptable, correct the omission. Confirm the Life-qualification gate and any record change since selection.</x:v>
      </x:c>
      <x:c r="J1218" s="7" t="str">
        <x:v>L1</x:v>
      </x:c>
      <x:c r="K1218" s="7" t="str">
        <x:v>Verified qualifications do not include active general Life. Current target-pool mismatch; actual historical omission reason unknown.</x:v>
      </x:c>
      <x:c r="L1218" s="7" t="str">
        <x:v>Not supplied; membership is known, motive is not</x:v>
      </x:c>
      <x:c r="M1218" s="7" t="n">
        <x:v>7</x:v>
      </x:c>
      <x:c r="N1218" s="7" t="str">
        <x:v>Outside current general-Life recruiting pool</x:v>
      </x:c>
      <x:c r="O1218" s="7" t="str">
        <x:v>Inactive</x:v>
      </x:c>
      <x:c r="P1218" s="7" t="str">
        <x:v>03/01/2022</x:v>
      </x:c>
      <x:c r="Q1218" s="7" t="str">
        <x:v>03/31/2024</x:v>
      </x:c>
      <x:c r="R1218" s="7" t="str"/>
      <x:c r="S1218" s="15" t="str"/>
      <x:c r="T1218" s="7" t="str">
        <x:v>No public business phone in collected record</x:v>
      </x:c>
      <x:c r="U1218" s="7" t="str">
        <x:v>10700 MERIDIAN AVE N 405 WA SEATTLE WA, 98133</x:v>
      </x:c>
      <x:c r="V1218" s="7" t="str">
        <x:v>Non-resident</x:v>
      </x:c>
      <x:c r="W1218" s="7" t="str">
        <x:v>WA</x:v>
      </x:c>
      <x:c r="X1218" s="7" t="str"/>
      <x:c r="Y1218" s="7" t="str"/>
      <x:c r="Z1218" s="7" t="str"/>
      <x:c r="AA1218" s="7" t="str"/>
      <x:c r="AB1218" s="7" t="str"/>
      <x:c r="AC1218" s="7" t="str"/>
      <x:c r="AD1218" s="7" t="str">
        <x:v>No agency or insurer displayed: onboarding opportunity possible; existing business unknown</x:v>
      </x:c>
      <x:c r="AE1218" s="7" t="str">
        <x:v>Nonresident or address state outside CA; confirm geographic recruiting scope | No public business phone: contact enrichment needed, not proof of poor recruiting fit</x:v>
      </x:c>
      <x:c r="AF1218" s="16" t="str"/>
      <x:c r="AG1218" s="17" t="str"/>
      <x:c r="AH1218" s="7" t="str"/>
      <x:c r="AI1218" s="7" t="str"/>
      <x:c r="AJ1218" s="7" t="str"/>
      <x:c r="AK1218" s="15" t="str"/>
      <x:c r="AL1218" s="7" t="str"/>
      <x:c r="AM1218" s="7" t="str">
        <x:v>AGUILAR ELIZABETH VICTORIA</x:v>
      </x:c>
      <x:c r="AN1218" s="7" t="str">
        <x:v>https://cdicloud.insurance.ca.gov/cal/LicenseDetail?SearchType=IND&amp;SearchLicNbr=1620118&amp;SearchIndvId=1620118</x:v>
      </x:c>
      <x:c r="AO1218" s="7" t="str">
        <x:v>2026-10-08</x:v>
      </x:c>
      <x:c r="AP1218" s="7" t="str">
        <x:v>5f566f08bfddb08924af69584d3f98b183cb89ae320929b910c46492a9d0629f</x:v>
      </x:c>
      <x:c r="AQ1218" s="7" t="str">
        <x:v>Life / Inactive / 03/01/2022 / 03/31/2024 / 03/31/2024</x:v>
      </x:c>
      <x:c r="AR1218" s="7" t="str">
        <x:v>Inactive</x:v>
      </x:c>
      <x:c r="AS1218" s="7" t="str">
        <x:v>Current detail page</x:v>
      </x:c>
    </x:row>
    <x:row r="1219" ht="52" customHeight="1">
      <x:c r="A1219" s="7" t="str">
        <x:v>AGUILAR VICTORIA LYNN</x:v>
      </x:c>
      <x:c r="B1219" s="14" t="str">
        <x:f>"0G43816"</x:f>
        <x:v>0G43816</x:v>
      </x:c>
      <x:c r="C1219" s="7" t="str">
        <x:v>Omitted</x:v>
      </x:c>
      <x:c r="D1219" s="7" t="str">
        <x:v>FAIL</x:v>
      </x:c>
      <x:c r="E1219" s="13" t="str">
        <x:v>Pending</x:v>
      </x:c>
      <x:c r="F1219" s="13" t="str"/>
      <x:c r="G1219" s="13" t="str"/>
      <x:c r="H1219" s="13" t="str"/>
      <x:c r="I1219" s="7" t="str">
        <x:v>Was this person reviewed? If rejected, give the actual rule and evidence. If acceptable, correct the omission. Confirm the Life-qualification gate and any record change since selection.</x:v>
      </x:c>
      <x:c r="J1219" s="7" t="str">
        <x:v>L1</x:v>
      </x:c>
      <x:c r="K1219" s="7" t="str">
        <x:v>Verified qualifications do not include active general Life. Current target-pool mismatch; actual historical omission reason unknown.</x:v>
      </x:c>
      <x:c r="L1219" s="7" t="str">
        <x:v>Not supplied; membership is known, motive is not</x:v>
      </x:c>
      <x:c r="M1219" s="7" t="n">
        <x:v>7</x:v>
      </x:c>
      <x:c r="N1219" s="7" t="str">
        <x:v>Outside current general-Life recruiting pool</x:v>
      </x:c>
      <x:c r="O1219" s="7" t="str">
        <x:v>Not displayed</x:v>
      </x:c>
      <x:c r="P1219" s="7" t="str"/>
      <x:c r="Q1219" s="7" t="str"/>
      <x:c r="R1219" s="7" t="str"/>
      <x:c r="S1219" s="15" t="str"/>
      <x:c r="T1219" s="7" t="str">
        <x:v>No public business phone in collected record</x:v>
      </x:c>
      <x:c r="U1219" s="7" t="str">
        <x:v>19500 JAMBOREE RD IRVINE CA, 92612</x:v>
      </x:c>
      <x:c r="V1219" s="7" t="str">
        <x:v>Resident</x:v>
      </x:c>
      <x:c r="W1219" s="7" t="str">
        <x:v>CA</x:v>
      </x:c>
      <x:c r="X1219" s="7" t="str"/>
      <x:c r="Y1219" s="7" t="str"/>
      <x:c r="Z1219" s="7" t="str"/>
      <x:c r="AA1219" s="7" t="str"/>
      <x:c r="AB1219" s="7" t="str"/>
      <x:c r="AC1219" s="7" t="str"/>
      <x:c r="AD1219" s="7" t="str">
        <x:v>No agency or insurer displayed: onboarding opportunity possible; existing business unknown</x:v>
      </x:c>
      <x:c r="AE1219" s="7" t="str">
        <x:v>No public business phone: contact enrichment needed, not proof of poor recruiting fit</x:v>
      </x:c>
      <x:c r="AF1219" s="16" t="str"/>
      <x:c r="AG1219" s="17" t="str"/>
      <x:c r="AH1219" s="7" t="str"/>
      <x:c r="AI1219" s="7" t="str"/>
      <x:c r="AJ1219" s="7" t="str"/>
      <x:c r="AK1219" s="15" t="str"/>
      <x:c r="AL1219" s="7" t="str"/>
      <x:c r="AM1219" s="7" t="str">
        <x:v>AGUILAR LYNN VICTORIA</x:v>
      </x:c>
      <x:c r="AN1219" s="7" t="str">
        <x:v>https://cdicloud.insurance.ca.gov/cal/LicenseDetail?SearchType=IND&amp;SearchLicNbr=0G43816&amp;SearchIndvId=1219144</x:v>
      </x:c>
      <x:c r="AO1219" s="7" t="str">
        <x:v>2026-10-08</x:v>
      </x:c>
      <x:c r="AP1219" s="7" t="str">
        <x:v>9c656aadc705e5e6b14950fd98246b82c6118ea32d668e5f449d1c859d102990</x:v>
      </x:c>
      <x:c r="AQ1219" s="7" t="str">
        <x:v>Title Marketing Representative / Inactive / 01/01/2009 / 01/31/2024 / 01/31/2024</x:v>
      </x:c>
      <x:c r="AR1219" s="7" t="str">
        <x:v>Inactive</x:v>
      </x:c>
      <x:c r="AS1219" s="7" t="str">
        <x:v>Current detail page</x:v>
      </x:c>
    </x:row>
    <x:row r="1220" ht="52" customHeight="1">
      <x:c r="A1220" s="7" t="str">
        <x:v>AGUILAR VICTORIA MARIA</x:v>
      </x:c>
      <x:c r="B1220" s="14" t="str">
        <x:f>"0770862"</x:f>
        <x:v>0770862</x:v>
      </x:c>
      <x:c r="C1220" s="7" t="str">
        <x:v>Omitted</x:v>
      </x:c>
      <x:c r="D1220" s="7" t="str">
        <x:v>FAIL</x:v>
      </x:c>
      <x:c r="E1220" s="13" t="str">
        <x:v>Pending</x:v>
      </x:c>
      <x:c r="F1220" s="13" t="str"/>
      <x:c r="G1220" s="13" t="str"/>
      <x:c r="H1220" s="13" t="str"/>
      <x:c r="I1220" s="7" t="str">
        <x:v>Was this person reviewed? If rejected, give the actual rule and evidence. If acceptable, correct the omission. Confirm the Life-qualification gate and any record change since selection.</x:v>
      </x:c>
      <x:c r="J1220" s="7" t="str">
        <x:v>L1</x:v>
      </x:c>
      <x:c r="K1220" s="7" t="str">
        <x:v>Verified qualifications do not include active general Life. Current target-pool mismatch; actual historical omission reason unknown.</x:v>
      </x:c>
      <x:c r="L1220" s="7" t="str">
        <x:v>Not supplied; membership is known, motive is not</x:v>
      </x:c>
      <x:c r="M1220" s="7" t="n">
        <x:v>7</x:v>
      </x:c>
      <x:c r="N1220" s="7" t="str">
        <x:v>Outside current general-Life recruiting pool</x:v>
      </x:c>
      <x:c r="O1220" s="7" t="str">
        <x:v>Not displayed</x:v>
      </x:c>
      <x:c r="P1220" s="7" t="str"/>
      <x:c r="Q1220" s="7" t="str"/>
      <x:c r="R1220" s="7" t="str"/>
      <x:c r="S1220" s="15" t="str"/>
      <x:c r="T1220" s="7" t="str">
        <x:v>No public business phone in collected record</x:v>
      </x:c>
      <x:c r="U1220" s="7" t="str"/>
      <x:c r="V1220" s="7" t="str">
        <x:v>Resident</x:v>
      </x:c>
      <x:c r="W1220" s="7" t="str">
        <x:v>CA</x:v>
      </x:c>
      <x:c r="X1220" s="7" t="str"/>
      <x:c r="Y1220" s="7" t="str"/>
      <x:c r="Z1220" s="7" t="str"/>
      <x:c r="AA1220" s="7" t="str"/>
      <x:c r="AB1220" s="7" t="str"/>
      <x:c r="AC1220" s="7" t="str"/>
      <x:c r="AD1220" s="7" t="str">
        <x:v>No agency or insurer displayed: onboarding opportunity possible; existing business unknown</x:v>
      </x:c>
      <x:c r="AE1220" s="7" t="str">
        <x:v>No public business phone: contact enrichment needed, not proof of poor recruiting fit</x:v>
      </x:c>
      <x:c r="AF1220" s="16" t="str"/>
      <x:c r="AG1220" s="17" t="str"/>
      <x:c r="AH1220" s="7" t="str"/>
      <x:c r="AI1220" s="7" t="str"/>
      <x:c r="AJ1220" s="7" t="str"/>
      <x:c r="AK1220" s="15" t="str"/>
      <x:c r="AL1220" s="7" t="str"/>
      <x:c r="AM1220" s="7" t="str">
        <x:v>AGUILAR MARIA VICTORIA</x:v>
      </x:c>
      <x:c r="AN1220" s="7" t="str">
        <x:v>https://cdicloud.insurance.ca.gov/cal/LicenseDetail?SearchType=IND&amp;SearchLicNbr=0770862&amp;SearchIndvId=113142</x:v>
      </x:c>
      <x:c r="AO1220" s="7" t="str">
        <x:v>2026-10-08</x:v>
      </x:c>
      <x:c r="AP1220" s="7" t="str">
        <x:v>9a03b6d455a06837239c3d0d34c42ec384a47a031e1320b37a3a38efd2271753</x:v>
      </x:c>
      <x:c r="AQ1220" s="7" t="str">
        <x:v>Accident and Health / Inactive / 04/11/1988 / 05/31/1997 / 05/31/1997
Life-Only / Inactive / 04/11/1988 / 05/31/1997 / 05/31/1997</x:v>
      </x:c>
      <x:c r="AR1220" s="7" t="str">
        <x:v>Inactive</x:v>
      </x:c>
      <x:c r="AS1220" s="7" t="str">
        <x:v>Current detail page</x:v>
      </x:c>
    </x:row>
    <x:row r="1221" ht="52" customHeight="1">
      <x:c r="A1221" s="7" t="str">
        <x:v>AGUILAR VICTORIA TOPINIO</x:v>
      </x:c>
      <x:c r="B1221" s="14" t="str">
        <x:f>"0721813"</x:f>
        <x:v>0721813</x:v>
      </x:c>
      <x:c r="C1221" s="7" t="str">
        <x:v>Omitted</x:v>
      </x:c>
      <x:c r="D1221" s="7" t="str">
        <x:v>FAIL</x:v>
      </x:c>
      <x:c r="E1221" s="13" t="str">
        <x:v>Pending</x:v>
      </x:c>
      <x:c r="F1221" s="13" t="str"/>
      <x:c r="G1221" s="13" t="str"/>
      <x:c r="H1221" s="13" t="str"/>
      <x:c r="I1221" s="7" t="str">
        <x:v>Was this person reviewed? If rejected, give the actual rule and evidence. If acceptable, correct the omission. Confirm the Life-qualification gate and any record change since selection.</x:v>
      </x:c>
      <x:c r="J1221" s="7" t="str">
        <x:v>L1</x:v>
      </x:c>
      <x:c r="K1221" s="7" t="str">
        <x:v>Verified qualifications do not include active general Life. Current target-pool mismatch; actual historical omission reason unknown.</x:v>
      </x:c>
      <x:c r="L1221" s="7" t="str">
        <x:v>Not supplied; membership is known, motive is not</x:v>
      </x:c>
      <x:c r="M1221" s="7" t="n">
        <x:v>7</x:v>
      </x:c>
      <x:c r="N1221" s="7" t="str">
        <x:v>Outside current general-Life recruiting pool</x:v>
      </x:c>
      <x:c r="O1221" s="7" t="str">
        <x:v>Not displayed</x:v>
      </x:c>
      <x:c r="P1221" s="7" t="str"/>
      <x:c r="Q1221" s="7" t="str"/>
      <x:c r="R1221" s="7" t="str"/>
      <x:c r="S1221" s="15" t="str"/>
      <x:c r="T1221" s="7" t="str">
        <x:v>No public business phone in collected record</x:v>
      </x:c>
      <x:c r="U1221" s="7" t="str"/>
      <x:c r="V1221" s="7" t="str">
        <x:v>Resident</x:v>
      </x:c>
      <x:c r="W1221" s="7" t="str">
        <x:v>CA</x:v>
      </x:c>
      <x:c r="X1221" s="7" t="str"/>
      <x:c r="Y1221" s="7" t="str"/>
      <x:c r="Z1221" s="7" t="str"/>
      <x:c r="AA1221" s="7" t="str"/>
      <x:c r="AB1221" s="7" t="str"/>
      <x:c r="AC1221" s="7" t="str"/>
      <x:c r="AD1221" s="7" t="str">
        <x:v>No agency or insurer displayed: onboarding opportunity possible; existing business unknown</x:v>
      </x:c>
      <x:c r="AE1221" s="7" t="str">
        <x:v>No public business phone: contact enrichment needed, not proof of poor recruiting fit</x:v>
      </x:c>
      <x:c r="AF1221" s="16" t="str"/>
      <x:c r="AG1221" s="17" t="str"/>
      <x:c r="AH1221" s="7" t="str"/>
      <x:c r="AI1221" s="7" t="str"/>
      <x:c r="AJ1221" s="7" t="str"/>
      <x:c r="AK1221" s="15" t="str"/>
      <x:c r="AL1221" s="7" t="str"/>
      <x:c r="AM1221" s="7" t="str">
        <x:v>AGUILAR TOPINIO VICTORIA</x:v>
      </x:c>
      <x:c r="AN1221" s="7" t="str">
        <x:v>https://cdicloud.insurance.ca.gov/cal/LicenseDetail?SearchType=IND&amp;SearchLicNbr=0721813&amp;SearchIndvId=423380</x:v>
      </x:c>
      <x:c r="AO1221" s="7" t="str">
        <x:v>2026-10-08</x:v>
      </x:c>
      <x:c r="AP1221" s="7" t="str">
        <x:v>b13b49be5bb470a313c26ccfa76ef8b38ca3eed35d1bd3f388156c72b7fd65a8</x:v>
      </x:c>
      <x:c r="AQ1221" s="7" t="str">
        <x:v>Accident and Health / Inactive / 05/02/1991 / 03/31/2011 / 03/31/2011
Life-Only / Inactive / 05/02/1991 / 03/31/2011 / 03/31/2011</x:v>
      </x:c>
      <x:c r="AR1221" s="7" t="str">
        <x:v>Inactive</x:v>
      </x:c>
      <x:c r="AS1221" s="7" t="str">
        <x:v>Current detail page</x:v>
      </x:c>
    </x:row>
    <x:row r="1222" ht="52" customHeight="1">
      <x:c r="A1222" s="7" t="str">
        <x:v>AGUILAR VIENA CRYSTAL</x:v>
      </x:c>
      <x:c r="B1222" s="14" t="str">
        <x:f>"0E72183"</x:f>
        <x:v>0E72183</x:v>
      </x:c>
      <x:c r="C1222" s="7" t="str">
        <x:v>Omitted</x:v>
      </x:c>
      <x:c r="D1222" s="7" t="str">
        <x:v>FAIL</x:v>
      </x:c>
      <x:c r="E1222" s="13" t="str">
        <x:v>Pending</x:v>
      </x:c>
      <x:c r="F1222" s="13" t="str"/>
      <x:c r="G1222" s="13" t="str"/>
      <x:c r="H1222" s="13" t="str"/>
      <x:c r="I1222" s="7" t="str">
        <x:v>Was this person reviewed? If rejected, give the actual rule and evidence. If acceptable, correct the omission. Confirm the Life-qualification gate and any record change since selection.</x:v>
      </x:c>
      <x:c r="J1222" s="7" t="str">
        <x:v>L1</x:v>
      </x:c>
      <x:c r="K1222" s="7" t="str">
        <x:v>Verified qualifications do not include active general Life. Current target-pool mismatch; actual historical omission reason unknown.</x:v>
      </x:c>
      <x:c r="L1222" s="7" t="str">
        <x:v>Not supplied; membership is known, motive is not</x:v>
      </x:c>
      <x:c r="M1222" s="7" t="n">
        <x:v>7</x:v>
      </x:c>
      <x:c r="N1222" s="7" t="str">
        <x:v>Outside current general-Life recruiting pool</x:v>
      </x:c>
      <x:c r="O1222" s="7" t="str">
        <x:v>Not displayed</x:v>
      </x:c>
      <x:c r="P1222" s="7" t="str"/>
      <x:c r="Q1222" s="7" t="str"/>
      <x:c r="R1222" s="7" t="str"/>
      <x:c r="S1222" s="15" t="str"/>
      <x:c r="T1222" s="7" t="str">
        <x:v>No public business phone in collected record</x:v>
      </x:c>
      <x:c r="U1222" s="7" t="str"/>
      <x:c r="V1222" s="7" t="str">
        <x:v>Resident</x:v>
      </x:c>
      <x:c r="W1222" s="7" t="str">
        <x:v>CA</x:v>
      </x:c>
      <x:c r="X1222" s="7" t="str"/>
      <x:c r="Y1222" s="7" t="str"/>
      <x:c r="Z1222" s="7" t="str"/>
      <x:c r="AA1222" s="7" t="str"/>
      <x:c r="AB1222" s="7" t="str"/>
      <x:c r="AC1222" s="7" t="str"/>
      <x:c r="AD1222" s="7" t="str">
        <x:v>No agency or insurer displayed: onboarding opportunity possible; existing business unknown</x:v>
      </x:c>
      <x:c r="AE1222" s="7" t="str">
        <x:v>No public business phone: contact enrichment needed, not proof of poor recruiting fit</x:v>
      </x:c>
      <x:c r="AF1222" s="16" t="str"/>
      <x:c r="AG1222" s="17" t="str"/>
      <x:c r="AH1222" s="7" t="str"/>
      <x:c r="AI1222" s="7" t="str"/>
      <x:c r="AJ1222" s="7" t="str"/>
      <x:c r="AK1222" s="15" t="str"/>
      <x:c r="AL1222" s="7" t="str"/>
      <x:c r="AM1222" s="7" t="str">
        <x:v>AGUILAR CRYSTAL VIENA</x:v>
      </x:c>
      <x:c r="AN1222" s="7" t="str">
        <x:v>https://cdicloud.insurance.ca.gov/cal/LicenseDetail?SearchType=IND&amp;SearchLicNbr=0E72183&amp;SearchIndvId=942405</x:v>
      </x:c>
      <x:c r="AO1222" s="7" t="str">
        <x:v>2026-10-08</x:v>
      </x:c>
      <x:c r="AP1222" s="7" t="str">
        <x:v>33181737df5534cf7fa96e6b36acaa9a9bef3bb3496885f695090ec0e660b800</x:v>
      </x:c>
      <x:c r="AQ1222" s="7" t="str">
        <x:v>Accident and Health / Inactive / 03/14/2005 / 03/31/2007 / 03/31/2007
Life-Only / Inactive / 03/14/2005 / 03/31/2007 / 03/31/2007</x:v>
      </x:c>
      <x:c r="AR1222" s="7" t="str">
        <x:v>Inactive</x:v>
      </x:c>
      <x:c r="AS1222" s="7" t="str">
        <x:v>Current detail page</x:v>
      </x:c>
    </x:row>
    <x:row r="1223" ht="52" customHeight="1">
      <x:c r="A1223" s="7" t="str">
        <x:v>AGUILAR VINCENT</x:v>
      </x:c>
      <x:c r="B1223" s="14" t="str">
        <x:f>"0C92669"</x:f>
        <x:v>0C92669</x:v>
      </x:c>
      <x:c r="C1223" s="7" t="str">
        <x:v>Omitted</x:v>
      </x:c>
      <x:c r="D1223" s="7" t="str">
        <x:v>FAIL</x:v>
      </x:c>
      <x:c r="E1223" s="13" t="str">
        <x:v>Pending</x:v>
      </x:c>
      <x:c r="F1223" s="13" t="str"/>
      <x:c r="G1223" s="13" t="str"/>
      <x:c r="H1223" s="13" t="str"/>
      <x:c r="I1223" s="7" t="str">
        <x:v>Was this person reviewed? If rejected, give the actual rule and evidence. If acceptable, correct the omission. Confirm the Life-qualification gate and any record change since selection.</x:v>
      </x:c>
      <x:c r="J1223" s="7" t="str">
        <x:v>L1</x:v>
      </x:c>
      <x:c r="K1223" s="7" t="str">
        <x:v>Verified qualifications do not include active general Life. Current target-pool mismatch; actual historical omission reason unknown.</x:v>
      </x:c>
      <x:c r="L1223" s="7" t="str">
        <x:v>Not supplied; membership is known, motive is not</x:v>
      </x:c>
      <x:c r="M1223" s="7" t="n">
        <x:v>7</x:v>
      </x:c>
      <x:c r="N1223" s="7" t="str">
        <x:v>Outside current general-Life recruiting pool</x:v>
      </x:c>
      <x:c r="O1223" s="7" t="str">
        <x:v>Not displayed</x:v>
      </x:c>
      <x:c r="P1223" s="7" t="str"/>
      <x:c r="Q1223" s="7" t="str"/>
      <x:c r="R1223" s="7" t="str"/>
      <x:c r="S1223" s="15" t="str"/>
      <x:c r="T1223" s="7" t="str">
        <x:v>No public business phone in collected record</x:v>
      </x:c>
      <x:c r="U1223" s="7" t="str"/>
      <x:c r="V1223" s="7" t="str">
        <x:v>Resident</x:v>
      </x:c>
      <x:c r="W1223" s="7" t="str">
        <x:v>CA</x:v>
      </x:c>
      <x:c r="X1223" s="7" t="str"/>
      <x:c r="Y1223" s="7" t="str"/>
      <x:c r="Z1223" s="7" t="str"/>
      <x:c r="AA1223" s="7" t="str"/>
      <x:c r="AB1223" s="7" t="str"/>
      <x:c r="AC1223" s="7" t="str"/>
      <x:c r="AD1223" s="7" t="str">
        <x:v>No agency or insurer displayed: onboarding opportunity possible; existing business unknown</x:v>
      </x:c>
      <x:c r="AE1223" s="7" t="str">
        <x:v>No public business phone: contact enrichment needed, not proof of poor recruiting fit</x:v>
      </x:c>
      <x:c r="AF1223" s="16" t="str"/>
      <x:c r="AG1223" s="17" t="str"/>
      <x:c r="AH1223" s="7" t="str"/>
      <x:c r="AI1223" s="7" t="str"/>
      <x:c r="AJ1223" s="7" t="str"/>
      <x:c r="AK1223" s="15" t="str"/>
      <x:c r="AL1223" s="7" t="str"/>
      <x:c r="AM1223" s="7" t="str">
        <x:v>AGUILAR  VINCENT</x:v>
      </x:c>
      <x:c r="AN1223" s="7" t="str">
        <x:v>https://cdicloud.insurance.ca.gov/cal/LicenseDetail?SearchType=IND&amp;SearchLicNbr=0C92669&amp;SearchIndvId=489631</x:v>
      </x:c>
      <x:c r="AO1223" s="7" t="str">
        <x:v>2026-10-08</x:v>
      </x:c>
      <x:c r="AP1223" s="7" t="str">
        <x:v>0ffc0c6b1e08a30dc3ba16702c6fd1664b81907648630479d831cbf2815a9f48</x:v>
      </x:c>
      <x:c r="AQ1223" s="7" t="str">
        <x:v>Accident and Health / Inactive / 06/02/2000 / 06/30/2004 / 06/30/2004
Life-Only / Inactive / 06/02/2000 / 06/30/2004 / 06/30/2004</x:v>
      </x:c>
      <x:c r="AR1223" s="7" t="str">
        <x:v>Inactive</x:v>
      </x:c>
      <x:c r="AS1223" s="7" t="str">
        <x:v>Current detail page</x:v>
      </x:c>
    </x:row>
    <x:row r="1224" ht="52" customHeight="1">
      <x:c r="A1224" s="7" t="str">
        <x:v>AGUILAR VINCENT YBARRA</x:v>
      </x:c>
      <x:c r="B1224" s="14" t="str">
        <x:f>"4008752"</x:f>
        <x:v>4008752</x:v>
      </x:c>
      <x:c r="C1224" s="7" t="str">
        <x:v>Omitted</x:v>
      </x:c>
      <x:c r="D1224" s="7" t="str">
        <x:v>FAIL</x:v>
      </x:c>
      <x:c r="E1224" s="13" t="str">
        <x:v>Pending</x:v>
      </x:c>
      <x:c r="F1224" s="13" t="str"/>
      <x:c r="G1224" s="13" t="str"/>
      <x:c r="H1224" s="13" t="str"/>
      <x:c r="I1224" s="7" t="str">
        <x:v>Was this person reviewed? If rejected, give the actual rule and evidence. If acceptable, correct the omission. Confirm the Life-qualification gate and any record change since selection.</x:v>
      </x:c>
      <x:c r="J1224" s="7" t="str">
        <x:v>L1</x:v>
      </x:c>
      <x:c r="K1224" s="7" t="str">
        <x:v>Verified qualifications do not include active general Life. Current target-pool mismatch; actual historical omission reason unknown.</x:v>
      </x:c>
      <x:c r="L1224" s="7" t="str">
        <x:v>Not supplied; membership is known, motive is not</x:v>
      </x:c>
      <x:c r="M1224" s="7" t="n">
        <x:v>7</x:v>
      </x:c>
      <x:c r="N1224" s="7" t="str">
        <x:v>Outside current general-Life recruiting pool</x:v>
      </x:c>
      <x:c r="O1224" s="7" t="str">
        <x:v>Inactive</x:v>
      </x:c>
      <x:c r="P1224" s="7" t="str">
        <x:v>10/03/2019</x:v>
      </x:c>
      <x:c r="Q1224" s="7" t="str">
        <x:v>10/31/2021</x:v>
      </x:c>
      <x:c r="R1224" s="7" t="str"/>
      <x:c r="S1224" s="15" t="str"/>
      <x:c r="T1224" s="7" t="str">
        <x:v>No public business phone in collected record</x:v>
      </x:c>
      <x:c r="U1224" s="7" t="str">
        <x:v>935 HILLCREST AVE YUBACITY CA, 95991</x:v>
      </x:c>
      <x:c r="V1224" s="7" t="str">
        <x:v>Resident</x:v>
      </x:c>
      <x:c r="W1224" s="7" t="str">
        <x:v>CA</x:v>
      </x:c>
      <x:c r="X1224" s="7" t="str"/>
      <x:c r="Y1224" s="7" t="str"/>
      <x:c r="Z1224" s="7" t="str"/>
      <x:c r="AA1224" s="7" t="str"/>
      <x:c r="AB1224" s="7" t="str"/>
      <x:c r="AC1224" s="7" t="str"/>
      <x:c r="AD1224" s="7" t="str">
        <x:v>No agency or insurer displayed: onboarding opportunity possible; existing business unknown</x:v>
      </x:c>
      <x:c r="AE1224" s="7" t="str">
        <x:v>No public business phone: contact enrichment needed, not proof of poor recruiting fit</x:v>
      </x:c>
      <x:c r="AF1224" s="16" t="str"/>
      <x:c r="AG1224" s="17" t="str"/>
      <x:c r="AH1224" s="7" t="str"/>
      <x:c r="AI1224" s="7" t="str"/>
      <x:c r="AJ1224" s="7" t="str"/>
      <x:c r="AK1224" s="15" t="str"/>
      <x:c r="AL1224" s="7" t="str"/>
      <x:c r="AM1224" s="7" t="str">
        <x:v>AGUILAR YBARRA VINCENT</x:v>
      </x:c>
      <x:c r="AN1224" s="7" t="str">
        <x:v>https://cdicloud.insurance.ca.gov/cal/LicenseDetail?SearchType=IND&amp;SearchLicNbr=4008752&amp;SearchIndvId=4008752</x:v>
      </x:c>
      <x:c r="AO1224" s="7" t="str">
        <x:v>2026-10-08</x:v>
      </x:c>
      <x:c r="AP1224" s="7" t="str">
        <x:v>8ad7e410e82407fc6f0e8c5aa6e43214cde033607b310d4a730caf71546a32e5</x:v>
      </x:c>
      <x:c r="AQ1224" s="7" t="str">
        <x:v>Life / Inactive / 10/03/2019 / 10/31/2021 / 10/31/2021</x:v>
      </x:c>
      <x:c r="AR1224" s="7" t="str">
        <x:v>Inactive</x:v>
      </x:c>
      <x:c r="AS1224" s="7" t="str">
        <x:v>Current detail page</x:v>
      </x:c>
    </x:row>
    <x:row r="1225" ht="52" customHeight="1">
      <x:c r="A1225" s="7" t="str">
        <x:v>AGUILAR VIRGILIO DAIZ</x:v>
      </x:c>
      <x:c r="B1225" s="14" t="str">
        <x:f>"0C10920"</x:f>
        <x:v>0C10920</x:v>
      </x:c>
      <x:c r="C1225" s="7" t="str">
        <x:v>Omitted</x:v>
      </x:c>
      <x:c r="D1225" s="7" t="str">
        <x:v>FAIL</x:v>
      </x:c>
      <x:c r="E1225" s="13" t="str">
        <x:v>Pending</x:v>
      </x:c>
      <x:c r="F1225" s="13" t="str"/>
      <x:c r="G1225" s="13" t="str"/>
      <x:c r="H1225" s="13" t="str"/>
      <x:c r="I1225" s="7" t="str">
        <x:v>Was this person reviewed? If rejected, give the actual rule and evidence. If acceptable, correct the omission. Confirm the Life-qualification gate and any record change since selection.</x:v>
      </x:c>
      <x:c r="J1225" s="7" t="str">
        <x:v>L1</x:v>
      </x:c>
      <x:c r="K1225" s="7" t="str">
        <x:v>Verified qualifications do not include active general Life. Current target-pool mismatch; actual historical omission reason unknown.</x:v>
      </x:c>
      <x:c r="L1225" s="7" t="str">
        <x:v>Not supplied; membership is known, motive is not</x:v>
      </x:c>
      <x:c r="M1225" s="7" t="n">
        <x:v>7</x:v>
      </x:c>
      <x:c r="N1225" s="7" t="str">
        <x:v>Outside current general-Life recruiting pool</x:v>
      </x:c>
      <x:c r="O1225" s="7" t="str">
        <x:v>Not displayed</x:v>
      </x:c>
      <x:c r="P1225" s="7" t="str"/>
      <x:c r="Q1225" s="7" t="str"/>
      <x:c r="R1225" s="7" t="str"/>
      <x:c r="S1225" s="15" t="str"/>
      <x:c r="T1225" s="7" t="str">
        <x:v>No public business phone in collected record</x:v>
      </x:c>
      <x:c r="U1225" s="7" t="str"/>
      <x:c r="V1225" s="7" t="str">
        <x:v>Resident</x:v>
      </x:c>
      <x:c r="W1225" s="7" t="str">
        <x:v>CA</x:v>
      </x:c>
      <x:c r="X1225" s="7" t="str"/>
      <x:c r="Y1225" s="7" t="str"/>
      <x:c r="Z1225" s="7" t="str"/>
      <x:c r="AA1225" s="7" t="str"/>
      <x:c r="AB1225" s="7" t="str"/>
      <x:c r="AC1225" s="7" t="str"/>
      <x:c r="AD1225" s="7" t="str">
        <x:v>No agency or insurer displayed: onboarding opportunity possible; existing business unknown</x:v>
      </x:c>
      <x:c r="AE1225" s="7" t="str">
        <x:v>No public business phone: contact enrichment needed, not proof of poor recruiting fit</x:v>
      </x:c>
      <x:c r="AF1225" s="16" t="str"/>
      <x:c r="AG1225" s="17" t="str"/>
      <x:c r="AH1225" s="7" t="str"/>
      <x:c r="AI1225" s="7" t="str"/>
      <x:c r="AJ1225" s="7" t="str"/>
      <x:c r="AK1225" s="15" t="str"/>
      <x:c r="AL1225" s="7" t="str"/>
      <x:c r="AM1225" s="7" t="str">
        <x:v>AGUILAR DAIZ VIRGILIO</x:v>
      </x:c>
      <x:c r="AN1225" s="7" t="str">
        <x:v>https://cdicloud.insurance.ca.gov/cal/LicenseDetail?SearchType=IND&amp;SearchLicNbr=0C10920&amp;SearchIndvId=286941</x:v>
      </x:c>
      <x:c r="AO1225" s="7" t="str">
        <x:v>2026-10-08</x:v>
      </x:c>
      <x:c r="AP1225" s="7" t="str">
        <x:v>31a1e544f63bfe8283268572a57412cf4f844076f52341e2afc17440aee4f2e8</x:v>
      </x:c>
      <x:c r="AQ1225" s="7" t="str">
        <x:v>Accident and Health / Inactive / 08/04/1997 / 08/31/2001 / 08/31/2001
Casualty Broker-Agent / Inactive / 04/04/1998 / 08/31/2001 / 08/31/2001
Life-Only / Inactive / 08/04/1997 / 08/31/2001 / 08/31/2001
Property Broker-Agent / Inactive / 04/04/1998 / 08/31/2001 / 08/31/2001
Variable Contracts / Inactive / 03/02/1998 / 08/31/2001 / 08/31/2001</x:v>
      </x:c>
      <x:c r="AR1225" s="7" t="str">
        <x:v>Inactive</x:v>
      </x:c>
      <x:c r="AS1225" s="7" t="str">
        <x:v>Current detail page</x:v>
      </x:c>
    </x:row>
    <x:row r="1226" ht="52" customHeight="1">
      <x:c r="A1226" s="7" t="str">
        <x:v>AGUILAR VIRGINIA ETHEL</x:v>
      </x:c>
      <x:c r="B1226" s="14" t="str">
        <x:f>"0C87950"</x:f>
        <x:v>0C87950</x:v>
      </x:c>
      <x:c r="C1226" s="7" t="str">
        <x:v>Omitted</x:v>
      </x:c>
      <x:c r="D1226" s="7" t="str">
        <x:v>FAIL</x:v>
      </x:c>
      <x:c r="E1226" s="13" t="str">
        <x:v>Pending</x:v>
      </x:c>
      <x:c r="F1226" s="13" t="str"/>
      <x:c r="G1226" s="13" t="str"/>
      <x:c r="H1226" s="13" t="str"/>
      <x:c r="I1226" s="7" t="str">
        <x:v>Was this person reviewed? If rejected, give the actual rule and evidence. If acceptable, correct the omission. Confirm the Life-qualification gate and any record change since selection.</x:v>
      </x:c>
      <x:c r="J1226" s="7" t="str">
        <x:v>L1</x:v>
      </x:c>
      <x:c r="K1226" s="7" t="str">
        <x:v>Verified qualifications do not include active general Life. Current target-pool mismatch; actual historical omission reason unknown.</x:v>
      </x:c>
      <x:c r="L1226" s="7" t="str">
        <x:v>Not supplied; membership is known, motive is not</x:v>
      </x:c>
      <x:c r="M1226" s="7" t="n">
        <x:v>7</x:v>
      </x:c>
      <x:c r="N1226" s="7" t="str">
        <x:v>Outside current general-Life recruiting pool</x:v>
      </x:c>
      <x:c r="O1226" s="7" t="str">
        <x:v>Not displayed</x:v>
      </x:c>
      <x:c r="P1226" s="7" t="str"/>
      <x:c r="Q1226" s="7" t="str"/>
      <x:c r="R1226" s="7" t="str"/>
      <x:c r="S1226" s="15" t="str"/>
      <x:c r="T1226" s="7" t="str">
        <x:v>No public business phone in collected record</x:v>
      </x:c>
      <x:c r="U1226" s="7" t="str"/>
      <x:c r="V1226" s="7" t="str">
        <x:v>Resident</x:v>
      </x:c>
      <x:c r="W1226" s="7" t="str">
        <x:v>CA</x:v>
      </x:c>
      <x:c r="X1226" s="7" t="str"/>
      <x:c r="Y1226" s="7" t="str"/>
      <x:c r="Z1226" s="7" t="str"/>
      <x:c r="AA1226" s="7" t="str"/>
      <x:c r="AB1226" s="7" t="str"/>
      <x:c r="AC1226" s="7" t="str"/>
      <x:c r="AD1226" s="7" t="str">
        <x:v>No agency or insurer displayed: onboarding opportunity possible; existing business unknown</x:v>
      </x:c>
      <x:c r="AE1226" s="7" t="str">
        <x:v>No public business phone: contact enrichment needed, not proof of poor recruiting fit</x:v>
      </x:c>
      <x:c r="AF1226" s="16" t="str"/>
      <x:c r="AG1226" s="17" t="str"/>
      <x:c r="AH1226" s="7" t="str"/>
      <x:c r="AI1226" s="7" t="str"/>
      <x:c r="AJ1226" s="7" t="str"/>
      <x:c r="AK1226" s="15" t="str"/>
      <x:c r="AL1226" s="7" t="str"/>
      <x:c r="AM1226" s="7" t="str">
        <x:v>AGUILAR ETHEL VIRGINIA</x:v>
      </x:c>
      <x:c r="AN1226" s="7" t="str">
        <x:v>https://cdicloud.insurance.ca.gov/cal/LicenseDetail?SearchType=IND&amp;SearchLicNbr=0C87950&amp;SearchIndvId=465646</x:v>
      </x:c>
      <x:c r="AO1226" s="7" t="str">
        <x:v>2026-10-08</x:v>
      </x:c>
      <x:c r="AP1226" s="7" t="str">
        <x:v>362f6aec0c152ca40a976d5763f0d0794a15461369bcbc59a7c847d8de012f3c</x:v>
      </x:c>
      <x:c r="AQ1226" s="7" t="str">
        <x:v>Accident and Health / Inactive / 02/24/2000 / 02/28/2002 / 02/28/2002
Life-Only / Inactive / 02/24/2000 / 02/28/2002 / 02/28/2002</x:v>
      </x:c>
      <x:c r="AR1226" s="7" t="str">
        <x:v>Inactive</x:v>
      </x:c>
      <x:c r="AS1226" s="7" t="str">
        <x:v>Current detail page</x:v>
      </x:c>
    </x:row>
    <x:row r="1227" ht="52" customHeight="1">
      <x:c r="A1227" s="7" t="str">
        <x:v>AGUILAR VIVIAN</x:v>
      </x:c>
      <x:c r="B1227" s="14" t="str">
        <x:f>"0E00904"</x:f>
        <x:v>0E00904</x:v>
      </x:c>
      <x:c r="C1227" s="7" t="str">
        <x:v>Omitted</x:v>
      </x:c>
      <x:c r="D1227" s="7" t="str">
        <x:v>FAIL</x:v>
      </x:c>
      <x:c r="E1227" s="13" t="str">
        <x:v>Pending</x:v>
      </x:c>
      <x:c r="F1227" s="13" t="str"/>
      <x:c r="G1227" s="13" t="str"/>
      <x:c r="H1227" s="13" t="str"/>
      <x:c r="I1227" s="7" t="str">
        <x:v>Was this person reviewed? If rejected, give the actual rule and evidence. If acceptable, correct the omission. Confirm the Life-qualification gate and any record change since selection.</x:v>
      </x:c>
      <x:c r="J1227" s="7" t="str">
        <x:v>L1</x:v>
      </x:c>
      <x:c r="K1227" s="7" t="str">
        <x:v>Verified qualifications do not include active general Life. Current target-pool mismatch; actual historical omission reason unknown.</x:v>
      </x:c>
      <x:c r="L1227" s="7" t="str">
        <x:v>Not supplied; membership is known, motive is not</x:v>
      </x:c>
      <x:c r="M1227" s="7" t="n">
        <x:v>7</x:v>
      </x:c>
      <x:c r="N1227" s="7" t="str">
        <x:v>Outside current general-Life recruiting pool</x:v>
      </x:c>
      <x:c r="O1227" s="7" t="str">
        <x:v>Not displayed</x:v>
      </x:c>
      <x:c r="P1227" s="7" t="str"/>
      <x:c r="Q1227" s="7" t="str"/>
      <x:c r="R1227" s="7" t="str"/>
      <x:c r="S1227" s="15" t="str"/>
      <x:c r="T1227" s="7" t="str">
        <x:v>No public business phone in collected record</x:v>
      </x:c>
      <x:c r="U1227" s="7" t="str"/>
      <x:c r="V1227" s="7" t="str">
        <x:v>Resident</x:v>
      </x:c>
      <x:c r="W1227" s="7" t="str">
        <x:v>CA</x:v>
      </x:c>
      <x:c r="X1227" s="7" t="str"/>
      <x:c r="Y1227" s="7" t="str"/>
      <x:c r="Z1227" s="7" t="str"/>
      <x:c r="AA1227" s="7" t="str"/>
      <x:c r="AB1227" s="7" t="str"/>
      <x:c r="AC1227" s="7" t="str"/>
      <x:c r="AD1227" s="7" t="str">
        <x:v>No agency or insurer displayed: onboarding opportunity possible; existing business unknown</x:v>
      </x:c>
      <x:c r="AE1227" s="7" t="str">
        <x:v>No public business phone: contact enrichment needed, not proof of poor recruiting fit</x:v>
      </x:c>
      <x:c r="AF1227" s="16" t="str"/>
      <x:c r="AG1227" s="17" t="str"/>
      <x:c r="AH1227" s="7" t="str"/>
      <x:c r="AI1227" s="7" t="str"/>
      <x:c r="AJ1227" s="7" t="str"/>
      <x:c r="AK1227" s="15" t="str"/>
      <x:c r="AL1227" s="7" t="str"/>
      <x:c r="AM1227" s="7" t="str">
        <x:v>AGUILAR  VIVIAN</x:v>
      </x:c>
      <x:c r="AN1227" s="7" t="str">
        <x:v>https://cdicloud.insurance.ca.gov/cal/LicenseDetail?SearchType=IND&amp;SearchLicNbr=0E00904&amp;SearchIndvId=841239</x:v>
      </x:c>
      <x:c r="AO1227" s="7" t="str">
        <x:v>2026-10-08</x:v>
      </x:c>
      <x:c r="AP1227" s="7" t="str">
        <x:v>ff16437653619850df97d17ce79429c5cbd48ff68ce23eab7f37d6837baaff3e</x:v>
      </x:c>
      <x:c r="AQ1227" s="7" t="str">
        <x:v>Accident and Health / Inactive / 04/26/2003 / 04/30/2005 / 04/30/2005
Life-Only / Inactive / 04/26/2003 / 04/30/2005 / 04/30/2005</x:v>
      </x:c>
      <x:c r="AR1227" s="7" t="str">
        <x:v>Inactive</x:v>
      </x:c>
      <x:c r="AS1227" s="7" t="str">
        <x:v>Current detail page</x:v>
      </x:c>
    </x:row>
    <x:row r="1228" ht="52" customHeight="1">
      <x:c r="A1228" s="7" t="str">
        <x:v>AGUILAR VIVIEN LEA CONGMON</x:v>
      </x:c>
      <x:c r="B1228" s="14" t="str">
        <x:f>"0F54663"</x:f>
        <x:v>0F54663</x:v>
      </x:c>
      <x:c r="C1228" s="7" t="str">
        <x:v>Omitted</x:v>
      </x:c>
      <x:c r="D1228" s="7" t="str">
        <x:v>FAIL</x:v>
      </x:c>
      <x:c r="E1228" s="13" t="str">
        <x:v>Pending</x:v>
      </x:c>
      <x:c r="F1228" s="13" t="str"/>
      <x:c r="G1228" s="13" t="str"/>
      <x:c r="H1228" s="13" t="str"/>
      <x:c r="I1228" s="7" t="str">
        <x:v>Was this person reviewed? If rejected, give the actual rule and evidence. If acceptable, correct the omission. Confirm the Life-qualification gate and any record change since selection.</x:v>
      </x:c>
      <x:c r="J1228" s="7" t="str">
        <x:v>L1</x:v>
      </x:c>
      <x:c r="K1228" s="7" t="str">
        <x:v>Verified qualifications do not include active general Life. Current target-pool mismatch; actual historical omission reason unknown.</x:v>
      </x:c>
      <x:c r="L1228" s="7" t="str">
        <x:v>Not supplied; membership is known, motive is not</x:v>
      </x:c>
      <x:c r="M1228" s="7" t="n">
        <x:v>7</x:v>
      </x:c>
      <x:c r="N1228" s="7" t="str">
        <x:v>Outside current general-Life recruiting pool</x:v>
      </x:c>
      <x:c r="O1228" s="7" t="str">
        <x:v>Not displayed</x:v>
      </x:c>
      <x:c r="P1228" s="7" t="str"/>
      <x:c r="Q1228" s="7" t="str"/>
      <x:c r="R1228" s="7" t="str"/>
      <x:c r="S1228" s="15" t="str"/>
      <x:c r="T1228" s="7" t="str">
        <x:v>No public business phone in collected record</x:v>
      </x:c>
      <x:c r="U1228" s="7" t="str"/>
      <x:c r="V1228" s="7" t="str">
        <x:v>Resident</x:v>
      </x:c>
      <x:c r="W1228" s="7" t="str">
        <x:v>CA</x:v>
      </x:c>
      <x:c r="X1228" s="7" t="str"/>
      <x:c r="Y1228" s="7" t="str"/>
      <x:c r="Z1228" s="7" t="str"/>
      <x:c r="AA1228" s="7" t="str"/>
      <x:c r="AB1228" s="7" t="str"/>
      <x:c r="AC1228" s="7" t="str"/>
      <x:c r="AD1228" s="7" t="str">
        <x:v>No agency or insurer displayed: onboarding opportunity possible; existing business unknown</x:v>
      </x:c>
      <x:c r="AE1228" s="7" t="str">
        <x:v>No public business phone: contact enrichment needed, not proof of poor recruiting fit</x:v>
      </x:c>
      <x:c r="AF1228" s="16" t="str"/>
      <x:c r="AG1228" s="17" t="str"/>
      <x:c r="AH1228" s="7" t="str"/>
      <x:c r="AI1228" s="7" t="str"/>
      <x:c r="AJ1228" s="7" t="str"/>
      <x:c r="AK1228" s="15" t="str"/>
      <x:c r="AL1228" s="7" t="str"/>
      <x:c r="AM1228" s="7" t="str">
        <x:v>AGUILAR CONGMON VIVIEN LEA</x:v>
      </x:c>
      <x:c r="AN1228" s="7" t="str">
        <x:v>https://cdicloud.insurance.ca.gov/cal/LicenseDetail?SearchType=IND&amp;SearchLicNbr=0F54663&amp;SearchIndvId=1068455</x:v>
      </x:c>
      <x:c r="AO1228" s="7" t="str">
        <x:v>2026-10-08</x:v>
      </x:c>
      <x:c r="AP1228" s="7" t="str">
        <x:v>de7f69c7c6b0c8a2c96132584e738e63c294de08341f821599f708678e2a34b0</x:v>
      </x:c>
      <x:c r="AQ1228" s="7" t="str">
        <x:v>Accident and Health / Inactive / 02/13/2007 / 02/28/2013 / 02/28/2013
Life-Only / Inactive / 02/13/2007 / 02/28/2013 / 02/28/2013</x:v>
      </x:c>
      <x:c r="AR1228" s="7" t="str">
        <x:v>Inactive</x:v>
      </x:c>
      <x:c r="AS1228" s="7" t="str">
        <x:v>Current detail page</x:v>
      </x:c>
    </x:row>
    <x:row r="1229" ht="52" customHeight="1">
      <x:c r="A1229" s="7" t="str">
        <x:v>AGUILAR VLADIMIRLEE ASANZA</x:v>
      </x:c>
      <x:c r="B1229" s="14" t="str">
        <x:f>"0C73463"</x:f>
        <x:v>0C73463</x:v>
      </x:c>
      <x:c r="C1229" s="7" t="str">
        <x:v>Omitted</x:v>
      </x:c>
      <x:c r="D1229" s="7" t="str">
        <x:v>FAIL</x:v>
      </x:c>
      <x:c r="E1229" s="13" t="str">
        <x:v>Pending</x:v>
      </x:c>
      <x:c r="F1229" s="13" t="str"/>
      <x:c r="G1229" s="13" t="str"/>
      <x:c r="H1229" s="13" t="str"/>
      <x:c r="I1229" s="7" t="str">
        <x:v>Was this person reviewed? If rejected, give the actual rule and evidence. If acceptable, correct the omission. Confirm the Life-qualification gate and any record change since selection.</x:v>
      </x:c>
      <x:c r="J1229" s="7" t="str">
        <x:v>L1</x:v>
      </x:c>
      <x:c r="K1229" s="7" t="str">
        <x:v>Verified qualifications do not include active general Life. Current target-pool mismatch; actual historical omission reason unknown.</x:v>
      </x:c>
      <x:c r="L1229" s="7" t="str">
        <x:v>Not supplied; membership is known, motive is not</x:v>
      </x:c>
      <x:c r="M1229" s="7" t="n">
        <x:v>7</x:v>
      </x:c>
      <x:c r="N1229" s="7" t="str">
        <x:v>Outside current general-Life recruiting pool</x:v>
      </x:c>
      <x:c r="O1229" s="7" t="str">
        <x:v>Not displayed</x:v>
      </x:c>
      <x:c r="P1229" s="7" t="str"/>
      <x:c r="Q1229" s="7" t="str"/>
      <x:c r="R1229" s="7" t="str"/>
      <x:c r="S1229" s="15" t="str"/>
      <x:c r="T1229" s="7" t="str">
        <x:v>No public business phone in collected record</x:v>
      </x:c>
      <x:c r="U1229" s="7" t="str"/>
      <x:c r="V1229" s="7" t="str">
        <x:v>Resident</x:v>
      </x:c>
      <x:c r="W1229" s="7" t="str">
        <x:v>CA</x:v>
      </x:c>
      <x:c r="X1229" s="7" t="str"/>
      <x:c r="Y1229" s="7" t="str"/>
      <x:c r="Z1229" s="7" t="str"/>
      <x:c r="AA1229" s="7" t="str"/>
      <x:c r="AB1229" s="7" t="str"/>
      <x:c r="AC1229" s="7" t="str"/>
      <x:c r="AD1229" s="7" t="str">
        <x:v>No agency or insurer displayed: onboarding opportunity possible; existing business unknown</x:v>
      </x:c>
      <x:c r="AE1229" s="7" t="str">
        <x:v>No public business phone: contact enrichment needed, not proof of poor recruiting fit</x:v>
      </x:c>
      <x:c r="AF1229" s="16" t="str"/>
      <x:c r="AG1229" s="17" t="str"/>
      <x:c r="AH1229" s="7" t="str"/>
      <x:c r="AI1229" s="7" t="str"/>
      <x:c r="AJ1229" s="7" t="str"/>
      <x:c r="AK1229" s="15" t="str"/>
      <x:c r="AL1229" s="7" t="str"/>
      <x:c r="AM1229" s="7" t="str">
        <x:v>AGUILAR ASANZA VLADIMIRLEE</x:v>
      </x:c>
      <x:c r="AN1229" s="7" t="str">
        <x:v>https://cdicloud.insurance.ca.gov/cal/LicenseDetail?SearchType=IND&amp;SearchLicNbr=0C73463&amp;SearchIndvId=458230</x:v>
      </x:c>
      <x:c r="AO1229" s="7" t="str">
        <x:v>2026-10-08</x:v>
      </x:c>
      <x:c r="AP1229" s="7" t="str">
        <x:v>503352d2b3017d836d32abf764138e220d389744fb18511263ef00a79e0233ce</x:v>
      </x:c>
      <x:c r="AQ1229" s="7" t="str">
        <x:v>Accident and Health / Inactive / 09/27/1999 / 09/30/2001 / 09/30/2001
Life-Only / Inactive / 09/27/1999 / 09/30/2001 / 09/30/2001</x:v>
      </x:c>
      <x:c r="AR1229" s="7" t="str">
        <x:v>Inactive</x:v>
      </x:c>
      <x:c r="AS1229" s="7" t="str">
        <x:v>Current detail page</x:v>
      </x:c>
    </x:row>
    <x:row r="1230" ht="52" customHeight="1">
      <x:c r="A1230" s="7" t="str">
        <x:v>AGUILAR WALTER UBALDO</x:v>
      </x:c>
      <x:c r="B1230" s="14" t="str">
        <x:f>"4266019"</x:f>
        <x:v>4266019</x:v>
      </x:c>
      <x:c r="C1230" s="7" t="str">
        <x:v>Omitted</x:v>
      </x:c>
      <x:c r="D1230" s="7" t="str">
        <x:v>FAIL</x:v>
      </x:c>
      <x:c r="E1230" s="13" t="str">
        <x:v>Pending</x:v>
      </x:c>
      <x:c r="F1230" s="13" t="str"/>
      <x:c r="G1230" s="13" t="str"/>
      <x:c r="H1230" s="13" t="str"/>
      <x:c r="I1230" s="7" t="str">
        <x:v>Was this person reviewed? If rejected, give the actual rule and evidence. If acceptable, correct the omission. Confirm the Life-qualification gate and any record change since selection.</x:v>
      </x:c>
      <x:c r="J1230" s="7" t="str">
        <x:v>L1</x:v>
      </x:c>
      <x:c r="K1230" s="7" t="str">
        <x:v>Verified qualifications do not include active general Life. Current target-pool mismatch; actual historical omission reason unknown.</x:v>
      </x:c>
      <x:c r="L1230" s="7" t="str">
        <x:v>Not supplied; membership is known, motive is not</x:v>
      </x:c>
      <x:c r="M1230" s="7" t="n">
        <x:v>7</x:v>
      </x:c>
      <x:c r="N1230" s="7" t="str">
        <x:v>Outside current general-Life recruiting pool</x:v>
      </x:c>
      <x:c r="O1230" s="7" t="str">
        <x:v>Inactive</x:v>
      </x:c>
      <x:c r="P1230" s="7" t="str">
        <x:v>01/13/2023</x:v>
      </x:c>
      <x:c r="Q1230" s="7" t="str">
        <x:v>01/31/2025</x:v>
      </x:c>
      <x:c r="R1230" s="7" t="str"/>
      <x:c r="S1230" s="15" t="str"/>
      <x:c r="T1230" s="7" t="str">
        <x:v>No public business phone in collected record</x:v>
      </x:c>
      <x:c r="U1230" s="7" t="str">
        <x:v>3603 MT DIABLO BLVD LAFAYETTE CA, 94549</x:v>
      </x:c>
      <x:c r="V1230" s="7" t="str">
        <x:v>Resident</x:v>
      </x:c>
      <x:c r="W1230" s="7" t="str">
        <x:v>CA</x:v>
      </x:c>
      <x:c r="X1230" s="7" t="str"/>
      <x:c r="Y1230" s="7" t="str"/>
      <x:c r="Z1230" s="7" t="str"/>
      <x:c r="AA1230" s="7" t="str"/>
      <x:c r="AB1230" s="7" t="str"/>
      <x:c r="AC1230" s="7" t="str"/>
      <x:c r="AD1230" s="7" t="str">
        <x:v>No agency or insurer displayed: onboarding opportunity possible; existing business unknown</x:v>
      </x:c>
      <x:c r="AE1230" s="7" t="str">
        <x:v>No public business phone: contact enrichment needed, not proof of poor recruiting fit</x:v>
      </x:c>
      <x:c r="AF1230" s="16" t="str"/>
      <x:c r="AG1230" s="17" t="str"/>
      <x:c r="AH1230" s="7" t="str"/>
      <x:c r="AI1230" s="7" t="str"/>
      <x:c r="AJ1230" s="7" t="str"/>
      <x:c r="AK1230" s="15" t="str"/>
      <x:c r="AL1230" s="7" t="str"/>
      <x:c r="AM1230" s="7" t="str">
        <x:v>Aguilar  Walter | AGUILAR UBALDO WALTER</x:v>
      </x:c>
      <x:c r="AN1230" s="7" t="str">
        <x:v>https://cdicloud.insurance.ca.gov/cal/LicenseDetail?SearchType=IND&amp;SearchLicNbr=4266019&amp;SearchIndvId=4266019</x:v>
      </x:c>
      <x:c r="AO1230" s="7" t="str">
        <x:v>2026-10-08</x:v>
      </x:c>
      <x:c r="AP1230" s="7" t="str">
        <x:v>01bbe964c32c8dbeaa84c419362f27b9f2a9578fc3bf7c45fda0cdb3bcf36457</x:v>
      </x:c>
      <x:c r="AQ1230" s="7" t="str">
        <x:v>Life / Inactive / 01/13/2023 / 01/31/2025 / 01/31/2025
Var Life and Var Annuity / Inactive / 01/13/2023 / 01/31/2025 / 01/31/2025</x:v>
      </x:c>
      <x:c r="AR1230" s="7" t="str">
        <x:v>Inactive</x:v>
      </x:c>
      <x:c r="AS1230" s="7" t="str">
        <x:v>Current detail page</x:v>
      </x:c>
    </x:row>
    <x:row r="1231" ht="52" customHeight="1">
      <x:c r="A1231" s="7" t="str">
        <x:v>AGUILAR WENDY YOHANA</x:v>
      </x:c>
      <x:c r="B1231" s="14" t="str">
        <x:f>"0E18705"</x:f>
        <x:v>0E18705</x:v>
      </x:c>
      <x:c r="C1231" s="7" t="str">
        <x:v>Omitted</x:v>
      </x:c>
      <x:c r="D1231" s="7" t="str">
        <x:v>FAIL</x:v>
      </x:c>
      <x:c r="E1231" s="13" t="str">
        <x:v>Pending</x:v>
      </x:c>
      <x:c r="F1231" s="13" t="str"/>
      <x:c r="G1231" s="13" t="str"/>
      <x:c r="H1231" s="13" t="str"/>
      <x:c r="I1231" s="7" t="str">
        <x:v>Was this person reviewed? If rejected, give the actual rule and evidence. If acceptable, correct the omission. Confirm the Life-qualification gate and any record change since selection.</x:v>
      </x:c>
      <x:c r="J1231" s="7" t="str">
        <x:v>L1</x:v>
      </x:c>
      <x:c r="K1231" s="7" t="str">
        <x:v>Verified qualifications do not include active general Life. Current target-pool mismatch; actual historical omission reason unknown.</x:v>
      </x:c>
      <x:c r="L1231" s="7" t="str">
        <x:v>Not supplied; membership is known, motive is not</x:v>
      </x:c>
      <x:c r="M1231" s="7" t="n">
        <x:v>7</x:v>
      </x:c>
      <x:c r="N1231" s="7" t="str">
        <x:v>Outside current general-Life recruiting pool</x:v>
      </x:c>
      <x:c r="O1231" s="7" t="str">
        <x:v>Not displayed</x:v>
      </x:c>
      <x:c r="P1231" s="7" t="str"/>
      <x:c r="Q1231" s="7" t="str"/>
      <x:c r="R1231" s="7" t="str"/>
      <x:c r="S1231" s="15" t="str"/>
      <x:c r="T1231" s="7" t="str">
        <x:v>No public business phone in collected record</x:v>
      </x:c>
      <x:c r="U1231" s="7" t="str"/>
      <x:c r="V1231" s="7" t="str">
        <x:v>Resident</x:v>
      </x:c>
      <x:c r="W1231" s="7" t="str">
        <x:v>CA</x:v>
      </x:c>
      <x:c r="X1231" s="7" t="str"/>
      <x:c r="Y1231" s="7" t="str"/>
      <x:c r="Z1231" s="7" t="str"/>
      <x:c r="AA1231" s="7" t="str"/>
      <x:c r="AB1231" s="7" t="str"/>
      <x:c r="AC1231" s="7" t="str"/>
      <x:c r="AD1231" s="7" t="str">
        <x:v>No agency or insurer displayed: onboarding opportunity possible; existing business unknown</x:v>
      </x:c>
      <x:c r="AE1231" s="7" t="str">
        <x:v>No public business phone: contact enrichment needed, not proof of poor recruiting fit</x:v>
      </x:c>
      <x:c r="AF1231" s="16" t="str"/>
      <x:c r="AG1231" s="17" t="str"/>
      <x:c r="AH1231" s="7" t="str"/>
      <x:c r="AI1231" s="7" t="str"/>
      <x:c r="AJ1231" s="7" t="str"/>
      <x:c r="AK1231" s="15" t="str"/>
      <x:c r="AL1231" s="7" t="str"/>
      <x:c r="AM1231" s="7" t="str">
        <x:v>AGUILAR YOHANA WENDY</x:v>
      </x:c>
      <x:c r="AN1231" s="7" t="str">
        <x:v>https://cdicloud.insurance.ca.gov/cal/LicenseDetail?SearchType=IND&amp;SearchLicNbr=0E18705&amp;SearchIndvId=865785</x:v>
      </x:c>
      <x:c r="AO1231" s="7" t="str">
        <x:v>2026-10-08</x:v>
      </x:c>
      <x:c r="AP1231" s="7" t="str">
        <x:v>70573680d700b6ce7974c6b1ee465e1473e7ed8c44844c675fd3d3e8d5993767</x:v>
      </x:c>
      <x:c r="AQ1231" s="7" t="str">
        <x:v>Casualty Broker-Agent / Inactive / 10/07/2003 / 10/31/2009 / 10/31/2009
Property Broker-Agent / Inactive / 10/07/2003 / 10/31/2009 / 10/31/2009</x:v>
      </x:c>
      <x:c r="AR1231" s="7" t="str">
        <x:v>Inactive</x:v>
      </x:c>
      <x:c r="AS1231" s="7" t="str">
        <x:v>Current detail page</x:v>
      </x:c>
    </x:row>
    <x:row r="1232" ht="52" customHeight="1">
      <x:c r="A1232" s="7" t="str">
        <x:v>AGUILAR WILLIAM ANTHONY</x:v>
      </x:c>
      <x:c r="B1232" s="14" t="str">
        <x:f>"0G12001"</x:f>
        <x:v>0G12001</x:v>
      </x:c>
      <x:c r="C1232" s="7" t="str">
        <x:v>Omitted</x:v>
      </x:c>
      <x:c r="D1232" s="7" t="str">
        <x:v>FAIL</x:v>
      </x:c>
      <x:c r="E1232" s="13" t="str">
        <x:v>Pending</x:v>
      </x:c>
      <x:c r="F1232" s="13" t="str"/>
      <x:c r="G1232" s="13" t="str"/>
      <x:c r="H1232" s="13" t="str"/>
      <x:c r="I1232" s="7" t="str">
        <x:v>Was this person reviewed? If rejected, give the actual rule and evidence. If acceptable, correct the omission. Confirm the Life-qualification gate and any record change since selection.</x:v>
      </x:c>
      <x:c r="J1232" s="7" t="str">
        <x:v>L1</x:v>
      </x:c>
      <x:c r="K1232" s="7" t="str">
        <x:v>Verified qualifications do not include active general Life. Current target-pool mismatch; actual historical omission reason unknown.</x:v>
      </x:c>
      <x:c r="L1232" s="7" t="str">
        <x:v>Not supplied; membership is known, motive is not</x:v>
      </x:c>
      <x:c r="M1232" s="7" t="n">
        <x:v>7</x:v>
      </x:c>
      <x:c r="N1232" s="7" t="str">
        <x:v>Outside current general-Life recruiting pool</x:v>
      </x:c>
      <x:c r="O1232" s="7" t="str">
        <x:v>Not displayed</x:v>
      </x:c>
      <x:c r="P1232" s="7" t="str"/>
      <x:c r="Q1232" s="7" t="str"/>
      <x:c r="R1232" s="7" t="str"/>
      <x:c r="S1232" s="15" t="str"/>
      <x:c r="T1232" s="7" t="str">
        <x:v>No public business phone in collected record</x:v>
      </x:c>
      <x:c r="U1232" s="7" t="str"/>
      <x:c r="V1232" s="7" t="str">
        <x:v>Resident</x:v>
      </x:c>
      <x:c r="W1232" s="7" t="str">
        <x:v>CA</x:v>
      </x:c>
      <x:c r="X1232" s="7" t="str"/>
      <x:c r="Y1232" s="7" t="str"/>
      <x:c r="Z1232" s="7" t="str"/>
      <x:c r="AA1232" s="7" t="str"/>
      <x:c r="AB1232" s="7" t="str"/>
      <x:c r="AC1232" s="7" t="str"/>
      <x:c r="AD1232" s="7" t="str">
        <x:v>No agency or insurer displayed: onboarding opportunity possible; existing business unknown</x:v>
      </x:c>
      <x:c r="AE1232" s="7" t="str">
        <x:v>No public business phone: contact enrichment needed, not proof of poor recruiting fit</x:v>
      </x:c>
      <x:c r="AF1232" s="16" t="str"/>
      <x:c r="AG1232" s="17" t="str"/>
      <x:c r="AH1232" s="7" t="str"/>
      <x:c r="AI1232" s="7" t="str"/>
      <x:c r="AJ1232" s="7" t="str"/>
      <x:c r="AK1232" s="15" t="str"/>
      <x:c r="AL1232" s="7" t="str"/>
      <x:c r="AM1232" s="7" t="str">
        <x:v>AGUILAR ANTHONY WILLIAM</x:v>
      </x:c>
      <x:c r="AN1232" s="7" t="str">
        <x:v>https://cdicloud.insurance.ca.gov/cal/LicenseDetail?SearchType=IND&amp;SearchLicNbr=0G12001&amp;SearchIndvId=1135614</x:v>
      </x:c>
      <x:c r="AO1232" s="7" t="str">
        <x:v>2026-10-08</x:v>
      </x:c>
      <x:c r="AP1232" s="7" t="str">
        <x:v>e013a7b7ce3b8171548940499b69f751587347ef9fdf19b4de15572e0f3a3053</x:v>
      </x:c>
      <x:c r="AQ1232" s="7" t="str">
        <x:v>Accident and Health / Inactive / 04/26/2008 / 04/30/2010 / 04/30/2010
Life-Only / Inactive / 04/26/2008 / 04/30/2010 / 04/30/2010</x:v>
      </x:c>
      <x:c r="AR1232" s="7" t="str">
        <x:v>Inactive</x:v>
      </x:c>
      <x:c r="AS1232" s="7" t="str">
        <x:v>Current detail page</x:v>
      </x:c>
    </x:row>
    <x:row r="1233" ht="52" customHeight="1">
      <x:c r="A1233" s="7" t="str">
        <x:v>AGUILAR WILLIAM EDWARD</x:v>
      </x:c>
      <x:c r="B1233" s="14" t="str">
        <x:f>"0438475"</x:f>
        <x:v>0438475</x:v>
      </x:c>
      <x:c r="C1233" s="7" t="str">
        <x:v>Omitted</x:v>
      </x:c>
      <x:c r="D1233" s="7" t="str">
        <x:v>FAIL</x:v>
      </x:c>
      <x:c r="E1233" s="13" t="str">
        <x:v>Pending</x:v>
      </x:c>
      <x:c r="F1233" s="13" t="str"/>
      <x:c r="G1233" s="13" t="str"/>
      <x:c r="H1233" s="13" t="str"/>
      <x:c r="I1233" s="7" t="str">
        <x:v>Was this person reviewed? If rejected, give the actual rule and evidence. If acceptable, correct the omission. Confirm the Life-qualification gate and any record change since selection.</x:v>
      </x:c>
      <x:c r="J1233" s="7" t="str">
        <x:v>L1</x:v>
      </x:c>
      <x:c r="K1233" s="7" t="str">
        <x:v>Verified qualifications do not include active general Life. Current target-pool mismatch; actual historical omission reason unknown.</x:v>
      </x:c>
      <x:c r="L1233" s="7" t="str">
        <x:v>Not supplied; membership is known, motive is not</x:v>
      </x:c>
      <x:c r="M1233" s="7" t="n">
        <x:v>7</x:v>
      </x:c>
      <x:c r="N1233" s="7" t="str">
        <x:v>Outside current general-Life recruiting pool</x:v>
      </x:c>
      <x:c r="O1233" s="7" t="str">
        <x:v>Not displayed</x:v>
      </x:c>
      <x:c r="P1233" s="7" t="str"/>
      <x:c r="Q1233" s="7" t="str"/>
      <x:c r="R1233" s="7" t="str"/>
      <x:c r="S1233" s="15" t="str"/>
      <x:c r="T1233" s="7" t="str">
        <x:v>No public business phone in collected record</x:v>
      </x:c>
      <x:c r="U1233" s="7" t="str"/>
      <x:c r="V1233" s="7" t="str">
        <x:v>Resident</x:v>
      </x:c>
      <x:c r="W1233" s="7" t="str">
        <x:v>CA</x:v>
      </x:c>
      <x:c r="X1233" s="7" t="str"/>
      <x:c r="Y1233" s="7" t="str"/>
      <x:c r="Z1233" s="7" t="str"/>
      <x:c r="AA1233" s="7" t="str"/>
      <x:c r="AB1233" s="7" t="str"/>
      <x:c r="AC1233" s="7" t="str"/>
      <x:c r="AD1233" s="7" t="str">
        <x:v>No agency or insurer displayed: onboarding opportunity possible; existing business unknown</x:v>
      </x:c>
      <x:c r="AE1233" s="7" t="str">
        <x:v>No public business phone: contact enrichment needed, not proof of poor recruiting fit</x:v>
      </x:c>
      <x:c r="AF1233" s="16" t="str"/>
      <x:c r="AG1233" s="17" t="str"/>
      <x:c r="AH1233" s="7" t="str"/>
      <x:c r="AI1233" s="7" t="str"/>
      <x:c r="AJ1233" s="7" t="str"/>
      <x:c r="AK1233" s="15" t="str"/>
      <x:c r="AL1233" s="7" t="str"/>
      <x:c r="AM1233" s="7" t="str">
        <x:v>AGUILAR EDWARD WILLIAM</x:v>
      </x:c>
      <x:c r="AN1233" s="7" t="str">
        <x:v>https://cdicloud.insurance.ca.gov/cal/LicenseDetail?SearchType=IND&amp;SearchLicNbr=0438475&amp;SearchIndvId=369558</x:v>
      </x:c>
      <x:c r="AO1233" s="7" t="str">
        <x:v>2026-10-08</x:v>
      </x:c>
      <x:c r="AP1233" s="7" t="str">
        <x:v>f9236d5868a5a1e51a2abfbaa048691609ae1732ebb9c8e1d8c6f20c7fce57c2</x:v>
      </x:c>
      <x:c r="AQ1233" s="7" t="str">
        <x:v>Accident and Health / Inactive / 09/27/1972 / 11/30/1998 / 11/30/1998
Casualty Broker-Agent / Inactive / 02/05/1974 / 11/30/2000 / 11/30/2000
Life-Only / Inactive / 09/27/1972 / 11/30/1998 / 11/30/1998
Property Broker-Agent / Inactive / 02/05/1974 / 11/30/2000 / 11/30/2000</x:v>
      </x:c>
      <x:c r="AR1233" s="7" t="str">
        <x:v>Inactive</x:v>
      </x:c>
      <x:c r="AS1233" s="7" t="str">
        <x:v>Current detail page</x:v>
      </x:c>
    </x:row>
    <x:row r="1234" ht="52" customHeight="1">
      <x:c r="A1234" s="7" t="str">
        <x:v>AGUILAR WILLIAM SHEVELAND</x:v>
      </x:c>
      <x:c r="B1234" s="14" t="str">
        <x:f>"0465872"</x:f>
        <x:v>0465872</x:v>
      </x:c>
      <x:c r="C1234" s="7" t="str">
        <x:v>Omitted</x:v>
      </x:c>
      <x:c r="D1234" s="7" t="str">
        <x:v>FAIL</x:v>
      </x:c>
      <x:c r="E1234" s="13" t="str">
        <x:v>Pending</x:v>
      </x:c>
      <x:c r="F1234" s="13" t="str"/>
      <x:c r="G1234" s="13" t="str"/>
      <x:c r="H1234" s="13" t="str"/>
      <x:c r="I1234" s="7" t="str">
        <x:v>Was this person reviewed? If rejected, give the actual rule and evidence. If acceptable, correct the omission. Confirm the Life-qualification gate and any record change since selection.</x:v>
      </x:c>
      <x:c r="J1234" s="7" t="str">
        <x:v>L1</x:v>
      </x:c>
      <x:c r="K1234" s="7" t="str">
        <x:v>Verified qualifications do not include active general Life. Current target-pool mismatch; actual historical omission reason unknown.</x:v>
      </x:c>
      <x:c r="L1234" s="7" t="str">
        <x:v>Not supplied; membership is known, motive is not</x:v>
      </x:c>
      <x:c r="M1234" s="7" t="n">
        <x:v>7</x:v>
      </x:c>
      <x:c r="N1234" s="7" t="str">
        <x:v>Outside current general-Life recruiting pool</x:v>
      </x:c>
      <x:c r="O1234" s="7" t="str">
        <x:v>Not displayed</x:v>
      </x:c>
      <x:c r="P1234" s="7" t="str"/>
      <x:c r="Q1234" s="7" t="str"/>
      <x:c r="R1234" s="7" t="str"/>
      <x:c r="S1234" s="15" t="str"/>
      <x:c r="T1234" s="7" t="str">
        <x:v>No public business phone in collected record</x:v>
      </x:c>
      <x:c r="U1234" s="7" t="str"/>
      <x:c r="V1234" s="7" t="str">
        <x:v>Resident</x:v>
      </x:c>
      <x:c r="W1234" s="7" t="str">
        <x:v>CA</x:v>
      </x:c>
      <x:c r="X1234" s="7" t="str"/>
      <x:c r="Y1234" s="7" t="str"/>
      <x:c r="Z1234" s="7" t="str"/>
      <x:c r="AA1234" s="7" t="str"/>
      <x:c r="AB1234" s="7" t="str"/>
      <x:c r="AC1234" s="7" t="str"/>
      <x:c r="AD1234" s="7" t="str">
        <x:v>No agency or insurer displayed: onboarding opportunity possible; existing business unknown</x:v>
      </x:c>
      <x:c r="AE1234" s="7" t="str">
        <x:v>No public business phone: contact enrichment needed, not proof of poor recruiting fit</x:v>
      </x:c>
      <x:c r="AF1234" s="16" t="str"/>
      <x:c r="AG1234" s="17" t="str"/>
      <x:c r="AH1234" s="7" t="str"/>
      <x:c r="AI1234" s="7" t="str"/>
      <x:c r="AJ1234" s="7" t="str"/>
      <x:c r="AK1234" s="15" t="str"/>
      <x:c r="AL1234" s="7" t="str"/>
      <x:c r="AM1234" s="7" t="str">
        <x:v>AGUILAR SHEVELAND WILLIAM</x:v>
      </x:c>
      <x:c r="AN1234" s="7" t="str">
        <x:v>https://cdicloud.insurance.ca.gov/cal/LicenseDetail?SearchType=IND&amp;SearchLicNbr=0465872&amp;SearchIndvId=371626</x:v>
      </x:c>
      <x:c r="AO1234" s="7" t="str">
        <x:v>2026-10-08</x:v>
      </x:c>
      <x:c r="AP1234" s="7" t="str">
        <x:v>af7eea6a081063ea36337b83130240477f67e528b90783ceb53837f8cacfed96</x:v>
      </x:c>
      <x:c r="AQ1234" s="7" t="str">
        <x:v>Accident and Health / Inactive / 08/06/1973 / 11/30/2014 / 11/30/2014
Casualty Broker-Agent / Inactive / 07/30/1973 / 11/30/2014 / 11/30/2014
Life-Only / Inactive / 08/06/1973 / 11/30/2014 / 11/30/2014
Property Broker-Agent / Inactive / 07/30/1973 / 11/30/2014 / 11/30/2014
Variable Contracts / Inactive / 02/08/1999 / 11/30/2014 / 11/30/2014</x:v>
      </x:c>
      <x:c r="AR1234" s="7" t="str">
        <x:v>Inactive</x:v>
      </x:c>
      <x:c r="AS1234" s="7" t="str">
        <x:v>Current detail page</x:v>
      </x:c>
    </x:row>
    <x:row r="1235" ht="52" customHeight="1">
      <x:c r="A1235" s="7" t="str">
        <x:v>AGUILAR WILLIAM WA</x:v>
      </x:c>
      <x:c r="B1235" s="14" t="str">
        <x:f>"0H93117"</x:f>
        <x:v>0H93117</x:v>
      </x:c>
      <x:c r="C1235" s="7" t="str">
        <x:v>Omitted</x:v>
      </x:c>
      <x:c r="D1235" s="7" t="str">
        <x:v>FAIL</x:v>
      </x:c>
      <x:c r="E1235" s="13" t="str">
        <x:v>Pending</x:v>
      </x:c>
      <x:c r="F1235" s="13" t="str"/>
      <x:c r="G1235" s="13" t="str"/>
      <x:c r="H1235" s="13" t="str"/>
      <x:c r="I1235" s="7" t="str">
        <x:v>Was this person reviewed? If rejected, give the actual rule and evidence. If acceptable, correct the omission. Confirm the Life-qualification gate and any record change since selection.</x:v>
      </x:c>
      <x:c r="J1235" s="7" t="str">
        <x:v>L1</x:v>
      </x:c>
      <x:c r="K1235" s="7" t="str">
        <x:v>Verified qualifications do not include active general Life. Current target-pool mismatch; actual historical omission reason unknown.</x:v>
      </x:c>
      <x:c r="L1235" s="7" t="str">
        <x:v>Not supplied; membership is known, motive is not</x:v>
      </x:c>
      <x:c r="M1235" s="7" t="n">
        <x:v>7</x:v>
      </x:c>
      <x:c r="N1235" s="7" t="str">
        <x:v>Outside current general-Life recruiting pool</x:v>
      </x:c>
      <x:c r="O1235" s="7" t="str">
        <x:v>Not displayed</x:v>
      </x:c>
      <x:c r="P1235" s="7" t="str"/>
      <x:c r="Q1235" s="7" t="str"/>
      <x:c r="R1235" s="7" t="str"/>
      <x:c r="S1235" s="15" t="str"/>
      <x:c r="T1235" s="7" t="str">
        <x:v>No public business phone in collected record</x:v>
      </x:c>
      <x:c r="U1235" s="7" t="str"/>
      <x:c r="V1235" s="7" t="str">
        <x:v>Resident</x:v>
      </x:c>
      <x:c r="W1235" s="7" t="str">
        <x:v>CA</x:v>
      </x:c>
      <x:c r="X1235" s="7" t="str"/>
      <x:c r="Y1235" s="7" t="str"/>
      <x:c r="Z1235" s="7" t="str"/>
      <x:c r="AA1235" s="7" t="str"/>
      <x:c r="AB1235" s="7" t="str"/>
      <x:c r="AC1235" s="7" t="str"/>
      <x:c r="AD1235" s="7" t="str">
        <x:v>No agency or insurer displayed: onboarding opportunity possible; existing business unknown</x:v>
      </x:c>
      <x:c r="AE1235" s="7" t="str">
        <x:v>No public business phone: contact enrichment needed, not proof of poor recruiting fit</x:v>
      </x:c>
      <x:c r="AF1235" s="16" t="str"/>
      <x:c r="AG1235" s="17" t="str"/>
      <x:c r="AH1235" s="7" t="str"/>
      <x:c r="AI1235" s="7" t="str"/>
      <x:c r="AJ1235" s="7" t="str"/>
      <x:c r="AK1235" s="15" t="str"/>
      <x:c r="AL1235" s="7" t="str"/>
      <x:c r="AM1235" s="7" t="str">
        <x:v>AGUILAR  WILLIAM</x:v>
      </x:c>
      <x:c r="AN1235" s="7" t="str">
        <x:v>https://cdicloud.insurance.ca.gov/cal/LicenseDetail?SearchType=IND&amp;SearchLicNbr=0H93117&amp;SearchIndvId=1517988</x:v>
      </x:c>
      <x:c r="AO1235" s="7" t="str">
        <x:v>2026-10-08</x:v>
      </x:c>
      <x:c r="AP1235" s="7" t="str">
        <x:v>9755d890b41372926fdf9d9dab63d5c599e288b9c9b5e989380c76d84d26c462</x:v>
      </x:c>
      <x:c r="AQ1235" s="7" t="str">
        <x:v>Personal Lines Broker-Agent / Inactive / 06/22/2012 / 06/30/2014 / 06/30/2014</x:v>
      </x:c>
      <x:c r="AR1235" s="7" t="str">
        <x:v>Inactive</x:v>
      </x:c>
      <x:c r="AS1235" s="7" t="str">
        <x:v>Current detail page</x:v>
      </x:c>
    </x:row>
    <x:row r="1236" ht="52" customHeight="1">
      <x:c r="A1236" s="7" t="str">
        <x:v>AGUILAR XAVIER</x:v>
      </x:c>
      <x:c r="B1236" s="14" t="str">
        <x:f>"4139383"</x:f>
        <x:v>4139383</x:v>
      </x:c>
      <x:c r="C1236" s="7" t="str">
        <x:v>Omitted</x:v>
      </x:c>
      <x:c r="D1236" s="7" t="str">
        <x:v>FAIL</x:v>
      </x:c>
      <x:c r="E1236" s="13" t="str">
        <x:v>Pending</x:v>
      </x:c>
      <x:c r="F1236" s="13" t="str"/>
      <x:c r="G1236" s="13" t="str"/>
      <x:c r="H1236" s="13" t="str"/>
      <x:c r="I1236" s="7" t="str">
        <x:v>Was this person reviewed? If rejected, give the actual rule and evidence. If acceptable, correct the omission. Confirm the Life-qualification gate and any record change since selection.</x:v>
      </x:c>
      <x:c r="J1236" s="7" t="str">
        <x:v>L1</x:v>
      </x:c>
      <x:c r="K1236" s="7" t="str">
        <x:v>Verified qualifications do not include active general Life. Current target-pool mismatch; actual historical omission reason unknown.</x:v>
      </x:c>
      <x:c r="L1236" s="7" t="str">
        <x:v>Not supplied; membership is known, motive is not</x:v>
      </x:c>
      <x:c r="M1236" s="7" t="n">
        <x:v>7</x:v>
      </x:c>
      <x:c r="N1236" s="7" t="str">
        <x:v>Outside current general-Life recruiting pool</x:v>
      </x:c>
      <x:c r="O1236" s="7" t="str">
        <x:v>Inactive</x:v>
      </x:c>
      <x:c r="P1236" s="7" t="str">
        <x:v>06/14/2022</x:v>
      </x:c>
      <x:c r="Q1236" s="7" t="str">
        <x:v>07/31/2023</x:v>
      </x:c>
      <x:c r="R1236" s="7" t="str"/>
      <x:c r="S1236" s="15" t="str">
        <x:v>661-250-4892</x:v>
      </x:c>
      <x:c r="T1236" s="7" t="str">
        <x:v>Current CDI</x:v>
      </x:c>
      <x:c r="U1236" s="7" t="str">
        <x:v>18978 SOLEDAD CANYON RD SANTA CLARITA CA, 91351</x:v>
      </x:c>
      <x:c r="V1236" s="7" t="str">
        <x:v>Resident</x:v>
      </x:c>
      <x:c r="W1236" s="7" t="str">
        <x:v>CA</x:v>
      </x:c>
      <x:c r="X1236" s="7" t="str"/>
      <x:c r="Y1236" s="7" t="str"/>
      <x:c r="Z1236" s="7" t="str"/>
      <x:c r="AA1236" s="7" t="str"/>
      <x:c r="AB1236" s="7" t="str"/>
      <x:c r="AC1236" s="7" t="str"/>
      <x:c r="AD1236" s="7" t="str">
        <x:v>No agency or insurer displayed: onboarding opportunity possible; existing business unknown</x:v>
      </x:c>
      <x:c r="AE1236" s="7" t="str"/>
      <x:c r="AF1236" s="16" t="str"/>
      <x:c r="AG1236" s="17" t="str"/>
      <x:c r="AH1236" s="7" t="str"/>
      <x:c r="AI1236" s="7" t="str">
        <x:v>English</x:v>
      </x:c>
      <x:c r="AJ1236" s="7" t="str"/>
      <x:c r="AK1236" s="15" t="str"/>
      <x:c r="AL1236" s="7" t="str"/>
      <x:c r="AM1236" s="7" t="str">
        <x:v>AGUILAR  XAVIER</x:v>
      </x:c>
      <x:c r="AN1236" s="7" t="str">
        <x:v>https://cdicloud.insurance.ca.gov/cal/LicenseDetail?SearchType=IND&amp;SearchLicNbr=4139383&amp;SearchIndvId=4139383</x:v>
      </x:c>
      <x:c r="AO1236" s="7" t="str">
        <x:v>2026-10-08</x:v>
      </x:c>
      <x:c r="AP1236" s="7" t="str">
        <x:v>2ae2d0a83e3a86b5b2b22817b0de71f534213289ffd9e64598212a4792f1e4a9</x:v>
      </x:c>
      <x:c r="AQ1236" s="7" t="str">
        <x:v>Accident &amp; Health or Sickness / Inactive / 06/14/2022 / 07/31/2023 / 07/31/2023
Casualty / Inactive / 12/01/2022 / 07/31/2023 / 07/31/2023
Life / Inactive / 06/14/2022 / 07/31/2023 / 07/31/2023
Personal Lines / Inactive / 07/22/2021 / 12/01/2022 / 12/01/2022
Property / Inactive / 12/01/2022 / 07/31/2023 / 07/31/2023</x:v>
      </x:c>
      <x:c r="AR1236" s="7" t="str">
        <x:v>Inactive</x:v>
      </x:c>
      <x:c r="AS1236" s="7" t="str">
        <x:v>Current detail page</x:v>
      </x:c>
    </x:row>
    <x:row r="1237" ht="52" customHeight="1">
      <x:c r="A1237" s="7" t="str">
        <x:v>AGUILAR YADIRA</x:v>
      </x:c>
      <x:c r="B1237" s="14" t="str">
        <x:f>"0L99267"</x:f>
        <x:v>0L99267</x:v>
      </x:c>
      <x:c r="C1237" s="7" t="str">
        <x:v>Omitted</x:v>
      </x:c>
      <x:c r="D1237" s="7" t="str">
        <x:v>FAIL</x:v>
      </x:c>
      <x:c r="E1237" s="13" t="str">
        <x:v>Pending</x:v>
      </x:c>
      <x:c r="F1237" s="13" t="str"/>
      <x:c r="G1237" s="13" t="str"/>
      <x:c r="H1237" s="13" t="str"/>
      <x:c r="I1237" s="7" t="str">
        <x:v>Was this person reviewed? If rejected, give the actual rule and evidence. If acceptable, correct the omission. Confirm the Life-qualification gate and any record change since selection.</x:v>
      </x:c>
      <x:c r="J1237" s="7" t="str">
        <x:v>L1</x:v>
      </x:c>
      <x:c r="K1237" s="7" t="str">
        <x:v>Verified qualifications do not include active general Life. Current target-pool mismatch; actual historical omission reason unknown.</x:v>
      </x:c>
      <x:c r="L1237" s="7" t="str">
        <x:v>Not supplied; membership is known, motive is not</x:v>
      </x:c>
      <x:c r="M1237" s="7" t="n">
        <x:v>7</x:v>
      </x:c>
      <x:c r="N1237" s="7" t="str">
        <x:v>Outside current general-Life recruiting pool</x:v>
      </x:c>
      <x:c r="O1237" s="7" t="str">
        <x:v>Not displayed</x:v>
      </x:c>
      <x:c r="P1237" s="7" t="str"/>
      <x:c r="Q1237" s="7" t="str"/>
      <x:c r="R1237" s="7" t="str">
        <x:v>Personal Lines</x:v>
      </x:c>
      <x:c r="S1237" s="15" t="str">
        <x:v>661-489-5628</x:v>
      </x:c>
      <x:c r="T1237" s="7" t="str">
        <x:v>Current CDI</x:v>
      </x:c>
      <x:c r="U1237" s="7" t="str">
        <x:v>2207 BRUNDAGE LANE SPC L4 BAKERSFIELD CA, 93304</x:v>
      </x:c>
      <x:c r="V1237" s="7" t="str">
        <x:v>Resident</x:v>
      </x:c>
      <x:c r="W1237" s="7" t="str">
        <x:v>CA</x:v>
      </x:c>
      <x:c r="X1237" s="7" t="str">
        <x:v>FIESTA INSURANCE FRANCHISE CORPORATION / Personal Lines / 07/25/2018
NATIONAL INSURANCE SERVICES / Personal Lines / 10/04/2019</x:v>
      </x:c>
      <x:c r="Y1237" s="7" t="str"/>
      <x:c r="Z1237" s="7" t="str"/>
      <x:c r="AA1237" s="7" t="str"/>
      <x:c r="AB1237" s="7" t="str"/>
      <x:c r="AC1237" s="7" t="str"/>
      <x:c r="AD1237" s="7" t="str"/>
      <x:c r="AE1237" s="7" t="str">
        <x:v>P&amp;C/Personal Lines authority without displayed core Life appointments; mixed profile requires review</x:v>
      </x:c>
      <x:c r="AF1237" s="16" t="str"/>
      <x:c r="AG1237" s="17" t="str"/>
      <x:c r="AH1237" s="7" t="str"/>
      <x:c r="AI1237" s="7" t="str">
        <x:v>English</x:v>
      </x:c>
      <x:c r="AJ1237" s="7" t="str"/>
      <x:c r="AK1237" s="15" t="str"/>
      <x:c r="AL1237" s="7" t="str"/>
      <x:c r="AM1237" s="7" t="str">
        <x:v>AGUILAR  YADIRA</x:v>
      </x:c>
      <x:c r="AN1237" s="7" t="str">
        <x:v>https://cdicloud.insurance.ca.gov/cal/LicenseDetail?SearchType=IND&amp;SearchLicNbr=0L99267&amp;SearchIndvId=1970117</x:v>
      </x:c>
      <x:c r="AO1237" s="7" t="str">
        <x:v>2026-10-08</x:v>
      </x:c>
      <x:c r="AP1237" s="7" t="str">
        <x:v>edc1893a769e4a04428d32063e5689cdf1c7217b5b5f1207d7df5aed7835f3c4</x:v>
      </x:c>
      <x:c r="AQ1237" s="7" t="str">
        <x:v>Personal Lines / Active / 10/17/2017 / 10/17/2017 / 10/31/2027</x:v>
      </x:c>
      <x:c r="AR1237" s="7" t="str">
        <x:v>Active</x:v>
      </x:c>
      <x:c r="AS1237" s="7" t="str">
        <x:v>Current detail page</x:v>
      </x:c>
    </x:row>
    <x:row r="1238" ht="52" customHeight="1">
      <x:c r="A1238" s="7" t="str">
        <x:v>AGUILAR YADIRA</x:v>
      </x:c>
      <x:c r="B1238" s="14" t="str">
        <x:f>"4428343"</x:f>
        <x:v>4428343</x:v>
      </x:c>
      <x:c r="C1238" s="7" t="str">
        <x:v>Omitted</x:v>
      </x:c>
      <x:c r="D1238" s="7" t="str">
        <x:v>FAIL</x:v>
      </x:c>
      <x:c r="E1238" s="13" t="str">
        <x:v>Pending</x:v>
      </x:c>
      <x:c r="F1238" s="13" t="str"/>
      <x:c r="G1238" s="13" t="str"/>
      <x:c r="H1238" s="13" t="str"/>
      <x:c r="I1238" s="7" t="str">
        <x:v>Was this person reviewed? If rejected, give the actual rule and evidence. If acceptable, correct the omission. Confirm the Life-qualification gate and any record change since selection.</x:v>
      </x:c>
      <x:c r="J1238" s="7" t="str">
        <x:v>L1</x:v>
      </x:c>
      <x:c r="K1238" s="7" t="str">
        <x:v>Verified qualifications do not include active general Life. Current target-pool mismatch; actual historical omission reason unknown.</x:v>
      </x:c>
      <x:c r="L1238" s="7" t="str">
        <x:v>Not supplied; membership is known, motive is not</x:v>
      </x:c>
      <x:c r="M1238" s="7" t="n">
        <x:v>7</x:v>
      </x:c>
      <x:c r="N1238" s="7" t="str">
        <x:v>Outside current general-Life recruiting pool</x:v>
      </x:c>
      <x:c r="O1238" s="7" t="str">
        <x:v>Not displayed</x:v>
      </x:c>
      <x:c r="P1238" s="7" t="str"/>
      <x:c r="Q1238" s="7" t="str"/>
      <x:c r="R1238" s="7" t="str">
        <x:v>Casualty; Property</x:v>
      </x:c>
      <x:c r="S1238" s="15" t="str"/>
      <x:c r="T1238" s="7" t="str">
        <x:v>No public business phone in collected record</x:v>
      </x:c>
      <x:c r="U1238" s="7" t="str">
        <x:v>3634 ROLLING TERRACE DR SPRING TX, 77388-5066</x:v>
      </x:c>
      <x:c r="V1238" s="7" t="str">
        <x:v>Non-resident</x:v>
      </x:c>
      <x:c r="W1238" s="7" t="str">
        <x:v>TX</x:v>
      </x:c>
      <x:c r="X1238" s="7" t="str">
        <x:v>PROGRESSIVE ADVANTAGE AGENCY INC / Property / 12/07/2024
PROGRESSIVE ADVANTAGE AGENCY INC / Casualty / 12/07/2024</x:v>
      </x:c>
      <x:c r="Y1238" s="7" t="str"/>
      <x:c r="Z1238" s="7" t="str"/>
      <x:c r="AA1238" s="7" t="str"/>
      <x:c r="AB1238" s="7" t="str"/>
      <x:c r="AC1238" s="7" t="str"/>
      <x:c r="AD1238" s="7" t="str"/>
      <x:c r="AE1238"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1238" s="16" t="str"/>
      <x:c r="AG1238" s="17" t="str"/>
      <x:c r="AH1238" s="7" t="str"/>
      <x:c r="AI1238" s="7" t="str"/>
      <x:c r="AJ1238" s="7" t="str"/>
      <x:c r="AK1238" s="15" t="str"/>
      <x:c r="AL1238" s="7" t="str"/>
      <x:c r="AM1238" s="7" t="str">
        <x:v>AGUILAR  YADIRA</x:v>
      </x:c>
      <x:c r="AN1238" s="7" t="str">
        <x:v>https://cdicloud.insurance.ca.gov/cal/LicenseDetail?SearchType=IND&amp;SearchLicNbr=4428343&amp;SearchIndvId=4428343</x:v>
      </x:c>
      <x:c r="AO1238" s="7" t="str">
        <x:v>2026-10-08</x:v>
      </x:c>
      <x:c r="AP1238" s="7" t="str">
        <x:v>1a55414c179408d03dd7acd5c0e4723938ffa4953629fc95bcf94fa523857525</x:v>
      </x:c>
      <x:c r="AQ1238" s="7" t="str">
        <x:v>Casualty / Active / 11/26/2024 / 11/26/2024 / 11/30/2028
Property / Active / 11/26/2024 / 11/26/2024 / 11/30/2028</x:v>
      </x:c>
      <x:c r="AR1238" s="7" t="str">
        <x:v>Active</x:v>
      </x:c>
      <x:c r="AS1238" s="7" t="str">
        <x:v>Current detail page</x:v>
      </x:c>
    </x:row>
    <x:row r="1239" ht="52" customHeight="1">
      <x:c r="A1239" s="7" t="str">
        <x:v>AGUILAR YADIRA GOCABETH</x:v>
      </x:c>
      <x:c r="B1239" s="14" t="str">
        <x:f>"0H02930"</x:f>
        <x:v>0H02930</x:v>
      </x:c>
      <x:c r="C1239" s="7" t="str">
        <x:v>Omitted</x:v>
      </x:c>
      <x:c r="D1239" s="7" t="str">
        <x:v>FAIL</x:v>
      </x:c>
      <x:c r="E1239" s="13" t="str">
        <x:v>Pending</x:v>
      </x:c>
      <x:c r="F1239" s="13" t="str"/>
      <x:c r="G1239" s="13" t="str"/>
      <x:c r="H1239" s="13" t="str"/>
      <x:c r="I1239" s="7" t="str">
        <x:v>Was this person reviewed? If rejected, give the actual rule and evidence. If acceptable, correct the omission. Confirm the Life-qualification gate and any record change since selection.</x:v>
      </x:c>
      <x:c r="J1239" s="7" t="str">
        <x:v>L1</x:v>
      </x:c>
      <x:c r="K1239" s="7" t="str">
        <x:v>Verified qualifications do not include active general Life. Current target-pool mismatch; actual historical omission reason unknown.</x:v>
      </x:c>
      <x:c r="L1239" s="7" t="str">
        <x:v>Not supplied; membership is known, motive is not</x:v>
      </x:c>
      <x:c r="M1239" s="7" t="n">
        <x:v>7</x:v>
      </x:c>
      <x:c r="N1239" s="7" t="str">
        <x:v>Outside current general-Life recruiting pool</x:v>
      </x:c>
      <x:c r="O1239" s="7" t="str">
        <x:v>Not displayed</x:v>
      </x:c>
      <x:c r="P1239" s="7" t="str"/>
      <x:c r="Q1239" s="7" t="str"/>
      <x:c r="R1239" s="7" t="str">
        <x:v>Personal Lines</x:v>
      </x:c>
      <x:c r="S1239" s="15" t="str">
        <x:v>800-949-3274</x:v>
      </x:c>
      <x:c r="T1239" s="7" t="str">
        <x:v>Current CDI</x:v>
      </x:c>
      <x:c r="U1239" s="7" t="str">
        <x:v>1403 N TUSTIN AVE STE 280 SANTA ANA CA, 92705</x:v>
      </x:c>
      <x:c r="V1239" s="7" t="str">
        <x:v>Resident</x:v>
      </x:c>
      <x:c r="W1239" s="7" t="str">
        <x:v>CA</x:v>
      </x:c>
      <x:c r="X1239" s="7" t="str">
        <x:v>PRONTO CALIFORNIA AGENCY, LLC / Personal Lines / 04/01/2019</x:v>
      </x:c>
      <x:c r="Y1239" s="7" t="str"/>
      <x:c r="Z1239" s="7" t="str"/>
      <x:c r="AA1239" s="7" t="str"/>
      <x:c r="AB1239" s="7" t="str"/>
      <x:c r="AC1239" s="7" t="str"/>
      <x:c r="AD1239" s="7" t="str"/>
      <x:c r="AE1239" s="7" t="str">
        <x:v>P&amp;C/Personal Lines authority without displayed core Life appointments; mixed profile requires review | Toll-free business number: verify that it reaches the individual rather than a central office</x:v>
      </x:c>
      <x:c r="AF1239" s="16" t="str"/>
      <x:c r="AG1239" s="17" t="str"/>
      <x:c r="AH1239" s="7" t="str"/>
      <x:c r="AI1239" s="7" t="str">
        <x:v>English, Spanish, Spanish</x:v>
      </x:c>
      <x:c r="AJ1239" s="7" t="str"/>
      <x:c r="AK1239" s="15" t="str"/>
      <x:c r="AL1239" s="7" t="str"/>
      <x:c r="AM1239" s="7" t="str">
        <x:v>AGUILAR GOCABETH YADIRA</x:v>
      </x:c>
      <x:c r="AN1239" s="7" t="str">
        <x:v>https://cdicloud.insurance.ca.gov/cal/LicenseDetail?SearchType=IND&amp;SearchLicNbr=0H02930&amp;SearchIndvId=1336289</x:v>
      </x:c>
      <x:c r="AO1239" s="7" t="str">
        <x:v>2026-10-08</x:v>
      </x:c>
      <x:c r="AP1239" s="7" t="str">
        <x:v>cdc312461f11b71aaf6df183d0af697d456831de71a135874827c395dd071221</x:v>
      </x:c>
      <x:c r="AQ1239" s="7" t="str">
        <x:v>Personal Lines / Active / 09/11/2018 / 09/11/2018 / 06/30/2028
Limited Lines Automobile / Inactive / 09/11/2018 / 09/11/2018 / 09/11/2018</x:v>
      </x:c>
      <x:c r="AR1239" s="7" t="str">
        <x:v>Active</x:v>
      </x:c>
      <x:c r="AS1239" s="7" t="str">
        <x:v>Current detail page</x:v>
      </x:c>
    </x:row>
    <x:row r="1240" ht="52" customHeight="1">
      <x:c r="A1240" s="7" t="str">
        <x:v>AGUILAR YALITZA</x:v>
      </x:c>
      <x:c r="B1240" s="14" t="str">
        <x:f>"E4584076"</x:f>
        <x:v>E4584076</x:v>
      </x:c>
      <x:c r="C1240" s="7" t="str">
        <x:v>Omitted</x:v>
      </x:c>
      <x:c r="D1240" s="7" t="str">
        <x:v>REVIEW</x:v>
      </x:c>
      <x:c r="E1240" s="13" t="str">
        <x:v>Pending</x:v>
      </x:c>
      <x:c r="F1240" s="13" t="str"/>
      <x:c r="G1240" s="13" t="str"/>
      <x:c r="H1240" s="13" t="str"/>
      <x:c r="I1240" s="7" t="str">
        <x:v>Was this record reviewed? The detail page provides no qualifications. Verify the actual license type and Life authority before deciding; do not reject for missing data.</x:v>
      </x:c>
      <x:c r="J1240" s="7" t="str">
        <x:v>L1</x:v>
      </x:c>
      <x:c r="K1240" s="7" t="str">
        <x:v>Detail page displays no qualification information. Life authority cannot be verified; missing data is not a qualification failure. Historical omission reason unknown.</x:v>
      </x:c>
      <x:c r="L1240" s="7" t="str">
        <x:v>Not supplied; membership is known, motive is not</x:v>
      </x:c>
      <x:c r="M1240" s="7" t="n">
        <x:v>7</x:v>
      </x:c>
      <x:c r="N1240" s="7" t="str">
        <x:v>Outside current general-Life recruiting pool</x:v>
      </x:c>
      <x:c r="O1240" s="7" t="str">
        <x:v>Not displayed</x:v>
      </x:c>
      <x:c r="P1240" s="7" t="str"/>
      <x:c r="Q1240" s="7" t="str"/>
      <x:c r="R1240" s="7" t="str"/>
      <x:c r="S1240" s="15" t="str"/>
      <x:c r="T1240" s="7" t="str">
        <x:v>No public business phone in collected record</x:v>
      </x:c>
      <x:c r="U1240" s="7" t="str"/>
      <x:c r="V1240" s="7" t="str">
        <x:v>Resident</x:v>
      </x:c>
      <x:c r="W1240" s="7" t="str">
        <x:v>CA</x:v>
      </x:c>
      <x:c r="X1240" s="7" t="str"/>
      <x:c r="Y1240" s="7" t="str"/>
      <x:c r="Z1240" s="7" t="str"/>
      <x:c r="AA1240" s="7" t="str"/>
      <x:c r="AB1240" s="7" t="str"/>
      <x:c r="AC1240" s="7" t="str"/>
      <x:c r="AD1240" s="7" t="str">
        <x:v>No agency or insurer displayed: onboarding opportunity possible; existing business unknown</x:v>
      </x:c>
      <x:c r="AE1240" s="7" t="str">
        <x:v>No public business phone: contact enrichment needed, not proof of poor recruiting fit</x:v>
      </x:c>
      <x:c r="AF1240" s="16" t="str"/>
      <x:c r="AG1240" s="17" t="str"/>
      <x:c r="AH1240" s="7" t="str"/>
      <x:c r="AI1240" s="7" t="str">
        <x:v>English</x:v>
      </x:c>
      <x:c r="AJ1240" s="7" t="str"/>
      <x:c r="AK1240" s="15" t="str"/>
      <x:c r="AL1240" s="7" t="str"/>
      <x:c r="AM1240" s="7" t="str">
        <x:v>AGUILAR  YALITZA</x:v>
      </x:c>
      <x:c r="AN1240" s="7" t="str">
        <x:v>https://cdicloud.insurance.ca.gov/cal/LicenseDetail?SearchType=IND&amp;SearchLicNbr=E4584076&amp;SearchIndvId=4584076</x:v>
      </x:c>
      <x:c r="AO1240" s="7" t="str">
        <x:v>2026-10-08</x:v>
      </x:c>
      <x:c r="AP1240" s="7" t="str">
        <x:v>ba311ef68533b5a90a85d206f3e80057ffbeb4075c8b1006423d6311c263a000</x:v>
      </x:c>
      <x:c r="AQ1240" s="7" t="str"/>
      <x:c r="AR1240" s="7" t="str">
        <x:v>Active</x:v>
      </x:c>
      <x:c r="AS1240" s="7" t="str">
        <x:v>Current detail page</x:v>
      </x:c>
    </x:row>
    <x:row r="1241" ht="52" customHeight="1">
      <x:c r="A1241" s="7" t="str">
        <x:v>AGUILAR YANAELY</x:v>
      </x:c>
      <x:c r="B1241" s="14" t="str">
        <x:f>"4016509"</x:f>
        <x:v>4016509</x:v>
      </x:c>
      <x:c r="C1241" s="7" t="str">
        <x:v>Omitted</x:v>
      </x:c>
      <x:c r="D1241" s="7" t="str">
        <x:v>FAIL</x:v>
      </x:c>
      <x:c r="E1241" s="13" t="str">
        <x:v>Pending</x:v>
      </x:c>
      <x:c r="F1241" s="13" t="str"/>
      <x:c r="G1241" s="13" t="str"/>
      <x:c r="H1241" s="13" t="str"/>
      <x:c r="I1241" s="7" t="str">
        <x:v>Was this person reviewed? If rejected, give the actual rule and evidence. If acceptable, correct the omission. Confirm the Life-qualification gate and any record change since selection.</x:v>
      </x:c>
      <x:c r="J1241" s="7" t="str">
        <x:v>L1</x:v>
      </x:c>
      <x:c r="K1241" s="7" t="str">
        <x:v>Verified qualifications do not include active general Life. Current target-pool mismatch; actual historical omission reason unknown.</x:v>
      </x:c>
      <x:c r="L1241" s="7" t="str">
        <x:v>Not supplied; membership is known, motive is not</x:v>
      </x:c>
      <x:c r="M1241" s="7" t="n">
        <x:v>7</x:v>
      </x:c>
      <x:c r="N1241" s="7" t="str">
        <x:v>Outside current general-Life recruiting pool</x:v>
      </x:c>
      <x:c r="O1241" s="7" t="str">
        <x:v>Inactive</x:v>
      </x:c>
      <x:c r="P1241" s="7" t="str">
        <x:v>11/14/2019</x:v>
      </x:c>
      <x:c r="Q1241" s="7" t="str">
        <x:v>11/30/2023</x:v>
      </x:c>
      <x:c r="R1241" s="7" t="str"/>
      <x:c r="S1241" s="15" t="str">
        <x:v>661-525-9662</x:v>
      </x:c>
      <x:c r="T1241" s="7" t="str">
        <x:v>Current CDI</x:v>
      </x:c>
      <x:c r="U1241" s="7" t="str">
        <x:v>1830 F ST BAKERSFIELD CA, 93301</x:v>
      </x:c>
      <x:c r="V1241" s="7" t="str">
        <x:v>Resident</x:v>
      </x:c>
      <x:c r="W1241" s="7" t="str">
        <x:v>CA</x:v>
      </x:c>
      <x:c r="X1241" s="7" t="str"/>
      <x:c r="Y1241" s="7" t="str"/>
      <x:c r="Z1241" s="7" t="str"/>
      <x:c r="AA1241" s="7" t="str"/>
      <x:c r="AB1241" s="7" t="str"/>
      <x:c r="AC1241" s="7" t="str"/>
      <x:c r="AD1241" s="7" t="str">
        <x:v>No agency or insurer displayed: onboarding opportunity possible; existing business unknown</x:v>
      </x:c>
      <x:c r="AE1241" s="7" t="str"/>
      <x:c r="AF1241" s="16" t="str"/>
      <x:c r="AG1241" s="17" t="str"/>
      <x:c r="AH1241" s="7" t="str"/>
      <x:c r="AI1241" s="7" t="str">
        <x:v>English</x:v>
      </x:c>
      <x:c r="AJ1241" s="7" t="str"/>
      <x:c r="AK1241" s="15" t="str"/>
      <x:c r="AL1241" s="7" t="str"/>
      <x:c r="AM1241" s="7" t="str">
        <x:v>AGUILAR  YANAELY</x:v>
      </x:c>
      <x:c r="AN1241" s="7" t="str">
        <x:v>https://cdicloud.insurance.ca.gov/cal/LicenseDetail?SearchType=IND&amp;SearchLicNbr=4016509&amp;SearchIndvId=4016509</x:v>
      </x:c>
      <x:c r="AO1241" s="7" t="str">
        <x:v>2026-10-08</x:v>
      </x:c>
      <x:c r="AP1241" s="7" t="str">
        <x:v>ef003c9570d319159c0c0e840552baea691a65b60d609d6f396d92de5e78fc16</x:v>
      </x:c>
      <x:c r="AQ1241" s="7" t="str">
        <x:v>Life / Inactive / 11/14/2019 / 11/30/2023 / 11/30/2023</x:v>
      </x:c>
      <x:c r="AR1241" s="7" t="str">
        <x:v>Inactive</x:v>
      </x:c>
      <x:c r="AS1241" s="7" t="str">
        <x:v>Current detail page</x:v>
      </x:c>
    </x:row>
    <x:row r="1242" ht="52" customHeight="1">
      <x:c r="A1242" s="7" t="str">
        <x:v>AGUILAR YARELY MARIEL</x:v>
      </x:c>
      <x:c r="B1242" s="14" t="str">
        <x:f>"4426489"</x:f>
        <x:v>4426489</x:v>
      </x:c>
      <x:c r="C1242" s="7" t="str">
        <x:v>Omitted</x:v>
      </x:c>
      <x:c r="D1242" s="7" t="str">
        <x:v>FAIL</x:v>
      </x:c>
      <x:c r="E1242" s="13" t="str">
        <x:v>Pending</x:v>
      </x:c>
      <x:c r="F1242" s="13" t="str"/>
      <x:c r="G1242" s="13" t="str"/>
      <x:c r="H1242" s="13" t="str"/>
      <x:c r="I1242" s="7" t="str">
        <x:v>Was this person reviewed? If rejected, give the actual rule and evidence. If acceptable, correct the omission. Confirm the Life-qualification gate and any record change since selection.</x:v>
      </x:c>
      <x:c r="J1242" s="7" t="str">
        <x:v>L1</x:v>
      </x:c>
      <x:c r="K1242" s="7" t="str">
        <x:v>Verified qualifications do not include active general Life. Current target-pool mismatch; actual historical omission reason unknown.</x:v>
      </x:c>
      <x:c r="L1242" s="7" t="str">
        <x:v>Not supplied; membership is known, motive is not</x:v>
      </x:c>
      <x:c r="M1242" s="7" t="n">
        <x:v>7</x:v>
      </x:c>
      <x:c r="N1242" s="7" t="str">
        <x:v>Outside current general-Life recruiting pool</x:v>
      </x:c>
      <x:c r="O1242" s="7" t="str">
        <x:v>Not displayed</x:v>
      </x:c>
      <x:c r="P1242" s="7" t="str"/>
      <x:c r="Q1242" s="7" t="str"/>
      <x:c r="R1242" s="7" t="str">
        <x:v>Casualty; Property</x:v>
      </x:c>
      <x:c r="S1242" s="15" t="str"/>
      <x:c r="T1242" s="7" t="str">
        <x:v>No public business phone in collected record</x:v>
      </x:c>
      <x:c r="U1242" s="7" t="str">
        <x:v>WESTWOOD INSURANCE AGENCY, LLC 2400 DALLAS PKWY STE 375 PLANO TX, 75093-4376</x:v>
      </x:c>
      <x:c r="V1242" s="7" t="str">
        <x:v>Non-resident</x:v>
      </x:c>
      <x:c r="W1242" s="7" t="str">
        <x:v>TX</x:v>
      </x:c>
      <x:c r="X1242" s="7" t="str">
        <x:v>WESTWOOD INSURANCE AGENCY LLC / Casualty / 11/18/2024
WESTWOOD INSURANCE AGENCY LLC / Property / 11/18/2024</x:v>
      </x:c>
      <x:c r="Y1242" s="7" t="str">
        <x:v>ENCOMPASS INSURANCE COMPANY / Casualty / 12/12/2024
ENCOMPASS INSURANCE COMPANY / Property / 12/12/2024
NATIONAL GENERAL ASSURANCE COMPANY / Casualty / 12/12/2024
NATIONAL GENERAL ASSURANCE COMPANY / Property / 12/12/2024
NATIONAL GENERAL PREMIER INSURANCE COMPANY / Casualty / 12/12/2024
NATIONAL GENERAL PREMIER INSURANCE COMPANY / Property / 12/12/2024
QBE INSURANCE CORPORATION / Casualty / 04/27/2026
QBE INSURANCE CORPORATION / Property / 04/27/2026</x:v>
      </x:c>
      <x:c r="Z1242" s="7" t="str"/>
      <x:c r="AA1242" s="7" t="str"/>
      <x:c r="AB1242" s="7" t="str"/>
      <x:c r="AC1242" s="7" t="str"/>
      <x:c r="AD1242" s="7" t="str"/>
      <x:c r="AE1242"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1242" s="16" t="str"/>
      <x:c r="AG1242" s="17" t="str"/>
      <x:c r="AH1242" s="7" t="str"/>
      <x:c r="AI1242" s="7" t="str"/>
      <x:c r="AJ1242" s="7" t="str"/>
      <x:c r="AK1242" s="15" t="str"/>
      <x:c r="AL1242" s="7" t="str"/>
      <x:c r="AM1242" s="7" t="str">
        <x:v>Aguilar Mariel Yarely</x:v>
      </x:c>
      <x:c r="AN1242" s="7" t="str">
        <x:v>https://cdicloud.insurance.ca.gov/cal/LicenseDetail?SearchType=IND&amp;SearchLicNbr=4426489&amp;SearchIndvId=4426489</x:v>
      </x:c>
      <x:c r="AO1242" s="7" t="str">
        <x:v>2026-10-08</x:v>
      </x:c>
      <x:c r="AP1242" s="7" t="str">
        <x:v>a0bea5221994d795ccc31292e7671b8ba030cdd12bdb27cbeb30e24cf224e8c0</x:v>
      </x:c>
      <x:c r="AQ1242" s="7" t="str">
        <x:v>Casualty / Active / 11/14/2024 / 11/14/2024 / 11/30/2028
Property / Active / 11/14/2024 / 11/14/2024 / 11/30/2028</x:v>
      </x:c>
      <x:c r="AR1242" s="7" t="str">
        <x:v>Active</x:v>
      </x:c>
      <x:c r="AS1242" s="7" t="str">
        <x:v>Current detail page</x:v>
      </x:c>
    </x:row>
    <x:row r="1243" ht="52" customHeight="1">
      <x:c r="A1243" s="7" t="str">
        <x:v>AGUILAR YEISUAN SAID</x:v>
      </x:c>
      <x:c r="B1243" s="14" t="str">
        <x:f>"0G84195"</x:f>
        <x:v>0G84195</x:v>
      </x:c>
      <x:c r="C1243" s="7" t="str">
        <x:v>Omitted</x:v>
      </x:c>
      <x:c r="D1243" s="7" t="str">
        <x:v>FAIL</x:v>
      </x:c>
      <x:c r="E1243" s="13" t="str">
        <x:v>Pending</x:v>
      </x:c>
      <x:c r="F1243" s="13" t="str"/>
      <x:c r="G1243" s="13" t="str"/>
      <x:c r="H1243" s="13" t="str"/>
      <x:c r="I1243" s="7" t="str">
        <x:v>Was this person reviewed? If rejected, give the actual rule and evidence. If acceptable, correct the omission. Confirm the Life-qualification gate and any record change since selection.</x:v>
      </x:c>
      <x:c r="J1243" s="7" t="str">
        <x:v>L1</x:v>
      </x:c>
      <x:c r="K1243" s="7" t="str">
        <x:v>Verified qualifications do not include active general Life. Current target-pool mismatch; actual historical omission reason unknown.</x:v>
      </x:c>
      <x:c r="L1243" s="7" t="str">
        <x:v>Not supplied; membership is known, motive is not</x:v>
      </x:c>
      <x:c r="M1243" s="7" t="n">
        <x:v>7</x:v>
      </x:c>
      <x:c r="N1243" s="7" t="str">
        <x:v>Outside current general-Life recruiting pool</x:v>
      </x:c>
      <x:c r="O1243" s="7" t="str">
        <x:v>Not displayed</x:v>
      </x:c>
      <x:c r="P1243" s="7" t="str"/>
      <x:c r="Q1243" s="7" t="str"/>
      <x:c r="R1243" s="7" t="str"/>
      <x:c r="S1243" s="15" t="str"/>
      <x:c r="T1243" s="7" t="str">
        <x:v>No public business phone in collected record</x:v>
      </x:c>
      <x:c r="U1243" s="7" t="str"/>
      <x:c r="V1243" s="7" t="str">
        <x:v>Resident</x:v>
      </x:c>
      <x:c r="W1243" s="7" t="str">
        <x:v>CA</x:v>
      </x:c>
      <x:c r="X1243" s="7" t="str"/>
      <x:c r="Y1243" s="7" t="str"/>
      <x:c r="Z1243" s="7" t="str"/>
      <x:c r="AA1243" s="7" t="str"/>
      <x:c r="AB1243" s="7" t="str"/>
      <x:c r="AC1243" s="7" t="str"/>
      <x:c r="AD1243" s="7" t="str">
        <x:v>No agency or insurer displayed: onboarding opportunity possible; existing business unknown</x:v>
      </x:c>
      <x:c r="AE1243" s="7" t="str">
        <x:v>No public business phone: contact enrichment needed, not proof of poor recruiting fit</x:v>
      </x:c>
      <x:c r="AF1243" s="16" t="str"/>
      <x:c r="AG1243" s="17" t="str"/>
      <x:c r="AH1243" s="7" t="str"/>
      <x:c r="AI1243" s="7" t="str"/>
      <x:c r="AJ1243" s="7" t="str"/>
      <x:c r="AK1243" s="15" t="str"/>
      <x:c r="AL1243" s="7" t="str"/>
      <x:c r="AM1243" s="7" t="str">
        <x:v>AGUILAR SAID YEISUAN</x:v>
      </x:c>
      <x:c r="AN1243" s="7" t="str">
        <x:v>https://cdicloud.insurance.ca.gov/cal/LicenseDetail?SearchType=IND&amp;SearchLicNbr=0G84195&amp;SearchIndvId=1314270</x:v>
      </x:c>
      <x:c r="AO1243" s="7" t="str">
        <x:v>2026-10-08</x:v>
      </x:c>
      <x:c r="AP1243" s="7" t="str">
        <x:v>7049b384bebe5e3e2a92b68a9ddb673ef94d40ed60944f6c7b07cf2140a302d6</x:v>
      </x:c>
      <x:c r="AQ1243" s="7" t="str">
        <x:v>Life-Only / Inactive / 12/10/2009 / 12/31/2011 / 12/31/2011</x:v>
      </x:c>
      <x:c r="AR1243" s="7" t="str">
        <x:v>Inactive</x:v>
      </x:c>
      <x:c r="AS1243" s="7" t="str">
        <x:v>Current detail page</x:v>
      </x:c>
    </x:row>
    <x:row r="1244" ht="52" customHeight="1">
      <x:c r="A1244" s="7" t="str">
        <x:v>AGUILAR YENY YOANA</x:v>
      </x:c>
      <x:c r="B1244" s="14" t="str">
        <x:f>"0F76188"</x:f>
        <x:v>0F76188</x:v>
      </x:c>
      <x:c r="C1244" s="7" t="str">
        <x:v>Omitted</x:v>
      </x:c>
      <x:c r="D1244" s="7" t="str">
        <x:v>FAIL</x:v>
      </x:c>
      <x:c r="E1244" s="13" t="str">
        <x:v>Pending</x:v>
      </x:c>
      <x:c r="F1244" s="13" t="str"/>
      <x:c r="G1244" s="13" t="str"/>
      <x:c r="H1244" s="13" t="str"/>
      <x:c r="I1244" s="7" t="str">
        <x:v>Was this person reviewed? If rejected, give the actual rule and evidence. If acceptable, correct the omission. Confirm the Life-qualification gate and any record change since selection.</x:v>
      </x:c>
      <x:c r="J1244" s="7" t="str">
        <x:v>L1</x:v>
      </x:c>
      <x:c r="K1244" s="7" t="str">
        <x:v>Verified qualifications do not include active general Life. Current target-pool mismatch; actual historical omission reason unknown.</x:v>
      </x:c>
      <x:c r="L1244" s="7" t="str">
        <x:v>Not supplied; membership is known, motive is not</x:v>
      </x:c>
      <x:c r="M1244" s="7" t="n">
        <x:v>7</x:v>
      </x:c>
      <x:c r="N1244" s="7" t="str">
        <x:v>Outside current general-Life recruiting pool</x:v>
      </x:c>
      <x:c r="O1244" s="7" t="str">
        <x:v>Not displayed</x:v>
      </x:c>
      <x:c r="P1244" s="7" t="str"/>
      <x:c r="Q1244" s="7" t="str"/>
      <x:c r="R1244" s="7" t="str"/>
      <x:c r="S1244" s="15" t="str"/>
      <x:c r="T1244" s="7" t="str">
        <x:v>No public business phone in collected record</x:v>
      </x:c>
      <x:c r="U1244" s="7" t="str"/>
      <x:c r="V1244" s="7" t="str">
        <x:v>Resident</x:v>
      </x:c>
      <x:c r="W1244" s="7" t="str">
        <x:v>CA</x:v>
      </x:c>
      <x:c r="X1244" s="7" t="str"/>
      <x:c r="Y1244" s="7" t="str"/>
      <x:c r="Z1244" s="7" t="str"/>
      <x:c r="AA1244" s="7" t="str"/>
      <x:c r="AB1244" s="7" t="str"/>
      <x:c r="AC1244" s="7" t="str"/>
      <x:c r="AD1244" s="7" t="str">
        <x:v>No agency or insurer displayed: onboarding opportunity possible; existing business unknown</x:v>
      </x:c>
      <x:c r="AE1244" s="7" t="str">
        <x:v>No public business phone: contact enrichment needed, not proof of poor recruiting fit</x:v>
      </x:c>
      <x:c r="AF1244" s="16" t="str"/>
      <x:c r="AG1244" s="17" t="str"/>
      <x:c r="AH1244" s="7" t="str"/>
      <x:c r="AI1244" s="7" t="str"/>
      <x:c r="AJ1244" s="7" t="str"/>
      <x:c r="AK1244" s="15" t="str"/>
      <x:c r="AL1244" s="7" t="str"/>
      <x:c r="AM1244" s="7" t="str">
        <x:v>AGUILAR YOANA YENY</x:v>
      </x:c>
      <x:c r="AN1244" s="7" t="str">
        <x:v>https://cdicloud.insurance.ca.gov/cal/LicenseDetail?SearchType=IND&amp;SearchLicNbr=0F76188&amp;SearchIndvId=1095697</x:v>
      </x:c>
      <x:c r="AO1244" s="7" t="str">
        <x:v>2026-10-08</x:v>
      </x:c>
      <x:c r="AP1244" s="7" t="str">
        <x:v>2f8b43c75d1acc8aab980cb7dededae417a32e57706c5d86355459627f76b988</x:v>
      </x:c>
      <x:c r="AQ1244" s="7" t="str">
        <x:v>Accident and Health / Inactive / 08/09/2007 / 08/31/2011 / 08/31/2011
Life-Only / Inactive / 08/09/2007 / 02/28/2021 / 02/28/2021</x:v>
      </x:c>
      <x:c r="AR1244" s="7" t="str">
        <x:v>Inactive</x:v>
      </x:c>
      <x:c r="AS1244" s="7" t="str">
        <x:v>Current detail page</x:v>
      </x:c>
    </x:row>
    <x:row r="1245" ht="52" customHeight="1">
      <x:c r="A1245" s="7" t="str">
        <x:v>AGUILAR YOLANDA VILLALVA</x:v>
      </x:c>
      <x:c r="B1245" s="14" t="str">
        <x:f>"0817590"</x:f>
        <x:v>0817590</x:v>
      </x:c>
      <x:c r="C1245" s="7" t="str">
        <x:v>Omitted</x:v>
      </x:c>
      <x:c r="D1245" s="7" t="str">
        <x:v>FAIL</x:v>
      </x:c>
      <x:c r="E1245" s="13" t="str">
        <x:v>Pending</x:v>
      </x:c>
      <x:c r="F1245" s="13" t="str"/>
      <x:c r="G1245" s="13" t="str"/>
      <x:c r="H1245" s="13" t="str"/>
      <x:c r="I1245" s="7" t="str">
        <x:v>Was this person reviewed? If rejected, give the actual rule and evidence. If acceptable, correct the omission. Confirm the Life-qualification gate and any record change since selection.</x:v>
      </x:c>
      <x:c r="J1245" s="7" t="str">
        <x:v>L1</x:v>
      </x:c>
      <x:c r="K1245" s="7" t="str">
        <x:v>Verified qualifications do not include active general Life. Current target-pool mismatch; actual historical omission reason unknown.</x:v>
      </x:c>
      <x:c r="L1245" s="7" t="str">
        <x:v>Not supplied; membership is known, motive is not</x:v>
      </x:c>
      <x:c r="M1245" s="7" t="n">
        <x:v>7</x:v>
      </x:c>
      <x:c r="N1245" s="7" t="str">
        <x:v>Outside current general-Life recruiting pool</x:v>
      </x:c>
      <x:c r="O1245" s="7" t="str">
        <x:v>Not displayed</x:v>
      </x:c>
      <x:c r="P1245" s="7" t="str"/>
      <x:c r="Q1245" s="7" t="str"/>
      <x:c r="R1245" s="7" t="str"/>
      <x:c r="S1245" s="15" t="str"/>
      <x:c r="T1245" s="7" t="str">
        <x:v>No public business phone in collected record</x:v>
      </x:c>
      <x:c r="U1245" s="7" t="str"/>
      <x:c r="V1245" s="7" t="str">
        <x:v>Resident</x:v>
      </x:c>
      <x:c r="W1245" s="7" t="str">
        <x:v>CA</x:v>
      </x:c>
      <x:c r="X1245" s="7" t="str"/>
      <x:c r="Y1245" s="7" t="str"/>
      <x:c r="Z1245" s="7" t="str"/>
      <x:c r="AA1245" s="7" t="str"/>
      <x:c r="AB1245" s="7" t="str"/>
      <x:c r="AC1245" s="7" t="str"/>
      <x:c r="AD1245" s="7" t="str">
        <x:v>No agency or insurer displayed: onboarding opportunity possible; existing business unknown</x:v>
      </x:c>
      <x:c r="AE1245" s="7" t="str">
        <x:v>No public business phone: contact enrichment needed, not proof of poor recruiting fit</x:v>
      </x:c>
      <x:c r="AF1245" s="16" t="str"/>
      <x:c r="AG1245" s="17" t="str"/>
      <x:c r="AH1245" s="7" t="str"/>
      <x:c r="AI1245" s="7" t="str"/>
      <x:c r="AJ1245" s="7" t="str"/>
      <x:c r="AK1245" s="15" t="str"/>
      <x:c r="AL1245" s="7" t="str"/>
      <x:c r="AM1245" s="7" t="str">
        <x:v>AGUILAR VILLALVA YOLANDA</x:v>
      </x:c>
      <x:c r="AN1245" s="7" t="str">
        <x:v>https://cdicloud.insurance.ca.gov/cal/LicenseDetail?SearchType=IND&amp;SearchLicNbr=0817590&amp;SearchIndvId=133499</x:v>
      </x:c>
      <x:c r="AO1245" s="7" t="str">
        <x:v>2026-10-08</x:v>
      </x:c>
      <x:c r="AP1245" s="7" t="str">
        <x:v>e902b3d61882601cd16652d5212c00d430356a4e8ea7eac0780a5d938ecff334</x:v>
      </x:c>
      <x:c r="AQ1245" s="7" t="str">
        <x:v>Accident and Health / Inactive / 04/11/1991 / 04/30/1995 / 04/30/1995
Life-Only / Inactive / 04/11/1991 / 04/30/1995 / 04/30/1995</x:v>
      </x:c>
      <x:c r="AR1245" s="7" t="str">
        <x:v>Inactive</x:v>
      </x:c>
      <x:c r="AS1245" s="7" t="str">
        <x:v>Current detail page</x:v>
      </x:c>
    </x:row>
    <x:row r="1246" ht="52" customHeight="1">
      <x:c r="A1246" s="7" t="str">
        <x:v>AGUILAR YULIZZA NICOLE</x:v>
      </x:c>
      <x:c r="B1246" s="14" t="str">
        <x:f>"4404676"</x:f>
        <x:v>4404676</x:v>
      </x:c>
      <x:c r="C1246" s="7" t="str">
        <x:v>Omitted</x:v>
      </x:c>
      <x:c r="D1246" s="7" t="str">
        <x:v>FAIL</x:v>
      </x:c>
      <x:c r="E1246" s="13" t="str">
        <x:v>Pending</x:v>
      </x:c>
      <x:c r="F1246" s="13" t="str"/>
      <x:c r="G1246" s="13" t="str"/>
      <x:c r="H1246" s="13" t="str"/>
      <x:c r="I1246" s="7" t="str">
        <x:v>Was this person reviewed? If rejected, give the actual rule and evidence. If acceptable, correct the omission. Confirm the Life-qualification gate and any record change since selection.</x:v>
      </x:c>
      <x:c r="J1246" s="7" t="str">
        <x:v>L1</x:v>
      </x:c>
      <x:c r="K1246" s="7" t="str">
        <x:v>Verified qualifications do not include active general Life. Current target-pool mismatch; actual historical omission reason unknown.</x:v>
      </x:c>
      <x:c r="L1246" s="7" t="str">
        <x:v>Not supplied; membership is known, motive is not</x:v>
      </x:c>
      <x:c r="M1246" s="7" t="n">
        <x:v>7</x:v>
      </x:c>
      <x:c r="N1246" s="7" t="str">
        <x:v>Outside current general-Life recruiting pool</x:v>
      </x:c>
      <x:c r="O1246" s="7" t="str">
        <x:v>Not displayed</x:v>
      </x:c>
      <x:c r="P1246" s="7" t="str"/>
      <x:c r="Q1246" s="7" t="str"/>
      <x:c r="R1246" s="7" t="str">
        <x:v>Casualty; Property</x:v>
      </x:c>
      <x:c r="S1246" s="15" t="str">
        <x:v>805-833-0186</x:v>
      </x:c>
      <x:c r="T1246" s="7" t="str">
        <x:v>Current CDI</x:v>
      </x:c>
      <x:c r="U1246" s="7" t="str">
        <x:v>1889 N RICE AVE #101 OXNARD CA, 93030</x:v>
      </x:c>
      <x:c r="V1246" s="7" t="str">
        <x:v>Resident</x:v>
      </x:c>
      <x:c r="W1246" s="7" t="str">
        <x:v>CA</x:v>
      </x:c>
      <x:c r="X1246" s="7" t="str"/>
      <x:c r="Y1246" s="7" t="str">
        <x:v>COAST NATIONAL INSURANCE COMPANY / Casualty / 01/13/2025
COAST NATIONAL INSURANCE COMPANY / Property / 01/13/2025
FARMERS INSURANCE EXCHANGE / Casualty / 01/13/2025
FARMERS INSURANCE EXCHANGE / Property / 01/13/2025
FIRE INSURANCE EXCHANGE / Casualty / 01/13/2025
FIRE INSURANCE EXCHANGE / Property / 01/13/2025
FOREMOST INSURANCE COMPANY GRAND RAPIDS, MICHIGAN / Casualty / 01/13/2025
FOREMOST INSURANCE COMPANY GRAND RAPIDS, MICHIGAN / Property / 01/13/2025
MID-CENTURY INSURANCE COMPANY / Casualty / 01/13/2025
MID-CENTURY INSURANCE COMPANY / Property / 01/13/2025
TRUCK INSURANCE EXCHANGE / Casualty / 01/13/2025
TRUCK INSURANCE EXCHANGE / Property / 01/13/2025</x:v>
      </x:c>
      <x:c r="Z1246" s="7" t="str"/>
      <x:c r="AA1246" s="7" t="str"/>
      <x:c r="AB1246" s="7" t="str"/>
      <x:c r="AC1246" s="7" t="str"/>
      <x:c r="AD1246" s="7" t="str"/>
      <x:c r="AE1246" s="7" t="str">
        <x:v>P&amp;C/Personal Lines authority without displayed core Life appointments; mixed profile requires review</x:v>
      </x:c>
      <x:c r="AF1246" s="16" t="str"/>
      <x:c r="AG1246" s="17" t="str"/>
      <x:c r="AH1246" s="7" t="str"/>
      <x:c r="AI1246" s="7" t="str">
        <x:v>English</x:v>
      </x:c>
      <x:c r="AJ1246" s="7" t="str"/>
      <x:c r="AK1246" s="15" t="str"/>
      <x:c r="AL1246" s="7" t="str"/>
      <x:c r="AM1246" s="7" t="str">
        <x:v>AGUILAR NICOLE YULIZZA</x:v>
      </x:c>
      <x:c r="AN1246" s="7" t="str">
        <x:v>https://cdicloud.insurance.ca.gov/cal/LicenseDetail?SearchType=IND&amp;SearchLicNbr=4404676&amp;SearchIndvId=4404676</x:v>
      </x:c>
      <x:c r="AO1246" s="7" t="str">
        <x:v>2026-10-08</x:v>
      </x:c>
      <x:c r="AP1246" s="7" t="str">
        <x:v>f72a1f6eb14b9cd70717d411f14864cfe0871247cc87ead644c59e14cd3f73d5</x:v>
      </x:c>
      <x:c r="AQ1246" s="7" t="str">
        <x:v>Casualty / Active / 11/18/2024 / 11/18/2024 / 11/30/2026
Property / Active / 11/18/2024 / 11/18/2024 / 11/30/2026</x:v>
      </x:c>
      <x:c r="AR1246" s="7" t="str">
        <x:v>Active</x:v>
      </x:c>
      <x:c r="AS1246" s="7" t="str">
        <x:v>Current detail page</x:v>
      </x:c>
    </x:row>
    <x:row r="1247" ht="52" customHeight="1">
      <x:c r="A1247" s="7" t="str">
        <x:v>AGUILAR YURI</x:v>
      </x:c>
      <x:c r="B1247" s="14" t="str">
        <x:f>"0F86530"</x:f>
        <x:v>0F86530</x:v>
      </x:c>
      <x:c r="C1247" s="7" t="str">
        <x:v>Omitted</x:v>
      </x:c>
      <x:c r="D1247" s="7" t="str">
        <x:v>FAIL</x:v>
      </x:c>
      <x:c r="E1247" s="13" t="str">
        <x:v>Pending</x:v>
      </x:c>
      <x:c r="F1247" s="13" t="str"/>
      <x:c r="G1247" s="13" t="str"/>
      <x:c r="H1247" s="13" t="str"/>
      <x:c r="I1247" s="7" t="str">
        <x:v>Was this person reviewed? If rejected, give the actual rule and evidence. If acceptable, correct the omission. Confirm the Life-qualification gate and any record change since selection.</x:v>
      </x:c>
      <x:c r="J1247" s="7" t="str">
        <x:v>L1</x:v>
      </x:c>
      <x:c r="K1247" s="7" t="str">
        <x:v>Verified qualifications do not include active general Life. Current target-pool mismatch; actual historical omission reason unknown.</x:v>
      </x:c>
      <x:c r="L1247" s="7" t="str">
        <x:v>Not supplied; membership is known, motive is not</x:v>
      </x:c>
      <x:c r="M1247" s="7" t="n">
        <x:v>7</x:v>
      </x:c>
      <x:c r="N1247" s="7" t="str">
        <x:v>Outside current general-Life recruiting pool</x:v>
      </x:c>
      <x:c r="O1247" s="7" t="str">
        <x:v>Not displayed</x:v>
      </x:c>
      <x:c r="P1247" s="7" t="str"/>
      <x:c r="Q1247" s="7" t="str"/>
      <x:c r="R1247" s="7" t="str"/>
      <x:c r="S1247" s="15" t="str"/>
      <x:c r="T1247" s="7" t="str">
        <x:v>No public business phone in collected record</x:v>
      </x:c>
      <x:c r="U1247" s="7" t="str"/>
      <x:c r="V1247" s="7" t="str">
        <x:v>Resident</x:v>
      </x:c>
      <x:c r="W1247" s="7" t="str">
        <x:v>CA</x:v>
      </x:c>
      <x:c r="X1247" s="7" t="str"/>
      <x:c r="Y1247" s="7" t="str"/>
      <x:c r="Z1247" s="7" t="str"/>
      <x:c r="AA1247" s="7" t="str"/>
      <x:c r="AB1247" s="7" t="str"/>
      <x:c r="AC1247" s="7" t="str"/>
      <x:c r="AD1247" s="7" t="str">
        <x:v>No agency or insurer displayed: onboarding opportunity possible; existing business unknown</x:v>
      </x:c>
      <x:c r="AE1247" s="7" t="str">
        <x:v>No public business phone: contact enrichment needed, not proof of poor recruiting fit</x:v>
      </x:c>
      <x:c r="AF1247" s="16" t="str"/>
      <x:c r="AG1247" s="17" t="str"/>
      <x:c r="AH1247" s="7" t="str"/>
      <x:c r="AI1247" s="7" t="str"/>
      <x:c r="AJ1247" s="7" t="str"/>
      <x:c r="AK1247" s="15" t="str"/>
      <x:c r="AL1247" s="7" t="str"/>
      <x:c r="AM1247" s="7" t="str">
        <x:v>AGUILAR  YURI</x:v>
      </x:c>
      <x:c r="AN1247" s="7" t="str">
        <x:v>https://cdicloud.insurance.ca.gov/cal/LicenseDetail?SearchType=IND&amp;SearchLicNbr=0F86530&amp;SearchIndvId=1108089</x:v>
      </x:c>
      <x:c r="AO1247" s="7" t="str">
        <x:v>2026-10-08</x:v>
      </x:c>
      <x:c r="AP1247" s="7" t="str">
        <x:v>41088d90aad4f086a6cf3c961c4d823ecebff5917defbcfaa36706076796ded2</x:v>
      </x:c>
      <x:c r="AQ1247" s="7" t="str">
        <x:v>Accident and Health / Inactive / 10/24/2007 / 10/31/2009 / 10/31/2009
Life-Only / Inactive / 10/24/2007 / 10/31/2009 / 10/31/2009</x:v>
      </x:c>
      <x:c r="AR1247" s="7" t="str">
        <x:v>Inactive</x:v>
      </x:c>
      <x:c r="AS1247" s="7" t="str">
        <x:v>Current detail page</x:v>
      </x:c>
    </x:row>
    <x:row r="1248" ht="52" customHeight="1">
      <x:c r="A1248" s="7" t="str">
        <x:v>AGUILAR YVETTE</x:v>
      </x:c>
      <x:c r="B1248" s="14" t="str">
        <x:f>"0H12738"</x:f>
        <x:v>0H12738</x:v>
      </x:c>
      <x:c r="C1248" s="7" t="str">
        <x:v>Omitted</x:v>
      </x:c>
      <x:c r="D1248" s="7" t="str">
        <x:v>FAIL</x:v>
      </x:c>
      <x:c r="E1248" s="13" t="str">
        <x:v>Pending</x:v>
      </x:c>
      <x:c r="F1248" s="13" t="str"/>
      <x:c r="G1248" s="13" t="str"/>
      <x:c r="H1248" s="13" t="str"/>
      <x:c r="I1248" s="7" t="str">
        <x:v>Was this person reviewed? If rejected, give the actual rule and evidence. If acceptable, correct the omission. Confirm the Life-qualification gate and any record change since selection.</x:v>
      </x:c>
      <x:c r="J1248" s="7" t="str">
        <x:v>L1</x:v>
      </x:c>
      <x:c r="K1248" s="7" t="str">
        <x:v>Verified qualifications do not include active general Life. Current target-pool mismatch; actual historical omission reason unknown.</x:v>
      </x:c>
      <x:c r="L1248" s="7" t="str">
        <x:v>Not supplied; membership is known, motive is not</x:v>
      </x:c>
      <x:c r="M1248" s="7" t="n">
        <x:v>7</x:v>
      </x:c>
      <x:c r="N1248" s="7" t="str">
        <x:v>Outside current general-Life recruiting pool</x:v>
      </x:c>
      <x:c r="O1248" s="7" t="str">
        <x:v>Not displayed</x:v>
      </x:c>
      <x:c r="P1248" s="7" t="str"/>
      <x:c r="Q1248" s="7" t="str"/>
      <x:c r="R1248" s="7" t="str"/>
      <x:c r="S1248" s="15" t="str"/>
      <x:c r="T1248" s="7" t="str">
        <x:v>No public business phone in collected record</x:v>
      </x:c>
      <x:c r="U1248" s="7" t="str"/>
      <x:c r="V1248" s="7" t="str">
        <x:v>Resident</x:v>
      </x:c>
      <x:c r="W1248" s="7" t="str">
        <x:v>CA</x:v>
      </x:c>
      <x:c r="X1248" s="7" t="str"/>
      <x:c r="Y1248" s="7" t="str"/>
      <x:c r="Z1248" s="7" t="str"/>
      <x:c r="AA1248" s="7" t="str"/>
      <x:c r="AB1248" s="7" t="str"/>
      <x:c r="AC1248" s="7" t="str"/>
      <x:c r="AD1248" s="7" t="str">
        <x:v>No agency or insurer displayed: onboarding opportunity possible; existing business unknown</x:v>
      </x:c>
      <x:c r="AE1248" s="7" t="str">
        <x:v>No public business phone: contact enrichment needed, not proof of poor recruiting fit</x:v>
      </x:c>
      <x:c r="AF1248" s="16" t="str"/>
      <x:c r="AG1248" s="17" t="str"/>
      <x:c r="AH1248" s="7" t="str"/>
      <x:c r="AI1248" s="7" t="str"/>
      <x:c r="AJ1248" s="7" t="str"/>
      <x:c r="AK1248" s="15" t="str"/>
      <x:c r="AL1248" s="7" t="str"/>
      <x:c r="AM1248" s="7" t="str">
        <x:v>AGUILAR  YVETTE</x:v>
      </x:c>
      <x:c r="AN1248" s="7" t="str">
        <x:v>https://cdicloud.insurance.ca.gov/cal/LicenseDetail?SearchType=IND&amp;SearchLicNbr=0H12738&amp;SearchIndvId=1353152</x:v>
      </x:c>
      <x:c r="AO1248" s="7" t="str">
        <x:v>2026-10-08</x:v>
      </x:c>
      <x:c r="AP1248" s="7" t="str">
        <x:v>7416dc5ea075bcc98f6571d06a472a3d15ff3e63a47fe64f158cdeef5b2537b8</x:v>
      </x:c>
      <x:c r="AQ1248" s="7" t="str">
        <x:v>Life-Only / Inactive / 09/16/2010 / 09/30/2012 / 09/30/2012</x:v>
      </x:c>
      <x:c r="AR1248" s="7" t="str">
        <x:v>Inactive</x:v>
      </x:c>
      <x:c r="AS1248" s="7" t="str">
        <x:v>Current detail page</x:v>
      </x:c>
    </x:row>
    <x:row r="1249" ht="52" customHeight="1">
      <x:c r="A1249" s="7" t="str">
        <x:v>AGUILAR ZINDY</x:v>
      </x:c>
      <x:c r="B1249" s="14" t="str">
        <x:f>"0M28487"</x:f>
        <x:v>0M28487</x:v>
      </x:c>
      <x:c r="C1249" s="7" t="str">
        <x:v>Omitted</x:v>
      </x:c>
      <x:c r="D1249" s="7" t="str">
        <x:v>FAIL</x:v>
      </x:c>
      <x:c r="E1249" s="13" t="str">
        <x:v>Pending</x:v>
      </x:c>
      <x:c r="F1249" s="13" t="str"/>
      <x:c r="G1249" s="13" t="str"/>
      <x:c r="H1249" s="13" t="str"/>
      <x:c r="I1249" s="7" t="str">
        <x:v>Was this person reviewed? If rejected, give the actual rule and evidence. If acceptable, correct the omission. Confirm the Life-qualification gate and any record change since selection.</x:v>
      </x:c>
      <x:c r="J1249" s="7" t="str">
        <x:v>L1</x:v>
      </x:c>
      <x:c r="K1249" s="7" t="str">
        <x:v>Verified qualifications do not include active general Life. Current target-pool mismatch; actual historical omission reason unknown.</x:v>
      </x:c>
      <x:c r="L1249" s="7" t="str">
        <x:v>Not supplied; membership is known, motive is not</x:v>
      </x:c>
      <x:c r="M1249" s="7" t="n">
        <x:v>7</x:v>
      </x:c>
      <x:c r="N1249" s="7" t="str">
        <x:v>Outside current general-Life recruiting pool</x:v>
      </x:c>
      <x:c r="O1249" s="7" t="str">
        <x:v>Not displayed</x:v>
      </x:c>
      <x:c r="P1249" s="7" t="str"/>
      <x:c r="Q1249" s="7" t="str"/>
      <x:c r="R1249" s="7" t="str"/>
      <x:c r="S1249" s="15" t="str">
        <x:v>626-550-0020</x:v>
      </x:c>
      <x:c r="T1249" s="7" t="str">
        <x:v>Current CDI</x:v>
      </x:c>
      <x:c r="U1249" s="7" t="str">
        <x:v>50 W LEMON AVE MONROVIA CA, 91016</x:v>
      </x:c>
      <x:c r="V1249" s="7" t="str">
        <x:v>Resident</x:v>
      </x:c>
      <x:c r="W1249" s="7" t="str">
        <x:v>CA</x:v>
      </x:c>
      <x:c r="X1249" s="7" t="str"/>
      <x:c r="Y1249" s="7" t="str"/>
      <x:c r="Z1249" s="7" t="str"/>
      <x:c r="AA1249" s="7" t="str"/>
      <x:c r="AB1249" s="7" t="str"/>
      <x:c r="AC1249" s="7" t="str"/>
      <x:c r="AD1249" s="7" t="str">
        <x:v>No agency or insurer displayed: onboarding opportunity possible; existing business unknown</x:v>
      </x:c>
      <x:c r="AE1249" s="7" t="str"/>
      <x:c r="AF1249" s="16" t="str"/>
      <x:c r="AG1249" s="17" t="str"/>
      <x:c r="AH1249" s="7" t="str"/>
      <x:c r="AI1249" s="7" t="str">
        <x:v>English</x:v>
      </x:c>
      <x:c r="AJ1249" s="7" t="str"/>
      <x:c r="AK1249" s="15" t="str"/>
      <x:c r="AL1249" s="7" t="str"/>
      <x:c r="AM1249" s="7" t="str">
        <x:v>AGUILAR  ZINDY</x:v>
      </x:c>
      <x:c r="AN1249" s="7" t="str">
        <x:v>https://cdicloud.insurance.ca.gov/cal/LicenseDetail?SearchType=IND&amp;SearchLicNbr=0M28487&amp;SearchIndvId=2012116</x:v>
      </x:c>
      <x:c r="AO1249" s="7" t="str">
        <x:v>2026-10-08</x:v>
      </x:c>
      <x:c r="AP1249" s="7" t="str">
        <x:v>d70d7c90574b33d581749009c545c667630087f0f0377c8bef2d7c497adea12d</x:v>
      </x:c>
      <x:c r="AQ1249" s="7" t="str">
        <x:v>Accident &amp; Health or Sickness / Inactive / 04/06/2018 / 04/30/2022 / 04/30/2022
Personal Lines / Inactive / 09/18/2020 / 04/30/2022 / 04/30/2022</x:v>
      </x:c>
      <x:c r="AR1249" s="7" t="str">
        <x:v>Inactive</x:v>
      </x:c>
      <x:c r="AS1249" s="7" t="str">
        <x:v>Current detail page</x:v>
      </x:c>
    </x:row>
    <x:row r="1250" ht="52" customHeight="1">
      <x:c r="A1250" s="7" t="str">
        <x:v>AGUILAR ZOE</x:v>
      </x:c>
      <x:c r="B1250" s="14" t="str">
        <x:f>"4445285"</x:f>
        <x:v>4445285</x:v>
      </x:c>
      <x:c r="C1250" s="7" t="str">
        <x:v>Omitted</x:v>
      </x:c>
      <x:c r="D1250" s="7" t="str">
        <x:v>FAIL</x:v>
      </x:c>
      <x:c r="E1250" s="13" t="str">
        <x:v>Pending</x:v>
      </x:c>
      <x:c r="F1250" s="13" t="str"/>
      <x:c r="G1250" s="13" t="str"/>
      <x:c r="H1250" s="13" t="str"/>
      <x:c r="I1250" s="7" t="str">
        <x:v>Was this person reviewed? If rejected, give the actual rule and evidence. If acceptable, correct the omission. Confirm the Life-qualification gate and any record change since selection.</x:v>
      </x:c>
      <x:c r="J1250" s="7" t="str">
        <x:v>L1</x:v>
      </x:c>
      <x:c r="K1250" s="7" t="str">
        <x:v>Verified qualifications do not include active general Life. Current target-pool mismatch; actual historical omission reason unknown.</x:v>
      </x:c>
      <x:c r="L1250" s="7" t="str">
        <x:v>Not supplied; membership is known, motive is not</x:v>
      </x:c>
      <x:c r="M1250" s="7" t="n">
        <x:v>7</x:v>
      </x:c>
      <x:c r="N1250" s="7" t="str">
        <x:v>Outside current general-Life recruiting pool</x:v>
      </x:c>
      <x:c r="O1250" s="7" t="str">
        <x:v>Not displayed</x:v>
      </x:c>
      <x:c r="P1250" s="7" t="str"/>
      <x:c r="Q1250" s="7" t="str"/>
      <x:c r="R1250" s="7" t="str">
        <x:v>Personal Lines</x:v>
      </x:c>
      <x:c r="S1250" s="15" t="str"/>
      <x:c r="T1250" s="7" t="str">
        <x:v>No public business phone in collected record</x:v>
      </x:c>
      <x:c r="U1250" s="7" t="str">
        <x:v>3145 LYNN CREEK PKWY APT 1108 GRAND PRAIRIE TX, 75052</x:v>
      </x:c>
      <x:c r="V1250" s="7" t="str">
        <x:v>Non-resident</x:v>
      </x:c>
      <x:c r="W1250" s="7" t="str">
        <x:v>TX</x:v>
      </x:c>
      <x:c r="X1250" s="7" t="str"/>
      <x:c r="Y1250" s="7" t="str">
        <x:v>GARRISON PROPERTY AND CASUALTY INSURANCE COMPANY / Personal Lines / 02/23/2025
UNITED SERVICES AUTOMOBILE ASSOCIATION / Personal Lines / 02/23/2025
USAA CASUALTY INSURANCE COMPANY / Personal Lines / 02/23/2025
USAA GENERAL INDEMNITY COMPANY / Personal Lines / 02/23/2025</x:v>
      </x:c>
      <x:c r="Z1250" s="7" t="str"/>
      <x:c r="AA1250" s="7" t="str"/>
      <x:c r="AB1250" s="7" t="str"/>
      <x:c r="AC1250" s="7" t="str"/>
      <x:c r="AD1250" s="7" t="str"/>
      <x:c r="AE1250"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1250" s="16" t="str"/>
      <x:c r="AG1250" s="17" t="str"/>
      <x:c r="AH1250" s="7" t="str"/>
      <x:c r="AI1250" s="7" t="str"/>
      <x:c r="AJ1250" s="7" t="str"/>
      <x:c r="AK1250" s="15" t="str"/>
      <x:c r="AL1250" s="7" t="str"/>
      <x:c r="AM1250" s="7" t="str">
        <x:v>AGUILAR  ZOE</x:v>
      </x:c>
      <x:c r="AN1250" s="7" t="str">
        <x:v>https://cdicloud.insurance.ca.gov/cal/LicenseDetail?SearchType=IND&amp;SearchLicNbr=4445285&amp;SearchIndvId=4445285</x:v>
      </x:c>
      <x:c r="AO1250" s="7" t="str">
        <x:v>2026-10-08</x:v>
      </x:c>
      <x:c r="AP1250" s="7" t="str">
        <x:v>e425f57546d5d12727732b027de09018a4acca567e9c46058df41f347c68fa3d</x:v>
      </x:c>
      <x:c r="AQ1250" s="7" t="str">
        <x:v>Personal Lines / Active / 02/21/2025 / 02/21/2025 / 02/28/2027</x:v>
      </x:c>
      <x:c r="AR1250" s="7" t="str">
        <x:v>Active</x:v>
      </x:c>
      <x:c r="AS1250" s="7" t="str">
        <x:v>Current detail page</x:v>
      </x:c>
    </x:row>
    <x:row r="1251" ht="52" customHeight="1">
      <x:c r="A1251" s="7" t="str">
        <x:v>AGUILAR ZUL</x:v>
      </x:c>
      <x:c r="B1251" s="14" t="str">
        <x:f>"0I64297"</x:f>
        <x:v>0I64297</x:v>
      </x:c>
      <x:c r="C1251" s="7" t="str">
        <x:v>Omitted</x:v>
      </x:c>
      <x:c r="D1251" s="7" t="str">
        <x:v>FAIL</x:v>
      </x:c>
      <x:c r="E1251" s="13" t="str">
        <x:v>Pending</x:v>
      </x:c>
      <x:c r="F1251" s="13" t="str"/>
      <x:c r="G1251" s="13" t="str"/>
      <x:c r="H1251" s="13" t="str"/>
      <x:c r="I1251" s="7" t="str">
        <x:v>Was this person reviewed? If rejected, give the actual rule and evidence. If acceptable, correct the omission. Confirm the Life-qualification gate and any record change since selection.</x:v>
      </x:c>
      <x:c r="J1251" s="7" t="str">
        <x:v>L1</x:v>
      </x:c>
      <x:c r="K1251" s="7" t="str">
        <x:v>Verified qualifications do not include active general Life. Current target-pool mismatch; actual historical omission reason unknown.</x:v>
      </x:c>
      <x:c r="L1251" s="7" t="str">
        <x:v>Not supplied; membership is known, motive is not</x:v>
      </x:c>
      <x:c r="M1251" s="7" t="n">
        <x:v>7</x:v>
      </x:c>
      <x:c r="N1251" s="7" t="str">
        <x:v>Outside current general-Life recruiting pool</x:v>
      </x:c>
      <x:c r="O1251" s="7" t="str">
        <x:v>Not displayed</x:v>
      </x:c>
      <x:c r="P1251" s="7" t="str"/>
      <x:c r="Q1251" s="7" t="str"/>
      <x:c r="R1251" s="7" t="str"/>
      <x:c r="S1251" s="15" t="str"/>
      <x:c r="T1251" s="7" t="str">
        <x:v>No public business phone in collected record</x:v>
      </x:c>
      <x:c r="U1251" s="7" t="str"/>
      <x:c r="V1251" s="7" t="str">
        <x:v>Non-resident</x:v>
      </x:c>
      <x:c r="W1251" s="7" t="str">
        <x:v>AZ</x:v>
      </x:c>
      <x:c r="X1251" s="7" t="str"/>
      <x:c r="Y1251" s="7" t="str"/>
      <x:c r="Z1251" s="7" t="str"/>
      <x:c r="AA1251" s="7" t="str"/>
      <x:c r="AB1251" s="7" t="str"/>
      <x:c r="AC1251" s="7" t="str"/>
      <x:c r="AD1251" s="7" t="str">
        <x:v>No agency or insurer displayed: onboarding opportunity possible; existing business unknown</x:v>
      </x:c>
      <x:c r="AE1251" s="7" t="str">
        <x:v>Nonresident or address state outside CA; confirm geographic recruiting scope | No public business phone: contact enrichment needed, not proof of poor recruiting fit</x:v>
      </x:c>
      <x:c r="AF1251" s="16" t="str"/>
      <x:c r="AG1251" s="17" t="str"/>
      <x:c r="AH1251" s="7" t="str"/>
      <x:c r="AI1251" s="7" t="str"/>
      <x:c r="AJ1251" s="7" t="str"/>
      <x:c r="AK1251" s="15" t="str"/>
      <x:c r="AL1251" s="7" t="str"/>
      <x:c r="AM1251" s="7" t="str">
        <x:v>AGUILAR  ZUL</x:v>
      </x:c>
      <x:c r="AN1251" s="7" t="str">
        <x:v>https://cdicloud.insurance.ca.gov/cal/LicenseDetail?SearchType=IND&amp;SearchLicNbr=0I64297&amp;SearchIndvId=1631318</x:v>
      </x:c>
      <x:c r="AO1251" s="7" t="str">
        <x:v>2026-10-08</x:v>
      </x:c>
      <x:c r="AP1251" s="7" t="str">
        <x:v>73c77f887d0169471486d3484d9b3542c1344fca1c54778b0d09926902398fb7</x:v>
      </x:c>
      <x:c r="AQ1251" s="7" t="str">
        <x:v>Accident and Health / Inactive / 11/25/2013 / 11/30/2015 / 11/30/2015</x:v>
      </x:c>
      <x:c r="AR1251" s="7" t="str">
        <x:v>Inactive</x:v>
      </x:c>
      <x:c r="AS1251" s="7" t="str">
        <x:v>Current detail page</x:v>
      </x:c>
    </x:row>
    <x:row r="1252" ht="52" customHeight="1">
      <x:c r="A1252" s="7" t="str">
        <x:v>AGUILAR- ALVAREZ CARLOS</x:v>
      </x:c>
      <x:c r="B1252" s="14" t="str">
        <x:f>"4385120"</x:f>
        <x:v>4385120</x:v>
      </x:c>
      <x:c r="C1252" s="7" t="str">
        <x:v>Omitted</x:v>
      </x:c>
      <x:c r="D1252" s="7" t="str">
        <x:v>FAIL</x:v>
      </x:c>
      <x:c r="E1252" s="13" t="str">
        <x:v>Pending</x:v>
      </x:c>
      <x:c r="F1252" s="13" t="str"/>
      <x:c r="G1252" s="13" t="str"/>
      <x:c r="H1252" s="13" t="str"/>
      <x:c r="I1252" s="7" t="str">
        <x:v>Was this person reviewed? If rejected, give the actual rule and evidence. If acceptable, correct the omission. Confirm the Life-qualification gate and any record change since selection.</x:v>
      </x:c>
      <x:c r="J1252" s="7" t="str">
        <x:v>L1</x:v>
      </x:c>
      <x:c r="K1252" s="7" t="str">
        <x:v>Verified qualifications do not include active general Life. Current target-pool mismatch; actual historical omission reason unknown.</x:v>
      </x:c>
      <x:c r="L1252" s="7" t="str">
        <x:v>Not supplied; membership is known, motive is not</x:v>
      </x:c>
      <x:c r="M1252" s="7" t="n">
        <x:v>7</x:v>
      </x:c>
      <x:c r="N1252" s="7" t="str">
        <x:v>Outside current general-Life recruiting pool</x:v>
      </x:c>
      <x:c r="O1252" s="7" t="str">
        <x:v>Inactive</x:v>
      </x:c>
      <x:c r="P1252" s="7" t="str">
        <x:v>06/27/2024</x:v>
      </x:c>
      <x:c r="Q1252" s="7" t="str">
        <x:v>06/30/2026</x:v>
      </x:c>
      <x:c r="R1252" s="7" t="str"/>
      <x:c r="S1252" s="15" t="str">
        <x:v>702-741-8080</x:v>
      </x:c>
      <x:c r="T1252" s="7" t="str">
        <x:v>Current CDI</x:v>
      </x:c>
      <x:c r="U1252" s="7" t="str">
        <x:v>17032 SAINT ANDREWS LN HUNTINGTON BEACH CA, 92649</x:v>
      </x:c>
      <x:c r="V1252" s="7" t="str">
        <x:v>Resident</x:v>
      </x:c>
      <x:c r="W1252" s="7" t="str">
        <x:v>CA</x:v>
      </x:c>
      <x:c r="X1252" s="7" t="str"/>
      <x:c r="Y1252" s="7" t="str"/>
      <x:c r="Z1252" s="7" t="str"/>
      <x:c r="AA1252" s="7" t="str"/>
      <x:c r="AB1252" s="7" t="str"/>
      <x:c r="AC1252" s="7" t="str"/>
      <x:c r="AD1252" s="7" t="str">
        <x:v>No agency or insurer displayed: onboarding opportunity possible; existing business unknown</x:v>
      </x:c>
      <x:c r="AE1252" s="7" t="str"/>
      <x:c r="AF1252" s="16" t="str"/>
      <x:c r="AG1252" s="17" t="str"/>
      <x:c r="AH1252" s="7" t="str"/>
      <x:c r="AI1252" s="7" t="str">
        <x:v>English</x:v>
      </x:c>
      <x:c r="AJ1252" s="7" t="str"/>
      <x:c r="AK1252" s="15" t="str"/>
      <x:c r="AL1252" s="7" t="str"/>
      <x:c r="AM1252" s="7" t="str">
        <x:v>AGUILAR- ALVAREZ  CARLOS | Aguilar-Alvarez  Carlos</x:v>
      </x:c>
      <x:c r="AN1252" s="7" t="str">
        <x:v>https://cdicloud.insurance.ca.gov/cal/LicenseDetail?SearchType=IND&amp;SearchLicNbr=4385120&amp;SearchIndvId=4385120</x:v>
      </x:c>
      <x:c r="AO1252" s="7" t="str">
        <x:v>2026-10-08</x:v>
      </x:c>
      <x:c r="AP1252" s="7" t="str">
        <x:v>3d8b195e49e260683653b6c6f08efc80d013e4097f376c5a024bc9aca6b9ccb7</x:v>
      </x:c>
      <x:c r="AQ1252" s="7" t="str">
        <x:v>Accident &amp; Health or Sickness / Inactive / 06/27/2024 / 06/30/2026 / 06/30/2026
Life / Inactive / 06/27/2024 / 06/30/2026 / 06/30/2026</x:v>
      </x:c>
      <x:c r="AR1252" s="7" t="str">
        <x:v>Inactive</x:v>
      </x:c>
      <x:c r="AS1252" s="7" t="str">
        <x:v>Current detail page</x:v>
      </x:c>
    </x:row>
    <x:row r="1253" ht="52" customHeight="1">
      <x:c r="A1253" s="7" t="str">
        <x:v>AGUILAR-ACEVEDO JAIME A</x:v>
      </x:c>
      <x:c r="B1253" s="14" t="str">
        <x:f>"0I49842"</x:f>
        <x:v>0I49842</x:v>
      </x:c>
      <x:c r="C1253" s="7" t="str">
        <x:v>Omitted</x:v>
      </x:c>
      <x:c r="D1253" s="7" t="str">
        <x:v>FAIL</x:v>
      </x:c>
      <x:c r="E1253" s="13" t="str">
        <x:v>Pending</x:v>
      </x:c>
      <x:c r="F1253" s="13" t="str"/>
      <x:c r="G1253" s="13" t="str"/>
      <x:c r="H1253" s="13" t="str"/>
      <x:c r="I1253" s="7" t="str">
        <x:v>Was this person reviewed? If rejected, give the actual rule and evidence. If acceptable, correct the omission. Confirm the Life-qualification gate and any record change since selection.</x:v>
      </x:c>
      <x:c r="J1253" s="7" t="str">
        <x:v>L1</x:v>
      </x:c>
      <x:c r="K1253" s="7" t="str">
        <x:v>Verified qualifications do not include active general Life. Current target-pool mismatch; actual historical omission reason unknown.</x:v>
      </x:c>
      <x:c r="L1253" s="7" t="str">
        <x:v>Not supplied; membership is known, motive is not</x:v>
      </x:c>
      <x:c r="M1253" s="7" t="n">
        <x:v>7</x:v>
      </x:c>
      <x:c r="N1253" s="7" t="str">
        <x:v>Outside current general-Life recruiting pool</x:v>
      </x:c>
      <x:c r="O1253" s="7" t="str">
        <x:v>Not displayed</x:v>
      </x:c>
      <x:c r="P1253" s="7" t="str"/>
      <x:c r="Q1253" s="7" t="str"/>
      <x:c r="R1253" s="7" t="str"/>
      <x:c r="S1253" s="15" t="str"/>
      <x:c r="T1253" s="7" t="str">
        <x:v>No public business phone in collected record</x:v>
      </x:c>
      <x:c r="U1253" s="7" t="str"/>
      <x:c r="V1253" s="7" t="str">
        <x:v>Resident</x:v>
      </x:c>
      <x:c r="W1253" s="7" t="str">
        <x:v>CA</x:v>
      </x:c>
      <x:c r="X1253" s="7" t="str"/>
      <x:c r="Y1253" s="7" t="str"/>
      <x:c r="Z1253" s="7" t="str"/>
      <x:c r="AA1253" s="7" t="str"/>
      <x:c r="AB1253" s="7" t="str"/>
      <x:c r="AC1253" s="7" t="str"/>
      <x:c r="AD1253" s="7" t="str">
        <x:v>No agency or insurer displayed: onboarding opportunity possible; existing business unknown</x:v>
      </x:c>
      <x:c r="AE1253" s="7" t="str">
        <x:v>No public business phone: contact enrichment needed, not proof of poor recruiting fit</x:v>
      </x:c>
      <x:c r="AF1253" s="16" t="str"/>
      <x:c r="AG1253" s="17" t="str"/>
      <x:c r="AH1253" s="7" t="str"/>
      <x:c r="AI1253" s="7" t="str">
        <x:v>English</x:v>
      </x:c>
      <x:c r="AJ1253" s="7" t="str"/>
      <x:c r="AK1253" s="15" t="str"/>
      <x:c r="AL1253" s="7" t="str"/>
      <x:c r="AM1253" s="7" t="str">
        <x:v>AGUILAR  JAIME | AGUILAR-ACEVEDO A JAIME</x:v>
      </x:c>
      <x:c r="AN1253" s="7" t="str">
        <x:v>https://cdicloud.insurance.ca.gov/cal/LicenseDetail?SearchType=IND&amp;SearchLicNbr=0I49842&amp;SearchIndvId=1599297</x:v>
      </x:c>
      <x:c r="AO1253" s="7" t="str">
        <x:v>2026-10-08</x:v>
      </x:c>
      <x:c r="AP1253" s="7" t="str">
        <x:v>3cb4f72204c23f14bca67579731eaa2d6ce0e498828ef25d794d40559db9b2bb</x:v>
      </x:c>
      <x:c r="AQ1253" s="7" t="str">
        <x:v>Life-Only / Inactive / 08/26/2013 / 08/31/2019 / 08/31/2019
Variable Contracts / Inactive / 08/26/2013 / 08/31/2019 / 08/31/2019</x:v>
      </x:c>
      <x:c r="AR1253" s="7" t="str">
        <x:v>Inactive</x:v>
      </x:c>
      <x:c r="AS1253" s="7" t="str">
        <x:v>Current detail page</x:v>
      </x:c>
    </x:row>
    <x:row r="1254" ht="52" customHeight="1">
      <x:c r="A1254" s="7" t="str">
        <x:v>AGUILAR-ALVARADO MONICA GUADALUPE</x:v>
      </x:c>
      <x:c r="B1254" s="14" t="str">
        <x:f>"0M46562"</x:f>
        <x:v>0M46562</x:v>
      </x:c>
      <x:c r="C1254" s="7" t="str">
        <x:v>Omitted</x:v>
      </x:c>
      <x:c r="D1254" s="7" t="str">
        <x:v>FAIL</x:v>
      </x:c>
      <x:c r="E1254" s="13" t="str">
        <x:v>Pending</x:v>
      </x:c>
      <x:c r="F1254" s="13" t="str"/>
      <x:c r="G1254" s="13" t="str"/>
      <x:c r="H1254" s="13" t="str"/>
      <x:c r="I1254" s="7" t="str">
        <x:v>Was this person reviewed? If rejected, give the actual rule and evidence. If acceptable, correct the omission. Confirm the Life-qualification gate and any record change since selection.</x:v>
      </x:c>
      <x:c r="J1254" s="7" t="str">
        <x:v>L1</x:v>
      </x:c>
      <x:c r="K1254" s="7" t="str">
        <x:v>Verified qualifications do not include active general Life. Current target-pool mismatch; actual historical omission reason unknown.</x:v>
      </x:c>
      <x:c r="L1254" s="7" t="str">
        <x:v>Not supplied; membership is known, motive is not</x:v>
      </x:c>
      <x:c r="M1254" s="7" t="n">
        <x:v>7</x:v>
      </x:c>
      <x:c r="N1254" s="7" t="str">
        <x:v>Outside current general-Life recruiting pool</x:v>
      </x:c>
      <x:c r="O1254" s="7" t="str">
        <x:v>Not displayed</x:v>
      </x:c>
      <x:c r="P1254" s="7" t="str"/>
      <x:c r="Q1254" s="7" t="str"/>
      <x:c r="R1254" s="7" t="str"/>
      <x:c r="S1254" s="15" t="str"/>
      <x:c r="T1254" s="7" t="str">
        <x:v>No public business phone in collected record</x:v>
      </x:c>
      <x:c r="U1254" s="7" t="str"/>
      <x:c r="V1254" s="7" t="str">
        <x:v>Resident</x:v>
      </x:c>
      <x:c r="W1254" s="7" t="str">
        <x:v>CA</x:v>
      </x:c>
      <x:c r="X1254" s="7" t="str"/>
      <x:c r="Y1254" s="7" t="str"/>
      <x:c r="Z1254" s="7" t="str"/>
      <x:c r="AA1254" s="7" t="str"/>
      <x:c r="AB1254" s="7" t="str"/>
      <x:c r="AC1254" s="7" t="str"/>
      <x:c r="AD1254" s="7" t="str">
        <x:v>No agency or insurer displayed: onboarding opportunity possible; existing business unknown</x:v>
      </x:c>
      <x:c r="AE1254" s="7" t="str">
        <x:v>No public business phone: contact enrichment needed, not proof of poor recruiting fit</x:v>
      </x:c>
      <x:c r="AF1254" s="16" t="str"/>
      <x:c r="AG1254" s="17" t="str"/>
      <x:c r="AH1254" s="7" t="str"/>
      <x:c r="AI1254" s="7" t="str"/>
      <x:c r="AJ1254" s="7" t="str"/>
      <x:c r="AK1254" s="15" t="str"/>
      <x:c r="AL1254" s="7" t="str"/>
      <x:c r="AM1254" s="7" t="str">
        <x:v>AGUILAR-ALVARADO G MONICA | AGUILAR-ALVARADO GUADALUPE MONICA</x:v>
      </x:c>
      <x:c r="AN1254" s="7" t="str">
        <x:v>https://cdicloud.insurance.ca.gov/cal/LicenseDetail?SearchType=IND&amp;SearchLicNbr=0M46562&amp;SearchIndvId=2029646</x:v>
      </x:c>
      <x:c r="AO1254" s="7" t="str">
        <x:v>2026-10-08</x:v>
      </x:c>
      <x:c r="AP1254" s="7" t="str">
        <x:v>124c05d7d3ed8e4ef56003a58ac5564021c122ae658f6ebb1b50d483eda894f0</x:v>
      </x:c>
      <x:c r="AQ1254" s="7" t="str">
        <x:v>Life-Only / Inactive / 07/25/2018 / 07/31/2020 / 07/31/2020</x:v>
      </x:c>
      <x:c r="AR1254" s="7" t="str">
        <x:v>Inactive</x:v>
      </x:c>
      <x:c r="AS1254" s="7" t="str">
        <x:v>Current detail page</x:v>
      </x:c>
    </x:row>
    <x:row r="1255" ht="52" customHeight="1">
      <x:c r="A1255" s="7" t="str">
        <x:v>AGUILAR-ANDRADE AMANDA MIGUEL</x:v>
      </x:c>
      <x:c r="B1255" s="14" t="str">
        <x:f>"2125667"</x:f>
        <x:v>2125667</x:v>
      </x:c>
      <x:c r="C1255" s="7" t="str">
        <x:v>Omitted</x:v>
      </x:c>
      <x:c r="D1255" s="7" t="str">
        <x:v>FAIL</x:v>
      </x:c>
      <x:c r="E1255" s="13" t="str">
        <x:v>Pending</x:v>
      </x:c>
      <x:c r="F1255" s="13" t="str"/>
      <x:c r="G1255" s="13" t="str"/>
      <x:c r="H1255" s="13" t="str"/>
      <x:c r="I1255" s="7" t="str">
        <x:v>Was this person reviewed? If rejected, give the actual rule and evidence. If acceptable, correct the omission. Confirm the Life-qualification gate and any record change since selection.</x:v>
      </x:c>
      <x:c r="J1255" s="7" t="str">
        <x:v>L1</x:v>
      </x:c>
      <x:c r="K1255" s="7" t="str">
        <x:v>Verified qualifications do not include active general Life. Current target-pool mismatch; actual historical omission reason unknown.</x:v>
      </x:c>
      <x:c r="L1255" s="7" t="str">
        <x:v>Not supplied; membership is known, motive is not</x:v>
      </x:c>
      <x:c r="M1255" s="7" t="n">
        <x:v>7</x:v>
      </x:c>
      <x:c r="N1255" s="7" t="str">
        <x:v>Outside current general-Life recruiting pool</x:v>
      </x:c>
      <x:c r="O1255" s="7" t="str">
        <x:v>Inactive</x:v>
      </x:c>
      <x:c r="P1255" s="7" t="str">
        <x:v>08/17/2019</x:v>
      </x:c>
      <x:c r="Q1255" s="7" t="str">
        <x:v>08/31/2021</x:v>
      </x:c>
      <x:c r="R1255" s="7" t="str"/>
      <x:c r="S1255" s="15" t="str"/>
      <x:c r="T1255" s="7" t="str">
        <x:v>No public business phone in collected record</x:v>
      </x:c>
      <x:c r="U1255" s="7" t="str"/>
      <x:c r="V1255" s="7" t="str">
        <x:v>Resident</x:v>
      </x:c>
      <x:c r="W1255" s="7" t="str">
        <x:v>CA</x:v>
      </x:c>
      <x:c r="X1255" s="7" t="str"/>
      <x:c r="Y1255" s="7" t="str"/>
      <x:c r="Z1255" s="7" t="str"/>
      <x:c r="AA1255" s="7" t="str"/>
      <x:c r="AB1255" s="7" t="str"/>
      <x:c r="AC1255" s="7" t="str"/>
      <x:c r="AD1255" s="7" t="str">
        <x:v>No agency or insurer displayed: onboarding opportunity possible; existing business unknown</x:v>
      </x:c>
      <x:c r="AE1255" s="7" t="str">
        <x:v>No public business phone: contact enrichment needed, not proof of poor recruiting fit</x:v>
      </x:c>
      <x:c r="AF1255" s="16" t="str"/>
      <x:c r="AG1255" s="17" t="str"/>
      <x:c r="AH1255" s="7" t="str"/>
      <x:c r="AI1255" s="7" t="str"/>
      <x:c r="AJ1255" s="7" t="str"/>
      <x:c r="AK1255" s="15" t="str"/>
      <x:c r="AL1255" s="7" t="str"/>
      <x:c r="AM1255" s="7" t="str">
        <x:v>Aguilar-Andrade M Amanda | AGUILAR-ANDRADE MIGUEL AMANDA</x:v>
      </x:c>
      <x:c r="AN1255" s="7" t="str">
        <x:v>https://cdicloud.insurance.ca.gov/cal/LicenseDetail?SearchType=IND&amp;SearchLicNbr=2125667&amp;SearchIndvId=2125667</x:v>
      </x:c>
      <x:c r="AO1255" s="7" t="str">
        <x:v>2026-10-08</x:v>
      </x:c>
      <x:c r="AP1255" s="7" t="str">
        <x:v>327f8d764eec490a0aacb6e4b48f07498ecb808ff3c4716151f5321dd584ca2a</x:v>
      </x:c>
      <x:c r="AQ1255" s="7" t="str">
        <x:v>Life / Inactive / 08/17/2019 / 08/31/2021 / 08/31/2021</x:v>
      </x:c>
      <x:c r="AR1255" s="7" t="str">
        <x:v>Inactive</x:v>
      </x:c>
      <x:c r="AS1255" s="7" t="str">
        <x:v>Current detail page</x:v>
      </x:c>
    </x:row>
    <x:row r="1256" ht="52" customHeight="1">
      <x:c r="A1256" s="7" t="str">
        <x:v>AGUILAR-ANDRADE HUMBERTO AGUILAR</x:v>
      </x:c>
      <x:c r="B1256" s="14" t="str">
        <x:f>"0G52672"</x:f>
        <x:v>0G52672</x:v>
      </x:c>
      <x:c r="C1256" s="7" t="str">
        <x:v>Omitted</x:v>
      </x:c>
      <x:c r="D1256" s="7" t="str">
        <x:v>FAIL</x:v>
      </x:c>
      <x:c r="E1256" s="13" t="str">
        <x:v>Pending</x:v>
      </x:c>
      <x:c r="F1256" s="13" t="str"/>
      <x:c r="G1256" s="13" t="str"/>
      <x:c r="H1256" s="13" t="str"/>
      <x:c r="I1256" s="7" t="str">
        <x:v>Was this person reviewed? If rejected, give the actual rule and evidence. If acceptable, correct the omission. Confirm the Life-qualification gate and any record change since selection.</x:v>
      </x:c>
      <x:c r="J1256" s="7" t="str">
        <x:v>L1</x:v>
      </x:c>
      <x:c r="K1256" s="7" t="str">
        <x:v>Verified qualifications do not include active general Life. Current target-pool mismatch; actual historical omission reason unknown.</x:v>
      </x:c>
      <x:c r="L1256" s="7" t="str">
        <x:v>Not supplied; membership is known, motive is not</x:v>
      </x:c>
      <x:c r="M1256" s="7" t="n">
        <x:v>7</x:v>
      </x:c>
      <x:c r="N1256" s="7" t="str">
        <x:v>Outside current general-Life recruiting pool</x:v>
      </x:c>
      <x:c r="O1256" s="7" t="str">
        <x:v>Inactive</x:v>
      </x:c>
      <x:c r="P1256" s="7" t="str">
        <x:v>03/11/2009</x:v>
      </x:c>
      <x:c r="Q1256" s="7" t="str">
        <x:v>06/30/2023</x:v>
      </x:c>
      <x:c r="R1256" s="7" t="str"/>
      <x:c r="S1256" s="15" t="str">
        <x:v>619-501-1255</x:v>
      </x:c>
      <x:c r="T1256" s="7" t="str">
        <x:v>Current CDI</x:v>
      </x:c>
      <x:c r="U1256" s="7" t="str">
        <x:v>438 CAMINO DEL RIO S STE 201 SAN DIEGO CA, 92108</x:v>
      </x:c>
      <x:c r="V1256" s="7" t="str">
        <x:v>Resident</x:v>
      </x:c>
      <x:c r="W1256" s="7" t="str">
        <x:v>CA</x:v>
      </x:c>
      <x:c r="X1256" s="7" t="str"/>
      <x:c r="Y1256" s="7" t="str"/>
      <x:c r="Z1256" s="7" t="str"/>
      <x:c r="AA1256" s="7" t="str"/>
      <x:c r="AB1256" s="7" t="str"/>
      <x:c r="AC1256" s="7" t="str"/>
      <x:c r="AD1256" s="7" t="str">
        <x:v>No agency or insurer displayed: onboarding opportunity possible; existing business unknown</x:v>
      </x:c>
      <x:c r="AE1256" s="7" t="str"/>
      <x:c r="AF1256" s="16" t="str"/>
      <x:c r="AG1256" s="17" t="str"/>
      <x:c r="AH1256" s="7" t="str"/>
      <x:c r="AI1256" s="7" t="str">
        <x:v>English</x:v>
      </x:c>
      <x:c r="AJ1256" s="7" t="str"/>
      <x:c r="AK1256" s="15" t="str"/>
      <x:c r="AL1256" s="7" t="str"/>
      <x:c r="AM1256" s="7" t="str">
        <x:v>AGUILAR  HUMBERTO | AGUILAR-ANDRADE AGUILAR HUMBERTO</x:v>
      </x:c>
      <x:c r="AN1256" s="7" t="str">
        <x:v>https://cdicloud.insurance.ca.gov/cal/LicenseDetail?SearchType=IND&amp;SearchLicNbr=0G52672&amp;SearchIndvId=1241092</x:v>
      </x:c>
      <x:c r="AO1256" s="7" t="str">
        <x:v>2026-10-08</x:v>
      </x:c>
      <x:c r="AP1256" s="7" t="str">
        <x:v>139bb197a81bff2238a99d710b93a21b63f6f44aea4c52c29ba4b3fd3b652b58</x:v>
      </x:c>
      <x:c r="AQ1256" s="7" t="str">
        <x:v>Life / Inactive / 03/11/2009 / 06/30/2023 / 06/30/2023</x:v>
      </x:c>
      <x:c r="AR1256" s="7" t="str">
        <x:v>Inactive</x:v>
      </x:c>
      <x:c r="AS1256" s="7" t="str">
        <x:v>Current detail page</x:v>
      </x:c>
    </x:row>
    <x:row r="1257" ht="52" customHeight="1">
      <x:c r="A1257" s="7" t="str">
        <x:v>AGUILAR-ARAGON JOSUE</x:v>
      </x:c>
      <x:c r="B1257" s="14" t="str">
        <x:f>"0I47356"</x:f>
        <x:v>0I47356</x:v>
      </x:c>
      <x:c r="C1257" s="7" t="str">
        <x:v>Omitted</x:v>
      </x:c>
      <x:c r="D1257" s="7" t="str">
        <x:v>FAIL</x:v>
      </x:c>
      <x:c r="E1257" s="13" t="str">
        <x:v>Pending</x:v>
      </x:c>
      <x:c r="F1257" s="13" t="str"/>
      <x:c r="G1257" s="13" t="str"/>
      <x:c r="H1257" s="13" t="str"/>
      <x:c r="I1257" s="7" t="str">
        <x:v>Was this person reviewed? If rejected, give the actual rule and evidence. If acceptable, correct the omission. Confirm the Life-qualification gate and any record change since selection.</x:v>
      </x:c>
      <x:c r="J1257" s="7" t="str">
        <x:v>L1</x:v>
      </x:c>
      <x:c r="K1257" s="7" t="str">
        <x:v>Verified qualifications do not include active general Life. Current target-pool mismatch; actual historical omission reason unknown.</x:v>
      </x:c>
      <x:c r="L1257" s="7" t="str">
        <x:v>Not supplied; membership is known, motive is not</x:v>
      </x:c>
      <x:c r="M1257" s="7" t="n">
        <x:v>7</x:v>
      </x:c>
      <x:c r="N1257" s="7" t="str">
        <x:v>Outside current general-Life recruiting pool</x:v>
      </x:c>
      <x:c r="O1257" s="7" t="str">
        <x:v>Not displayed</x:v>
      </x:c>
      <x:c r="P1257" s="7" t="str"/>
      <x:c r="Q1257" s="7" t="str"/>
      <x:c r="R1257" s="7" t="str"/>
      <x:c r="S1257" s="15" t="str"/>
      <x:c r="T1257" s="7" t="str">
        <x:v>No public business phone in collected record</x:v>
      </x:c>
      <x:c r="U1257" s="7" t="str"/>
      <x:c r="V1257" s="7" t="str">
        <x:v>Resident</x:v>
      </x:c>
      <x:c r="W1257" s="7" t="str">
        <x:v>CA</x:v>
      </x:c>
      <x:c r="X1257" s="7" t="str"/>
      <x:c r="Y1257" s="7" t="str"/>
      <x:c r="Z1257" s="7" t="str"/>
      <x:c r="AA1257" s="7" t="str"/>
      <x:c r="AB1257" s="7" t="str"/>
      <x:c r="AC1257" s="7" t="str"/>
      <x:c r="AD1257" s="7" t="str">
        <x:v>No agency or insurer displayed: onboarding opportunity possible; existing business unknown</x:v>
      </x:c>
      <x:c r="AE1257" s="7" t="str">
        <x:v>No public business phone: contact enrichment needed, not proof of poor recruiting fit</x:v>
      </x:c>
      <x:c r="AF1257" s="16" t="str"/>
      <x:c r="AG1257" s="17" t="str"/>
      <x:c r="AH1257" s="7" t="str"/>
      <x:c r="AI1257" s="7" t="str"/>
      <x:c r="AJ1257" s="7" t="str"/>
      <x:c r="AK1257" s="15" t="str"/>
      <x:c r="AL1257" s="7" t="str"/>
      <x:c r="AM1257" s="7" t="str">
        <x:v>AGUILAR-ARAGON  JOSUE</x:v>
      </x:c>
      <x:c r="AN1257" s="7" t="str">
        <x:v>https://cdicloud.insurance.ca.gov/cal/LicenseDetail?SearchType=IND&amp;SearchLicNbr=0I47356&amp;SearchIndvId=1600316</x:v>
      </x:c>
      <x:c r="AO1257" s="7" t="str">
        <x:v>2026-10-08</x:v>
      </x:c>
      <x:c r="AP1257" s="7" t="str">
        <x:v>752854e969e65a7607a3fc372357c94522f0473a8cafdaa1db17d7e7ebce9bcd</x:v>
      </x:c>
      <x:c r="AQ1257" s="7" t="str">
        <x:v>Life-Only / Inactive / 08/21/2013 / 08/31/2015 / 08/31/2015</x:v>
      </x:c>
      <x:c r="AR1257" s="7" t="str">
        <x:v>Inactive</x:v>
      </x:c>
      <x:c r="AS1257" s="7" t="str">
        <x:v>Current detail page</x:v>
      </x:c>
    </x:row>
    <x:row r="1258" ht="52" customHeight="1">
      <x:c r="A1258" s="7" t="str">
        <x:v>AGUILAR-ARANDA NANCY ESTEFANIA</x:v>
      </x:c>
      <x:c r="B1258" s="14" t="str">
        <x:f>"0M73482"</x:f>
        <x:v>0M73482</x:v>
      </x:c>
      <x:c r="C1258" s="7" t="str">
        <x:v>Omitted</x:v>
      </x:c>
      <x:c r="D1258" s="7" t="str">
        <x:v>FAIL</x:v>
      </x:c>
      <x:c r="E1258" s="13" t="str">
        <x:v>Pending</x:v>
      </x:c>
      <x:c r="F1258" s="13" t="str"/>
      <x:c r="G1258" s="13" t="str"/>
      <x:c r="H1258" s="13" t="str"/>
      <x:c r="I1258" s="7" t="str">
        <x:v>Was this person reviewed? If rejected, give the actual rule and evidence. If acceptable, correct the omission. Confirm the Life-qualification gate and any record change since selection.</x:v>
      </x:c>
      <x:c r="J1258" s="7" t="str">
        <x:v>L1</x:v>
      </x:c>
      <x:c r="K1258" s="7" t="str">
        <x:v>Verified qualifications do not include active general Life. Current target-pool mismatch; actual historical omission reason unknown.</x:v>
      </x:c>
      <x:c r="L1258" s="7" t="str">
        <x:v>Not supplied; membership is known, motive is not</x:v>
      </x:c>
      <x:c r="M1258" s="7" t="n">
        <x:v>7</x:v>
      </x:c>
      <x:c r="N1258" s="7" t="str">
        <x:v>Outside current general-Life recruiting pool</x:v>
      </x:c>
      <x:c r="O1258" s="7" t="str">
        <x:v>Not displayed</x:v>
      </x:c>
      <x:c r="P1258" s="7" t="str"/>
      <x:c r="Q1258" s="7" t="str"/>
      <x:c r="R1258" s="7" t="str"/>
      <x:c r="S1258" s="15" t="str"/>
      <x:c r="T1258" s="7" t="str">
        <x:v>No public business phone in collected record</x:v>
      </x:c>
      <x:c r="U1258" s="7" t="str"/>
      <x:c r="V1258" s="7" t="str">
        <x:v>Resident</x:v>
      </x:c>
      <x:c r="W1258" s="7" t="str">
        <x:v>CA</x:v>
      </x:c>
      <x:c r="X1258" s="7" t="str"/>
      <x:c r="Y1258" s="7" t="str"/>
      <x:c r="Z1258" s="7" t="str"/>
      <x:c r="AA1258" s="7" t="str"/>
      <x:c r="AB1258" s="7" t="str"/>
      <x:c r="AC1258" s="7" t="str"/>
      <x:c r="AD1258" s="7" t="str">
        <x:v>No agency or insurer displayed: onboarding opportunity possible; existing business unknown</x:v>
      </x:c>
      <x:c r="AE1258" s="7" t="str">
        <x:v>No public business phone: contact enrichment needed, not proof of poor recruiting fit</x:v>
      </x:c>
      <x:c r="AF1258" s="16" t="str"/>
      <x:c r="AG1258" s="17" t="str"/>
      <x:c r="AH1258" s="7" t="str"/>
      <x:c r="AI1258" s="7" t="str"/>
      <x:c r="AJ1258" s="7" t="str"/>
      <x:c r="AK1258" s="15" t="str"/>
      <x:c r="AL1258" s="7" t="str"/>
      <x:c r="AM1258" s="7" t="str">
        <x:v>Aguilar-Aranda E Nancy | AGUILAR-ARANDA ESTEFANIA NANCY</x:v>
      </x:c>
      <x:c r="AN1258" s="7" t="str">
        <x:v>https://cdicloud.insurance.ca.gov/cal/LicenseDetail?SearchType=IND&amp;SearchLicNbr=0M73482&amp;SearchIndvId=2076447</x:v>
      </x:c>
      <x:c r="AO1258" s="7" t="str">
        <x:v>2026-10-08</x:v>
      </x:c>
      <x:c r="AP1258" s="7" t="str">
        <x:v>ca037083f788baf14af96fdaca8b3785b53410668b3bb513d2eaddcb7f592d24</x:v>
      </x:c>
      <x:c r="AQ1258" s="7" t="str">
        <x:v>Life-Only / Inactive / 12/17/2018 / 12/31/2020 / 12/31/2020</x:v>
      </x:c>
      <x:c r="AR1258" s="7" t="str">
        <x:v>Inactive</x:v>
      </x:c>
      <x:c r="AS1258" s="7" t="str">
        <x:v>Current detail page</x:v>
      </x:c>
    </x:row>
    <x:row r="1259" ht="52" customHeight="1">
      <x:c r="A1259" s="7" t="str">
        <x:v>AGUILAR-ARELLANO BEVERLY HEMME</x:v>
      </x:c>
      <x:c r="B1259" s="14" t="str">
        <x:f>"0K57762"</x:f>
        <x:v>0K57762</x:v>
      </x:c>
      <x:c r="C1259" s="7" t="str">
        <x:v>Omitted</x:v>
      </x:c>
      <x:c r="D1259" s="7" t="str">
        <x:v>FAIL</x:v>
      </x:c>
      <x:c r="E1259" s="13" t="str">
        <x:v>Pending</x:v>
      </x:c>
      <x:c r="F1259" s="13" t="str"/>
      <x:c r="G1259" s="13" t="str"/>
      <x:c r="H1259" s="13" t="str"/>
      <x:c r="I1259" s="7" t="str">
        <x:v>Was this person reviewed? If rejected, give the actual rule and evidence. If acceptable, correct the omission. Confirm the Life-qualification gate and any record change since selection.</x:v>
      </x:c>
      <x:c r="J1259" s="7" t="str">
        <x:v>L1</x:v>
      </x:c>
      <x:c r="K1259" s="7" t="str">
        <x:v>Verified qualifications do not include active general Life. Current target-pool mismatch; actual historical omission reason unknown.</x:v>
      </x:c>
      <x:c r="L1259" s="7" t="str">
        <x:v>Not supplied; membership is known, motive is not</x:v>
      </x:c>
      <x:c r="M1259" s="7" t="n">
        <x:v>7</x:v>
      </x:c>
      <x:c r="N1259" s="7" t="str">
        <x:v>Outside current general-Life recruiting pool</x:v>
      </x:c>
      <x:c r="O1259" s="7" t="str">
        <x:v>Not displayed</x:v>
      </x:c>
      <x:c r="P1259" s="7" t="str"/>
      <x:c r="Q1259" s="7" t="str"/>
      <x:c r="R1259" s="7" t="str"/>
      <x:c r="S1259" s="15" t="str">
        <x:v>747-677-4036</x:v>
      </x:c>
      <x:c r="T1259" s="7" t="str">
        <x:v>Current CDI</x:v>
      </x:c>
      <x:c r="U1259" s="7" t="str">
        <x:v>13119 PINNEY ST PACOIMA CA, 91331</x:v>
      </x:c>
      <x:c r="V1259" s="7" t="str">
        <x:v>Resident</x:v>
      </x:c>
      <x:c r="W1259" s="7" t="str">
        <x:v>CA</x:v>
      </x:c>
      <x:c r="X1259" s="7" t="str"/>
      <x:c r="Y1259" s="7" t="str"/>
      <x:c r="Z1259" s="7" t="str"/>
      <x:c r="AA1259" s="7" t="str"/>
      <x:c r="AB1259" s="7" t="str"/>
      <x:c r="AC1259" s="7" t="str"/>
      <x:c r="AD1259" s="7" t="str">
        <x:v>No agency or insurer displayed: onboarding opportunity possible; existing business unknown</x:v>
      </x:c>
      <x:c r="AE1259" s="7" t="str"/>
      <x:c r="AF1259" s="16" t="str"/>
      <x:c r="AG1259" s="17" t="str"/>
      <x:c r="AH1259" s="7" t="str"/>
      <x:c r="AI1259" s="7" t="str">
        <x:v>English</x:v>
      </x:c>
      <x:c r="AJ1259" s="7" t="str"/>
      <x:c r="AK1259" s="15" t="str"/>
      <x:c r="AL1259" s="7" t="str"/>
      <x:c r="AM1259" s="7" t="str">
        <x:v>Aguilar-Arellano H Beverly | AGUILAR-ARELLANO HEMME BEVERLY</x:v>
      </x:c>
      <x:c r="AN1259" s="7" t="str">
        <x:v>https://cdicloud.insurance.ca.gov/cal/LicenseDetail?SearchType=IND&amp;SearchLicNbr=0K57762&amp;SearchIndvId=1797020</x:v>
      </x:c>
      <x:c r="AO1259" s="7" t="str">
        <x:v>2026-10-08</x:v>
      </x:c>
      <x:c r="AP1259" s="7" t="str">
        <x:v>547f67b0ba1429bca0d4352293d1645418dd0e08abfae87fc5c5c9e4ddb008de</x:v>
      </x:c>
      <x:c r="AQ1259" s="7" t="str">
        <x:v>Accident &amp; Health or Sickness / Inactive / 11/03/2015 / 11/30/2025 / 11/30/2025</x:v>
      </x:c>
      <x:c r="AR1259" s="7" t="str">
        <x:v>Inactive</x:v>
      </x:c>
      <x:c r="AS1259" s="7" t="str">
        <x:v>Current detail page</x:v>
      </x:c>
    </x:row>
    <x:row r="1260" ht="52" customHeight="1">
      <x:c r="A1260" s="7" t="str">
        <x:v>AGUILAR-AREVALO YESENIA ELIZABETH</x:v>
      </x:c>
      <x:c r="B1260" s="14" t="str">
        <x:f>"0M96599"</x:f>
        <x:v>0M96599</x:v>
      </x:c>
      <x:c r="C1260" s="7" t="str">
        <x:v>Omitted</x:v>
      </x:c>
      <x:c r="D1260" s="7" t="str">
        <x:v>FAIL</x:v>
      </x:c>
      <x:c r="E1260" s="13" t="str">
        <x:v>Pending</x:v>
      </x:c>
      <x:c r="F1260" s="13" t="str"/>
      <x:c r="G1260" s="13" t="str"/>
      <x:c r="H1260" s="13" t="str"/>
      <x:c r="I1260" s="7" t="str">
        <x:v>Was this person reviewed? If rejected, give the actual rule and evidence. If acceptable, correct the omission. Confirm the Life-qualification gate and any record change since selection.</x:v>
      </x:c>
      <x:c r="J1260" s="7" t="str">
        <x:v>L1</x:v>
      </x:c>
      <x:c r="K1260" s="7" t="str">
        <x:v>Verified qualifications do not include active general Life. Current target-pool mismatch; actual historical omission reason unknown.</x:v>
      </x:c>
      <x:c r="L1260" s="7" t="str">
        <x:v>Not supplied; membership is known, motive is not</x:v>
      </x:c>
      <x:c r="M1260" s="7" t="n">
        <x:v>7</x:v>
      </x:c>
      <x:c r="N1260" s="7" t="str">
        <x:v>Outside current general-Life recruiting pool</x:v>
      </x:c>
      <x:c r="O1260" s="7" t="str">
        <x:v>Inactive</x:v>
      </x:c>
      <x:c r="P1260" s="7" t="str">
        <x:v>05/08/2019</x:v>
      </x:c>
      <x:c r="Q1260" s="7" t="str">
        <x:v>05/31/2021</x:v>
      </x:c>
      <x:c r="R1260" s="7" t="str"/>
      <x:c r="S1260" s="15" t="str"/>
      <x:c r="T1260" s="7" t="str">
        <x:v>No public business phone in collected record</x:v>
      </x:c>
      <x:c r="U1260" s="7" t="str"/>
      <x:c r="V1260" s="7" t="str">
        <x:v>Resident</x:v>
      </x:c>
      <x:c r="W1260" s="7" t="str">
        <x:v>CA</x:v>
      </x:c>
      <x:c r="X1260" s="7" t="str"/>
      <x:c r="Y1260" s="7" t="str"/>
      <x:c r="Z1260" s="7" t="str"/>
      <x:c r="AA1260" s="7" t="str"/>
      <x:c r="AB1260" s="7" t="str"/>
      <x:c r="AC1260" s="7" t="str"/>
      <x:c r="AD1260" s="7" t="str">
        <x:v>No agency or insurer displayed: onboarding opportunity possible; existing business unknown</x:v>
      </x:c>
      <x:c r="AE1260" s="7" t="str">
        <x:v>No public business phone: contact enrichment needed, not proof of poor recruiting fit</x:v>
      </x:c>
      <x:c r="AF1260" s="16" t="str"/>
      <x:c r="AG1260" s="17" t="str"/>
      <x:c r="AH1260" s="7" t="str"/>
      <x:c r="AI1260" s="7" t="str"/>
      <x:c r="AJ1260" s="7" t="str"/>
      <x:c r="AK1260" s="15" t="str"/>
      <x:c r="AL1260" s="7" t="str"/>
      <x:c r="AM1260" s="7" t="str">
        <x:v>Aguilar-Arevalo E Yesenia | AGUILAR-AREVALO ELIZABETH YESENIA</x:v>
      </x:c>
      <x:c r="AN1260" s="7" t="str">
        <x:v>https://cdicloud.insurance.ca.gov/cal/LicenseDetail?SearchType=IND&amp;SearchLicNbr=0M96599&amp;SearchIndvId=2096928</x:v>
      </x:c>
      <x:c r="AO1260" s="7" t="str">
        <x:v>2026-10-08</x:v>
      </x:c>
      <x:c r="AP1260" s="7" t="str">
        <x:v>88976b90b937202922916638d4cecda4f7a6f1e0dcd94eb4c28755a4b5074cbe</x:v>
      </x:c>
      <x:c r="AQ1260" s="7" t="str">
        <x:v>Life / Inactive / 05/08/2019 / 05/31/2021 / 05/31/2021</x:v>
      </x:c>
      <x:c r="AR1260" s="7" t="str">
        <x:v>Inactive</x:v>
      </x:c>
      <x:c r="AS1260" s="7" t="str">
        <x:v>Current detail page</x:v>
      </x:c>
    </x:row>
    <x:row r="1261" ht="52" customHeight="1">
      <x:c r="A1261" s="7" t="str">
        <x:v>AGUILAR-ARREOLA KARLA ARIZTBETH</x:v>
      </x:c>
      <x:c r="B1261" s="14" t="str">
        <x:f>"0L78271"</x:f>
        <x:v>0L78271</x:v>
      </x:c>
      <x:c r="C1261" s="7" t="str">
        <x:v>Omitted</x:v>
      </x:c>
      <x:c r="D1261" s="7" t="str">
        <x:v>FAIL</x:v>
      </x:c>
      <x:c r="E1261" s="13" t="str">
        <x:v>Pending</x:v>
      </x:c>
      <x:c r="F1261" s="13" t="str"/>
      <x:c r="G1261" s="13" t="str"/>
      <x:c r="H1261" s="13" t="str"/>
      <x:c r="I1261" s="7" t="str">
        <x:v>Was this person reviewed? If rejected, give the actual rule and evidence. If acceptable, correct the omission. Confirm the Life-qualification gate and any record change since selection.</x:v>
      </x:c>
      <x:c r="J1261" s="7" t="str">
        <x:v>L1</x:v>
      </x:c>
      <x:c r="K1261" s="7" t="str">
        <x:v>Verified qualifications do not include active general Life. Current target-pool mismatch; actual historical omission reason unknown.</x:v>
      </x:c>
      <x:c r="L1261" s="7" t="str">
        <x:v>Not supplied; membership is known, motive is not</x:v>
      </x:c>
      <x:c r="M1261" s="7" t="n">
        <x:v>7</x:v>
      </x:c>
      <x:c r="N1261" s="7" t="str">
        <x:v>Outside current general-Life recruiting pool</x:v>
      </x:c>
      <x:c r="O1261" s="7" t="str">
        <x:v>Not displayed</x:v>
      </x:c>
      <x:c r="P1261" s="7" t="str"/>
      <x:c r="Q1261" s="7" t="str"/>
      <x:c r="R1261" s="7" t="str"/>
      <x:c r="S1261" s="15" t="str"/>
      <x:c r="T1261" s="7" t="str">
        <x:v>No public business phone in collected record</x:v>
      </x:c>
      <x:c r="U1261" s="7" t="str"/>
      <x:c r="V1261" s="7" t="str">
        <x:v>Resident</x:v>
      </x:c>
      <x:c r="W1261" s="7" t="str">
        <x:v>CA</x:v>
      </x:c>
      <x:c r="X1261" s="7" t="str"/>
      <x:c r="Y1261" s="7" t="str"/>
      <x:c r="Z1261" s="7" t="str"/>
      <x:c r="AA1261" s="7" t="str"/>
      <x:c r="AB1261" s="7" t="str"/>
      <x:c r="AC1261" s="7" t="str"/>
      <x:c r="AD1261" s="7" t="str">
        <x:v>No agency or insurer displayed: onboarding opportunity possible; existing business unknown</x:v>
      </x:c>
      <x:c r="AE1261" s="7" t="str">
        <x:v>No public business phone: contact enrichment needed, not proof of poor recruiting fit</x:v>
      </x:c>
      <x:c r="AF1261" s="16" t="str"/>
      <x:c r="AG1261" s="17" t="str"/>
      <x:c r="AH1261" s="7" t="str"/>
      <x:c r="AI1261" s="7" t="str">
        <x:v>English</x:v>
      </x:c>
      <x:c r="AJ1261" s="7" t="str"/>
      <x:c r="AK1261" s="15" t="str"/>
      <x:c r="AL1261" s="7" t="str"/>
      <x:c r="AM1261" s="7" t="str">
        <x:v>Aguilar-Arreola A Karla | AGUILAR-ARREOLA ARIZTBETH KARLA</x:v>
      </x:c>
      <x:c r="AN1261" s="7" t="str">
        <x:v>https://cdicloud.insurance.ca.gov/cal/LicenseDetail?SearchType=IND&amp;SearchLicNbr=0L78271&amp;SearchIndvId=1941300</x:v>
      </x:c>
      <x:c r="AO1261" s="7" t="str">
        <x:v>2026-10-08</x:v>
      </x:c>
      <x:c r="AP1261" s="7" t="str">
        <x:v>cef070dc60c8ed04e5456e3638732de73100dbed47469b6ed618973848143636</x:v>
      </x:c>
      <x:c r="AQ1261" s="7" t="str">
        <x:v>Life-Only / Inactive / 06/07/2017 / 06/30/2019 / 06/30/2019</x:v>
      </x:c>
      <x:c r="AR1261" s="7" t="str">
        <x:v>Inactive</x:v>
      </x:c>
      <x:c r="AS1261" s="7" t="str">
        <x:v>Current detail page</x:v>
      </x:c>
    </x:row>
    <x:row r="1262" ht="52" customHeight="1">
      <x:c r="A1262" s="7" t="str">
        <x:v>AGUILAR-BENITEZ DARLYN</x:v>
      </x:c>
      <x:c r="B1262" s="14" t="str">
        <x:f>"4134874"</x:f>
        <x:v>4134874</x:v>
      </x:c>
      <x:c r="C1262" s="7" t="str">
        <x:v>Omitted</x:v>
      </x:c>
      <x:c r="D1262" s="7" t="str">
        <x:v>FAIL</x:v>
      </x:c>
      <x:c r="E1262" s="13" t="str">
        <x:v>Pending</x:v>
      </x:c>
      <x:c r="F1262" s="13" t="str"/>
      <x:c r="G1262" s="13" t="str"/>
      <x:c r="H1262" s="13" t="str"/>
      <x:c r="I1262" s="7" t="str">
        <x:v>Was this person reviewed? If rejected, give the actual rule and evidence. If acceptable, correct the omission. Confirm the Life-qualification gate and any record change since selection.</x:v>
      </x:c>
      <x:c r="J1262" s="7" t="str">
        <x:v>L1</x:v>
      </x:c>
      <x:c r="K1262" s="7" t="str">
        <x:v>Verified qualifications do not include active general Life. Current target-pool mismatch; actual historical omission reason unknown.</x:v>
      </x:c>
      <x:c r="L1262" s="7" t="str">
        <x:v>Not supplied; membership is known, motive is not</x:v>
      </x:c>
      <x:c r="M1262" s="7" t="n">
        <x:v>7</x:v>
      </x:c>
      <x:c r="N1262" s="7" t="str">
        <x:v>Outside current general-Life recruiting pool</x:v>
      </x:c>
      <x:c r="O1262" s="7" t="str">
        <x:v>Inactive</x:v>
      </x:c>
      <x:c r="P1262" s="7" t="str">
        <x:v>06/29/2021</x:v>
      </x:c>
      <x:c r="Q1262" s="7" t="str">
        <x:v>06/30/2023</x:v>
      </x:c>
      <x:c r="R1262" s="7" t="str"/>
      <x:c r="S1262" s="15" t="str">
        <x:v>209-634-4733</x:v>
      </x:c>
      <x:c r="T1262" s="7" t="str">
        <x:v>Current CDI</x:v>
      </x:c>
      <x:c r="U1262" s="7" t="str">
        <x:v>3200 LIBERTY SQ PKWY TURLOCK CA, 95380</x:v>
      </x:c>
      <x:c r="V1262" s="7" t="str">
        <x:v>Resident</x:v>
      </x:c>
      <x:c r="W1262" s="7" t="str">
        <x:v>CA</x:v>
      </x:c>
      <x:c r="X1262" s="7" t="str"/>
      <x:c r="Y1262" s="7" t="str"/>
      <x:c r="Z1262" s="7" t="str"/>
      <x:c r="AA1262" s="7" t="str"/>
      <x:c r="AB1262" s="7" t="str"/>
      <x:c r="AC1262" s="7" t="str"/>
      <x:c r="AD1262" s="7" t="str">
        <x:v>No agency or insurer displayed: onboarding opportunity possible; existing business unknown</x:v>
      </x:c>
      <x:c r="AE1262" s="7" t="str"/>
      <x:c r="AF1262" s="16" t="str"/>
      <x:c r="AG1262" s="17" t="str"/>
      <x:c r="AH1262" s="7" t="str"/>
      <x:c r="AI1262" s="7" t="str">
        <x:v>English</x:v>
      </x:c>
      <x:c r="AJ1262" s="7" t="str"/>
      <x:c r="AK1262" s="15" t="str"/>
      <x:c r="AL1262" s="7" t="str"/>
      <x:c r="AM1262" s="7" t="str">
        <x:v>AGUILAR-BENITEZ  DARLYN</x:v>
      </x:c>
      <x:c r="AN1262" s="7" t="str">
        <x:v>https://cdicloud.insurance.ca.gov/cal/LicenseDetail?SearchType=IND&amp;SearchLicNbr=4134874&amp;SearchIndvId=4134874</x:v>
      </x:c>
      <x:c r="AO1262" s="7" t="str">
        <x:v>2026-10-08</x:v>
      </x:c>
      <x:c r="AP1262" s="7" t="str">
        <x:v>1b21f50d373cea711b04bd5583f063bc6dde5d28c5db1f6316e0a04422257c3b</x:v>
      </x:c>
      <x:c r="AQ1262" s="7" t="str">
        <x:v>Life / Inactive / 06/29/2021 / 06/30/2023 / 06/30/2023</x:v>
      </x:c>
      <x:c r="AR1262" s="7" t="str">
        <x:v>Inactive</x:v>
      </x:c>
      <x:c r="AS1262" s="7" t="str">
        <x:v>Current detail page</x:v>
      </x:c>
    </x:row>
    <x:row r="1263" ht="52" customHeight="1">
      <x:c r="A1263" s="7" t="str">
        <x:v>AGUILAR-CASTANEDA ERIK CESAR</x:v>
      </x:c>
      <x:c r="B1263" s="14" t="str">
        <x:f>"0G05474"</x:f>
        <x:v>0G05474</x:v>
      </x:c>
      <x:c r="C1263" s="7" t="str">
        <x:v>Omitted</x:v>
      </x:c>
      <x:c r="D1263" s="7" t="str">
        <x:v>FAIL</x:v>
      </x:c>
      <x:c r="E1263" s="13" t="str">
        <x:v>Pending</x:v>
      </x:c>
      <x:c r="F1263" s="13" t="str"/>
      <x:c r="G1263" s="13" t="str"/>
      <x:c r="H1263" s="13" t="str"/>
      <x:c r="I1263" s="7" t="str">
        <x:v>Was this person reviewed? If rejected, give the actual rule and evidence. If acceptable, correct the omission. Confirm the Life-qualification gate and any record change since selection.</x:v>
      </x:c>
      <x:c r="J1263" s="7" t="str">
        <x:v>L1</x:v>
      </x:c>
      <x:c r="K1263" s="7" t="str">
        <x:v>Verified qualifications do not include active general Life. Current target-pool mismatch; actual historical omission reason unknown.</x:v>
      </x:c>
      <x:c r="L1263" s="7" t="str">
        <x:v>Not supplied; membership is known, motive is not</x:v>
      </x:c>
      <x:c r="M1263" s="7" t="n">
        <x:v>7</x:v>
      </x:c>
      <x:c r="N1263" s="7" t="str">
        <x:v>Outside current general-Life recruiting pool</x:v>
      </x:c>
      <x:c r="O1263" s="7" t="str">
        <x:v>Not displayed</x:v>
      </x:c>
      <x:c r="P1263" s="7" t="str"/>
      <x:c r="Q1263" s="7" t="str"/>
      <x:c r="R1263" s="7" t="str">
        <x:v>Casualty; Property</x:v>
      </x:c>
      <x:c r="S1263" s="15" t="str">
        <x:v>951-392-8268</x:v>
      </x:c>
      <x:c r="T1263" s="7" t="str">
        <x:v>Current CDI</x:v>
      </x:c>
      <x:c r="U1263" s="7" t="str">
        <x:v>1220 S STATE ST HEMET CA, 92543</x:v>
      </x:c>
      <x:c r="V1263" s="7" t="str">
        <x:v>Resident</x:v>
      </x:c>
      <x:c r="W1263" s="7" t="str">
        <x:v>CA</x:v>
      </x:c>
      <x:c r="X1263" s="7" t="str"/>
      <x:c r="Y1263" s="7" t="str">
        <x:v>FOREMOST INSURANCE COMPANY GRAND RAPIDS, MICHIGAN / Casualty / 01/06/2014
FOREMOST INSURANCE COMPANY GRAND RAPIDS, MICHIGAN / Property / 01/06/2014</x:v>
      </x:c>
      <x:c r="Z1263" s="7" t="str"/>
      <x:c r="AA1263" s="7" t="str"/>
      <x:c r="AB1263" s="7" t="str">
        <x:v>INSURANCEBEACON.COM, INC. / Casualty / 07/31/2014
INSURANCEBEACON.COM, INC. / Property / 07/31/2014</x:v>
      </x:c>
      <x:c r="AC1263" s="7" t="str"/>
      <x:c r="AD1263" s="7" t="str"/>
      <x:c r="AE1263" s="7" t="str">
        <x:v>P&amp;C/Personal Lines authority without displayed core Life appointments; mixed profile requires review | Sponsor relationships displayed: INSURANCEBEACON.COM, INC.; inspect line-specific relationship, not a blanket employment inference</x:v>
      </x:c>
      <x:c r="AF1263" s="16" t="str"/>
      <x:c r="AG1263" s="17" t="str"/>
      <x:c r="AH1263" s="7" t="str"/>
      <x:c r="AI1263" s="7" t="str">
        <x:v>English</x:v>
      </x:c>
      <x:c r="AJ1263" s="7" t="str"/>
      <x:c r="AK1263" s="15" t="str"/>
      <x:c r="AL1263" s="7" t="str"/>
      <x:c r="AM1263" s="7" t="str">
        <x:v>AGUILAR-CASTANEDA CESAR ERIK</x:v>
      </x:c>
      <x:c r="AN1263" s="7" t="str">
        <x:v>https://cdicloud.insurance.ca.gov/cal/LicenseDetail?SearchType=IND&amp;SearchLicNbr=0G05474&amp;SearchIndvId=1127874</x:v>
      </x:c>
      <x:c r="AO1263" s="7" t="str">
        <x:v>2026-10-08</x:v>
      </x:c>
      <x:c r="AP1263" s="7" t="str">
        <x:v>685afb5c7b875853aa8e04a5a86d08eff9e0e304795542949720e17aecb7ec61</x:v>
      </x:c>
      <x:c r="AQ1263" s="7" t="str">
        <x:v>Casualty / Active / 03/12/2008 / 02/14/2013 / 03/31/2028
Property / Active / 03/12/2008 / 02/14/2013 / 03/31/2028</x:v>
      </x:c>
      <x:c r="AR1263" s="7" t="str">
        <x:v>Active</x:v>
      </x:c>
      <x:c r="AS1263" s="7" t="str">
        <x:v>Current detail page</x:v>
      </x:c>
    </x:row>
    <x:row r="1264" ht="52" customHeight="1">
      <x:c r="A1264" s="7" t="str">
        <x:v>AGUILAR-CASTELLANOS JONATAN IVAN</x:v>
      </x:c>
      <x:c r="B1264" s="14" t="str">
        <x:f>"0L05434"</x:f>
        <x:v>0L05434</x:v>
      </x:c>
      <x:c r="C1264" s="7" t="str">
        <x:v>Omitted</x:v>
      </x:c>
      <x:c r="D1264" s="7" t="str">
        <x:v>FAIL</x:v>
      </x:c>
      <x:c r="E1264" s="13" t="str">
        <x:v>Pending</x:v>
      </x:c>
      <x:c r="F1264" s="13" t="str"/>
      <x:c r="G1264" s="13" t="str"/>
      <x:c r="H1264" s="13" t="str"/>
      <x:c r="I1264" s="7" t="str">
        <x:v>Was this person reviewed? If rejected, give the actual rule and evidence. If acceptable, correct the omission. Confirm the Life-qualification gate and any record change since selection.</x:v>
      </x:c>
      <x:c r="J1264" s="7" t="str">
        <x:v>L1</x:v>
      </x:c>
      <x:c r="K1264" s="7" t="str">
        <x:v>Verified qualifications do not include active general Life. Current target-pool mismatch; actual historical omission reason unknown.</x:v>
      </x:c>
      <x:c r="L1264" s="7" t="str">
        <x:v>Not supplied; membership is known, motive is not</x:v>
      </x:c>
      <x:c r="M1264" s="7" t="n">
        <x:v>7</x:v>
      </x:c>
      <x:c r="N1264" s="7" t="str">
        <x:v>Outside current general-Life recruiting pool</x:v>
      </x:c>
      <x:c r="O1264" s="7" t="str">
        <x:v>Inactive</x:v>
      </x:c>
      <x:c r="P1264" s="7" t="str">
        <x:v>02/25/2021</x:v>
      </x:c>
      <x:c r="Q1264" s="7" t="str">
        <x:v>01/31/2023</x:v>
      </x:c>
      <x:c r="R1264" s="7" t="str"/>
      <x:c r="S1264" s="15" t="str"/>
      <x:c r="T1264" s="7" t="str">
        <x:v>No public business phone in collected record</x:v>
      </x:c>
      <x:c r="U1264" s="7" t="str">
        <x:v>18300 DESERT HAVEN ROAD DESERT HOT SPRINGS CA, 92241</x:v>
      </x:c>
      <x:c r="V1264" s="7" t="str">
        <x:v>Resident</x:v>
      </x:c>
      <x:c r="W1264" s="7" t="str">
        <x:v>CA</x:v>
      </x:c>
      <x:c r="X1264" s="7" t="str"/>
      <x:c r="Y1264" s="7" t="str"/>
      <x:c r="Z1264" s="7" t="str"/>
      <x:c r="AA1264" s="7" t="str"/>
      <x:c r="AB1264" s="7" t="str"/>
      <x:c r="AC1264" s="7" t="str"/>
      <x:c r="AD1264" s="7" t="str">
        <x:v>No agency or insurer displayed: onboarding opportunity possible; existing business unknown</x:v>
      </x:c>
      <x:c r="AE1264" s="7" t="str">
        <x:v>No public business phone: contact enrichment needed, not proof of poor recruiting fit</x:v>
      </x:c>
      <x:c r="AF1264" s="16" t="str"/>
      <x:c r="AG1264" s="17" t="str"/>
      <x:c r="AH1264" s="7" t="str"/>
      <x:c r="AI1264" s="7" t="str">
        <x:v>English</x:v>
      </x:c>
      <x:c r="AJ1264" s="7" t="str"/>
      <x:c r="AK1264" s="15" t="str"/>
      <x:c r="AL1264" s="7" t="str"/>
      <x:c r="AM1264" s="7" t="str">
        <x:v>AGUILAR  JONATAN | AGUILAR-CASTELLANOS IVAN JONATAN</x:v>
      </x:c>
      <x:c r="AN1264" s="7" t="str">
        <x:v>https://cdicloud.insurance.ca.gov/cal/LicenseDetail?SearchType=IND&amp;SearchLicNbr=0L05434&amp;SearchIndvId=1857621</x:v>
      </x:c>
      <x:c r="AO1264" s="7" t="str">
        <x:v>2026-10-08</x:v>
      </x:c>
      <x:c r="AP1264" s="7" t="str">
        <x:v>d8457dee1276d1be5e1e572d7d1ba1ba6445399d854a11142e7837603b5938a5</x:v>
      </x:c>
      <x:c r="AQ1264" s="7" t="str">
        <x:v>Accident &amp; Health or Sickness / Inactive / 02/25/2021 / 01/31/2023 / 01/31/2023
Casualty / Inactive / 01/20/2021 / 01/31/2023 / 01/31/2023
Life / Inactive / 02/25/2021 / 01/31/2023 / 01/31/2023
Property / Inactive / 01/20/2021 / 01/31/2023 / 01/31/2023</x:v>
      </x:c>
      <x:c r="AR1264" s="7" t="str">
        <x:v>Inactive</x:v>
      </x:c>
      <x:c r="AS1264" s="7" t="str">
        <x:v>Current detail page</x:v>
      </x:c>
    </x:row>
    <x:row r="1265" ht="52" customHeight="1">
      <x:c r="A1265" s="7" t="str">
        <x:v>AGUILAR-CASTILLO LAURA MARIA</x:v>
      </x:c>
      <x:c r="B1265" s="14" t="str">
        <x:f>"0L10179"</x:f>
        <x:v>0L10179</x:v>
      </x:c>
      <x:c r="C1265" s="7" t="str">
        <x:v>Omitted</x:v>
      </x:c>
      <x:c r="D1265" s="7" t="str">
        <x:v>FAIL</x:v>
      </x:c>
      <x:c r="E1265" s="13" t="str">
        <x:v>Pending</x:v>
      </x:c>
      <x:c r="F1265" s="13" t="str"/>
      <x:c r="G1265" s="13" t="str"/>
      <x:c r="H1265" s="13" t="str"/>
      <x:c r="I1265" s="7" t="str">
        <x:v>Was this person reviewed? If rejected, give the actual rule and evidence. If acceptable, correct the omission. Confirm the Life-qualification gate and any record change since selection.</x:v>
      </x:c>
      <x:c r="J1265" s="7" t="str">
        <x:v>L1</x:v>
      </x:c>
      <x:c r="K1265" s="7" t="str">
        <x:v>Verified qualifications do not include active general Life. Current target-pool mismatch; actual historical omission reason unknown.</x:v>
      </x:c>
      <x:c r="L1265" s="7" t="str">
        <x:v>Not supplied; membership is known, motive is not</x:v>
      </x:c>
      <x:c r="M1265" s="7" t="n">
        <x:v>7</x:v>
      </x:c>
      <x:c r="N1265" s="7" t="str">
        <x:v>Outside current general-Life recruiting pool</x:v>
      </x:c>
      <x:c r="O1265" s="7" t="str">
        <x:v>Not displayed</x:v>
      </x:c>
      <x:c r="P1265" s="7" t="str"/>
      <x:c r="Q1265" s="7" t="str"/>
      <x:c r="R1265" s="7" t="str"/>
      <x:c r="S1265" s="15" t="str"/>
      <x:c r="T1265" s="7" t="str">
        <x:v>No public business phone in collected record</x:v>
      </x:c>
      <x:c r="U1265" s="7" t="str"/>
      <x:c r="V1265" s="7" t="str">
        <x:v>Resident</x:v>
      </x:c>
      <x:c r="W1265" s="7" t="str">
        <x:v>CA</x:v>
      </x:c>
      <x:c r="X1265" s="7" t="str"/>
      <x:c r="Y1265" s="7" t="str"/>
      <x:c r="Z1265" s="7" t="str"/>
      <x:c r="AA1265" s="7" t="str"/>
      <x:c r="AB1265" s="7" t="str"/>
      <x:c r="AC1265" s="7" t="str"/>
      <x:c r="AD1265" s="7" t="str">
        <x:v>No agency or insurer displayed: onboarding opportunity possible; existing business unknown</x:v>
      </x:c>
      <x:c r="AE1265" s="7" t="str">
        <x:v>No public business phone: contact enrichment needed, not proof of poor recruiting fit</x:v>
      </x:c>
      <x:c r="AF1265" s="16" t="str"/>
      <x:c r="AG1265" s="17" t="str"/>
      <x:c r="AH1265" s="7" t="str"/>
      <x:c r="AI1265" s="7" t="str"/>
      <x:c r="AJ1265" s="7" t="str"/>
      <x:c r="AK1265" s="15" t="str"/>
      <x:c r="AL1265" s="7" t="str"/>
      <x:c r="AM1265" s="7" t="str">
        <x:v>AGUILAR  LAURA | AGUILAR-CASTILLO MARIA LAURA</x:v>
      </x:c>
      <x:c r="AN1265" s="7" t="str">
        <x:v>https://cdicloud.insurance.ca.gov/cal/LicenseDetail?SearchType=IND&amp;SearchLicNbr=0L10179&amp;SearchIndvId=1864142</x:v>
      </x:c>
      <x:c r="AO1265" s="7" t="str">
        <x:v>2026-10-08</x:v>
      </x:c>
      <x:c r="AP1265" s="7" t="str">
        <x:v>d1b7eac555d4cca041e7c550d009e6954f2a8320a3cfeed23889eff2f0f4441b</x:v>
      </x:c>
      <x:c r="AQ1265" s="7" t="str">
        <x:v>Accident and Health / Inactive / 09/02/2016 / 09/30/2018 / 09/30/2018
Life-Only / Inactive / 09/02/2016 / 09/30/2018 / 09/30/2018</x:v>
      </x:c>
      <x:c r="AR1265" s="7" t="str">
        <x:v>Inactive</x:v>
      </x:c>
      <x:c r="AS1265" s="7" t="str">
        <x:v>Current detail page</x:v>
      </x:c>
    </x:row>
    <x:row r="1266" ht="52" customHeight="1">
      <x:c r="A1266" s="7" t="str">
        <x:v>AGUILAR-CORTES EMMANUEL CLEMENTE</x:v>
      </x:c>
      <x:c r="B1266" s="14" t="str">
        <x:f>"0I73797"</x:f>
        <x:v>0I73797</x:v>
      </x:c>
      <x:c r="C1266" s="7" t="str">
        <x:v>Omitted</x:v>
      </x:c>
      <x:c r="D1266" s="7" t="str">
        <x:v>FAIL</x:v>
      </x:c>
      <x:c r="E1266" s="13" t="str">
        <x:v>Pending</x:v>
      </x:c>
      <x:c r="F1266" s="13" t="str"/>
      <x:c r="G1266" s="13" t="str"/>
      <x:c r="H1266" s="13" t="str"/>
      <x:c r="I1266" s="7" t="str">
        <x:v>Was this person reviewed? If rejected, give the actual rule and evidence. If acceptable, correct the omission. Confirm the Life-qualification gate and any record change since selection.</x:v>
      </x:c>
      <x:c r="J1266" s="7" t="str">
        <x:v>L1</x:v>
      </x:c>
      <x:c r="K1266" s="7" t="str">
        <x:v>Verified qualifications do not include active general Life. Current target-pool mismatch; actual historical omission reason unknown.</x:v>
      </x:c>
      <x:c r="L1266" s="7" t="str">
        <x:v>Not supplied; membership is known, motive is not</x:v>
      </x:c>
      <x:c r="M1266" s="7" t="n">
        <x:v>7</x:v>
      </x:c>
      <x:c r="N1266" s="7" t="str">
        <x:v>Outside current general-Life recruiting pool</x:v>
      </x:c>
      <x:c r="O1266" s="7" t="str">
        <x:v>Not displayed</x:v>
      </x:c>
      <x:c r="P1266" s="7" t="str"/>
      <x:c r="Q1266" s="7" t="str"/>
      <x:c r="R1266" s="7" t="str"/>
      <x:c r="S1266" s="15" t="str"/>
      <x:c r="T1266" s="7" t="str">
        <x:v>No public business phone in collected record</x:v>
      </x:c>
      <x:c r="U1266" s="7" t="str"/>
      <x:c r="V1266" s="7" t="str">
        <x:v>Resident</x:v>
      </x:c>
      <x:c r="W1266" s="7" t="str">
        <x:v>CA</x:v>
      </x:c>
      <x:c r="X1266" s="7" t="str"/>
      <x:c r="Y1266" s="7" t="str"/>
      <x:c r="Z1266" s="7" t="str"/>
      <x:c r="AA1266" s="7" t="str"/>
      <x:c r="AB1266" s="7" t="str"/>
      <x:c r="AC1266" s="7" t="str"/>
      <x:c r="AD1266" s="7" t="str">
        <x:v>No agency or insurer displayed: onboarding opportunity possible; existing business unknown</x:v>
      </x:c>
      <x:c r="AE1266" s="7" t="str">
        <x:v>No public business phone: contact enrichment needed, not proof of poor recruiting fit</x:v>
      </x:c>
      <x:c r="AF1266" s="16" t="str"/>
      <x:c r="AG1266" s="17" t="str"/>
      <x:c r="AH1266" s="7" t="str"/>
      <x:c r="AI1266" s="7" t="str"/>
      <x:c r="AJ1266" s="7" t="str"/>
      <x:c r="AK1266" s="15" t="str"/>
      <x:c r="AL1266" s="7" t="str"/>
      <x:c r="AM1266" s="7" t="str">
        <x:v>AGUILAR CORTES C EMMANUEL | AGUILAR-CORTES CLEMENTE EMMANUEL</x:v>
      </x:c>
      <x:c r="AN1266" s="7" t="str">
        <x:v>https://cdicloud.insurance.ca.gov/cal/LicenseDetail?SearchType=IND&amp;SearchLicNbr=0I73797&amp;SearchIndvId=1647499</x:v>
      </x:c>
      <x:c r="AO1266" s="7" t="str">
        <x:v>2026-10-08</x:v>
      </x:c>
      <x:c r="AP1266" s="7" t="str">
        <x:v>bebeacbba0404205ea2b364c248774a492eb5cb65df9588b373863fdb5eee3df</x:v>
      </x:c>
      <x:c r="AQ1266" s="7" t="str">
        <x:v>Personal Lines Broker-Agent / Inactive / 01/27/2014 / 01/31/2016 / 01/31/2016</x:v>
      </x:c>
      <x:c r="AR1266" s="7" t="str">
        <x:v>Inactive</x:v>
      </x:c>
      <x:c r="AS1266" s="7" t="str">
        <x:v>Current detail page</x:v>
      </x:c>
    </x:row>
    <x:row r="1267" ht="52" customHeight="1">
      <x:c r="A1267" s="7" t="str">
        <x:v>AGUILAR-CUEVAS AMBER LIZETH</x:v>
      </x:c>
      <x:c r="B1267" s="14" t="str">
        <x:f>"4055799"</x:f>
        <x:v>4055799</x:v>
      </x:c>
      <x:c r="C1267" s="7" t="str">
        <x:v>Omitted</x:v>
      </x:c>
      <x:c r="D1267" s="7" t="str">
        <x:v>FAIL</x:v>
      </x:c>
      <x:c r="E1267" s="13" t="str">
        <x:v>Pending</x:v>
      </x:c>
      <x:c r="F1267" s="13" t="str"/>
      <x:c r="G1267" s="13" t="str"/>
      <x:c r="H1267" s="13" t="str"/>
      <x:c r="I1267" s="7" t="str">
        <x:v>Was this person reviewed? If rejected, give the actual rule and evidence. If acceptable, correct the omission. Confirm the Life-qualification gate and any record change since selection.</x:v>
      </x:c>
      <x:c r="J1267" s="7" t="str">
        <x:v>L1</x:v>
      </x:c>
      <x:c r="K1267" s="7" t="str">
        <x:v>Verified qualifications do not include active general Life. Current target-pool mismatch; actual historical omission reason unknown.</x:v>
      </x:c>
      <x:c r="L1267" s="7" t="str">
        <x:v>Not supplied; membership is known, motive is not</x:v>
      </x:c>
      <x:c r="M1267" s="7" t="n">
        <x:v>7</x:v>
      </x:c>
      <x:c r="N1267" s="7" t="str">
        <x:v>Outside current general-Life recruiting pool</x:v>
      </x:c>
      <x:c r="O1267" s="7" t="str">
        <x:v>Inactive</x:v>
      </x:c>
      <x:c r="P1267" s="7" t="str">
        <x:v>08/05/2020</x:v>
      </x:c>
      <x:c r="Q1267" s="7" t="str">
        <x:v>08/31/2022</x:v>
      </x:c>
      <x:c r="R1267" s="7" t="str"/>
      <x:c r="S1267" s="15" t="str">
        <x:v>818-859-7065</x:v>
      </x:c>
      <x:c r="T1267" s="7" t="str">
        <x:v>Current CDI</x:v>
      </x:c>
      <x:c r="U1267" s="7" t="str">
        <x:v>533 N VICTORY BLVD BURBANK CA, 91502</x:v>
      </x:c>
      <x:c r="V1267" s="7" t="str">
        <x:v>Resident</x:v>
      </x:c>
      <x:c r="W1267" s="7" t="str">
        <x:v>CA</x:v>
      </x:c>
      <x:c r="X1267" s="7" t="str"/>
      <x:c r="Y1267" s="7" t="str"/>
      <x:c r="Z1267" s="7" t="str"/>
      <x:c r="AA1267" s="7" t="str"/>
      <x:c r="AB1267" s="7" t="str"/>
      <x:c r="AC1267" s="7" t="str"/>
      <x:c r="AD1267" s="7" t="str">
        <x:v>No agency or insurer displayed: onboarding opportunity possible; existing business unknown</x:v>
      </x:c>
      <x:c r="AE1267" s="7" t="str"/>
      <x:c r="AF1267" s="16" t="str"/>
      <x:c r="AG1267" s="17" t="str"/>
      <x:c r="AH1267" s="7" t="str"/>
      <x:c r="AI1267" s="7" t="str">
        <x:v>English</x:v>
      </x:c>
      <x:c r="AJ1267" s="7" t="str"/>
      <x:c r="AK1267" s="15" t="str"/>
      <x:c r="AL1267" s="7" t="str"/>
      <x:c r="AM1267" s="7" t="str">
        <x:v>AGUILAR-CUEVAS LIZETH AMBER</x:v>
      </x:c>
      <x:c r="AN1267" s="7" t="str">
        <x:v>https://cdicloud.insurance.ca.gov/cal/LicenseDetail?SearchType=IND&amp;SearchLicNbr=4055799&amp;SearchIndvId=4055799</x:v>
      </x:c>
      <x:c r="AO1267" s="7" t="str">
        <x:v>2026-10-08</x:v>
      </x:c>
      <x:c r="AP1267" s="7" t="str">
        <x:v>157dda200d8806c933e2b67186749c27c705c20f07165130f640c89c4acf7bf5</x:v>
      </x:c>
      <x:c r="AQ1267" s="7" t="str">
        <x:v>Life / Inactive / 08/05/2020 / 08/31/2022 / 08/31/2022</x:v>
      </x:c>
      <x:c r="AR1267" s="7" t="str">
        <x:v>Inactive</x:v>
      </x:c>
      <x:c r="AS1267" s="7" t="str">
        <x:v>Current detail page</x:v>
      </x:c>
    </x:row>
    <x:row r="1268" ht="52" customHeight="1">
      <x:c r="A1268" s="7" t="str">
        <x:v>AGUILAR-DE-GUERRERO SANDRA LUZ</x:v>
      </x:c>
      <x:c r="B1268" s="14" t="str">
        <x:f>"0G45680"</x:f>
        <x:v>0G45680</x:v>
      </x:c>
      <x:c r="C1268" s="7" t="str">
        <x:v>Omitted</x:v>
      </x:c>
      <x:c r="D1268" s="7" t="str">
        <x:v>FAIL</x:v>
      </x:c>
      <x:c r="E1268" s="13" t="str">
        <x:v>Pending</x:v>
      </x:c>
      <x:c r="F1268" s="13" t="str"/>
      <x:c r="G1268" s="13" t="str"/>
      <x:c r="H1268" s="13" t="str"/>
      <x:c r="I1268" s="7" t="str">
        <x:v>Was this person reviewed? If rejected, give the actual rule and evidence. If acceptable, correct the omission. Confirm the Life-qualification gate and any record change since selection.</x:v>
      </x:c>
      <x:c r="J1268" s="7" t="str">
        <x:v>L1</x:v>
      </x:c>
      <x:c r="K1268" s="7" t="str">
        <x:v>Verified qualifications do not include active general Life. Current target-pool mismatch; actual historical omission reason unknown.</x:v>
      </x:c>
      <x:c r="L1268" s="7" t="str">
        <x:v>Not supplied; membership is known, motive is not</x:v>
      </x:c>
      <x:c r="M1268" s="7" t="n">
        <x:v>7</x:v>
      </x:c>
      <x:c r="N1268" s="7" t="str">
        <x:v>Outside current general-Life recruiting pool</x:v>
      </x:c>
      <x:c r="O1268" s="7" t="str">
        <x:v>Not displayed</x:v>
      </x:c>
      <x:c r="P1268" s="7" t="str"/>
      <x:c r="Q1268" s="7" t="str"/>
      <x:c r="R1268" s="7" t="str"/>
      <x:c r="S1268" s="15" t="str"/>
      <x:c r="T1268" s="7" t="str">
        <x:v>No public business phone in collected record</x:v>
      </x:c>
      <x:c r="U1268" s="7" t="str"/>
      <x:c r="V1268" s="7" t="str">
        <x:v>Resident</x:v>
      </x:c>
      <x:c r="W1268" s="7" t="str">
        <x:v>CA</x:v>
      </x:c>
      <x:c r="X1268" s="7" t="str"/>
      <x:c r="Y1268" s="7" t="str"/>
      <x:c r="Z1268" s="7" t="str"/>
      <x:c r="AA1268" s="7" t="str"/>
      <x:c r="AB1268" s="7" t="str"/>
      <x:c r="AC1268" s="7" t="str"/>
      <x:c r="AD1268" s="7" t="str">
        <x:v>No agency or insurer displayed: onboarding opportunity possible; existing business unknown</x:v>
      </x:c>
      <x:c r="AE1268" s="7" t="str">
        <x:v>No public business phone: contact enrichment needed, not proof of poor recruiting fit</x:v>
      </x:c>
      <x:c r="AF1268" s="16" t="str"/>
      <x:c r="AG1268" s="17" t="str"/>
      <x:c r="AH1268" s="7" t="str"/>
      <x:c r="AI1268" s="7" t="str"/>
      <x:c r="AJ1268" s="7" t="str"/>
      <x:c r="AK1268" s="15" t="str"/>
      <x:c r="AL1268" s="7" t="str"/>
      <x:c r="AM1268" s="7" t="str">
        <x:v>AGUILAR-DE-GUERRERO LUZ SANDRA</x:v>
      </x:c>
      <x:c r="AN1268" s="7" t="str">
        <x:v>https://cdicloud.insurance.ca.gov/cal/LicenseDetail?SearchType=IND&amp;SearchLicNbr=0G45680&amp;SearchIndvId=1221564</x:v>
      </x:c>
      <x:c r="AO1268" s="7" t="str">
        <x:v>2026-10-08</x:v>
      </x:c>
      <x:c r="AP1268" s="7" t="str">
        <x:v>1b45bb994ccba5a3d001eef15608f08e3a04eb635232a3343c02e50f6a866c74</x:v>
      </x:c>
      <x:c r="AQ1268" s="7" t="str">
        <x:v>Accident and Health / Inactive / 01/15/2009 / 01/31/2011 / 01/31/2011
Life-Only / Inactive / 01/15/2009 / 01/31/2011 / 01/31/2011</x:v>
      </x:c>
      <x:c r="AR1268" s="7" t="str">
        <x:v>Inactive</x:v>
      </x:c>
      <x:c r="AS1268" s="7" t="str">
        <x:v>Current detail page</x:v>
      </x:c>
    </x:row>
    <x:row r="1269" ht="52" customHeight="1">
      <x:c r="A1269" s="7" t="str">
        <x:v>AGUILAR-DEGONZALES LETICIA ISABEL</x:v>
      </x:c>
      <x:c r="B1269" s="14" t="str">
        <x:f>"0M86772"</x:f>
        <x:v>0M86772</x:v>
      </x:c>
      <x:c r="C1269" s="7" t="str">
        <x:v>Omitted</x:v>
      </x:c>
      <x:c r="D1269" s="7" t="str">
        <x:v>FAIL</x:v>
      </x:c>
      <x:c r="E1269" s="13" t="str">
        <x:v>Pending</x:v>
      </x:c>
      <x:c r="F1269" s="13" t="str"/>
      <x:c r="G1269" s="13" t="str"/>
      <x:c r="H1269" s="13" t="str"/>
      <x:c r="I1269" s="7" t="str">
        <x:v>Was this person reviewed? If rejected, give the actual rule and evidence. If acceptable, correct the omission. Confirm the Life-qualification gate and any record change since selection.</x:v>
      </x:c>
      <x:c r="J1269" s="7" t="str">
        <x:v>L1</x:v>
      </x:c>
      <x:c r="K1269" s="7" t="str">
        <x:v>Verified qualifications do not include active general Life. Current target-pool mismatch; actual historical omission reason unknown.</x:v>
      </x:c>
      <x:c r="L1269" s="7" t="str">
        <x:v>Not supplied; membership is known, motive is not</x:v>
      </x:c>
      <x:c r="M1269" s="7" t="n">
        <x:v>7</x:v>
      </x:c>
      <x:c r="N1269" s="7" t="str">
        <x:v>Outside current general-Life recruiting pool</x:v>
      </x:c>
      <x:c r="O1269" s="7" t="str">
        <x:v>Not displayed</x:v>
      </x:c>
      <x:c r="P1269" s="7" t="str"/>
      <x:c r="Q1269" s="7" t="str"/>
      <x:c r="R1269" s="7" t="str"/>
      <x:c r="S1269" s="15" t="str"/>
      <x:c r="T1269" s="7" t="str">
        <x:v>No public business phone in collected record</x:v>
      </x:c>
      <x:c r="U1269" s="7" t="str"/>
      <x:c r="V1269" s="7" t="str">
        <x:v>Resident</x:v>
      </x:c>
      <x:c r="W1269" s="7" t="str">
        <x:v>CA</x:v>
      </x:c>
      <x:c r="X1269" s="7" t="str"/>
      <x:c r="Y1269" s="7" t="str"/>
      <x:c r="Z1269" s="7" t="str"/>
      <x:c r="AA1269" s="7" t="str"/>
      <x:c r="AB1269" s="7" t="str"/>
      <x:c r="AC1269" s="7" t="str"/>
      <x:c r="AD1269" s="7" t="str">
        <x:v>No agency or insurer displayed: onboarding opportunity possible; existing business unknown</x:v>
      </x:c>
      <x:c r="AE1269" s="7" t="str">
        <x:v>No public business phone: contact enrichment needed, not proof of poor recruiting fit</x:v>
      </x:c>
      <x:c r="AF1269" s="16" t="str"/>
      <x:c r="AG1269" s="17" t="str"/>
      <x:c r="AH1269" s="7" t="str"/>
      <x:c r="AI1269" s="7" t="str">
        <x:v>English</x:v>
      </x:c>
      <x:c r="AJ1269" s="7" t="str"/>
      <x:c r="AK1269" s="15" t="str"/>
      <x:c r="AL1269" s="7" t="str"/>
      <x:c r="AM1269" s="7" t="str">
        <x:v>Aguilar de Gonzales I leticia | AGUILAR-DEGONZALES ISABEL LETICIA</x:v>
      </x:c>
      <x:c r="AN1269" s="7" t="str">
        <x:v>https://cdicloud.insurance.ca.gov/cal/LicenseDetail?SearchType=IND&amp;SearchLicNbr=0M86772&amp;SearchIndvId=2091159</x:v>
      </x:c>
      <x:c r="AO1269" s="7" t="str">
        <x:v>2026-10-08</x:v>
      </x:c>
      <x:c r="AP1269" s="7" t="str">
        <x:v>5ee7e352b93796e2b3f9e8127df92524b88953df89138a20bbee587c464fc434</x:v>
      </x:c>
      <x:c r="AQ1269" s="7" t="str">
        <x:v>Life-Only / Inactive / 03/12/2019 / 03/31/2021 / 03/31/2021</x:v>
      </x:c>
      <x:c r="AR1269" s="7" t="str">
        <x:v>Inactive</x:v>
      </x:c>
      <x:c r="AS1269" s="7" t="str">
        <x:v>Current detail page</x:v>
      </x:c>
    </x:row>
    <x:row r="1270" ht="52" customHeight="1">
      <x:c r="A1270" s="7" t="str">
        <x:v>AGUILAR-FLORES NORMA</x:v>
      </x:c>
      <x:c r="B1270" s="14" t="str">
        <x:f>"E4283535"</x:f>
        <x:v>E4283535</x:v>
      </x:c>
      <x:c r="C1270" s="7" t="str">
        <x:v>Omitted</x:v>
      </x:c>
      <x:c r="D1270" s="7" t="str">
        <x:v>REVIEW</x:v>
      </x:c>
      <x:c r="E1270" s="13" t="str">
        <x:v>Pending</x:v>
      </x:c>
      <x:c r="F1270" s="13" t="str"/>
      <x:c r="G1270" s="13" t="str"/>
      <x:c r="H1270" s="13" t="str"/>
      <x:c r="I1270" s="7" t="str">
        <x:v>Was this record reviewed? The detail page provides no qualifications. Verify the actual license type and Life authority before deciding; do not reject for missing data.</x:v>
      </x:c>
      <x:c r="J1270" s="7" t="str">
        <x:v>L1</x:v>
      </x:c>
      <x:c r="K1270" s="7" t="str">
        <x:v>Detail page displays no qualification information. Life authority cannot be verified; missing data is not a qualification failure. Historical omission reason unknown.</x:v>
      </x:c>
      <x:c r="L1270" s="7" t="str">
        <x:v>Not supplied; membership is known, motive is not</x:v>
      </x:c>
      <x:c r="M1270" s="7" t="n">
        <x:v>7</x:v>
      </x:c>
      <x:c r="N1270" s="7" t="str">
        <x:v>Outside current general-Life recruiting pool</x:v>
      </x:c>
      <x:c r="O1270" s="7" t="str">
        <x:v>Not displayed</x:v>
      </x:c>
      <x:c r="P1270" s="7" t="str"/>
      <x:c r="Q1270" s="7" t="str"/>
      <x:c r="R1270" s="7" t="str"/>
      <x:c r="S1270" s="15" t="str"/>
      <x:c r="T1270" s="7" t="str">
        <x:v>No public business phone in collected record</x:v>
      </x:c>
      <x:c r="U1270" s="7" t="str"/>
      <x:c r="V1270" s="7" t="str">
        <x:v>Resident</x:v>
      </x:c>
      <x:c r="W1270" s="7" t="str">
        <x:v>CA</x:v>
      </x:c>
      <x:c r="X1270" s="7" t="str"/>
      <x:c r="Y1270" s="7" t="str"/>
      <x:c r="Z1270" s="7" t="str"/>
      <x:c r="AA1270" s="7" t="str"/>
      <x:c r="AB1270" s="7" t="str"/>
      <x:c r="AC1270" s="7" t="str"/>
      <x:c r="AD1270" s="7" t="str">
        <x:v>No agency or insurer displayed: onboarding opportunity possible; existing business unknown</x:v>
      </x:c>
      <x:c r="AE1270" s="7" t="str">
        <x:v>No public business phone: contact enrichment needed, not proof of poor recruiting fit</x:v>
      </x:c>
      <x:c r="AF1270" s="16" t="str"/>
      <x:c r="AG1270" s="17" t="str"/>
      <x:c r="AH1270" s="7" t="str"/>
      <x:c r="AI1270" s="7" t="str">
        <x:v>English</x:v>
      </x:c>
      <x:c r="AJ1270" s="7" t="str"/>
      <x:c r="AK1270" s="15" t="str"/>
      <x:c r="AL1270" s="7" t="str"/>
      <x:c r="AM1270" s="7" t="str">
        <x:v>AGUILAR-FLORES  NORMA</x:v>
      </x:c>
      <x:c r="AN1270" s="7" t="str">
        <x:v>https://cdicloud.insurance.ca.gov/cal/LicenseDetail?SearchType=IND&amp;SearchLicNbr=E4283535&amp;SearchIndvId=4283535</x:v>
      </x:c>
      <x:c r="AO1270" s="7" t="str">
        <x:v>2026-10-08</x:v>
      </x:c>
      <x:c r="AP1270" s="7" t="str">
        <x:v>e2a6dfc6e16176ff096de6c93d28013c2437dc525841de2c875564fe3693ab40</x:v>
      </x:c>
      <x:c r="AQ1270" s="7" t="str"/>
      <x:c r="AR1270" s="7" t="str">
        <x:v>Active</x:v>
      </x:c>
      <x:c r="AS1270" s="7" t="str">
        <x:v>Current detail page</x:v>
      </x:c>
    </x:row>
    <x:row r="1271" ht="52" customHeight="1">
      <x:c r="A1271" s="7" t="str">
        <x:v>AGUILAR-FLORES STEPHANIE GUADALUPE</x:v>
      </x:c>
      <x:c r="B1271" s="14" t="str">
        <x:f>"0K91125"</x:f>
        <x:v>0K91125</x:v>
      </x:c>
      <x:c r="C1271" s="7" t="str">
        <x:v>Omitted</x:v>
      </x:c>
      <x:c r="D1271" s="7" t="str">
        <x:v>FAIL</x:v>
      </x:c>
      <x:c r="E1271" s="13" t="str">
        <x:v>Pending</x:v>
      </x:c>
      <x:c r="F1271" s="13" t="str"/>
      <x:c r="G1271" s="13" t="str"/>
      <x:c r="H1271" s="13" t="str"/>
      <x:c r="I1271" s="7" t="str">
        <x:v>Was this person reviewed? If rejected, give the actual rule and evidence. If acceptable, correct the omission. Confirm the Life-qualification gate and any record change since selection.</x:v>
      </x:c>
      <x:c r="J1271" s="7" t="str">
        <x:v>L1</x:v>
      </x:c>
      <x:c r="K1271" s="7" t="str">
        <x:v>Verified qualifications do not include active general Life. Current target-pool mismatch; actual historical omission reason unknown.</x:v>
      </x:c>
      <x:c r="L1271" s="7" t="str">
        <x:v>Not supplied; membership is known, motive is not</x:v>
      </x:c>
      <x:c r="M1271" s="7" t="n">
        <x:v>7</x:v>
      </x:c>
      <x:c r="N1271" s="7" t="str">
        <x:v>Outside current general-Life recruiting pool</x:v>
      </x:c>
      <x:c r="O1271" s="7" t="str">
        <x:v>Not displayed</x:v>
      </x:c>
      <x:c r="P1271" s="7" t="str"/>
      <x:c r="Q1271" s="7" t="str"/>
      <x:c r="R1271" s="7" t="str"/>
      <x:c r="S1271" s="15" t="str"/>
      <x:c r="T1271" s="7" t="str">
        <x:v>No public business phone in collected record</x:v>
      </x:c>
      <x:c r="U1271" s="7" t="str"/>
      <x:c r="V1271" s="7" t="str">
        <x:v>Resident</x:v>
      </x:c>
      <x:c r="W1271" s="7" t="str">
        <x:v>CA</x:v>
      </x:c>
      <x:c r="X1271" s="7" t="str"/>
      <x:c r="Y1271" s="7" t="str"/>
      <x:c r="Z1271" s="7" t="str"/>
      <x:c r="AA1271" s="7" t="str"/>
      <x:c r="AB1271" s="7" t="str"/>
      <x:c r="AC1271" s="7" t="str"/>
      <x:c r="AD1271" s="7" t="str">
        <x:v>No agency or insurer displayed: onboarding opportunity possible; existing business unknown</x:v>
      </x:c>
      <x:c r="AE1271" s="7" t="str">
        <x:v>No public business phone: contact enrichment needed, not proof of poor recruiting fit</x:v>
      </x:c>
      <x:c r="AF1271" s="16" t="str"/>
      <x:c r="AG1271" s="17" t="str"/>
      <x:c r="AH1271" s="7" t="str"/>
      <x:c r="AI1271" s="7" t="str"/>
      <x:c r="AJ1271" s="7" t="str"/>
      <x:c r="AK1271" s="15" t="str"/>
      <x:c r="AL1271" s="7" t="str"/>
      <x:c r="AM1271" s="7" t="str">
        <x:v>Aguilar G Stephanie | AGUILAR-FLORES GUADALUPE STEPHANIE</x:v>
      </x:c>
      <x:c r="AN1271" s="7" t="str">
        <x:v>https://cdicloud.insurance.ca.gov/cal/LicenseDetail?SearchType=IND&amp;SearchLicNbr=0K91125&amp;SearchIndvId=1821082</x:v>
      </x:c>
      <x:c r="AO1271" s="7" t="str">
        <x:v>2026-10-08</x:v>
      </x:c>
      <x:c r="AP1271" s="7" t="str">
        <x:v>ec22d6a3c6a497b8fcf2c4fbba6c00e9b6047b5a72158e03c0465c407f9ed10f</x:v>
      </x:c>
      <x:c r="AQ1271" s="7" t="str">
        <x:v>Personal Lines Broker-Agent / Inactive / 05/24/2016 / 05/31/2020 / 05/31/2020</x:v>
      </x:c>
      <x:c r="AR1271" s="7" t="str">
        <x:v>Inactive</x:v>
      </x:c>
      <x:c r="AS1271" s="7" t="str">
        <x:v>Current detail page</x:v>
      </x:c>
    </x:row>
    <x:row r="1272" ht="52" customHeight="1">
      <x:c r="A1272" s="7" t="str">
        <x:v>AGUILAR-GARCIA CITLALI MICHELLE</x:v>
      </x:c>
      <x:c r="B1272" s="14" t="str">
        <x:f>"0L32921"</x:f>
        <x:v>0L32921</x:v>
      </x:c>
      <x:c r="C1272" s="7" t="str">
        <x:v>Omitted</x:v>
      </x:c>
      <x:c r="D1272" s="7" t="str">
        <x:v>FAIL</x:v>
      </x:c>
      <x:c r="E1272" s="13" t="str">
        <x:v>Pending</x:v>
      </x:c>
      <x:c r="F1272" s="13" t="str"/>
      <x:c r="G1272" s="13" t="str"/>
      <x:c r="H1272" s="13" t="str"/>
      <x:c r="I1272" s="7" t="str">
        <x:v>Was this person reviewed? If rejected, give the actual rule and evidence. If acceptable, correct the omission. Confirm the Life-qualification gate and any record change since selection.</x:v>
      </x:c>
      <x:c r="J1272" s="7" t="str">
        <x:v>L1</x:v>
      </x:c>
      <x:c r="K1272" s="7" t="str">
        <x:v>Verified qualifications do not include active general Life. Current target-pool mismatch; actual historical omission reason unknown.</x:v>
      </x:c>
      <x:c r="L1272" s="7" t="str">
        <x:v>Not supplied; membership is known, motive is not</x:v>
      </x:c>
      <x:c r="M1272" s="7" t="n">
        <x:v>7</x:v>
      </x:c>
      <x:c r="N1272" s="7" t="str">
        <x:v>Outside current general-Life recruiting pool</x:v>
      </x:c>
      <x:c r="O1272" s="7" t="str">
        <x:v>Not displayed</x:v>
      </x:c>
      <x:c r="P1272" s="7" t="str"/>
      <x:c r="Q1272" s="7" t="str"/>
      <x:c r="R1272" s="7" t="str"/>
      <x:c r="S1272" s="15" t="str"/>
      <x:c r="T1272" s="7" t="str">
        <x:v>No public business phone in collected record</x:v>
      </x:c>
      <x:c r="U1272" s="7" t="str"/>
      <x:c r="V1272" s="7" t="str">
        <x:v>Resident</x:v>
      </x:c>
      <x:c r="W1272" s="7" t="str">
        <x:v>CA</x:v>
      </x:c>
      <x:c r="X1272" s="7" t="str"/>
      <x:c r="Y1272" s="7" t="str"/>
      <x:c r="Z1272" s="7" t="str"/>
      <x:c r="AA1272" s="7" t="str"/>
      <x:c r="AB1272" s="7" t="str"/>
      <x:c r="AC1272" s="7" t="str"/>
      <x:c r="AD1272" s="7" t="str">
        <x:v>No agency or insurer displayed: onboarding opportunity possible; existing business unknown</x:v>
      </x:c>
      <x:c r="AE1272" s="7" t="str">
        <x:v>No public business phone: contact enrichment needed, not proof of poor recruiting fit</x:v>
      </x:c>
      <x:c r="AF1272" s="16" t="str"/>
      <x:c r="AG1272" s="17" t="str"/>
      <x:c r="AH1272" s="7" t="str"/>
      <x:c r="AI1272" s="7" t="str">
        <x:v>English, Spanish, Spanish</x:v>
      </x:c>
      <x:c r="AJ1272" s="7" t="str"/>
      <x:c r="AK1272" s="15" t="str"/>
      <x:c r="AL1272" s="7" t="str"/>
      <x:c r="AM1272" s="7" t="str">
        <x:v>Aguilar Garcia M Citlali | AGUILAR-GARCIA MICHELLE CITLALI</x:v>
      </x:c>
      <x:c r="AN1272" s="7" t="str">
        <x:v>https://cdicloud.insurance.ca.gov/cal/LicenseDetail?SearchType=IND&amp;SearchLicNbr=0L32921&amp;SearchIndvId=1882801</x:v>
      </x:c>
      <x:c r="AO1272" s="7" t="str">
        <x:v>2026-10-08</x:v>
      </x:c>
      <x:c r="AP1272" s="7" t="str">
        <x:v>e6d29401c04b985b9f8eeff2ff7e69383a52eda020b55b8b71efa3f877ab7e4b</x:v>
      </x:c>
      <x:c r="AQ1272" s="7" t="str">
        <x:v>Life-Only / Inactive / 11/07/2016 / 11/30/2018 / 11/30/2018</x:v>
      </x:c>
      <x:c r="AR1272" s="7" t="str">
        <x:v>Inactive</x:v>
      </x:c>
      <x:c r="AS1272" s="7" t="str">
        <x:v>Current detail page</x:v>
      </x:c>
    </x:row>
    <x:row r="1273" ht="52" customHeight="1">
      <x:c r="A1273" s="7" t="str">
        <x:v>AGUILAR-GARCIA IRMA YADIRA</x:v>
      </x:c>
      <x:c r="B1273" s="14" t="str">
        <x:f>"0F71022"</x:f>
        <x:v>0F71022</x:v>
      </x:c>
      <x:c r="C1273" s="7" t="str">
        <x:v>Omitted</x:v>
      </x:c>
      <x:c r="D1273" s="7" t="str">
        <x:v>FAIL</x:v>
      </x:c>
      <x:c r="E1273" s="13" t="str">
        <x:v>Pending</x:v>
      </x:c>
      <x:c r="F1273" s="13" t="str"/>
      <x:c r="G1273" s="13" t="str"/>
      <x:c r="H1273" s="13" t="str"/>
      <x:c r="I1273" s="7" t="str">
        <x:v>Was this person reviewed? If rejected, give the actual rule and evidence. If acceptable, correct the omission. Confirm the Life-qualification gate and any record change since selection.</x:v>
      </x:c>
      <x:c r="J1273" s="7" t="str">
        <x:v>L1</x:v>
      </x:c>
      <x:c r="K1273" s="7" t="str">
        <x:v>Verified qualifications do not include active general Life. Current target-pool mismatch; actual historical omission reason unknown.</x:v>
      </x:c>
      <x:c r="L1273" s="7" t="str">
        <x:v>Not supplied; membership is known, motive is not</x:v>
      </x:c>
      <x:c r="M1273" s="7" t="n">
        <x:v>7</x:v>
      </x:c>
      <x:c r="N1273" s="7" t="str">
        <x:v>Outside current general-Life recruiting pool</x:v>
      </x:c>
      <x:c r="O1273" s="7" t="str">
        <x:v>Not displayed</x:v>
      </x:c>
      <x:c r="P1273" s="7" t="str"/>
      <x:c r="Q1273" s="7" t="str"/>
      <x:c r="R1273" s="7" t="str"/>
      <x:c r="S1273" s="15" t="str"/>
      <x:c r="T1273" s="7" t="str">
        <x:v>No public business phone in collected record</x:v>
      </x:c>
      <x:c r="U1273" s="7" t="str"/>
      <x:c r="V1273" s="7" t="str">
        <x:v>Resident</x:v>
      </x:c>
      <x:c r="W1273" s="7" t="str">
        <x:v>CA</x:v>
      </x:c>
      <x:c r="X1273" s="7" t="str"/>
      <x:c r="Y1273" s="7" t="str"/>
      <x:c r="Z1273" s="7" t="str"/>
      <x:c r="AA1273" s="7" t="str"/>
      <x:c r="AB1273" s="7" t="str"/>
      <x:c r="AC1273" s="7" t="str"/>
      <x:c r="AD1273" s="7" t="str">
        <x:v>No agency or insurer displayed: onboarding opportunity possible; existing business unknown</x:v>
      </x:c>
      <x:c r="AE1273" s="7" t="str">
        <x:v>No public business phone: contact enrichment needed, not proof of poor recruiting fit</x:v>
      </x:c>
      <x:c r="AF1273" s="16" t="str"/>
      <x:c r="AG1273" s="17" t="str"/>
      <x:c r="AH1273" s="7" t="str"/>
      <x:c r="AI1273" s="7" t="str"/>
      <x:c r="AJ1273" s="7" t="str"/>
      <x:c r="AK1273" s="15" t="str"/>
      <x:c r="AL1273" s="7" t="str"/>
      <x:c r="AM1273" s="7" t="str">
        <x:v>AGUILAR-GARCIA YADIRA IRMA</x:v>
      </x:c>
      <x:c r="AN1273" s="7" t="str">
        <x:v>https://cdicloud.insurance.ca.gov/cal/LicenseDetail?SearchType=IND&amp;SearchLicNbr=0F71022&amp;SearchIndvId=1089781</x:v>
      </x:c>
      <x:c r="AO1273" s="7" t="str">
        <x:v>2026-10-08</x:v>
      </x:c>
      <x:c r="AP1273" s="7" t="str">
        <x:v>83c42f4d36528874a399d6e7b69d8619e2b847c5e0c37da39f13de03abae36f2</x:v>
      </x:c>
      <x:c r="AQ1273" s="7" t="str">
        <x:v>Accident and Health / Inactive / 06/30/2007 / 06/30/2009 / 06/30/2009
Life-Only / Inactive / 06/30/2007 / 06/30/2009 / 06/30/2009</x:v>
      </x:c>
      <x:c r="AR1273" s="7" t="str">
        <x:v>Inactive</x:v>
      </x:c>
      <x:c r="AS1273" s="7" t="str">
        <x:v>Current detail page</x:v>
      </x:c>
    </x:row>
    <x:row r="1274" ht="52" customHeight="1">
      <x:c r="A1274" s="7" t="str">
        <x:v>AGUILAR-GONGAR GERALDINE</x:v>
      </x:c>
      <x:c r="B1274" s="14" t="str">
        <x:f>"0F69614"</x:f>
        <x:v>0F69614</x:v>
      </x:c>
      <x:c r="C1274" s="7" t="str">
        <x:v>Omitted</x:v>
      </x:c>
      <x:c r="D1274" s="7" t="str">
        <x:v>FAIL</x:v>
      </x:c>
      <x:c r="E1274" s="13" t="str">
        <x:v>Pending</x:v>
      </x:c>
      <x:c r="F1274" s="13" t="str"/>
      <x:c r="G1274" s="13" t="str"/>
      <x:c r="H1274" s="13" t="str"/>
      <x:c r="I1274" s="7" t="str">
        <x:v>Was this person reviewed? If rejected, give the actual rule and evidence. If acceptable, correct the omission. Confirm the Life-qualification gate and any record change since selection.</x:v>
      </x:c>
      <x:c r="J1274" s="7" t="str">
        <x:v>L1</x:v>
      </x:c>
      <x:c r="K1274" s="7" t="str">
        <x:v>Verified qualifications do not include active general Life. Current target-pool mismatch; actual historical omission reason unknown.</x:v>
      </x:c>
      <x:c r="L1274" s="7" t="str">
        <x:v>Not supplied; membership is known, motive is not</x:v>
      </x:c>
      <x:c r="M1274" s="7" t="n">
        <x:v>7</x:v>
      </x:c>
      <x:c r="N1274" s="7" t="str">
        <x:v>Outside current general-Life recruiting pool</x:v>
      </x:c>
      <x:c r="O1274" s="7" t="str">
        <x:v>Not displayed</x:v>
      </x:c>
      <x:c r="P1274" s="7" t="str"/>
      <x:c r="Q1274" s="7" t="str"/>
      <x:c r="R1274" s="7" t="str"/>
      <x:c r="S1274" s="15" t="str"/>
      <x:c r="T1274" s="7" t="str">
        <x:v>No public business phone in collected record</x:v>
      </x:c>
      <x:c r="U1274" s="7" t="str"/>
      <x:c r="V1274" s="7" t="str">
        <x:v>Resident</x:v>
      </x:c>
      <x:c r="W1274" s="7" t="str">
        <x:v>CA</x:v>
      </x:c>
      <x:c r="X1274" s="7" t="str"/>
      <x:c r="Y1274" s="7" t="str"/>
      <x:c r="Z1274" s="7" t="str"/>
      <x:c r="AA1274" s="7" t="str"/>
      <x:c r="AB1274" s="7" t="str"/>
      <x:c r="AC1274" s="7" t="str"/>
      <x:c r="AD1274" s="7" t="str">
        <x:v>No agency or insurer displayed: onboarding opportunity possible; existing business unknown</x:v>
      </x:c>
      <x:c r="AE1274" s="7" t="str">
        <x:v>No public business phone: contact enrichment needed, not proof of poor recruiting fit</x:v>
      </x:c>
      <x:c r="AF1274" s="16" t="str"/>
      <x:c r="AG1274" s="17" t="str"/>
      <x:c r="AH1274" s="7" t="str"/>
      <x:c r="AI1274" s="7" t="str"/>
      <x:c r="AJ1274" s="7" t="str"/>
      <x:c r="AK1274" s="15" t="str"/>
      <x:c r="AL1274" s="7" t="str"/>
      <x:c r="AM1274" s="7" t="str">
        <x:v>AGUILAR-GONGAR  GERALDINE</x:v>
      </x:c>
      <x:c r="AN1274" s="7" t="str">
        <x:v>https://cdicloud.insurance.ca.gov/cal/LicenseDetail?SearchType=IND&amp;SearchLicNbr=0F69614&amp;SearchIndvId=1087288</x:v>
      </x:c>
      <x:c r="AO1274" s="7" t="str">
        <x:v>2026-10-08</x:v>
      </x:c>
      <x:c r="AP1274" s="7" t="str">
        <x:v>2a143373fc4dc248c6e9fa8a2a7565fe0f199f658c65a658bc35e4ce381173ce</x:v>
      </x:c>
      <x:c r="AQ1274" s="7" t="str">
        <x:v>Accident and Health / Inactive / 06/14/2007 / 06/30/2009 / 06/30/2009
Life-Only / Inactive / 06/14/2007 / 06/30/2009 / 06/30/2009</x:v>
      </x:c>
      <x:c r="AR1274" s="7" t="str">
        <x:v>Inactive</x:v>
      </x:c>
      <x:c r="AS1274" s="7" t="str">
        <x:v>Current detail page</x:v>
      </x:c>
    </x:row>
    <x:row r="1275" ht="52" customHeight="1">
      <x:c r="A1275" s="7" t="str">
        <x:v>AGUILAR-HERNANDEZ DESERIE MONIQUE</x:v>
      </x:c>
      <x:c r="B1275" s="14" t="str">
        <x:f>"0N12427"</x:f>
        <x:v>0N12427</x:v>
      </x:c>
      <x:c r="C1275" s="7" t="str">
        <x:v>Omitted</x:v>
      </x:c>
      <x:c r="D1275" s="7" t="str">
        <x:v>FAIL</x:v>
      </x:c>
      <x:c r="E1275" s="13" t="str">
        <x:v>Pending</x:v>
      </x:c>
      <x:c r="F1275" s="13" t="str"/>
      <x:c r="G1275" s="13" t="str"/>
      <x:c r="H1275" s="13" t="str"/>
      <x:c r="I1275" s="7" t="str">
        <x:v>Was this person reviewed? If rejected, give the actual rule and evidence. If acceptable, correct the omission. Confirm the Life-qualification gate and any record change since selection.</x:v>
      </x:c>
      <x:c r="J1275" s="7" t="str">
        <x:v>L1</x:v>
      </x:c>
      <x:c r="K1275" s="7" t="str">
        <x:v>Verified qualifications do not include active general Life. Current target-pool mismatch; actual historical omission reason unknown.</x:v>
      </x:c>
      <x:c r="L1275" s="7" t="str">
        <x:v>Not supplied; membership is known, motive is not</x:v>
      </x:c>
      <x:c r="M1275" s="7" t="n">
        <x:v>7</x:v>
      </x:c>
      <x:c r="N1275" s="7" t="str">
        <x:v>Outside current general-Life recruiting pool</x:v>
      </x:c>
      <x:c r="O1275" s="7" t="str">
        <x:v>Inactive</x:v>
      </x:c>
      <x:c r="P1275" s="7" t="str">
        <x:v>08/07/2019</x:v>
      </x:c>
      <x:c r="Q1275" s="7" t="str">
        <x:v>08/31/2021</x:v>
      </x:c>
      <x:c r="R1275" s="7" t="str"/>
      <x:c r="S1275" s="15" t="str"/>
      <x:c r="T1275" s="7" t="str">
        <x:v>No public business phone in collected record</x:v>
      </x:c>
      <x:c r="U1275" s="7" t="str"/>
      <x:c r="V1275" s="7" t="str">
        <x:v>Resident</x:v>
      </x:c>
      <x:c r="W1275" s="7" t="str">
        <x:v>CA</x:v>
      </x:c>
      <x:c r="X1275" s="7" t="str"/>
      <x:c r="Y1275" s="7" t="str"/>
      <x:c r="Z1275" s="7" t="str"/>
      <x:c r="AA1275" s="7" t="str"/>
      <x:c r="AB1275" s="7" t="str"/>
      <x:c r="AC1275" s="7" t="str"/>
      <x:c r="AD1275" s="7" t="str">
        <x:v>No agency or insurer displayed: onboarding opportunity possible; existing business unknown</x:v>
      </x:c>
      <x:c r="AE1275" s="7" t="str">
        <x:v>No public business phone: contact enrichment needed, not proof of poor recruiting fit</x:v>
      </x:c>
      <x:c r="AF1275" s="16" t="str"/>
      <x:c r="AG1275" s="17" t="str"/>
      <x:c r="AH1275" s="7" t="str"/>
      <x:c r="AI1275" s="7" t="str"/>
      <x:c r="AJ1275" s="7" t="str"/>
      <x:c r="AK1275" s="15" t="str"/>
      <x:c r="AL1275" s="7" t="str"/>
      <x:c r="AM1275" s="7" t="str">
        <x:v>Aguilar-Hernandez M Deserie | AGUILAR-HERNANDEZ MONIQUE DESERIE</x:v>
      </x:c>
      <x:c r="AN1275" s="7" t="str">
        <x:v>https://cdicloud.insurance.ca.gov/cal/LicenseDetail?SearchType=IND&amp;SearchLicNbr=0N12427&amp;SearchIndvId=2119654</x:v>
      </x:c>
      <x:c r="AO1275" s="7" t="str">
        <x:v>2026-10-08</x:v>
      </x:c>
      <x:c r="AP1275" s="7" t="str">
        <x:v>0a5659909d8f63f6fe909084bd33822b5fdb2402f0eca17cc88be88b3e22a3bb</x:v>
      </x:c>
      <x:c r="AQ1275" s="7" t="str">
        <x:v>Life / Inactive / 08/07/2019 / 08/31/2021 / 08/31/2021</x:v>
      </x:c>
      <x:c r="AR1275" s="7" t="str">
        <x:v>Inactive</x:v>
      </x:c>
      <x:c r="AS1275" s="7" t="str">
        <x:v>Current detail page</x:v>
      </x:c>
    </x:row>
    <x:row r="1276" ht="52" customHeight="1">
      <x:c r="A1276" s="7" t="str">
        <x:v>AGUILAR-HERNANDEZ EDGAR FRANCISCO</x:v>
      </x:c>
      <x:c r="B1276" s="14" t="str">
        <x:f>"2124518"</x:f>
        <x:v>2124518</x:v>
      </x:c>
      <x:c r="C1276" s="7" t="str">
        <x:v>Omitted</x:v>
      </x:c>
      <x:c r="D1276" s="7" t="str">
        <x:v>FAIL</x:v>
      </x:c>
      <x:c r="E1276" s="13" t="str">
        <x:v>Pending</x:v>
      </x:c>
      <x:c r="F1276" s="13" t="str"/>
      <x:c r="G1276" s="13" t="str"/>
      <x:c r="H1276" s="13" t="str"/>
      <x:c r="I1276" s="7" t="str">
        <x:v>Was this person reviewed? If rejected, give the actual rule and evidence. If acceptable, correct the omission. Confirm the Life-qualification gate and any record change since selection.</x:v>
      </x:c>
      <x:c r="J1276" s="7" t="str">
        <x:v>L1</x:v>
      </x:c>
      <x:c r="K1276" s="7" t="str">
        <x:v>Verified qualifications do not include active general Life. Current target-pool mismatch; actual historical omission reason unknown.</x:v>
      </x:c>
      <x:c r="L1276" s="7" t="str">
        <x:v>Not supplied; membership is known, motive is not</x:v>
      </x:c>
      <x:c r="M1276" s="7" t="n">
        <x:v>7</x:v>
      </x:c>
      <x:c r="N1276" s="7" t="str">
        <x:v>Outside current general-Life recruiting pool</x:v>
      </x:c>
      <x:c r="O1276" s="7" t="str">
        <x:v>Inactive</x:v>
      </x:c>
      <x:c r="P1276" s="7" t="str">
        <x:v>04/30/2020</x:v>
      </x:c>
      <x:c r="Q1276" s="7" t="str">
        <x:v>04/30/2022</x:v>
      </x:c>
      <x:c r="R1276" s="7" t="str"/>
      <x:c r="S1276" s="15" t="str">
        <x:v>559-765-2619</x:v>
      </x:c>
      <x:c r="T1276" s="7" t="str">
        <x:v>Current CDI</x:v>
      </x:c>
      <x:c r="U1276" s="7" t="str">
        <x:v>4991 E MCKINLEY AVE STE 104 FRESNO CA, 93727</x:v>
      </x:c>
      <x:c r="V1276" s="7" t="str">
        <x:v>Resident</x:v>
      </x:c>
      <x:c r="W1276" s="7" t="str">
        <x:v>CA</x:v>
      </x:c>
      <x:c r="X1276" s="7" t="str"/>
      <x:c r="Y1276" s="7" t="str"/>
      <x:c r="Z1276" s="7" t="str"/>
      <x:c r="AA1276" s="7" t="str"/>
      <x:c r="AB1276" s="7" t="str"/>
      <x:c r="AC1276" s="7" t="str"/>
      <x:c r="AD1276" s="7" t="str">
        <x:v>No agency or insurer displayed: onboarding opportunity possible; existing business unknown</x:v>
      </x:c>
      <x:c r="AE1276" s="7" t="str"/>
      <x:c r="AF1276" s="16" t="str"/>
      <x:c r="AG1276" s="17" t="str"/>
      <x:c r="AH1276" s="7" t="str"/>
      <x:c r="AI1276" s="7" t="str">
        <x:v>English</x:v>
      </x:c>
      <x:c r="AJ1276" s="7" t="str"/>
      <x:c r="AK1276" s="15" t="str"/>
      <x:c r="AL1276" s="7" t="str"/>
      <x:c r="AM1276" s="7" t="str">
        <x:v>Aguilar-Hernandez F Edgar | AGUILAR-HERNANDEZ FRANCISCO EDGAR</x:v>
      </x:c>
      <x:c r="AN1276" s="7" t="str">
        <x:v>https://cdicloud.insurance.ca.gov/cal/LicenseDetail?SearchType=IND&amp;SearchLicNbr=2124518&amp;SearchIndvId=2124518</x:v>
      </x:c>
      <x:c r="AO1276" s="7" t="str">
        <x:v>2026-10-08</x:v>
      </x:c>
      <x:c r="AP1276" s="7" t="str">
        <x:v>baa90b5c581f0850869bd54708142755d7f5e9b407f6e9fc660fd104450b4c23</x:v>
      </x:c>
      <x:c r="AQ1276" s="7" t="str">
        <x:v>Life / Inactive / 04/30/2020 / 04/30/2022 / 04/30/2022</x:v>
      </x:c>
      <x:c r="AR1276" s="7" t="str">
        <x:v>Inactive</x:v>
      </x:c>
      <x:c r="AS1276" s="7" t="str">
        <x:v>Current detail page</x:v>
      </x:c>
    </x:row>
    <x:row r="1277" ht="52" customHeight="1">
      <x:c r="A1277" s="7" t="str">
        <x:v>AGUILAR-JACOBO EULALIA</x:v>
      </x:c>
      <x:c r="B1277" s="14" t="str">
        <x:f>"0L59683"</x:f>
        <x:v>0L59683</x:v>
      </x:c>
      <x:c r="C1277" s="7" t="str">
        <x:v>Omitted</x:v>
      </x:c>
      <x:c r="D1277" s="7" t="str">
        <x:v>FAIL</x:v>
      </x:c>
      <x:c r="E1277" s="13" t="str">
        <x:v>Pending</x:v>
      </x:c>
      <x:c r="F1277" s="13" t="str"/>
      <x:c r="G1277" s="13" t="str"/>
      <x:c r="H1277" s="13" t="str"/>
      <x:c r="I1277" s="7" t="str">
        <x:v>Was this person reviewed? If rejected, give the actual rule and evidence. If acceptable, correct the omission. Confirm the Life-qualification gate and any record change since selection.</x:v>
      </x:c>
      <x:c r="J1277" s="7" t="str">
        <x:v>L1</x:v>
      </x:c>
      <x:c r="K1277" s="7" t="str">
        <x:v>Verified qualifications do not include active general Life. Current target-pool mismatch; actual historical omission reason unknown.</x:v>
      </x:c>
      <x:c r="L1277" s="7" t="str">
        <x:v>Not supplied; membership is known, motive is not</x:v>
      </x:c>
      <x:c r="M1277" s="7" t="n">
        <x:v>7</x:v>
      </x:c>
      <x:c r="N1277" s="7" t="str">
        <x:v>Outside current general-Life recruiting pool</x:v>
      </x:c>
      <x:c r="O1277" s="7" t="str">
        <x:v>Not displayed</x:v>
      </x:c>
      <x:c r="P1277" s="7" t="str"/>
      <x:c r="Q1277" s="7" t="str"/>
      <x:c r="R1277" s="7" t="str"/>
      <x:c r="S1277" s="15" t="str"/>
      <x:c r="T1277" s="7" t="str">
        <x:v>No public business phone in collected record</x:v>
      </x:c>
      <x:c r="U1277" s="7" t="str"/>
      <x:c r="V1277" s="7" t="str">
        <x:v>Resident</x:v>
      </x:c>
      <x:c r="W1277" s="7" t="str">
        <x:v>CA</x:v>
      </x:c>
      <x:c r="X1277" s="7" t="str"/>
      <x:c r="Y1277" s="7" t="str"/>
      <x:c r="Z1277" s="7" t="str"/>
      <x:c r="AA1277" s="7" t="str"/>
      <x:c r="AB1277" s="7" t="str"/>
      <x:c r="AC1277" s="7" t="str"/>
      <x:c r="AD1277" s="7" t="str">
        <x:v>No agency or insurer displayed: onboarding opportunity possible; existing business unknown</x:v>
      </x:c>
      <x:c r="AE1277" s="7" t="str">
        <x:v>No public business phone: contact enrichment needed, not proof of poor recruiting fit</x:v>
      </x:c>
      <x:c r="AF1277" s="16" t="str"/>
      <x:c r="AG1277" s="17" t="str"/>
      <x:c r="AH1277" s="7" t="str"/>
      <x:c r="AI1277" s="7" t="str"/>
      <x:c r="AJ1277" s="7" t="str"/>
      <x:c r="AK1277" s="15" t="str"/>
      <x:c r="AL1277" s="7" t="str"/>
      <x:c r="AM1277" s="7" t="str">
        <x:v>Aguilar Jacobo  Eulalia | AGUILAR-JACOBO  EULALIA</x:v>
      </x:c>
      <x:c r="AN1277" s="7" t="str">
        <x:v>https://cdicloud.insurance.ca.gov/cal/LicenseDetail?SearchType=IND&amp;SearchLicNbr=0L59683&amp;SearchIndvId=1909943</x:v>
      </x:c>
      <x:c r="AO1277" s="7" t="str">
        <x:v>2026-10-08</x:v>
      </x:c>
      <x:c r="AP1277" s="7" t="str">
        <x:v>f153a3692af45435243ec7731f1c95eac36ac3dc6faadc384f4422f221824749</x:v>
      </x:c>
      <x:c r="AQ1277" s="7" t="str">
        <x:v>Accident and Health / Inactive / 03/08/2017 / 03/31/2019 / 03/31/2019
Life-Only / Inactive / 03/08/2017 / 03/31/2019 / 03/31/2019</x:v>
      </x:c>
      <x:c r="AR1277" s="7" t="str">
        <x:v>Inactive</x:v>
      </x:c>
      <x:c r="AS1277" s="7" t="str">
        <x:v>Current detail page</x:v>
      </x:c>
    </x:row>
    <x:row r="1278" ht="52" customHeight="1">
      <x:c r="A1278" s="7" t="str">
        <x:v>AGUILAR-LINO AMELIA</x:v>
      </x:c>
      <x:c r="B1278" s="14" t="str">
        <x:f>"4296387"</x:f>
        <x:v>4296387</x:v>
      </x:c>
      <x:c r="C1278" s="7" t="str">
        <x:v>Omitted</x:v>
      </x:c>
      <x:c r="D1278" s="7" t="str">
        <x:v>FAIL</x:v>
      </x:c>
      <x:c r="E1278" s="13" t="str">
        <x:v>Pending</x:v>
      </x:c>
      <x:c r="F1278" s="13" t="str"/>
      <x:c r="G1278" s="13" t="str"/>
      <x:c r="H1278" s="13" t="str"/>
      <x:c r="I1278" s="7" t="str">
        <x:v>Was this person reviewed? If rejected, give the actual rule and evidence. If acceptable, correct the omission. Confirm the Life-qualification gate and any record change since selection.</x:v>
      </x:c>
      <x:c r="J1278" s="7" t="str">
        <x:v>L1</x:v>
      </x:c>
      <x:c r="K1278" s="7" t="str">
        <x:v>Verified qualifications do not include active general Life. Current target-pool mismatch; actual historical omission reason unknown.</x:v>
      </x:c>
      <x:c r="L1278" s="7" t="str">
        <x:v>Not supplied; membership is known, motive is not</x:v>
      </x:c>
      <x:c r="M1278" s="7" t="n">
        <x:v>7</x:v>
      </x:c>
      <x:c r="N1278" s="7" t="str">
        <x:v>Outside current general-Life recruiting pool</x:v>
      </x:c>
      <x:c r="O1278" s="7" t="str">
        <x:v>Inactive</x:v>
      </x:c>
      <x:c r="P1278" s="7" t="str">
        <x:v>05/19/2023</x:v>
      </x:c>
      <x:c r="Q1278" s="7" t="str">
        <x:v>05/31/2025</x:v>
      </x:c>
      <x:c r="R1278" s="7" t="str"/>
      <x:c r="S1278" s="15" t="str"/>
      <x:c r="T1278" s="7" t="str">
        <x:v>No public business phone in collected record</x:v>
      </x:c>
      <x:c r="U1278" s="7" t="str">
        <x:v>2265 OTAY LAKES RD CHULA VISTA CA, 91915</x:v>
      </x:c>
      <x:c r="V1278" s="7" t="str">
        <x:v>Resident</x:v>
      </x:c>
      <x:c r="W1278" s="7" t="str">
        <x:v>CA</x:v>
      </x:c>
      <x:c r="X1278" s="7" t="str"/>
      <x:c r="Y1278" s="7" t="str"/>
      <x:c r="Z1278" s="7" t="str"/>
      <x:c r="AA1278" s="7" t="str"/>
      <x:c r="AB1278" s="7" t="str"/>
      <x:c r="AC1278" s="7" t="str"/>
      <x:c r="AD1278" s="7" t="str">
        <x:v>No agency or insurer displayed: onboarding opportunity possible; existing business unknown</x:v>
      </x:c>
      <x:c r="AE1278" s="7" t="str">
        <x:v>No public business phone: contact enrichment needed, not proof of poor recruiting fit</x:v>
      </x:c>
      <x:c r="AF1278" s="16" t="str"/>
      <x:c r="AG1278" s="17" t="str"/>
      <x:c r="AH1278" s="7" t="str"/>
      <x:c r="AI1278" s="7" t="str"/>
      <x:c r="AJ1278" s="7" t="str"/>
      <x:c r="AK1278" s="15" t="str"/>
      <x:c r="AL1278" s="7" t="str"/>
      <x:c r="AM1278" s="7" t="str">
        <x:v>AGUILAR-LINO  AMELIA</x:v>
      </x:c>
      <x:c r="AN1278" s="7" t="str">
        <x:v>https://cdicloud.insurance.ca.gov/cal/LicenseDetail?SearchType=IND&amp;SearchLicNbr=4296387&amp;SearchIndvId=4296387</x:v>
      </x:c>
      <x:c r="AO1278" s="7" t="str">
        <x:v>2026-10-08</x:v>
      </x:c>
      <x:c r="AP1278" s="7" t="str">
        <x:v>7ffe47e86ad3cd798c38eb749b23b306d7a2cadfad323ccb8f6d3f91584e17d1</x:v>
      </x:c>
      <x:c r="AQ1278" s="7" t="str">
        <x:v>Life / Inactive / 05/19/2023 / 05/31/2025 / 05/31/2025</x:v>
      </x:c>
      <x:c r="AR1278" s="7" t="str">
        <x:v>Inactive</x:v>
      </x:c>
      <x:c r="AS1278" s="7" t="str">
        <x:v>Current detail page</x:v>
      </x:c>
    </x:row>
    <x:row r="1279" ht="52" customHeight="1">
      <x:c r="A1279" s="7" t="str">
        <x:v>AGUILAR-LOEZA MARIA PATRICIA</x:v>
      </x:c>
      <x:c r="B1279" s="14" t="str">
        <x:f>"0F70638"</x:f>
        <x:v>0F70638</x:v>
      </x:c>
      <x:c r="C1279" s="7" t="str">
        <x:v>Omitted</x:v>
      </x:c>
      <x:c r="D1279" s="7" t="str">
        <x:v>FAIL</x:v>
      </x:c>
      <x:c r="E1279" s="13" t="str">
        <x:v>Pending</x:v>
      </x:c>
      <x:c r="F1279" s="13" t="str"/>
      <x:c r="G1279" s="13" t="str"/>
      <x:c r="H1279" s="13" t="str"/>
      <x:c r="I1279" s="7" t="str">
        <x:v>Was this person reviewed? If rejected, give the actual rule and evidence. If acceptable, correct the omission. Confirm the Life-qualification gate and any record change since selection.</x:v>
      </x:c>
      <x:c r="J1279" s="7" t="str">
        <x:v>L1</x:v>
      </x:c>
      <x:c r="K1279" s="7" t="str">
        <x:v>Verified qualifications do not include active general Life. Current target-pool mismatch; actual historical omission reason unknown.</x:v>
      </x:c>
      <x:c r="L1279" s="7" t="str">
        <x:v>Not supplied; membership is known, motive is not</x:v>
      </x:c>
      <x:c r="M1279" s="7" t="n">
        <x:v>7</x:v>
      </x:c>
      <x:c r="N1279" s="7" t="str">
        <x:v>Outside current general-Life recruiting pool</x:v>
      </x:c>
      <x:c r="O1279" s="7" t="str">
        <x:v>Not displayed</x:v>
      </x:c>
      <x:c r="P1279" s="7" t="str"/>
      <x:c r="Q1279" s="7" t="str"/>
      <x:c r="R1279" s="7" t="str"/>
      <x:c r="S1279" s="15" t="str"/>
      <x:c r="T1279" s="7" t="str">
        <x:v>No public business phone in collected record</x:v>
      </x:c>
      <x:c r="U1279" s="7" t="str"/>
      <x:c r="V1279" s="7" t="str">
        <x:v>Resident</x:v>
      </x:c>
      <x:c r="W1279" s="7" t="str">
        <x:v>CA</x:v>
      </x:c>
      <x:c r="X1279" s="7" t="str"/>
      <x:c r="Y1279" s="7" t="str"/>
      <x:c r="Z1279" s="7" t="str"/>
      <x:c r="AA1279" s="7" t="str"/>
      <x:c r="AB1279" s="7" t="str"/>
      <x:c r="AC1279" s="7" t="str"/>
      <x:c r="AD1279" s="7" t="str">
        <x:v>No agency or insurer displayed: onboarding opportunity possible; existing business unknown</x:v>
      </x:c>
      <x:c r="AE1279" s="7" t="str">
        <x:v>No public business phone: contact enrichment needed, not proof of poor recruiting fit</x:v>
      </x:c>
      <x:c r="AF1279" s="16" t="str"/>
      <x:c r="AG1279" s="17" t="str"/>
      <x:c r="AH1279" s="7" t="str"/>
      <x:c r="AI1279" s="7" t="str"/>
      <x:c r="AJ1279" s="7" t="str"/>
      <x:c r="AK1279" s="15" t="str"/>
      <x:c r="AL1279" s="7" t="str"/>
      <x:c r="AM1279" s="7" t="str">
        <x:v>AGUILAR-LOEZA PATRICIA MARIA</x:v>
      </x:c>
      <x:c r="AN1279" s="7" t="str">
        <x:v>https://cdicloud.insurance.ca.gov/cal/LicenseDetail?SearchType=IND&amp;SearchLicNbr=0F70638&amp;SearchIndvId=1088361</x:v>
      </x:c>
      <x:c r="AO1279" s="7" t="str">
        <x:v>2026-10-08</x:v>
      </x:c>
      <x:c r="AP1279" s="7" t="str">
        <x:v>151654f81171d66c23cdb8c8af052a7d529becf3292b253f38e7cff366006919</x:v>
      </x:c>
      <x:c r="AQ1279" s="7" t="str">
        <x:v>Motor Club Agent / Inactive / 06/21/2007 / 06/30/2009 / 06/30/2009</x:v>
      </x:c>
      <x:c r="AR1279" s="7" t="str">
        <x:v>Inactive</x:v>
      </x:c>
      <x:c r="AS1279" s="7" t="str">
        <x:v>Current detail page</x:v>
      </x:c>
    </x:row>
    <x:row r="1280" ht="52" customHeight="1">
      <x:c r="A1280" s="7" t="str">
        <x:v>AGUILAR-LOPEZ GABRIELA</x:v>
      </x:c>
      <x:c r="B1280" s="14" t="str">
        <x:f>"0I50045"</x:f>
        <x:v>0I50045</x:v>
      </x:c>
      <x:c r="C1280" s="7" t="str">
        <x:v>Omitted</x:v>
      </x:c>
      <x:c r="D1280" s="7" t="str">
        <x:v>FAIL</x:v>
      </x:c>
      <x:c r="E1280" s="13" t="str">
        <x:v>Pending</x:v>
      </x:c>
      <x:c r="F1280" s="13" t="str"/>
      <x:c r="G1280" s="13" t="str"/>
      <x:c r="H1280" s="13" t="str"/>
      <x:c r="I1280" s="7" t="str">
        <x:v>Was this person reviewed? If rejected, give the actual rule and evidence. If acceptable, correct the omission. Confirm the Life-qualification gate and any record change since selection.</x:v>
      </x:c>
      <x:c r="J1280" s="7" t="str">
        <x:v>L1</x:v>
      </x:c>
      <x:c r="K1280" s="7" t="str">
        <x:v>Verified qualifications do not include active general Life. Current target-pool mismatch; actual historical omission reason unknown.</x:v>
      </x:c>
      <x:c r="L1280" s="7" t="str">
        <x:v>Not supplied; membership is known, motive is not</x:v>
      </x:c>
      <x:c r="M1280" s="7" t="n">
        <x:v>7</x:v>
      </x:c>
      <x:c r="N1280" s="7" t="str">
        <x:v>Outside current general-Life recruiting pool</x:v>
      </x:c>
      <x:c r="O1280" s="7" t="str">
        <x:v>Not displayed</x:v>
      </x:c>
      <x:c r="P1280" s="7" t="str"/>
      <x:c r="Q1280" s="7" t="str"/>
      <x:c r="R1280" s="7" t="str"/>
      <x:c r="S1280" s="15" t="str"/>
      <x:c r="T1280" s="7" t="str">
        <x:v>No public business phone in collected record</x:v>
      </x:c>
      <x:c r="U1280" s="7" t="str"/>
      <x:c r="V1280" s="7" t="str">
        <x:v>Resident</x:v>
      </x:c>
      <x:c r="W1280" s="7" t="str">
        <x:v>CA</x:v>
      </x:c>
      <x:c r="X1280" s="7" t="str"/>
      <x:c r="Y1280" s="7" t="str"/>
      <x:c r="Z1280" s="7" t="str"/>
      <x:c r="AA1280" s="7" t="str"/>
      <x:c r="AB1280" s="7" t="str"/>
      <x:c r="AC1280" s="7" t="str"/>
      <x:c r="AD1280" s="7" t="str">
        <x:v>No agency or insurer displayed: onboarding opportunity possible; existing business unknown</x:v>
      </x:c>
      <x:c r="AE1280" s="7" t="str">
        <x:v>No public business phone: contact enrichment needed, not proof of poor recruiting fit</x:v>
      </x:c>
      <x:c r="AF1280" s="16" t="str"/>
      <x:c r="AG1280" s="17" t="str"/>
      <x:c r="AH1280" s="7" t="str"/>
      <x:c r="AI1280" s="7" t="str"/>
      <x:c r="AJ1280" s="7" t="str"/>
      <x:c r="AK1280" s="15" t="str"/>
      <x:c r="AL1280" s="7" t="str"/>
      <x:c r="AM1280" s="7" t="str">
        <x:v>AGUILAR-LOPEZ  GABRIELA</x:v>
      </x:c>
      <x:c r="AN1280" s="7" t="str">
        <x:v>https://cdicloud.insurance.ca.gov/cal/LicenseDetail?SearchType=IND&amp;SearchLicNbr=0I50045&amp;SearchIndvId=1598418</x:v>
      </x:c>
      <x:c r="AO1280" s="7" t="str">
        <x:v>2026-10-08</x:v>
      </x:c>
      <x:c r="AP1280" s="7" t="str">
        <x:v>b55e77d8718a6cfce021ab632850eef8a8c2ba3a46f50fec4675780fe58e0671</x:v>
      </x:c>
      <x:c r="AQ1280" s="7" t="str">
        <x:v>Accident and Health / Inactive / 10/20/2016 / 08/31/2019 / 08/31/2019
Casualty Broker-Agent / Inactive / 08/23/2013 / 08/31/2019 / 08/31/2019
Life-Only / Inactive / 10/20/2016 / 08/31/2019 / 08/31/2019
Property Broker-Agent / Inactive / 08/23/2013 / 08/31/2019 / 08/31/2019</x:v>
      </x:c>
      <x:c r="AR1280" s="7" t="str">
        <x:v>Inactive</x:v>
      </x:c>
      <x:c r="AS1280" s="7" t="str">
        <x:v>Current detail page</x:v>
      </x:c>
    </x:row>
    <x:row r="1281" ht="52" customHeight="1">
      <x:c r="A1281" s="7" t="str">
        <x:v>AGUILAR-LOPEZ SHAIRA</x:v>
      </x:c>
      <x:c r="B1281" s="14" t="str">
        <x:f>"4547588"</x:f>
        <x:v>4547588</x:v>
      </x:c>
      <x:c r="C1281" s="7" t="str">
        <x:v>Omitted</x:v>
      </x:c>
      <x:c r="D1281" s="7" t="str">
        <x:v>FAIL</x:v>
      </x:c>
      <x:c r="E1281" s="13" t="str">
        <x:v>Pending</x:v>
      </x:c>
      <x:c r="F1281" s="13" t="str"/>
      <x:c r="G1281" s="13" t="str"/>
      <x:c r="H1281" s="13" t="str"/>
      <x:c r="I1281" s="7" t="str">
        <x:v>Was this person reviewed? If rejected, give the actual rule and evidence. If acceptable, correct the omission. Confirm the Life-qualification gate and any record change since selection.</x:v>
      </x:c>
      <x:c r="J1281" s="7" t="str">
        <x:v>L1</x:v>
      </x:c>
      <x:c r="K1281" s="7" t="str">
        <x:v>Verified qualifications do not include active general Life. Current target-pool mismatch; actual historical omission reason unknown.</x:v>
      </x:c>
      <x:c r="L1281" s="7" t="str">
        <x:v>Not supplied; membership is known, motive is not</x:v>
      </x:c>
      <x:c r="M1281" s="7" t="n">
        <x:v>7</x:v>
      </x:c>
      <x:c r="N1281" s="7" t="str">
        <x:v>Outside current general-Life recruiting pool</x:v>
      </x:c>
      <x:c r="O1281" s="7" t="str">
        <x:v>Not displayed</x:v>
      </x:c>
      <x:c r="P1281" s="7" t="str"/>
      <x:c r="Q1281" s="7" t="str"/>
      <x:c r="R1281" s="7" t="str">
        <x:v>Casualty; Property</x:v>
      </x:c>
      <x:c r="S1281" s="15" t="str"/>
      <x:c r="T1281" s="7" t="str">
        <x:v>No public business phone in collected record</x:v>
      </x:c>
      <x:c r="U1281" s="7" t="str">
        <x:v>3015 BARRETT RD GAINESVILLE GA, 30507</x:v>
      </x:c>
      <x:c r="V1281" s="7" t="str">
        <x:v>Non-resident</x:v>
      </x:c>
      <x:c r="W1281" s="7" t="str">
        <x:v>GA</x:v>
      </x:c>
      <x:c r="X1281" s="7" t="str"/>
      <x:c r="Y1281" s="7" t="str">
        <x:v>GARRISON PROPERTY AND CASUALTY INSURANCE COMPANY / Casualty / 06/02/2026
GARRISON PROPERTY AND CASUALTY INSURANCE COMPANY / Property / 06/02/2026
UNITED SERVICES AUTOMOBILE ASSOCIATION / Casualty / 06/02/2026
UNITED SERVICES AUTOMOBILE ASSOCIATION / Property / 06/02/2026
USAA CASUALTY INSURANCE COMPANY / Casualty / 06/02/2026
USAA CASUALTY INSURANCE COMPANY / Property / 06/02/2026
USAA GENERAL INDEMNITY COMPANY / Casualty / 06/02/2026
USAA GENERAL INDEMNITY COMPANY / Property / 06/02/2026</x:v>
      </x:c>
      <x:c r="Z1281" s="7" t="str"/>
      <x:c r="AA1281" s="7" t="str"/>
      <x:c r="AB1281" s="7" t="str"/>
      <x:c r="AC1281" s="7" t="str"/>
      <x:c r="AD1281" s="7" t="str"/>
      <x:c r="AE1281"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1281" s="16" t="str"/>
      <x:c r="AG1281" s="17" t="str"/>
      <x:c r="AH1281" s="7" t="str"/>
      <x:c r="AI1281" s="7" t="str"/>
      <x:c r="AJ1281" s="7" t="str"/>
      <x:c r="AK1281" s="15" t="str"/>
      <x:c r="AL1281" s="7" t="str"/>
      <x:c r="AM1281" s="7" t="str">
        <x:v>AGUILAR-LOPEZ  SHAIRA</x:v>
      </x:c>
      <x:c r="AN1281" s="7" t="str">
        <x:v>https://cdicloud.insurance.ca.gov/cal/LicenseDetail?SearchType=IND&amp;SearchLicNbr=4547588&amp;SearchIndvId=4547588</x:v>
      </x:c>
      <x:c r="AO1281" s="7" t="str">
        <x:v>2026-10-08</x:v>
      </x:c>
      <x:c r="AP1281" s="7" t="str">
        <x:v>bc289d878b2ff35c606272cb5b0cc450535c8bfe854b5d5f2b3c83f3997b4536</x:v>
      </x:c>
      <x:c r="AQ1281" s="7" t="str">
        <x:v>Casualty / Active / 05/07/2026 / 05/07/2026 / 05/31/2028
Property / Active / 05/07/2026 / 05/07/2026 / 05/31/2028</x:v>
      </x:c>
      <x:c r="AR1281" s="7" t="str">
        <x:v>Active</x:v>
      </x:c>
      <x:c r="AS1281" s="7" t="str">
        <x:v>Current detail page</x:v>
      </x:c>
    </x:row>
    <x:row r="1282" ht="52" customHeight="1">
      <x:c r="A1282" s="7" t="str">
        <x:v>AGUILAR-MAGANA CHRISTIAN</x:v>
      </x:c>
      <x:c r="B1282" s="14" t="str">
        <x:f>"4117942"</x:f>
        <x:v>4117942</x:v>
      </x:c>
      <x:c r="C1282" s="7" t="str">
        <x:v>Omitted</x:v>
      </x:c>
      <x:c r="D1282" s="7" t="str">
        <x:v>FAIL</x:v>
      </x:c>
      <x:c r="E1282" s="13" t="str">
        <x:v>Pending</x:v>
      </x:c>
      <x:c r="F1282" s="13" t="str"/>
      <x:c r="G1282" s="13" t="str"/>
      <x:c r="H1282" s="13" t="str"/>
      <x:c r="I1282" s="7" t="str">
        <x:v>Was this person reviewed? If rejected, give the actual rule and evidence. If acceptable, correct the omission. Confirm the Life-qualification gate and any record change since selection.</x:v>
      </x:c>
      <x:c r="J1282" s="7" t="str">
        <x:v>L1</x:v>
      </x:c>
      <x:c r="K1282" s="7" t="str">
        <x:v>Verified qualifications do not include active general Life. Current target-pool mismatch; actual historical omission reason unknown.</x:v>
      </x:c>
      <x:c r="L1282" s="7" t="str">
        <x:v>Not supplied; membership is known, motive is not</x:v>
      </x:c>
      <x:c r="M1282" s="7" t="n">
        <x:v>7</x:v>
      </x:c>
      <x:c r="N1282" s="7" t="str">
        <x:v>Outside current general-Life recruiting pool</x:v>
      </x:c>
      <x:c r="O1282" s="7" t="str">
        <x:v>Inactive</x:v>
      </x:c>
      <x:c r="P1282" s="7" t="str">
        <x:v>05/12/2021</x:v>
      </x:c>
      <x:c r="Q1282" s="7" t="str">
        <x:v>05/31/2023</x:v>
      </x:c>
      <x:c r="R1282" s="7" t="str"/>
      <x:c r="S1282" s="15" t="str">
        <x:v>559-765-2619</x:v>
      </x:c>
      <x:c r="T1282" s="7" t="str">
        <x:v>Current CDI</x:v>
      </x:c>
      <x:c r="U1282" s="7" t="str">
        <x:v>4991 E MCKINLEY AVE STE 104 FRESNO CA, 93727</x:v>
      </x:c>
      <x:c r="V1282" s="7" t="str">
        <x:v>Resident</x:v>
      </x:c>
      <x:c r="W1282" s="7" t="str">
        <x:v>CA</x:v>
      </x:c>
      <x:c r="X1282" s="7" t="str"/>
      <x:c r="Y1282" s="7" t="str"/>
      <x:c r="Z1282" s="7" t="str"/>
      <x:c r="AA1282" s="7" t="str"/>
      <x:c r="AB1282" s="7" t="str"/>
      <x:c r="AC1282" s="7" t="str"/>
      <x:c r="AD1282" s="7" t="str">
        <x:v>No agency or insurer displayed: onboarding opportunity possible; existing business unknown</x:v>
      </x:c>
      <x:c r="AE1282" s="7" t="str"/>
      <x:c r="AF1282" s="16" t="str"/>
      <x:c r="AG1282" s="17" t="str"/>
      <x:c r="AH1282" s="7" t="str"/>
      <x:c r="AI1282" s="7" t="str">
        <x:v>English</x:v>
      </x:c>
      <x:c r="AJ1282" s="7" t="str"/>
      <x:c r="AK1282" s="15" t="str"/>
      <x:c r="AL1282" s="7" t="str"/>
      <x:c r="AM1282" s="7" t="str">
        <x:v>AGUILAR-MAGANA  CHRISTIAN</x:v>
      </x:c>
      <x:c r="AN1282" s="7" t="str">
        <x:v>https://cdicloud.insurance.ca.gov/cal/LicenseDetail?SearchType=IND&amp;SearchLicNbr=4117942&amp;SearchIndvId=4117942</x:v>
      </x:c>
      <x:c r="AO1282" s="7" t="str">
        <x:v>2026-10-08</x:v>
      </x:c>
      <x:c r="AP1282" s="7" t="str">
        <x:v>e7e008c9fe7bd53b51702c9c0cb84f3cb5ca949fa9e9a7977036aaafa6223a2e</x:v>
      </x:c>
      <x:c r="AQ1282" s="7" t="str">
        <x:v>Life / Inactive / 05/12/2021 / 05/31/2023 / 05/31/2023</x:v>
      </x:c>
      <x:c r="AR1282" s="7" t="str">
        <x:v>Inactive</x:v>
      </x:c>
      <x:c r="AS1282" s="7" t="str">
        <x:v>Current detail page</x:v>
      </x:c>
    </x:row>
    <x:row r="1283" ht="52" customHeight="1">
      <x:c r="A1283" s="7" t="str">
        <x:v>AGUILAR-MANZO JAVIER</x:v>
      </x:c>
      <x:c r="B1283" s="14" t="str">
        <x:f>"0L61354"</x:f>
        <x:v>0L61354</x:v>
      </x:c>
      <x:c r="C1283" s="7" t="str">
        <x:v>Omitted</x:v>
      </x:c>
      <x:c r="D1283" s="7" t="str">
        <x:v>FAIL</x:v>
      </x:c>
      <x:c r="E1283" s="13" t="str">
        <x:v>Pending</x:v>
      </x:c>
      <x:c r="F1283" s="13" t="str"/>
      <x:c r="G1283" s="13" t="str"/>
      <x:c r="H1283" s="13" t="str"/>
      <x:c r="I1283" s="7" t="str">
        <x:v>Was this person reviewed? If rejected, give the actual rule and evidence. If acceptable, correct the omission. Confirm the Life-qualification gate and any record change since selection.</x:v>
      </x:c>
      <x:c r="J1283" s="7" t="str">
        <x:v>L1</x:v>
      </x:c>
      <x:c r="K1283" s="7" t="str">
        <x:v>Verified qualifications do not include active general Life. Current target-pool mismatch; actual historical omission reason unknown.</x:v>
      </x:c>
      <x:c r="L1283" s="7" t="str">
        <x:v>Not supplied; membership is known, motive is not</x:v>
      </x:c>
      <x:c r="M1283" s="7" t="n">
        <x:v>7</x:v>
      </x:c>
      <x:c r="N1283" s="7" t="str">
        <x:v>Outside current general-Life recruiting pool</x:v>
      </x:c>
      <x:c r="O1283" s="7" t="str">
        <x:v>Not displayed</x:v>
      </x:c>
      <x:c r="P1283" s="7" t="str"/>
      <x:c r="Q1283" s="7" t="str"/>
      <x:c r="R1283" s="7" t="str"/>
      <x:c r="S1283" s="15" t="str"/>
      <x:c r="T1283" s="7" t="str">
        <x:v>No public business phone in collected record</x:v>
      </x:c>
      <x:c r="U1283" s="7" t="str"/>
      <x:c r="V1283" s="7" t="str">
        <x:v>Resident</x:v>
      </x:c>
      <x:c r="W1283" s="7" t="str">
        <x:v>CA</x:v>
      </x:c>
      <x:c r="X1283" s="7" t="str"/>
      <x:c r="Y1283" s="7" t="str"/>
      <x:c r="Z1283" s="7" t="str"/>
      <x:c r="AA1283" s="7" t="str"/>
      <x:c r="AB1283" s="7" t="str"/>
      <x:c r="AC1283" s="7" t="str"/>
      <x:c r="AD1283" s="7" t="str">
        <x:v>No agency or insurer displayed: onboarding opportunity possible; existing business unknown</x:v>
      </x:c>
      <x:c r="AE1283" s="7" t="str">
        <x:v>No public business phone: contact enrichment needed, not proof of poor recruiting fit</x:v>
      </x:c>
      <x:c r="AF1283" s="16" t="str"/>
      <x:c r="AG1283" s="17" t="str"/>
      <x:c r="AH1283" s="7" t="str"/>
      <x:c r="AI1283" s="7" t="str">
        <x:v>English, Spanish, Spanish</x:v>
      </x:c>
      <x:c r="AJ1283" s="7" t="str"/>
      <x:c r="AK1283" s="15" t="str"/>
      <x:c r="AL1283" s="7" t="str"/>
      <x:c r="AM1283" s="7" t="str">
        <x:v>AGUILAR-MANZO  JAVIER</x:v>
      </x:c>
      <x:c r="AN1283" s="7" t="str">
        <x:v>https://cdicloud.insurance.ca.gov/cal/LicenseDetail?SearchType=IND&amp;SearchLicNbr=0L61354&amp;SearchIndvId=1917506</x:v>
      </x:c>
      <x:c r="AO1283" s="7" t="str">
        <x:v>2026-10-08</x:v>
      </x:c>
      <x:c r="AP1283" s="7" t="str">
        <x:v>30a75a5e425c4c41e5033a0e884506af6c66b033bef8ca055f9539232f522a73</x:v>
      </x:c>
      <x:c r="AQ1283" s="7" t="str">
        <x:v>Personal Lines Broker-Agent / Inactive / 03/15/2017 / 03/31/2019 / 03/31/2019</x:v>
      </x:c>
      <x:c r="AR1283" s="7" t="str">
        <x:v>Inactive</x:v>
      </x:c>
      <x:c r="AS1283" s="7" t="str">
        <x:v>Current detail page</x:v>
      </x:c>
    </x:row>
    <x:row r="1284" ht="52" customHeight="1">
      <x:c r="A1284" s="7" t="str">
        <x:v>AGUILAR-MATA VALERIA</x:v>
      </x:c>
      <x:c r="B1284" s="14" t="str">
        <x:f>"0M65148"</x:f>
        <x:v>0M65148</x:v>
      </x:c>
      <x:c r="C1284" s="7" t="str">
        <x:v>Omitted</x:v>
      </x:c>
      <x:c r="D1284" s="7" t="str">
        <x:v>FAIL</x:v>
      </x:c>
      <x:c r="E1284" s="13" t="str">
        <x:v>Pending</x:v>
      </x:c>
      <x:c r="F1284" s="13" t="str"/>
      <x:c r="G1284" s="13" t="str"/>
      <x:c r="H1284" s="13" t="str"/>
      <x:c r="I1284" s="7" t="str">
        <x:v>Was this person reviewed? If rejected, give the actual rule and evidence. If acceptable, correct the omission. Confirm the Life-qualification gate and any record change since selection.</x:v>
      </x:c>
      <x:c r="J1284" s="7" t="str">
        <x:v>L1</x:v>
      </x:c>
      <x:c r="K1284" s="7" t="str">
        <x:v>Verified qualifications do not include active general Life. Current target-pool mismatch; actual historical omission reason unknown.</x:v>
      </x:c>
      <x:c r="L1284" s="7" t="str">
        <x:v>Not supplied; membership is known, motive is not</x:v>
      </x:c>
      <x:c r="M1284" s="7" t="n">
        <x:v>7</x:v>
      </x:c>
      <x:c r="N1284" s="7" t="str">
        <x:v>Outside current general-Life recruiting pool</x:v>
      </x:c>
      <x:c r="O1284" s="7" t="str">
        <x:v>Not displayed</x:v>
      </x:c>
      <x:c r="P1284" s="7" t="str"/>
      <x:c r="Q1284" s="7" t="str"/>
      <x:c r="R1284" s="7" t="str">
        <x:v>Casualty; Property</x:v>
      </x:c>
      <x:c r="S1284" s="15" t="str">
        <x:v>661-942-6868</x:v>
      </x:c>
      <x:c r="T1284" s="7" t="str">
        <x:v>Current CDI</x:v>
      </x:c>
      <x:c r="U1284" s="7" t="str">
        <x:v>902 W LANCASTER BLVD LANCASTER CA, 93534</x:v>
      </x:c>
      <x:c r="V1284" s="7" t="str">
        <x:v>Resident</x:v>
      </x:c>
      <x:c r="W1284" s="7" t="str">
        <x:v>CA</x:v>
      </x:c>
      <x:c r="X1284" s="7" t="str">
        <x:v>TRUCORDIA INSURANCE SERVICES, LLC / Property / 10/07/2025
TRUCORDIA INSURANCE SERVICES, LLC / Casualty / 10/07/2025</x:v>
      </x:c>
      <x:c r="Y1284" s="7" t="str">
        <x:v>FOREMOST INSURANCE COMPANY GRAND RAPIDS, MICHIGAN / Casualty / 11/07/2025
FOREMOST INSURANCE COMPANY GRAND RAPIDS, MICHIGAN / Property / 11/07/2025</x:v>
      </x:c>
      <x:c r="Z1284" s="7" t="str"/>
      <x:c r="AA1284" s="7" t="str"/>
      <x:c r="AB1284" s="7" t="str"/>
      <x:c r="AC1284" s="7" t="str"/>
      <x:c r="AD1284" s="7" t="str"/>
      <x:c r="AE1284" s="7" t="str">
        <x:v>P&amp;C/Personal Lines authority without displayed core Life appointments; mixed profile requires review</x:v>
      </x:c>
      <x:c r="AF1284" s="16" t="str"/>
      <x:c r="AG1284" s="17" t="str"/>
      <x:c r="AH1284" s="7" t="str"/>
      <x:c r="AI1284" s="7" t="str">
        <x:v>English</x:v>
      </x:c>
      <x:c r="AJ1284" s="7" t="str"/>
      <x:c r="AK1284" s="15" t="str"/>
      <x:c r="AL1284" s="7" t="str"/>
      <x:c r="AM1284" s="7" t="str">
        <x:v>Aguilar Mata  Valeria | AGUILAR-MATA  VALERIA</x:v>
      </x:c>
      <x:c r="AN1284" s="7" t="str">
        <x:v>https://cdicloud.insurance.ca.gov/cal/LicenseDetail?SearchType=IND&amp;SearchLicNbr=0M65148&amp;SearchIndvId=2062406</x:v>
      </x:c>
      <x:c r="AO1284" s="7" t="str">
        <x:v>2026-10-08</x:v>
      </x:c>
      <x:c r="AP1284" s="7" t="str">
        <x:v>7f6dc929c1fb10da2939e98fe3055ba7acf180f0a64bd30305b3b5667e88f559</x:v>
      </x:c>
      <x:c r="AQ1284" s="7" t="str">
        <x:v>Casualty / Active / 10/29/2018 / 08/01/2025 / 10/31/2028
Property / Active / 10/29/2018 / 08/01/2025 / 10/31/2028</x:v>
      </x:c>
      <x:c r="AR1284" s="7" t="str">
        <x:v>Active</x:v>
      </x:c>
      <x:c r="AS1284" s="7" t="str">
        <x:v>Current detail page</x:v>
      </x:c>
    </x:row>
    <x:row r="1285" ht="52" customHeight="1">
      <x:c r="A1285" s="7" t="str">
        <x:v>AGUILAR-MELENDEZ JEFFREY</x:v>
      </x:c>
      <x:c r="B1285" s="14" t="str">
        <x:f>"0M75262"</x:f>
        <x:v>0M75262</x:v>
      </x:c>
      <x:c r="C1285" s="7" t="str">
        <x:v>Omitted</x:v>
      </x:c>
      <x:c r="D1285" s="7" t="str">
        <x:v>FAIL</x:v>
      </x:c>
      <x:c r="E1285" s="13" t="str">
        <x:v>Pending</x:v>
      </x:c>
      <x:c r="F1285" s="13" t="str"/>
      <x:c r="G1285" s="13" t="str"/>
      <x:c r="H1285" s="13" t="str"/>
      <x:c r="I1285" s="7" t="str">
        <x:v>Was this person reviewed? If rejected, give the actual rule and evidence. If acceptable, correct the omission. Confirm the Life-qualification gate and any record change since selection.</x:v>
      </x:c>
      <x:c r="J1285" s="7" t="str">
        <x:v>L1</x:v>
      </x:c>
      <x:c r="K1285" s="7" t="str">
        <x:v>Verified qualifications do not include active general Life. Current target-pool mismatch; actual historical omission reason unknown.</x:v>
      </x:c>
      <x:c r="L1285" s="7" t="str">
        <x:v>Not supplied; membership is known, motive is not</x:v>
      </x:c>
      <x:c r="M1285" s="7" t="n">
        <x:v>7</x:v>
      </x:c>
      <x:c r="N1285" s="7" t="str">
        <x:v>Outside current general-Life recruiting pool</x:v>
      </x:c>
      <x:c r="O1285" s="7" t="str">
        <x:v>Inactive</x:v>
      </x:c>
      <x:c r="P1285" s="7" t="str">
        <x:v>12/27/2018</x:v>
      </x:c>
      <x:c r="Q1285" s="7" t="str">
        <x:v>12/31/2022</x:v>
      </x:c>
      <x:c r="R1285" s="7" t="str"/>
      <x:c r="S1285" s="15" t="str">
        <x:v>818-486-8471</x:v>
      </x:c>
      <x:c r="T1285" s="7" t="str">
        <x:v>Current CDI</x:v>
      </x:c>
      <x:c r="U1285" s="7" t="str">
        <x:v>19524 NORTHRIDGE ST UNIT 8 NORTHRIDGE CA, 91324</x:v>
      </x:c>
      <x:c r="V1285" s="7" t="str">
        <x:v>Resident</x:v>
      </x:c>
      <x:c r="W1285" s="7" t="str">
        <x:v>CA</x:v>
      </x:c>
      <x:c r="X1285" s="7" t="str"/>
      <x:c r="Y1285" s="7" t="str"/>
      <x:c r="Z1285" s="7" t="str"/>
      <x:c r="AA1285" s="7" t="str"/>
      <x:c r="AB1285" s="7" t="str"/>
      <x:c r="AC1285" s="7" t="str"/>
      <x:c r="AD1285" s="7" t="str">
        <x:v>No agency or insurer displayed: onboarding opportunity possible; existing business unknown</x:v>
      </x:c>
      <x:c r="AE1285" s="7" t="str"/>
      <x:c r="AF1285" s="16" t="str"/>
      <x:c r="AG1285" s="17" t="str"/>
      <x:c r="AH1285" s="7" t="str"/>
      <x:c r="AI1285" s="7" t="str">
        <x:v>English</x:v>
      </x:c>
      <x:c r="AJ1285" s="7" t="str"/>
      <x:c r="AK1285" s="15" t="str"/>
      <x:c r="AL1285" s="7" t="str"/>
      <x:c r="AM1285" s="7" t="str">
        <x:v>AGUILAR-MELENDEZ  JEFFREY</x:v>
      </x:c>
      <x:c r="AN1285" s="7" t="str">
        <x:v>https://cdicloud.insurance.ca.gov/cal/LicenseDetail?SearchType=IND&amp;SearchLicNbr=0M75262&amp;SearchIndvId=2074449</x:v>
      </x:c>
      <x:c r="AO1285" s="7" t="str">
        <x:v>2026-10-08</x:v>
      </x:c>
      <x:c r="AP1285" s="7" t="str">
        <x:v>673257a5fe21c4ce8b18ee47d4fb1b4524769ae8d1a6edb41ec314b0663c900f</x:v>
      </x:c>
      <x:c r="AQ1285" s="7" t="str">
        <x:v>Life / Inactive / 12/27/2018 / 12/31/2022 / 12/31/2022</x:v>
      </x:c>
      <x:c r="AR1285" s="7" t="str">
        <x:v>Inactive</x:v>
      </x:c>
      <x:c r="AS1285" s="7" t="str">
        <x:v>Current detail page</x:v>
      </x:c>
    </x:row>
    <x:row r="1286" ht="52" customHeight="1">
      <x:c r="A1286" s="7" t="str">
        <x:v>AGUILAR-MIRANDA RUBI</x:v>
      </x:c>
      <x:c r="B1286" s="14" t="str">
        <x:f>"0H29564"</x:f>
        <x:v>0H29564</x:v>
      </x:c>
      <x:c r="C1286" s="7" t="str">
        <x:v>Omitted</x:v>
      </x:c>
      <x:c r="D1286" s="7" t="str">
        <x:v>FAIL</x:v>
      </x:c>
      <x:c r="E1286" s="13" t="str">
        <x:v>Pending</x:v>
      </x:c>
      <x:c r="F1286" s="13" t="str"/>
      <x:c r="G1286" s="13" t="str"/>
      <x:c r="H1286" s="13" t="str"/>
      <x:c r="I1286" s="7" t="str">
        <x:v>Was this person reviewed? If rejected, give the actual rule and evidence. If acceptable, correct the omission. Confirm the Life-qualification gate and any record change since selection.</x:v>
      </x:c>
      <x:c r="J1286" s="7" t="str">
        <x:v>L1</x:v>
      </x:c>
      <x:c r="K1286" s="7" t="str">
        <x:v>Verified qualifications do not include active general Life. Current target-pool mismatch; actual historical omission reason unknown.</x:v>
      </x:c>
      <x:c r="L1286" s="7" t="str">
        <x:v>Not supplied; membership is known, motive is not</x:v>
      </x:c>
      <x:c r="M1286" s="7" t="n">
        <x:v>7</x:v>
      </x:c>
      <x:c r="N1286" s="7" t="str">
        <x:v>Outside current general-Life recruiting pool</x:v>
      </x:c>
      <x:c r="O1286" s="7" t="str">
        <x:v>Not displayed</x:v>
      </x:c>
      <x:c r="P1286" s="7" t="str"/>
      <x:c r="Q1286" s="7" t="str"/>
      <x:c r="R1286" s="7" t="str"/>
      <x:c r="S1286" s="15" t="str"/>
      <x:c r="T1286" s="7" t="str">
        <x:v>No public business phone in collected record</x:v>
      </x:c>
      <x:c r="U1286" s="7" t="str"/>
      <x:c r="V1286" s="7" t="str">
        <x:v>Resident</x:v>
      </x:c>
      <x:c r="W1286" s="7" t="str">
        <x:v>CA</x:v>
      </x:c>
      <x:c r="X1286" s="7" t="str"/>
      <x:c r="Y1286" s="7" t="str"/>
      <x:c r="Z1286" s="7" t="str"/>
      <x:c r="AA1286" s="7" t="str"/>
      <x:c r="AB1286" s="7" t="str"/>
      <x:c r="AC1286" s="7" t="str"/>
      <x:c r="AD1286" s="7" t="str">
        <x:v>No agency or insurer displayed: onboarding opportunity possible; existing business unknown</x:v>
      </x:c>
      <x:c r="AE1286" s="7" t="str">
        <x:v>No public business phone: contact enrichment needed, not proof of poor recruiting fit</x:v>
      </x:c>
      <x:c r="AF1286" s="16" t="str"/>
      <x:c r="AG1286" s="17" t="str"/>
      <x:c r="AH1286" s="7" t="str"/>
      <x:c r="AI1286" s="7" t="str"/>
      <x:c r="AJ1286" s="7" t="str"/>
      <x:c r="AK1286" s="15" t="str"/>
      <x:c r="AL1286" s="7" t="str"/>
      <x:c r="AM1286" s="7" t="str">
        <x:v>AGUILAR-MIRANDA  RUBI</x:v>
      </x:c>
      <x:c r="AN1286" s="7" t="str">
        <x:v>https://cdicloud.insurance.ca.gov/cal/LicenseDetail?SearchType=IND&amp;SearchLicNbr=0H29564&amp;SearchIndvId=1383110</x:v>
      </x:c>
      <x:c r="AO1286" s="7" t="str">
        <x:v>2026-10-08</x:v>
      </x:c>
      <x:c r="AP1286" s="7" t="str">
        <x:v>a32737b3265113b9cf7dfed5f97d83497040361241742720f12cbc54047b7b62</x:v>
      </x:c>
      <x:c r="AQ1286" s="7" t="str">
        <x:v>Life-Only / Inactive / 01/13/2011 / 01/31/2017 / 01/31/2017</x:v>
      </x:c>
      <x:c r="AR1286" s="7" t="str">
        <x:v>Inactive</x:v>
      </x:c>
      <x:c r="AS1286" s="7" t="str">
        <x:v>Current detail page</x:v>
      </x:c>
    </x:row>
    <x:row r="1287" ht="52" customHeight="1">
      <x:c r="A1287" s="7" t="str">
        <x:v>AGUILAR-MUNGUIA PAOLA REBECA</x:v>
      </x:c>
      <x:c r="B1287" s="14" t="str">
        <x:f>"0M73463"</x:f>
        <x:v>0M73463</x:v>
      </x:c>
      <x:c r="C1287" s="7" t="str">
        <x:v>Omitted</x:v>
      </x:c>
      <x:c r="D1287" s="7" t="str">
        <x:v>FAIL</x:v>
      </x:c>
      <x:c r="E1287" s="13" t="str">
        <x:v>Pending</x:v>
      </x:c>
      <x:c r="F1287" s="13" t="str"/>
      <x:c r="G1287" s="13" t="str"/>
      <x:c r="H1287" s="13" t="str"/>
      <x:c r="I1287" s="7" t="str">
        <x:v>Was this person reviewed? If rejected, give the actual rule and evidence. If acceptable, correct the omission. Confirm the Life-qualification gate and any record change since selection.</x:v>
      </x:c>
      <x:c r="J1287" s="7" t="str">
        <x:v>L1</x:v>
      </x:c>
      <x:c r="K1287" s="7" t="str">
        <x:v>Verified qualifications do not include active general Life. Current target-pool mismatch; actual historical omission reason unknown.</x:v>
      </x:c>
      <x:c r="L1287" s="7" t="str">
        <x:v>Not supplied; membership is known, motive is not</x:v>
      </x:c>
      <x:c r="M1287" s="7" t="n">
        <x:v>7</x:v>
      </x:c>
      <x:c r="N1287" s="7" t="str">
        <x:v>Outside current general-Life recruiting pool</x:v>
      </x:c>
      <x:c r="O1287" s="7" t="str">
        <x:v>Not displayed</x:v>
      </x:c>
      <x:c r="P1287" s="7" t="str"/>
      <x:c r="Q1287" s="7" t="str"/>
      <x:c r="R1287" s="7" t="str"/>
      <x:c r="S1287" s="15" t="str"/>
      <x:c r="T1287" s="7" t="str">
        <x:v>No public business phone in collected record</x:v>
      </x:c>
      <x:c r="U1287" s="7" t="str"/>
      <x:c r="V1287" s="7" t="str">
        <x:v>Resident</x:v>
      </x:c>
      <x:c r="W1287" s="7" t="str">
        <x:v>CA</x:v>
      </x:c>
      <x:c r="X1287" s="7" t="str"/>
      <x:c r="Y1287" s="7" t="str"/>
      <x:c r="Z1287" s="7" t="str"/>
      <x:c r="AA1287" s="7" t="str"/>
      <x:c r="AB1287" s="7" t="str"/>
      <x:c r="AC1287" s="7" t="str"/>
      <x:c r="AD1287" s="7" t="str">
        <x:v>No agency or insurer displayed: onboarding opportunity possible; existing business unknown</x:v>
      </x:c>
      <x:c r="AE1287" s="7" t="str">
        <x:v>No public business phone: contact enrichment needed, not proof of poor recruiting fit</x:v>
      </x:c>
      <x:c r="AF1287" s="16" t="str"/>
      <x:c r="AG1287" s="17" t="str"/>
      <x:c r="AH1287" s="7" t="str"/>
      <x:c r="AI1287" s="7" t="str"/>
      <x:c r="AJ1287" s="7" t="str"/>
      <x:c r="AK1287" s="15" t="str"/>
      <x:c r="AL1287" s="7" t="str"/>
      <x:c r="AM1287" s="7" t="str">
        <x:v>Aguilar-Munguia R Paola | AGUILAR-MUNGUIA REBECA PAOLA</x:v>
      </x:c>
      <x:c r="AN1287" s="7" t="str">
        <x:v>https://cdicloud.insurance.ca.gov/cal/LicenseDetail?SearchType=IND&amp;SearchLicNbr=0M73463&amp;SearchIndvId=2077145</x:v>
      </x:c>
      <x:c r="AO1287" s="7" t="str">
        <x:v>2026-10-08</x:v>
      </x:c>
      <x:c r="AP1287" s="7" t="str">
        <x:v>83433b6d442d34f1df58f87e9074a8e10d4b9eaec27b62e00225b843aace4669</x:v>
      </x:c>
      <x:c r="AQ1287" s="7" t="str">
        <x:v>Life-Only / Inactive / 12/17/2018 / 12/31/2020 / 12/31/2020</x:v>
      </x:c>
      <x:c r="AR1287" s="7" t="str">
        <x:v>Inactive</x:v>
      </x:c>
      <x:c r="AS1287" s="7" t="str">
        <x:v>Current detail page</x:v>
      </x:c>
    </x:row>
    <x:row r="1288" ht="52" customHeight="1">
      <x:c r="A1288" s="7" t="str">
        <x:v>AGUILAR-MURILLO VICTOR MANUEL</x:v>
      </x:c>
      <x:c r="B1288" s="14" t="str">
        <x:f>"0D31649"</x:f>
        <x:v>0D31649</x:v>
      </x:c>
      <x:c r="C1288" s="7" t="str">
        <x:v>Omitted</x:v>
      </x:c>
      <x:c r="D1288" s="7" t="str">
        <x:v>FAIL</x:v>
      </x:c>
      <x:c r="E1288" s="13" t="str">
        <x:v>Pending</x:v>
      </x:c>
      <x:c r="F1288" s="13" t="str"/>
      <x:c r="G1288" s="13" t="str"/>
      <x:c r="H1288" s="13" t="str"/>
      <x:c r="I1288" s="7" t="str">
        <x:v>Was this person reviewed? If rejected, give the actual rule and evidence. If acceptable, correct the omission. Confirm the Life-qualification gate and any record change since selection.</x:v>
      </x:c>
      <x:c r="J1288" s="7" t="str">
        <x:v>L1</x:v>
      </x:c>
      <x:c r="K1288" s="7" t="str">
        <x:v>Verified qualifications do not include active general Life. Current target-pool mismatch; actual historical omission reason unknown.</x:v>
      </x:c>
      <x:c r="L1288" s="7" t="str">
        <x:v>Not supplied; membership is known, motive is not</x:v>
      </x:c>
      <x:c r="M1288" s="7" t="n">
        <x:v>7</x:v>
      </x:c>
      <x:c r="N1288" s="7" t="str">
        <x:v>Outside current general-Life recruiting pool</x:v>
      </x:c>
      <x:c r="O1288" s="7" t="str">
        <x:v>Not displayed</x:v>
      </x:c>
      <x:c r="P1288" s="7" t="str"/>
      <x:c r="Q1288" s="7" t="str"/>
      <x:c r="R1288" s="7" t="str"/>
      <x:c r="S1288" s="15" t="str"/>
      <x:c r="T1288" s="7" t="str">
        <x:v>No public business phone in collected record</x:v>
      </x:c>
      <x:c r="U1288" s="7" t="str"/>
      <x:c r="V1288" s="7" t="str">
        <x:v>Resident</x:v>
      </x:c>
      <x:c r="W1288" s="7" t="str">
        <x:v>CA</x:v>
      </x:c>
      <x:c r="X1288" s="7" t="str"/>
      <x:c r="Y1288" s="7" t="str"/>
      <x:c r="Z1288" s="7" t="str"/>
      <x:c r="AA1288" s="7" t="str"/>
      <x:c r="AB1288" s="7" t="str"/>
      <x:c r="AC1288" s="7" t="str"/>
      <x:c r="AD1288" s="7" t="str">
        <x:v>No agency or insurer displayed: onboarding opportunity possible; existing business unknown</x:v>
      </x:c>
      <x:c r="AE1288" s="7" t="str">
        <x:v>No public business phone: contact enrichment needed, not proof of poor recruiting fit</x:v>
      </x:c>
      <x:c r="AF1288" s="16" t="str"/>
      <x:c r="AG1288" s="17" t="str"/>
      <x:c r="AH1288" s="7" t="str"/>
      <x:c r="AI1288" s="7" t="str"/>
      <x:c r="AJ1288" s="7" t="str"/>
      <x:c r="AK1288" s="15" t="str"/>
      <x:c r="AL1288" s="7" t="str"/>
      <x:c r="AM1288" s="7" t="str">
        <x:v>AGUILAR-MURILLO MANUEL VICTOR</x:v>
      </x:c>
      <x:c r="AN1288" s="7" t="str">
        <x:v>https://cdicloud.insurance.ca.gov/cal/LicenseDetail?SearchType=IND&amp;SearchLicNbr=0D31649&amp;SearchIndvId=561894</x:v>
      </x:c>
      <x:c r="AO1288" s="7" t="str">
        <x:v>2026-10-08</x:v>
      </x:c>
      <x:c r="AP1288" s="7" t="str">
        <x:v>fe0c12b93d219d2d158b6eabf33699ffd0f20e27132f14e7b108234ae3c40a77</x:v>
      </x:c>
      <x:c r="AQ1288" s="7" t="str">
        <x:v>Casualty Broker-Agent / Inactive / 05/31/2001 / 05/31/2003 / 05/31/2003
Property Broker-Agent / Inactive / 05/31/2001 / 05/31/2003 / 05/31/2003</x:v>
      </x:c>
      <x:c r="AR1288" s="7" t="str">
        <x:v>Inactive</x:v>
      </x:c>
      <x:c r="AS1288" s="7" t="str">
        <x:v>Current detail page</x:v>
      </x:c>
    </x:row>
    <x:row r="1289" ht="52" customHeight="1">
      <x:c r="A1289" s="7" t="str">
        <x:v>AGUILAR-NAVARRO LUCIA</x:v>
      </x:c>
      <x:c r="B1289" s="14" t="str">
        <x:f>"0D41818"</x:f>
        <x:v>0D41818</x:v>
      </x:c>
      <x:c r="C1289" s="7" t="str">
        <x:v>Omitted</x:v>
      </x:c>
      <x:c r="D1289" s="7" t="str">
        <x:v>FAIL</x:v>
      </x:c>
      <x:c r="E1289" s="13" t="str">
        <x:v>Pending</x:v>
      </x:c>
      <x:c r="F1289" s="13" t="str"/>
      <x:c r="G1289" s="13" t="str"/>
      <x:c r="H1289" s="13" t="str"/>
      <x:c r="I1289" s="7" t="str">
        <x:v>Was this person reviewed? If rejected, give the actual rule and evidence. If acceptable, correct the omission. Confirm the Life-qualification gate and any record change since selection.</x:v>
      </x:c>
      <x:c r="J1289" s="7" t="str">
        <x:v>L1</x:v>
      </x:c>
      <x:c r="K1289" s="7" t="str">
        <x:v>Verified qualifications do not include active general Life. Current target-pool mismatch; actual historical omission reason unknown.</x:v>
      </x:c>
      <x:c r="L1289" s="7" t="str">
        <x:v>Not supplied; membership is known, motive is not</x:v>
      </x:c>
      <x:c r="M1289" s="7" t="n">
        <x:v>7</x:v>
      </x:c>
      <x:c r="N1289" s="7" t="str">
        <x:v>Outside current general-Life recruiting pool</x:v>
      </x:c>
      <x:c r="O1289" s="7" t="str">
        <x:v>Not displayed</x:v>
      </x:c>
      <x:c r="P1289" s="7" t="str"/>
      <x:c r="Q1289" s="7" t="str"/>
      <x:c r="R1289" s="7" t="str"/>
      <x:c r="S1289" s="15" t="str"/>
      <x:c r="T1289" s="7" t="str">
        <x:v>No public business phone in collected record</x:v>
      </x:c>
      <x:c r="U1289" s="7" t="str"/>
      <x:c r="V1289" s="7" t="str">
        <x:v>Resident</x:v>
      </x:c>
      <x:c r="W1289" s="7" t="str">
        <x:v>CA</x:v>
      </x:c>
      <x:c r="X1289" s="7" t="str"/>
      <x:c r="Y1289" s="7" t="str"/>
      <x:c r="Z1289" s="7" t="str"/>
      <x:c r="AA1289" s="7" t="str"/>
      <x:c r="AB1289" s="7" t="str"/>
      <x:c r="AC1289" s="7" t="str"/>
      <x:c r="AD1289" s="7" t="str">
        <x:v>No agency or insurer displayed: onboarding opportunity possible; existing business unknown</x:v>
      </x:c>
      <x:c r="AE1289" s="7" t="str">
        <x:v>No public business phone: contact enrichment needed, not proof of poor recruiting fit</x:v>
      </x:c>
      <x:c r="AF1289" s="16" t="str"/>
      <x:c r="AG1289" s="17" t="str"/>
      <x:c r="AH1289" s="7" t="str"/>
      <x:c r="AI1289" s="7" t="str"/>
      <x:c r="AJ1289" s="7" t="str"/>
      <x:c r="AK1289" s="15" t="str"/>
      <x:c r="AL1289" s="7" t="str"/>
      <x:c r="AM1289" s="7" t="str">
        <x:v>AGUILAR-NAVARRO  LUCIA</x:v>
      </x:c>
      <x:c r="AN1289" s="7" t="str">
        <x:v>https://cdicloud.insurance.ca.gov/cal/LicenseDetail?SearchType=IND&amp;SearchLicNbr=0D41818&amp;SearchIndvId=581945</x:v>
      </x:c>
      <x:c r="AO1289" s="7" t="str">
        <x:v>2026-10-08</x:v>
      </x:c>
      <x:c r="AP1289" s="7" t="str">
        <x:v>35fc9418b52f6fbd73cc7fa1ec0b8c47b661c8e1b2b484bc65f9ade4efb28adc</x:v>
      </x:c>
      <x:c r="AQ1289" s="7" t="str">
        <x:v>Accident and Health / Inactive / 09/07/2001 / 09/30/2005 / 09/30/2005
Life-Only / Inactive / 09/07/2001 / 09/30/2005 / 09/30/2005</x:v>
      </x:c>
      <x:c r="AR1289" s="7" t="str">
        <x:v>Inactive</x:v>
      </x:c>
      <x:c r="AS1289" s="7" t="str">
        <x:v>Current detail page</x:v>
      </x:c>
    </x:row>
    <x:row r="1290" ht="52" customHeight="1">
      <x:c r="A1290" s="7" t="str">
        <x:v>AGUILAR-NINO BRENDA YURELI</x:v>
      </x:c>
      <x:c r="B1290" s="14" t="str">
        <x:f>"0L93507"</x:f>
        <x:v>0L93507</x:v>
      </x:c>
      <x:c r="C1290" s="7" t="str">
        <x:v>Omitted</x:v>
      </x:c>
      <x:c r="D1290" s="7" t="str">
        <x:v>FAIL</x:v>
      </x:c>
      <x:c r="E1290" s="13" t="str">
        <x:v>Pending</x:v>
      </x:c>
      <x:c r="F1290" s="13" t="str"/>
      <x:c r="G1290" s="13" t="str"/>
      <x:c r="H1290" s="13" t="str"/>
      <x:c r="I1290" s="7" t="str">
        <x:v>Was this person reviewed? If rejected, give the actual rule and evidence. If acceptable, correct the omission. Confirm the Life-qualification gate and any record change since selection.</x:v>
      </x:c>
      <x:c r="J1290" s="7" t="str">
        <x:v>L1</x:v>
      </x:c>
      <x:c r="K1290" s="7" t="str">
        <x:v>Verified qualifications do not include active general Life. Current target-pool mismatch; actual historical omission reason unknown.</x:v>
      </x:c>
      <x:c r="L1290" s="7" t="str">
        <x:v>Not supplied; membership is known, motive is not</x:v>
      </x:c>
      <x:c r="M1290" s="7" t="n">
        <x:v>7</x:v>
      </x:c>
      <x:c r="N1290" s="7" t="str">
        <x:v>Outside current general-Life recruiting pool</x:v>
      </x:c>
      <x:c r="O1290" s="7" t="str">
        <x:v>Not displayed</x:v>
      </x:c>
      <x:c r="P1290" s="7" t="str"/>
      <x:c r="Q1290" s="7" t="str"/>
      <x:c r="R1290" s="7" t="str">
        <x:v>Casualty; Property</x:v>
      </x:c>
      <x:c r="S1290" s="15" t="str">
        <x:v>323-231-0235</x:v>
      </x:c>
      <x:c r="T1290" s="7" t="str">
        <x:v>Current CDI</x:v>
      </x:c>
      <x:c r="U1290" s="7" t="str">
        <x:v>5109 S FIGUEROA ST LOS ANGELES CA, 90037</x:v>
      </x:c>
      <x:c r="V1290" s="7" t="str">
        <x:v>Resident</x:v>
      </x:c>
      <x:c r="W1290" s="7" t="str">
        <x:v>CA</x:v>
      </x:c>
      <x:c r="X1290" s="7" t="str"/>
      <x:c r="Y1290" s="7" t="str"/>
      <x:c r="Z1290" s="7" t="str"/>
      <x:c r="AA1290" s="7" t="str"/>
      <x:c r="AB1290" s="7" t="str">
        <x:v>GARCIA FRANK / Casualty / 07/15/2026
GARCIA FRANK / Property / 07/15/2026
MARIA GONZALEZ INSURANCE AGENCY INC / Casualty / 09/13/2017
MARIA GONZALEZ INSURANCE AGENCY INC / Property / 09/13/2017</x:v>
      </x:c>
      <x:c r="AC1290" s="7" t="str"/>
      <x:c r="AD1290" s="7" t="str">
        <x:v>No agency or insurer displayed: onboarding opportunity possible; existing business unknown</x:v>
      </x:c>
      <x:c r="AE1290" s="7" t="str">
        <x:v>P&amp;C/Personal Lines authority without displayed core Life appointments; mixed profile requires review | Sponsor relationships displayed: GARCIA FRANK, MARIA GONZALEZ INSURANCE AGENCY INC; inspect line-specific relationship, not a blanket employment inference</x:v>
      </x:c>
      <x:c r="AF1290" s="16" t="str"/>
      <x:c r="AG1290" s="17" t="str"/>
      <x:c r="AH1290" s="7" t="str"/>
      <x:c r="AI1290" s="7" t="str">
        <x:v>English</x:v>
      </x:c>
      <x:c r="AJ1290" s="7" t="str"/>
      <x:c r="AK1290" s="15" t="str"/>
      <x:c r="AL1290" s="7" t="str"/>
      <x:c r="AM1290" s="7" t="str">
        <x:v>AGUILAR-NINO YURELI BRENDA</x:v>
      </x:c>
      <x:c r="AN1290" s="7" t="str">
        <x:v>https://cdicloud.insurance.ca.gov/cal/LicenseDetail?SearchType=IND&amp;SearchLicNbr=0L93507&amp;SearchIndvId=1943538</x:v>
      </x:c>
      <x:c r="AO1290" s="7" t="str">
        <x:v>2026-10-08</x:v>
      </x:c>
      <x:c r="AP1290" s="7" t="str">
        <x:v>6e6be9ed167ec933156a88528c29bc92e061b4962518b57609eb8834668955dc</x:v>
      </x:c>
      <x:c r="AQ1290" s="7" t="str">
        <x:v>Casualty / Active / 09/13/2017 / 10/17/2019 / 09/30/2027
Property / Active / 09/13/2017 / 10/17/2019 / 09/30/2027</x:v>
      </x:c>
      <x:c r="AR1290" s="7" t="str">
        <x:v>Active</x:v>
      </x:c>
      <x:c r="AS1290" s="7" t="str">
        <x:v>Current detail page</x:v>
      </x:c>
    </x:row>
    <x:row r="1291" ht="52" customHeight="1">
      <x:c r="A1291" s="7" t="str">
        <x:v>AGUILAR-PEREZ JUAN CARLOS</x:v>
      </x:c>
      <x:c r="B1291" s="14" t="str">
        <x:f>"0N11365"</x:f>
        <x:v>0N11365</x:v>
      </x:c>
      <x:c r="C1291" s="7" t="str">
        <x:v>Omitted</x:v>
      </x:c>
      <x:c r="D1291" s="7" t="str">
        <x:v>FAIL</x:v>
      </x:c>
      <x:c r="E1291" s="13" t="str">
        <x:v>Pending</x:v>
      </x:c>
      <x:c r="F1291" s="13" t="str"/>
      <x:c r="G1291" s="13" t="str"/>
      <x:c r="H1291" s="13" t="str"/>
      <x:c r="I1291" s="7" t="str">
        <x:v>Was this person reviewed? If rejected, give the actual rule and evidence. If acceptable, correct the omission. Confirm the Life-qualification gate and any record change since selection.</x:v>
      </x:c>
      <x:c r="J1291" s="7" t="str">
        <x:v>L1</x:v>
      </x:c>
      <x:c r="K1291" s="7" t="str">
        <x:v>Verified qualifications do not include active general Life. Current target-pool mismatch; actual historical omission reason unknown.</x:v>
      </x:c>
      <x:c r="L1291" s="7" t="str">
        <x:v>Not supplied; membership is known, motive is not</x:v>
      </x:c>
      <x:c r="M1291" s="7" t="n">
        <x:v>7</x:v>
      </x:c>
      <x:c r="N1291" s="7" t="str">
        <x:v>Outside current general-Life recruiting pool</x:v>
      </x:c>
      <x:c r="O1291" s="7" t="str">
        <x:v>Inactive</x:v>
      </x:c>
      <x:c r="P1291" s="7" t="str">
        <x:v>08/01/2019</x:v>
      </x:c>
      <x:c r="Q1291" s="7" t="str">
        <x:v>08/31/2021</x:v>
      </x:c>
      <x:c r="R1291" s="7" t="str"/>
      <x:c r="S1291" s="15" t="str"/>
      <x:c r="T1291" s="7" t="str">
        <x:v>No public business phone in collected record</x:v>
      </x:c>
      <x:c r="U1291" s="7" t="str"/>
      <x:c r="V1291" s="7" t="str">
        <x:v>Resident</x:v>
      </x:c>
      <x:c r="W1291" s="7" t="str">
        <x:v>CA</x:v>
      </x:c>
      <x:c r="X1291" s="7" t="str"/>
      <x:c r="Y1291" s="7" t="str"/>
      <x:c r="Z1291" s="7" t="str"/>
      <x:c r="AA1291" s="7" t="str"/>
      <x:c r="AB1291" s="7" t="str"/>
      <x:c r="AC1291" s="7" t="str"/>
      <x:c r="AD1291" s="7" t="str">
        <x:v>No agency or insurer displayed: onboarding opportunity possible; existing business unknown</x:v>
      </x:c>
      <x:c r="AE1291" s="7" t="str">
        <x:v>No public business phone: contact enrichment needed, not proof of poor recruiting fit</x:v>
      </x:c>
      <x:c r="AF1291" s="16" t="str"/>
      <x:c r="AG1291" s="17" t="str"/>
      <x:c r="AH1291" s="7" t="str"/>
      <x:c r="AI1291" s="7" t="str"/>
      <x:c r="AJ1291" s="7" t="str"/>
      <x:c r="AK1291" s="15" t="str"/>
      <x:c r="AL1291" s="7" t="str"/>
      <x:c r="AM1291" s="7" t="str">
        <x:v>Aguilar-Perez C Juan | AGUILAR-PEREZ CARLOS JUAN</x:v>
      </x:c>
      <x:c r="AN1291" s="7" t="str">
        <x:v>https://cdicloud.insurance.ca.gov/cal/LicenseDetail?SearchType=IND&amp;SearchLicNbr=0N11365&amp;SearchIndvId=2118901</x:v>
      </x:c>
      <x:c r="AO1291" s="7" t="str">
        <x:v>2026-10-08</x:v>
      </x:c>
      <x:c r="AP1291" s="7" t="str">
        <x:v>dfec6a52da5fe5c49d4753a7302a38d92c5b0bfce8777f403903bfd7ae9f538e</x:v>
      </x:c>
      <x:c r="AQ1291" s="7" t="str">
        <x:v>Life / Inactive / 08/01/2019 / 08/31/2021 / 08/31/2021</x:v>
      </x:c>
      <x:c r="AR1291" s="7" t="str">
        <x:v>Inactive</x:v>
      </x:c>
      <x:c r="AS1291" s="7" t="str">
        <x:v>Current detail page</x:v>
      </x:c>
    </x:row>
    <x:row r="1292" ht="52" customHeight="1">
      <x:c r="A1292" s="7" t="str">
        <x:v>AGUILAR-PEREZ LIZET</x:v>
      </x:c>
      <x:c r="B1292" s="14" t="str">
        <x:f>"0M94258"</x:f>
        <x:v>0M94258</x:v>
      </x:c>
      <x:c r="C1292" s="7" t="str">
        <x:v>Omitted</x:v>
      </x:c>
      <x:c r="D1292" s="7" t="str">
        <x:v>FAIL</x:v>
      </x:c>
      <x:c r="E1292" s="13" t="str">
        <x:v>Pending</x:v>
      </x:c>
      <x:c r="F1292" s="13" t="str"/>
      <x:c r="G1292" s="13" t="str"/>
      <x:c r="H1292" s="13" t="str"/>
      <x:c r="I1292" s="7" t="str">
        <x:v>Was this person reviewed? If rejected, give the actual rule and evidence. If acceptable, correct the omission. Confirm the Life-qualification gate and any record change since selection.</x:v>
      </x:c>
      <x:c r="J1292" s="7" t="str">
        <x:v>L1</x:v>
      </x:c>
      <x:c r="K1292" s="7" t="str">
        <x:v>Verified qualifications do not include active general Life. Current target-pool mismatch; actual historical omission reason unknown.</x:v>
      </x:c>
      <x:c r="L1292" s="7" t="str">
        <x:v>Not supplied; membership is known, motive is not</x:v>
      </x:c>
      <x:c r="M1292" s="7" t="n">
        <x:v>7</x:v>
      </x:c>
      <x:c r="N1292" s="7" t="str">
        <x:v>Outside current general-Life recruiting pool</x:v>
      </x:c>
      <x:c r="O1292" s="7" t="str">
        <x:v>Not displayed</x:v>
      </x:c>
      <x:c r="P1292" s="7" t="str"/>
      <x:c r="Q1292" s="7" t="str"/>
      <x:c r="R1292" s="7" t="str"/>
      <x:c r="S1292" s="15" t="str"/>
      <x:c r="T1292" s="7" t="str">
        <x:v>No public business phone in collected record</x:v>
      </x:c>
      <x:c r="U1292" s="7" t="str"/>
      <x:c r="V1292" s="7" t="str">
        <x:v>Resident</x:v>
      </x:c>
      <x:c r="W1292" s="7" t="str">
        <x:v>CA</x:v>
      </x:c>
      <x:c r="X1292" s="7" t="str"/>
      <x:c r="Y1292" s="7" t="str"/>
      <x:c r="Z1292" s="7" t="str"/>
      <x:c r="AA1292" s="7" t="str"/>
      <x:c r="AB1292" s="7" t="str"/>
      <x:c r="AC1292" s="7" t="str"/>
      <x:c r="AD1292" s="7" t="str">
        <x:v>No agency or insurer displayed: onboarding opportunity possible; existing business unknown</x:v>
      </x:c>
      <x:c r="AE1292" s="7" t="str">
        <x:v>No public business phone: contact enrichment needed, not proof of poor recruiting fit</x:v>
      </x:c>
      <x:c r="AF1292" s="16" t="str"/>
      <x:c r="AG1292" s="17" t="str"/>
      <x:c r="AH1292" s="7" t="str"/>
      <x:c r="AI1292" s="7" t="str"/>
      <x:c r="AJ1292" s="7" t="str"/>
      <x:c r="AK1292" s="15" t="str"/>
      <x:c r="AL1292" s="7" t="str"/>
      <x:c r="AM1292" s="7" t="str">
        <x:v>AGUILAR-PEREZ  LIZET</x:v>
      </x:c>
      <x:c r="AN1292" s="7" t="str">
        <x:v>https://cdicloud.insurance.ca.gov/cal/LicenseDetail?SearchType=IND&amp;SearchLicNbr=0M94258&amp;SearchIndvId=2097877</x:v>
      </x:c>
      <x:c r="AO1292" s="7" t="str">
        <x:v>2026-10-08</x:v>
      </x:c>
      <x:c r="AP1292" s="7" t="str">
        <x:v>77ed0a67968c6462d4e49e8afecf4d64170ec5b0eeca133e2fa812770a94c36f</x:v>
      </x:c>
      <x:c r="AQ1292" s="7" t="str">
        <x:v>Accident and Health / Inactive / 04/23/2019 / 04/30/2021 / 04/30/2021
Life-Only / Inactive / 04/23/2019 / 04/30/2021 / 04/30/2021</x:v>
      </x:c>
      <x:c r="AR1292" s="7" t="str">
        <x:v>Inactive</x:v>
      </x:c>
      <x:c r="AS1292" s="7" t="str">
        <x:v>Current detail page</x:v>
      </x:c>
    </x:row>
    <x:row r="1293" ht="52" customHeight="1">
      <x:c r="A1293" s="7" t="str">
        <x:v>AGUILAR-PEREZ RUBY PATRICIA</x:v>
      </x:c>
      <x:c r="B1293" s="14" t="str">
        <x:f>"0M84097"</x:f>
        <x:v>0M84097</x:v>
      </x:c>
      <x:c r="C1293" s="7" t="str">
        <x:v>Omitted</x:v>
      </x:c>
      <x:c r="D1293" s="7" t="str">
        <x:v>FAIL</x:v>
      </x:c>
      <x:c r="E1293" s="13" t="str">
        <x:v>Pending</x:v>
      </x:c>
      <x:c r="F1293" s="13" t="str"/>
      <x:c r="G1293" s="13" t="str"/>
      <x:c r="H1293" s="13" t="str"/>
      <x:c r="I1293" s="7" t="str">
        <x:v>Was this person reviewed? If rejected, give the actual rule and evidence. If acceptable, correct the omission. Confirm the Life-qualification gate and any record change since selection.</x:v>
      </x:c>
      <x:c r="J1293" s="7" t="str">
        <x:v>L1</x:v>
      </x:c>
      <x:c r="K1293" s="7" t="str">
        <x:v>Verified qualifications do not include active general Life. Current target-pool mismatch; actual historical omission reason unknown.</x:v>
      </x:c>
      <x:c r="L1293" s="7" t="str">
        <x:v>Not supplied; membership is known, motive is not</x:v>
      </x:c>
      <x:c r="M1293" s="7" t="n">
        <x:v>7</x:v>
      </x:c>
      <x:c r="N1293" s="7" t="str">
        <x:v>Outside current general-Life recruiting pool</x:v>
      </x:c>
      <x:c r="O1293" s="7" t="str">
        <x:v>Not displayed</x:v>
      </x:c>
      <x:c r="P1293" s="7" t="str"/>
      <x:c r="Q1293" s="7" t="str"/>
      <x:c r="R1293" s="7" t="str"/>
      <x:c r="S1293" s="15" t="str">
        <x:v>209-426-5151</x:v>
      </x:c>
      <x:c r="T1293" s="7" t="str">
        <x:v>Current CDI</x:v>
      </x:c>
      <x:c r="U1293" s="7" t="str">
        <x:v>1420 WEST KETTLEMAN LN SUITE C LODI CA, 95242</x:v>
      </x:c>
      <x:c r="V1293" s="7" t="str">
        <x:v>Resident</x:v>
      </x:c>
      <x:c r="W1293" s="7" t="str">
        <x:v>CA</x:v>
      </x:c>
      <x:c r="X1293" s="7" t="str"/>
      <x:c r="Y1293" s="7" t="str"/>
      <x:c r="Z1293" s="7" t="str"/>
      <x:c r="AA1293" s="7" t="str"/>
      <x:c r="AB1293" s="7" t="str"/>
      <x:c r="AC1293" s="7" t="str"/>
      <x:c r="AD1293" s="7" t="str">
        <x:v>No agency or insurer displayed: onboarding opportunity possible; existing business unknown</x:v>
      </x:c>
      <x:c r="AE1293" s="7" t="str"/>
      <x:c r="AF1293" s="16" t="str"/>
      <x:c r="AG1293" s="17" t="str"/>
      <x:c r="AH1293" s="7" t="str"/>
      <x:c r="AI1293" s="7" t="str">
        <x:v>English, Spanish, Spanish</x:v>
      </x:c>
      <x:c r="AJ1293" s="7" t="str"/>
      <x:c r="AK1293" s="15" t="str"/>
      <x:c r="AL1293" s="7" t="str"/>
      <x:c r="AM1293" s="7" t="str">
        <x:v>aguilar p Ruby | AGUILAR-PEREZ PATRICIA RUBY</x:v>
      </x:c>
      <x:c r="AN1293" s="7" t="str">
        <x:v>https://cdicloud.insurance.ca.gov/cal/LicenseDetail?SearchType=IND&amp;SearchLicNbr=0M84097&amp;SearchIndvId=2079886</x:v>
      </x:c>
      <x:c r="AO1293" s="7" t="str">
        <x:v>2026-10-08</x:v>
      </x:c>
      <x:c r="AP1293" s="7" t="str">
        <x:v>5f02e121ae24483175791a3d6c25cd22438b03fb84d549eece368a08b21115c1</x:v>
      </x:c>
      <x:c r="AQ1293" s="7" t="str">
        <x:v>Personal Lines / Inactive / 02/26/2019 / 02/28/2023 / 02/28/2023</x:v>
      </x:c>
      <x:c r="AR1293" s="7" t="str">
        <x:v>Inactive</x:v>
      </x:c>
      <x:c r="AS1293" s="7" t="str">
        <x:v>Current detail page</x:v>
      </x:c>
    </x:row>
    <x:row r="1294" ht="52" customHeight="1">
      <x:c r="A1294" s="7" t="str">
        <x:v>AGUILAR-PETLIN MARIA ELENA</x:v>
      </x:c>
      <x:c r="B1294" s="14" t="str">
        <x:f>"4113070"</x:f>
        <x:v>4113070</x:v>
      </x:c>
      <x:c r="C1294" s="7" t="str">
        <x:v>Omitted</x:v>
      </x:c>
      <x:c r="D1294" s="7" t="str">
        <x:v>FAIL</x:v>
      </x:c>
      <x:c r="E1294" s="13" t="str">
        <x:v>Pending</x:v>
      </x:c>
      <x:c r="F1294" s="13" t="str"/>
      <x:c r="G1294" s="13" t="str"/>
      <x:c r="H1294" s="13" t="str"/>
      <x:c r="I1294" s="7" t="str">
        <x:v>Was this person reviewed? If rejected, give the actual rule and evidence. If acceptable, correct the omission. Confirm the Life-qualification gate and any record change since selection.</x:v>
      </x:c>
      <x:c r="J1294" s="7" t="str">
        <x:v>L1</x:v>
      </x:c>
      <x:c r="K1294" s="7" t="str">
        <x:v>Verified qualifications do not include active general Life. Current target-pool mismatch; actual historical omission reason unknown.</x:v>
      </x:c>
      <x:c r="L1294" s="7" t="str">
        <x:v>Not supplied; membership is known, motive is not</x:v>
      </x:c>
      <x:c r="M1294" s="7" t="n">
        <x:v>7</x:v>
      </x:c>
      <x:c r="N1294" s="7" t="str">
        <x:v>Outside current general-Life recruiting pool</x:v>
      </x:c>
      <x:c r="O1294" s="7" t="str">
        <x:v>Inactive</x:v>
      </x:c>
      <x:c r="P1294" s="7" t="str">
        <x:v>06/04/2021</x:v>
      </x:c>
      <x:c r="Q1294" s="7" t="str">
        <x:v>06/30/2025</x:v>
      </x:c>
      <x:c r="R1294" s="7" t="str"/>
      <x:c r="S1294" s="15" t="str">
        <x:v>415-733-6555</x:v>
      </x:c>
      <x:c r="T1294" s="7" t="str">
        <x:v>Current CDI</x:v>
      </x:c>
      <x:c r="U1294" s="7" t="str">
        <x:v>600 MONTOGOMERY ST SUITE 1600 SAN FRANCISCO CA, 94111</x:v>
      </x:c>
      <x:c r="V1294" s="7" t="str">
        <x:v>Resident</x:v>
      </x:c>
      <x:c r="W1294" s="7" t="str">
        <x:v>CA</x:v>
      </x:c>
      <x:c r="X1294" s="7" t="str"/>
      <x:c r="Y1294" s="7" t="str"/>
      <x:c r="Z1294" s="7" t="str"/>
      <x:c r="AA1294" s="7" t="str"/>
      <x:c r="AB1294" s="7" t="str"/>
      <x:c r="AC1294" s="7" t="str"/>
      <x:c r="AD1294" s="7" t="str">
        <x:v>No agency or insurer displayed: onboarding opportunity possible; existing business unknown</x:v>
      </x:c>
      <x:c r="AE1294" s="7" t="str"/>
      <x:c r="AF1294" s="16" t="str"/>
      <x:c r="AG1294" s="17" t="str"/>
      <x:c r="AH1294" s="7" t="str"/>
      <x:c r="AI1294" s="7" t="str">
        <x:v>English</x:v>
      </x:c>
      <x:c r="AJ1294" s="7" t="str"/>
      <x:c r="AK1294" s="15" t="str"/>
      <x:c r="AL1294" s="7" t="str"/>
      <x:c r="AM1294" s="7" t="str">
        <x:v>Aguilar  Maria Elena | AGUILAR-PETLIN  MARIA ELENA</x:v>
      </x:c>
      <x:c r="AN1294" s="7" t="str">
        <x:v>https://cdicloud.insurance.ca.gov/cal/LicenseDetail?SearchType=IND&amp;SearchLicNbr=4113070&amp;SearchIndvId=4113070</x:v>
      </x:c>
      <x:c r="AO1294" s="7" t="str">
        <x:v>2026-10-08</x:v>
      </x:c>
      <x:c r="AP1294" s="7" t="str">
        <x:v>457706dcc12b591b16c787cd51da31c7d6eaf8f1df39b5ab97eb9bba3585f219</x:v>
      </x:c>
      <x:c r="AQ1294" s="7" t="str">
        <x:v>Accident &amp; Health or Sickness / Inactive / 06/04/2021 / 06/30/2025 / 06/30/2025
Life / Inactive / 06/04/2021 / 06/30/2025 / 06/30/2025
Var Life and Var Annuity / Inactive / 04/30/2024 / 06/30/2025 / 06/30/2025</x:v>
      </x:c>
      <x:c r="AR1294" s="7" t="str">
        <x:v>Inactive</x:v>
      </x:c>
      <x:c r="AS1294" s="7" t="str">
        <x:v>Current detail page</x:v>
      </x:c>
    </x:row>
    <x:row r="1295" ht="52" customHeight="1">
      <x:c r="A1295" s="7" t="str">
        <x:v>AGUILAR-QUEBRADO MIRIAM</x:v>
      </x:c>
      <x:c r="B1295" s="14" t="str">
        <x:f>"4309695"</x:f>
        <x:v>4309695</x:v>
      </x:c>
      <x:c r="C1295" s="7" t="str">
        <x:v>Omitted</x:v>
      </x:c>
      <x:c r="D1295" s="7" t="str">
        <x:v>FAIL</x:v>
      </x:c>
      <x:c r="E1295" s="13" t="str">
        <x:v>Pending</x:v>
      </x:c>
      <x:c r="F1295" s="13" t="str"/>
      <x:c r="G1295" s="13" t="str"/>
      <x:c r="H1295" s="13" t="str"/>
      <x:c r="I1295" s="7" t="str">
        <x:v>Was this person reviewed? If rejected, give the actual rule and evidence. If acceptable, correct the omission. Confirm the Life-qualification gate and any record change since selection.</x:v>
      </x:c>
      <x:c r="J1295" s="7" t="str">
        <x:v>L1</x:v>
      </x:c>
      <x:c r="K1295" s="7" t="str">
        <x:v>Verified qualifications do not include active general Life. Current target-pool mismatch; actual historical omission reason unknown.</x:v>
      </x:c>
      <x:c r="L1295" s="7" t="str">
        <x:v>Not supplied; membership is known, motive is not</x:v>
      </x:c>
      <x:c r="M1295" s="7" t="n">
        <x:v>7</x:v>
      </x:c>
      <x:c r="N1295" s="7" t="str">
        <x:v>Outside current general-Life recruiting pool</x:v>
      </x:c>
      <x:c r="O1295" s="7" t="str">
        <x:v>Inactive</x:v>
      </x:c>
      <x:c r="P1295" s="7" t="str">
        <x:v>07/25/2023</x:v>
      </x:c>
      <x:c r="Q1295" s="7" t="str">
        <x:v>07/31/2025</x:v>
      </x:c>
      <x:c r="R1295" s="7" t="str"/>
      <x:c r="S1295" s="15" t="str"/>
      <x:c r="T1295" s="7" t="str">
        <x:v>No public business phone in collected record</x:v>
      </x:c>
      <x:c r="U1295" s="7" t="str">
        <x:v>3401 W SUNFLOWER AVE SANTA ANA CA, 92704</x:v>
      </x:c>
      <x:c r="V1295" s="7" t="str">
        <x:v>Resident</x:v>
      </x:c>
      <x:c r="W1295" s="7" t="str">
        <x:v>CA</x:v>
      </x:c>
      <x:c r="X1295" s="7" t="str"/>
      <x:c r="Y1295" s="7" t="str"/>
      <x:c r="Z1295" s="7" t="str"/>
      <x:c r="AA1295" s="7" t="str"/>
      <x:c r="AB1295" s="7" t="str"/>
      <x:c r="AC1295" s="7" t="str"/>
      <x:c r="AD1295" s="7" t="str">
        <x:v>No agency or insurer displayed: onboarding opportunity possible; existing business unknown</x:v>
      </x:c>
      <x:c r="AE1295" s="7" t="str">
        <x:v>No public business phone: contact enrichment needed, not proof of poor recruiting fit</x:v>
      </x:c>
      <x:c r="AF1295" s="16" t="str"/>
      <x:c r="AG1295" s="17" t="str"/>
      <x:c r="AH1295" s="7" t="str"/>
      <x:c r="AI1295" s="7" t="str"/>
      <x:c r="AJ1295" s="7" t="str"/>
      <x:c r="AK1295" s="15" t="str"/>
      <x:c r="AL1295" s="7" t="str"/>
      <x:c r="AM1295" s="7" t="str">
        <x:v>AGUILAR-QUEBRADO  MIRIAM</x:v>
      </x:c>
      <x:c r="AN1295" s="7" t="str">
        <x:v>https://cdicloud.insurance.ca.gov/cal/LicenseDetail?SearchType=IND&amp;SearchLicNbr=4309695&amp;SearchIndvId=4309695</x:v>
      </x:c>
      <x:c r="AO1295" s="7" t="str">
        <x:v>2026-10-08</x:v>
      </x:c>
      <x:c r="AP1295" s="7" t="str">
        <x:v>57a5c084cc8163d9517a440d8b0e340b8d85b603fd3b74f60cfe2ac16e5a1b8d</x:v>
      </x:c>
      <x:c r="AQ1295" s="7" t="str">
        <x:v>Life / Inactive / 07/25/2023 / 07/31/2025 / 07/31/2025</x:v>
      </x:c>
      <x:c r="AR1295" s="7" t="str">
        <x:v>Inactive</x:v>
      </x:c>
      <x:c r="AS1295" s="7" t="str">
        <x:v>Current detail page</x:v>
      </x:c>
    </x:row>
    <x:row r="1296" ht="52" customHeight="1">
      <x:c r="A1296" s="7" t="str">
        <x:v>AGUILAR-RAMOS ERICA VICTORIA</x:v>
      </x:c>
      <x:c r="B1296" s="14" t="str">
        <x:f>"0K20332"</x:f>
        <x:v>0K20332</x:v>
      </x:c>
      <x:c r="C1296" s="7" t="str">
        <x:v>Omitted</x:v>
      </x:c>
      <x:c r="D1296" s="7" t="str">
        <x:v>FAIL</x:v>
      </x:c>
      <x:c r="E1296" s="13" t="str">
        <x:v>Pending</x:v>
      </x:c>
      <x:c r="F1296" s="13" t="str"/>
      <x:c r="G1296" s="13" t="str"/>
      <x:c r="H1296" s="13" t="str"/>
      <x:c r="I1296" s="7" t="str">
        <x:v>Was this person reviewed? If rejected, give the actual rule and evidence. If acceptable, correct the omission. Confirm the Life-qualification gate and any record change since selection.</x:v>
      </x:c>
      <x:c r="J1296" s="7" t="str">
        <x:v>L1</x:v>
      </x:c>
      <x:c r="K1296" s="7" t="str">
        <x:v>Verified qualifications do not include active general Life. Current target-pool mismatch; actual historical omission reason unknown.</x:v>
      </x:c>
      <x:c r="L1296" s="7" t="str">
        <x:v>Not supplied; membership is known, motive is not</x:v>
      </x:c>
      <x:c r="M1296" s="7" t="n">
        <x:v>7</x:v>
      </x:c>
      <x:c r="N1296" s="7" t="str">
        <x:v>Outside current general-Life recruiting pool</x:v>
      </x:c>
      <x:c r="O1296" s="7" t="str">
        <x:v>Inactive</x:v>
      </x:c>
      <x:c r="P1296" s="7" t="str">
        <x:v>04/23/2015</x:v>
      </x:c>
      <x:c r="Q1296" s="7" t="str">
        <x:v>04/30/2025</x:v>
      </x:c>
      <x:c r="R1296" s="7" t="str"/>
      <x:c r="S1296" s="15" t="str"/>
      <x:c r="T1296" s="7" t="str">
        <x:v>No public business phone in collected record</x:v>
      </x:c>
      <x:c r="U1296" s="7" t="str">
        <x:v>2941 SUNRISE BLVD SUITE 260 RANCHO CORDOVA CA, 95742</x:v>
      </x:c>
      <x:c r="V1296" s="7" t="str">
        <x:v>Resident</x:v>
      </x:c>
      <x:c r="W1296" s="7" t="str">
        <x:v>CA</x:v>
      </x:c>
      <x:c r="X1296" s="7" t="str"/>
      <x:c r="Y1296" s="7" t="str"/>
      <x:c r="Z1296" s="7" t="str"/>
      <x:c r="AA1296" s="7" t="str"/>
      <x:c r="AB1296" s="7" t="str"/>
      <x:c r="AC1296" s="7" t="str"/>
      <x:c r="AD1296" s="7" t="str">
        <x:v>No agency or insurer displayed: onboarding opportunity possible; existing business unknown</x:v>
      </x:c>
      <x:c r="AE1296" s="7" t="str">
        <x:v>No public business phone: contact enrichment needed, not proof of poor recruiting fit</x:v>
      </x:c>
      <x:c r="AF1296" s="16" t="str"/>
      <x:c r="AG1296" s="17" t="str"/>
      <x:c r="AH1296" s="7" t="str"/>
      <x:c r="AI1296" s="7" t="str"/>
      <x:c r="AJ1296" s="7" t="str"/>
      <x:c r="AK1296" s="15" t="str"/>
      <x:c r="AL1296" s="7" t="str"/>
      <x:c r="AM1296" s="7" t="str">
        <x:v>Aguilar-Ramos V Erica | AGUILAR-RAMOS VICTORIA ERICA</x:v>
      </x:c>
      <x:c r="AN1296" s="7" t="str">
        <x:v>https://cdicloud.insurance.ca.gov/cal/LicenseDetail?SearchType=IND&amp;SearchLicNbr=0K20332&amp;SearchIndvId=1751183</x:v>
      </x:c>
      <x:c r="AO1296" s="7" t="str">
        <x:v>2026-10-08</x:v>
      </x:c>
      <x:c r="AP1296" s="7" t="str">
        <x:v>3b0be100393e3d60ac649495a9ff47f748f521168c320036d799b4d844e8f542</x:v>
      </x:c>
      <x:c r="AQ1296" s="7" t="str">
        <x:v>Life / Inactive / 04/23/2015 / 04/30/2025 / 04/30/2025</x:v>
      </x:c>
      <x:c r="AR1296" s="7" t="str">
        <x:v>Inactive</x:v>
      </x:c>
      <x:c r="AS1296" s="7" t="str">
        <x:v>Current detail page</x:v>
      </x:c>
    </x:row>
    <x:row r="1297" ht="52" customHeight="1">
      <x:c r="A1297" s="7" t="str">
        <x:v>AGUILAR-ROA GEORGE</x:v>
      </x:c>
      <x:c r="B1297" s="14" t="str">
        <x:f>"4072299"</x:f>
        <x:v>4072299</x:v>
      </x:c>
      <x:c r="C1297" s="7" t="str">
        <x:v>Omitted</x:v>
      </x:c>
      <x:c r="D1297" s="7" t="str">
        <x:v>FAIL</x:v>
      </x:c>
      <x:c r="E1297" s="13" t="str">
        <x:v>Pending</x:v>
      </x:c>
      <x:c r="F1297" s="13" t="str"/>
      <x:c r="G1297" s="13" t="str"/>
      <x:c r="H1297" s="13" t="str"/>
      <x:c r="I1297" s="7" t="str">
        <x:v>Was this person reviewed? If rejected, give the actual rule and evidence. If acceptable, correct the omission. Confirm the Life-qualification gate and any record change since selection.</x:v>
      </x:c>
      <x:c r="J1297" s="7" t="str">
        <x:v>L1</x:v>
      </x:c>
      <x:c r="K1297" s="7" t="str">
        <x:v>Verified qualifications do not include active general Life. Current target-pool mismatch; actual historical omission reason unknown.</x:v>
      </x:c>
      <x:c r="L1297" s="7" t="str">
        <x:v>Not supplied; membership is known, motive is not</x:v>
      </x:c>
      <x:c r="M1297" s="7" t="n">
        <x:v>7</x:v>
      </x:c>
      <x:c r="N1297" s="7" t="str">
        <x:v>Outside current general-Life recruiting pool</x:v>
      </x:c>
      <x:c r="O1297" s="7" t="str">
        <x:v>Inactive</x:v>
      </x:c>
      <x:c r="P1297" s="7" t="str">
        <x:v>10/05/2020</x:v>
      </x:c>
      <x:c r="Q1297" s="7" t="str">
        <x:v>10/31/2024</x:v>
      </x:c>
      <x:c r="R1297" s="7" t="str"/>
      <x:c r="S1297" s="15" t="str">
        <x:v>760-201-5255</x:v>
      </x:c>
      <x:c r="T1297" s="7" t="str">
        <x:v>Current CDI</x:v>
      </x:c>
      <x:c r="U1297" s="7" t="str">
        <x:v>10085 SCRIPPS RANCH CT. SAN DIEGO CA, 92131</x:v>
      </x:c>
      <x:c r="V1297" s="7" t="str">
        <x:v>Resident</x:v>
      </x:c>
      <x:c r="W1297" s="7" t="str">
        <x:v>CA</x:v>
      </x:c>
      <x:c r="X1297" s="7" t="str"/>
      <x:c r="Y1297" s="7" t="str"/>
      <x:c r="Z1297" s="7" t="str"/>
      <x:c r="AA1297" s="7" t="str"/>
      <x:c r="AB1297" s="7" t="str"/>
      <x:c r="AC1297" s="7" t="str"/>
      <x:c r="AD1297" s="7" t="str">
        <x:v>No agency or insurer displayed: onboarding opportunity possible; existing business unknown</x:v>
      </x:c>
      <x:c r="AE1297" s="7" t="str"/>
      <x:c r="AF1297" s="16" t="str"/>
      <x:c r="AG1297" s="17" t="str"/>
      <x:c r="AH1297" s="7" t="str"/>
      <x:c r="AI1297" s="7" t="str">
        <x:v>English</x:v>
      </x:c>
      <x:c r="AJ1297" s="7" t="str"/>
      <x:c r="AK1297" s="15" t="str"/>
      <x:c r="AL1297" s="7" t="str"/>
      <x:c r="AM1297" s="7" t="str">
        <x:v>AGUILAR-ROA  GEORGE</x:v>
      </x:c>
      <x:c r="AN1297" s="7" t="str">
        <x:v>https://cdicloud.insurance.ca.gov/cal/LicenseDetail?SearchType=IND&amp;SearchLicNbr=4072299&amp;SearchIndvId=4072299</x:v>
      </x:c>
      <x:c r="AO1297" s="7" t="str">
        <x:v>2026-10-08</x:v>
      </x:c>
      <x:c r="AP1297" s="7" t="str">
        <x:v>f71e8ff7cbee836e6bf08423989b45ca01796dd0f850d7b152a2e86785cab53a</x:v>
      </x:c>
      <x:c r="AQ1297" s="7" t="str">
        <x:v>Accident &amp; Health or Sickness / Inactive / 10/05/2020 / 10/31/2024 / 10/31/2024
Life / Inactive / 10/05/2020 / 10/31/2024 / 10/31/2024</x:v>
      </x:c>
      <x:c r="AR1297" s="7" t="str">
        <x:v>Inactive</x:v>
      </x:c>
      <x:c r="AS1297" s="7" t="str">
        <x:v>Current detail page</x:v>
      </x:c>
    </x:row>
    <x:row r="1298" ht="52" customHeight="1">
      <x:c r="A1298" s="7" t="str">
        <x:v>AGUILAR-RODRIGUEZ CRISTINA MARIA</x:v>
      </x:c>
      <x:c r="B1298" s="14" t="str">
        <x:f>"0F17234"</x:f>
        <x:v>0F17234</x:v>
      </x:c>
      <x:c r="C1298" s="7" t="str">
        <x:v>Omitted</x:v>
      </x:c>
      <x:c r="D1298" s="7" t="str">
        <x:v>FAIL</x:v>
      </x:c>
      <x:c r="E1298" s="13" t="str">
        <x:v>Pending</x:v>
      </x:c>
      <x:c r="F1298" s="13" t="str"/>
      <x:c r="G1298" s="13" t="str"/>
      <x:c r="H1298" s="13" t="str"/>
      <x:c r="I1298" s="7" t="str">
        <x:v>Was this person reviewed? If rejected, give the actual rule and evidence. If acceptable, correct the omission. Confirm the Life-qualification gate and any record change since selection.</x:v>
      </x:c>
      <x:c r="J1298" s="7" t="str">
        <x:v>L1</x:v>
      </x:c>
      <x:c r="K1298" s="7" t="str">
        <x:v>Verified qualifications do not include active general Life. Current target-pool mismatch; actual historical omission reason unknown.</x:v>
      </x:c>
      <x:c r="L1298" s="7" t="str">
        <x:v>Not supplied; membership is known, motive is not</x:v>
      </x:c>
      <x:c r="M1298" s="7" t="n">
        <x:v>7</x:v>
      </x:c>
      <x:c r="N1298" s="7" t="str">
        <x:v>Outside current general-Life recruiting pool</x:v>
      </x:c>
      <x:c r="O1298" s="7" t="str">
        <x:v>Not displayed</x:v>
      </x:c>
      <x:c r="P1298" s="7" t="str"/>
      <x:c r="Q1298" s="7" t="str"/>
      <x:c r="R1298" s="7" t="str"/>
      <x:c r="S1298" s="15" t="str"/>
      <x:c r="T1298" s="7" t="str">
        <x:v>No public business phone in collected record</x:v>
      </x:c>
      <x:c r="U1298" s="7" t="str"/>
      <x:c r="V1298" s="7" t="str">
        <x:v>Resident</x:v>
      </x:c>
      <x:c r="W1298" s="7" t="str">
        <x:v>CA</x:v>
      </x:c>
      <x:c r="X1298" s="7" t="str"/>
      <x:c r="Y1298" s="7" t="str"/>
      <x:c r="Z1298" s="7" t="str"/>
      <x:c r="AA1298" s="7" t="str"/>
      <x:c r="AB1298" s="7" t="str"/>
      <x:c r="AC1298" s="7" t="str"/>
      <x:c r="AD1298" s="7" t="str">
        <x:v>No agency or insurer displayed: onboarding opportunity possible; existing business unknown</x:v>
      </x:c>
      <x:c r="AE1298" s="7" t="str">
        <x:v>No public business phone: contact enrichment needed, not proof of poor recruiting fit</x:v>
      </x:c>
      <x:c r="AF1298" s="16" t="str"/>
      <x:c r="AG1298" s="17" t="str"/>
      <x:c r="AH1298" s="7" t="str"/>
      <x:c r="AI1298" s="7" t="str"/>
      <x:c r="AJ1298" s="7" t="str"/>
      <x:c r="AK1298" s="15" t="str"/>
      <x:c r="AL1298" s="7" t="str"/>
      <x:c r="AM1298" s="7" t="str">
        <x:v>AGUILAR-RODRIGUEZ MARIA CRISTINA</x:v>
      </x:c>
      <x:c r="AN1298" s="7" t="str">
        <x:v>https://cdicloud.insurance.ca.gov/cal/LicenseDetail?SearchType=IND&amp;SearchLicNbr=0F17234&amp;SearchIndvId=1006100</x:v>
      </x:c>
      <x:c r="AO1298" s="7" t="str">
        <x:v>2026-10-08</x:v>
      </x:c>
      <x:c r="AP1298" s="7" t="str">
        <x:v>08c33f67304be831bf430be715030cb118f17bdaf6cd5f9669a016ce98e50049</x:v>
      </x:c>
      <x:c r="AQ1298" s="7" t="str">
        <x:v>Accident and Health / Inactive / 01/05/2008 / 04/30/2010 / 04/30/2010
Casualty Broker-Agent / Inactive / 04/21/2006 / 04/30/2010 / 04/30/2010
Life-Only / Inactive / 01/05/2008 / 04/30/2010 / 04/30/2010
Property Broker-Agent / Inactive / 04/21/2006 / 04/30/2010 / 04/30/2010</x:v>
      </x:c>
      <x:c r="AR1298" s="7" t="str">
        <x:v>Inactive</x:v>
      </x:c>
      <x:c r="AS1298" s="7" t="str">
        <x:v>Current detail page</x:v>
      </x:c>
    </x:row>
    <x:row r="1299" ht="52" customHeight="1">
      <x:c r="A1299" s="7" t="str">
        <x:v>AGUILAR-RODRIGUEZ EDGAR VICENTE</x:v>
      </x:c>
      <x:c r="B1299" s="14" t="str">
        <x:f>"0M93103"</x:f>
        <x:v>0M93103</x:v>
      </x:c>
      <x:c r="C1299" s="7" t="str">
        <x:v>Omitted</x:v>
      </x:c>
      <x:c r="D1299" s="7" t="str">
        <x:v>FAIL</x:v>
      </x:c>
      <x:c r="E1299" s="13" t="str">
        <x:v>Pending</x:v>
      </x:c>
      <x:c r="F1299" s="13" t="str"/>
      <x:c r="G1299" s="13" t="str"/>
      <x:c r="H1299" s="13" t="str"/>
      <x:c r="I1299" s="7" t="str">
        <x:v>Was this person reviewed? If rejected, give the actual rule and evidence. If acceptable, correct the omission. Confirm the Life-qualification gate and any record change since selection.</x:v>
      </x:c>
      <x:c r="J1299" s="7" t="str">
        <x:v>L1</x:v>
      </x:c>
      <x:c r="K1299" s="7" t="str">
        <x:v>Verified qualifications do not include active general Life. Current target-pool mismatch; actual historical omission reason unknown.</x:v>
      </x:c>
      <x:c r="L1299" s="7" t="str">
        <x:v>Not supplied; membership is known, motive is not</x:v>
      </x:c>
      <x:c r="M1299" s="7" t="n">
        <x:v>7</x:v>
      </x:c>
      <x:c r="N1299" s="7" t="str">
        <x:v>Outside current general-Life recruiting pool</x:v>
      </x:c>
      <x:c r="O1299" s="7" t="str">
        <x:v>Not displayed</x:v>
      </x:c>
      <x:c r="P1299" s="7" t="str"/>
      <x:c r="Q1299" s="7" t="str"/>
      <x:c r="R1299" s="7" t="str"/>
      <x:c r="S1299" s="15" t="str">
        <x:v>213-741-3404</x:v>
      </x:c>
      <x:c r="T1299" s="7" t="str">
        <x:v>Current CDI</x:v>
      </x:c>
      <x:c r="U1299" s="7" t="str">
        <x:v>2601 S. FIGUEROA MAILSTOP H233 LOS ANGELES CA, 90007</x:v>
      </x:c>
      <x:c r="V1299" s="7" t="str">
        <x:v>Resident</x:v>
      </x:c>
      <x:c r="W1299" s="7" t="str">
        <x:v>CA</x:v>
      </x:c>
      <x:c r="X1299" s="7" t="str"/>
      <x:c r="Y1299" s="7" t="str"/>
      <x:c r="Z1299" s="7" t="str"/>
      <x:c r="AA1299" s="7" t="str"/>
      <x:c r="AB1299" s="7" t="str"/>
      <x:c r="AC1299" s="7" t="str"/>
      <x:c r="AD1299" s="7" t="str">
        <x:v>No agency or insurer displayed: onboarding opportunity possible; existing business unknown</x:v>
      </x:c>
      <x:c r="AE1299" s="7" t="str"/>
      <x:c r="AF1299" s="16" t="str"/>
      <x:c r="AG1299" s="17" t="str"/>
      <x:c r="AH1299" s="7" t="str"/>
      <x:c r="AI1299" s="7" t="str">
        <x:v>English</x:v>
      </x:c>
      <x:c r="AJ1299" s="7" t="str"/>
      <x:c r="AK1299" s="15" t="str"/>
      <x:c r="AL1299" s="7" t="str"/>
      <x:c r="AM1299" s="7" t="str">
        <x:v>Aguilar-Rodriguez V Edgar | AGUILAR-RODRIGUEZ VICENTE EDGAR</x:v>
      </x:c>
      <x:c r="AN1299" s="7" t="str">
        <x:v>https://cdicloud.insurance.ca.gov/cal/LicenseDetail?SearchType=IND&amp;SearchLicNbr=0M93103&amp;SearchIndvId=2100815</x:v>
      </x:c>
      <x:c r="AO1299" s="7" t="str">
        <x:v>2026-10-08</x:v>
      </x:c>
      <x:c r="AP1299" s="7" t="str">
        <x:v>8c71d6015721fa7b67c1b9b6e08047e04f571751dc6cd2cc908d763805e6f29e</x:v>
      </x:c>
      <x:c r="AQ1299" s="7" t="str">
        <x:v>Personal Lines / Inactive / 04/17/2019 / 04/30/2025 / 04/30/2025</x:v>
      </x:c>
      <x:c r="AR1299" s="7" t="str">
        <x:v>Inactive</x:v>
      </x:c>
      <x:c r="AS1299" s="7" t="str">
        <x:v>Current detail page</x:v>
      </x:c>
    </x:row>
    <x:row r="1300" ht="52" customHeight="1">
      <x:c r="A1300" s="7" t="str">
        <x:v>AGUILAR-ROJAS SAVANNAH</x:v>
      </x:c>
      <x:c r="B1300" s="14" t="str">
        <x:f>"4462402"</x:f>
        <x:v>4462402</x:v>
      </x:c>
      <x:c r="C1300" s="7" t="str">
        <x:v>Omitted</x:v>
      </x:c>
      <x:c r="D1300" s="7" t="str">
        <x:v>FAIL</x:v>
      </x:c>
      <x:c r="E1300" s="13" t="str">
        <x:v>Pending</x:v>
      </x:c>
      <x:c r="F1300" s="13" t="str"/>
      <x:c r="G1300" s="13" t="str"/>
      <x:c r="H1300" s="13" t="str"/>
      <x:c r="I1300" s="7" t="str">
        <x:v>Was this person reviewed? If rejected, give the actual rule and evidence. If acceptable, correct the omission. Confirm the Life-qualification gate and any record change since selection.</x:v>
      </x:c>
      <x:c r="J1300" s="7" t="str">
        <x:v>L1</x:v>
      </x:c>
      <x:c r="K1300" s="7" t="str">
        <x:v>Verified qualifications do not include active general Life. Current target-pool mismatch; actual historical omission reason unknown.</x:v>
      </x:c>
      <x:c r="L1300" s="7" t="str">
        <x:v>Not supplied; membership is known, motive is not</x:v>
      </x:c>
      <x:c r="M1300" s="7" t="n">
        <x:v>7</x:v>
      </x:c>
      <x:c r="N1300" s="7" t="str">
        <x:v>Outside current general-Life recruiting pool</x:v>
      </x:c>
      <x:c r="O1300" s="7" t="str">
        <x:v>Not displayed</x:v>
      </x:c>
      <x:c r="P1300" s="7" t="str"/>
      <x:c r="Q1300" s="7" t="str"/>
      <x:c r="R1300" s="7" t="str">
        <x:v>Personal Lines</x:v>
      </x:c>
      <x:c r="S1300" s="15" t="str">
        <x:v>626-237-1862</x:v>
      </x:c>
      <x:c r="T1300" s="7" t="str">
        <x:v>Current CDI</x:v>
      </x:c>
      <x:c r="U1300" s="7" t="str">
        <x:v>9022 LAS TUNAS DR TEMPLE CITY CA, 91780</x:v>
      </x:c>
      <x:c r="V1300" s="7" t="str">
        <x:v>Resident</x:v>
      </x:c>
      <x:c r="W1300" s="7" t="str">
        <x:v>CA</x:v>
      </x:c>
      <x:c r="X1300" s="7" t="str">
        <x:v>AARON VUONG INSURANCE AGENCY, INC. / Personal Lines / 05/28/2025</x:v>
      </x:c>
      <x:c r="Y1300" s="7" t="str"/>
      <x:c r="Z1300" s="7" t="str"/>
      <x:c r="AA1300" s="7" t="str"/>
      <x:c r="AB1300" s="7" t="str"/>
      <x:c r="AC1300" s="7" t="str"/>
      <x:c r="AD1300" s="7" t="str"/>
      <x:c r="AE1300" s="7" t="str">
        <x:v>P&amp;C/Personal Lines authority without displayed core Life appointments; mixed profile requires review</x:v>
      </x:c>
      <x:c r="AF1300" s="16" t="str"/>
      <x:c r="AG1300" s="17" t="str"/>
      <x:c r="AH1300" s="7" t="str"/>
      <x:c r="AI1300" s="7" t="str">
        <x:v>English</x:v>
      </x:c>
      <x:c r="AJ1300" s="7" t="str"/>
      <x:c r="AK1300" s="15" t="str"/>
      <x:c r="AL1300" s="7" t="str"/>
      <x:c r="AM1300" s="7" t="str">
        <x:v>Aguilar Rojas  Savannah | AGUILAR-ROJAS  SAVANNAH</x:v>
      </x:c>
      <x:c r="AN1300" s="7" t="str">
        <x:v>https://cdicloud.insurance.ca.gov/cal/LicenseDetail?SearchType=IND&amp;SearchLicNbr=4462402&amp;SearchIndvId=4462402</x:v>
      </x:c>
      <x:c r="AO1300" s="7" t="str">
        <x:v>2026-10-08</x:v>
      </x:c>
      <x:c r="AP1300" s="7" t="str">
        <x:v>3449bc8c181fb038bd975ac0c4b23310e7876e5d2dd7f66f9f62e3b3e6f0ff9e</x:v>
      </x:c>
      <x:c r="AQ1300" s="7" t="str">
        <x:v>Personal Lines / Active / 05/22/2025 / 05/22/2025 / 05/31/2027</x:v>
      </x:c>
      <x:c r="AR1300" s="7" t="str">
        <x:v>Active</x:v>
      </x:c>
      <x:c r="AS1300" s="7" t="str">
        <x:v>Current detail page</x:v>
      </x:c>
    </x:row>
    <x:row r="1301" ht="52" customHeight="1">
      <x:c r="A1301" s="7" t="str">
        <x:v>AGUILAR-SANCHEZ ELVA CATALINA</x:v>
      </x:c>
      <x:c r="B1301" s="14" t="str">
        <x:f>"0H43040"</x:f>
        <x:v>0H43040</x:v>
      </x:c>
      <x:c r="C1301" s="7" t="str">
        <x:v>Omitted</x:v>
      </x:c>
      <x:c r="D1301" s="7" t="str">
        <x:v>FAIL</x:v>
      </x:c>
      <x:c r="E1301" s="13" t="str">
        <x:v>Pending</x:v>
      </x:c>
      <x:c r="F1301" s="13" t="str"/>
      <x:c r="G1301" s="13" t="str"/>
      <x:c r="H1301" s="13" t="str"/>
      <x:c r="I1301" s="7" t="str">
        <x:v>Was this person reviewed? If rejected, give the actual rule and evidence. If acceptable, correct the omission. Confirm the Life-qualification gate and any record change since selection.</x:v>
      </x:c>
      <x:c r="J1301" s="7" t="str">
        <x:v>L1</x:v>
      </x:c>
      <x:c r="K1301" s="7" t="str">
        <x:v>Verified qualifications do not include active general Life. Current target-pool mismatch; actual historical omission reason unknown.</x:v>
      </x:c>
      <x:c r="L1301" s="7" t="str">
        <x:v>Not supplied; membership is known, motive is not</x:v>
      </x:c>
      <x:c r="M1301" s="7" t="n">
        <x:v>7</x:v>
      </x:c>
      <x:c r="N1301" s="7" t="str">
        <x:v>Outside current general-Life recruiting pool</x:v>
      </x:c>
      <x:c r="O1301" s="7" t="str">
        <x:v>Not displayed</x:v>
      </x:c>
      <x:c r="P1301" s="7" t="str"/>
      <x:c r="Q1301" s="7" t="str"/>
      <x:c r="R1301" s="7" t="str"/>
      <x:c r="S1301" s="15" t="str"/>
      <x:c r="T1301" s="7" t="str">
        <x:v>No public business phone in collected record</x:v>
      </x:c>
      <x:c r="U1301" s="7" t="str"/>
      <x:c r="V1301" s="7" t="str">
        <x:v>Resident</x:v>
      </x:c>
      <x:c r="W1301" s="7" t="str">
        <x:v>CA</x:v>
      </x:c>
      <x:c r="X1301" s="7" t="str"/>
      <x:c r="Y1301" s="7" t="str"/>
      <x:c r="Z1301" s="7" t="str"/>
      <x:c r="AA1301" s="7" t="str"/>
      <x:c r="AB1301" s="7" t="str"/>
      <x:c r="AC1301" s="7" t="str"/>
      <x:c r="AD1301" s="7" t="str">
        <x:v>No agency or insurer displayed: onboarding opportunity possible; existing business unknown</x:v>
      </x:c>
      <x:c r="AE1301" s="7" t="str">
        <x:v>No public business phone: contact enrichment needed, not proof of poor recruiting fit</x:v>
      </x:c>
      <x:c r="AF1301" s="16" t="str"/>
      <x:c r="AG1301" s="17" t="str"/>
      <x:c r="AH1301" s="7" t="str"/>
      <x:c r="AI1301" s="7" t="str"/>
      <x:c r="AJ1301" s="7" t="str"/>
      <x:c r="AK1301" s="15" t="str"/>
      <x:c r="AL1301" s="7" t="str"/>
      <x:c r="AM1301" s="7" t="str">
        <x:v>AGUILAR CATALINA ELVA | AGUILAR-SANCHEZ CATALINA ELVA</x:v>
      </x:c>
      <x:c r="AN1301" s="7" t="str">
        <x:v>https://cdicloud.insurance.ca.gov/cal/LicenseDetail?SearchType=IND&amp;SearchLicNbr=0H43040&amp;SearchIndvId=1453664</x:v>
      </x:c>
      <x:c r="AO1301" s="7" t="str">
        <x:v>2026-10-08</x:v>
      </x:c>
      <x:c r="AP1301" s="7" t="str">
        <x:v>da550596987c9e2bb95fcb89886a4c4e5ca0aa1e88355423d38dab4722b7b36a</x:v>
      </x:c>
      <x:c r="AQ1301" s="7" t="str">
        <x:v>Accident and Health / Inactive / 05/19/2011 / 05/31/2013 / 05/31/2013
Life-Only / Inactive / 05/19/2011 / 04/30/2017 / 04/30/2017</x:v>
      </x:c>
      <x:c r="AR1301" s="7" t="str">
        <x:v>Inactive</x:v>
      </x:c>
      <x:c r="AS1301" s="7" t="str">
        <x:v>Current detail page</x:v>
      </x:c>
    </x:row>
    <x:row r="1302" ht="52" customHeight="1">
      <x:c r="A1302" s="7" t="str">
        <x:v>AGUILAR-SANCHEZ JOSE</x:v>
      </x:c>
      <x:c r="B1302" s="14" t="str">
        <x:f>"0J07120"</x:f>
        <x:v>0J07120</x:v>
      </x:c>
      <x:c r="C1302" s="7" t="str">
        <x:v>Omitted</x:v>
      </x:c>
      <x:c r="D1302" s="7" t="str">
        <x:v>FAIL</x:v>
      </x:c>
      <x:c r="E1302" s="13" t="str">
        <x:v>Pending</x:v>
      </x:c>
      <x:c r="F1302" s="13" t="str"/>
      <x:c r="G1302" s="13" t="str"/>
      <x:c r="H1302" s="13" t="str"/>
      <x:c r="I1302" s="7" t="str">
        <x:v>Was this person reviewed? If rejected, give the actual rule and evidence. If acceptable, correct the omission. Confirm the Life-qualification gate and any record change since selection.</x:v>
      </x:c>
      <x:c r="J1302" s="7" t="str">
        <x:v>L1</x:v>
      </x:c>
      <x:c r="K1302" s="7" t="str">
        <x:v>Verified qualifications do not include active general Life. Current target-pool mismatch; actual historical omission reason unknown.</x:v>
      </x:c>
      <x:c r="L1302" s="7" t="str">
        <x:v>Not supplied; membership is known, motive is not</x:v>
      </x:c>
      <x:c r="M1302" s="7" t="n">
        <x:v>7</x:v>
      </x:c>
      <x:c r="N1302" s="7" t="str">
        <x:v>Outside current general-Life recruiting pool</x:v>
      </x:c>
      <x:c r="O1302" s="7" t="str">
        <x:v>Not displayed</x:v>
      </x:c>
      <x:c r="P1302" s="7" t="str"/>
      <x:c r="Q1302" s="7" t="str"/>
      <x:c r="R1302" s="7" t="str"/>
      <x:c r="S1302" s="15" t="str"/>
      <x:c r="T1302" s="7" t="str">
        <x:v>No public business phone in collected record</x:v>
      </x:c>
      <x:c r="U1302" s="7" t="str"/>
      <x:c r="V1302" s="7" t="str">
        <x:v>Resident</x:v>
      </x:c>
      <x:c r="W1302" s="7" t="str">
        <x:v>CA</x:v>
      </x:c>
      <x:c r="X1302" s="7" t="str"/>
      <x:c r="Y1302" s="7" t="str"/>
      <x:c r="Z1302" s="7" t="str"/>
      <x:c r="AA1302" s="7" t="str"/>
      <x:c r="AB1302" s="7" t="str"/>
      <x:c r="AC1302" s="7" t="str"/>
      <x:c r="AD1302" s="7" t="str">
        <x:v>No agency or insurer displayed: onboarding opportunity possible; existing business unknown</x:v>
      </x:c>
      <x:c r="AE1302" s="7" t="str">
        <x:v>No public business phone: contact enrichment needed, not proof of poor recruiting fit</x:v>
      </x:c>
      <x:c r="AF1302" s="16" t="str"/>
      <x:c r="AG1302" s="17" t="str"/>
      <x:c r="AH1302" s="7" t="str"/>
      <x:c r="AI1302" s="7" t="str"/>
      <x:c r="AJ1302" s="7" t="str"/>
      <x:c r="AK1302" s="15" t="str"/>
      <x:c r="AL1302" s="7" t="str"/>
      <x:c r="AM1302" s="7" t="str">
        <x:v>Aguilar Sanchez  Jose | AGUILAR-SANCHEZ  JOSE</x:v>
      </x:c>
      <x:c r="AN1302" s="7" t="str">
        <x:v>https://cdicloud.insurance.ca.gov/cal/LicenseDetail?SearchType=IND&amp;SearchLicNbr=0J07120&amp;SearchIndvId=1696198</x:v>
      </x:c>
      <x:c r="AO1302" s="7" t="str">
        <x:v>2026-10-08</x:v>
      </x:c>
      <x:c r="AP1302" s="7" t="str">
        <x:v>0c4a30ff883412ea0fe89b464569884bda2c3d59766366b0b9a4cc255df3877e</x:v>
      </x:c>
      <x:c r="AQ1302" s="7" t="str">
        <x:v>Life-Only / Inactive / 09/24/2014 / 09/30/2016 / 09/30/2016</x:v>
      </x:c>
      <x:c r="AR1302" s="7" t="str">
        <x:v>Inactive</x:v>
      </x:c>
      <x:c r="AS1302" s="7" t="str">
        <x:v>Current detail page</x:v>
      </x:c>
    </x:row>
    <x:row r="1303" ht="52" customHeight="1">
      <x:c r="A1303" s="7" t="str">
        <x:v>AGUILAR-SANCHEZ OLGA LIDIA</x:v>
      </x:c>
      <x:c r="B1303" s="14" t="str">
        <x:f>"4040705"</x:f>
        <x:v>4040705</x:v>
      </x:c>
      <x:c r="C1303" s="7" t="str">
        <x:v>Omitted</x:v>
      </x:c>
      <x:c r="D1303" s="7" t="str">
        <x:v>FAIL</x:v>
      </x:c>
      <x:c r="E1303" s="13" t="str">
        <x:v>Pending</x:v>
      </x:c>
      <x:c r="F1303" s="13" t="str"/>
      <x:c r="G1303" s="13" t="str"/>
      <x:c r="H1303" s="13" t="str"/>
      <x:c r="I1303" s="7" t="str">
        <x:v>Was this person reviewed? If rejected, give the actual rule and evidence. If acceptable, correct the omission. Confirm the Life-qualification gate and any record change since selection.</x:v>
      </x:c>
      <x:c r="J1303" s="7" t="str">
        <x:v>L1</x:v>
      </x:c>
      <x:c r="K1303" s="7" t="str">
        <x:v>Verified qualifications do not include active general Life. Current target-pool mismatch; actual historical omission reason unknown.</x:v>
      </x:c>
      <x:c r="L1303" s="7" t="str">
        <x:v>Not supplied; membership is known, motive is not</x:v>
      </x:c>
      <x:c r="M1303" s="7" t="n">
        <x:v>7</x:v>
      </x:c>
      <x:c r="N1303" s="7" t="str">
        <x:v>Outside current general-Life recruiting pool</x:v>
      </x:c>
      <x:c r="O1303" s="7" t="str">
        <x:v>Inactive</x:v>
      </x:c>
      <x:c r="P1303" s="7" t="str">
        <x:v>05/08/2020</x:v>
      </x:c>
      <x:c r="Q1303" s="7" t="str">
        <x:v>05/31/2022</x:v>
      </x:c>
      <x:c r="R1303" s="7" t="str"/>
      <x:c r="S1303" s="15" t="str">
        <x:v>818-955-8050</x:v>
      </x:c>
      <x:c r="T1303" s="7" t="str">
        <x:v>Current CDI</x:v>
      </x:c>
      <x:c r="U1303" s="7" t="str">
        <x:v>3210 W BURBANK BLVD #D BURBANK CA, 91505</x:v>
      </x:c>
      <x:c r="V1303" s="7" t="str">
        <x:v>Resident</x:v>
      </x:c>
      <x:c r="W1303" s="7" t="str">
        <x:v>CA</x:v>
      </x:c>
      <x:c r="X1303" s="7" t="str"/>
      <x:c r="Y1303" s="7" t="str"/>
      <x:c r="Z1303" s="7" t="str"/>
      <x:c r="AA1303" s="7" t="str"/>
      <x:c r="AB1303" s="7" t="str"/>
      <x:c r="AC1303" s="7" t="str"/>
      <x:c r="AD1303" s="7" t="str">
        <x:v>No agency or insurer displayed: onboarding opportunity possible; existing business unknown</x:v>
      </x:c>
      <x:c r="AE1303" s="7" t="str"/>
      <x:c r="AF1303" s="16" t="str"/>
      <x:c r="AG1303" s="17" t="str"/>
      <x:c r="AH1303" s="7" t="str"/>
      <x:c r="AI1303" s="7" t="str">
        <x:v>English</x:v>
      </x:c>
      <x:c r="AJ1303" s="7" t="str"/>
      <x:c r="AK1303" s="15" t="str"/>
      <x:c r="AL1303" s="7" t="str"/>
      <x:c r="AM1303" s="7" t="str">
        <x:v>AGUILAR-SANCHEZ LIDIA OLGA</x:v>
      </x:c>
      <x:c r="AN1303" s="7" t="str">
        <x:v>https://cdicloud.insurance.ca.gov/cal/LicenseDetail?SearchType=IND&amp;SearchLicNbr=4040705&amp;SearchIndvId=4040705</x:v>
      </x:c>
      <x:c r="AO1303" s="7" t="str">
        <x:v>2026-10-08</x:v>
      </x:c>
      <x:c r="AP1303" s="7" t="str">
        <x:v>b8b5e1b6d1ef1fe4bcf9100a253dbf1a9cbb9e3e1fea0d4e28d6cabcbd37174c</x:v>
      </x:c>
      <x:c r="AQ1303" s="7" t="str">
        <x:v>Life / Inactive / 05/08/2020 / 05/31/2022 / 05/31/2022</x:v>
      </x:c>
      <x:c r="AR1303" s="7" t="str">
        <x:v>Inactive</x:v>
      </x:c>
      <x:c r="AS1303" s="7" t="str">
        <x:v>Current detail page</x:v>
      </x:c>
    </x:row>
    <x:row r="1304" ht="52" customHeight="1">
      <x:c r="A1304" s="7" t="str">
        <x:v>AGUILAR-SOSA ANGEL LUIS</x:v>
      </x:c>
      <x:c r="B1304" s="14" t="str">
        <x:f>"4219040"</x:f>
        <x:v>4219040</x:v>
      </x:c>
      <x:c r="C1304" s="7" t="str">
        <x:v>Omitted</x:v>
      </x:c>
      <x:c r="D1304" s="7" t="str">
        <x:v>FAIL</x:v>
      </x:c>
      <x:c r="E1304" s="13" t="str">
        <x:v>Pending</x:v>
      </x:c>
      <x:c r="F1304" s="13" t="str"/>
      <x:c r="G1304" s="13" t="str"/>
      <x:c r="H1304" s="13" t="str"/>
      <x:c r="I1304" s="7" t="str">
        <x:v>Was this person reviewed? If rejected, give the actual rule and evidence. If acceptable, correct the omission. Confirm the Life-qualification gate and any record change since selection.</x:v>
      </x:c>
      <x:c r="J1304" s="7" t="str">
        <x:v>L1</x:v>
      </x:c>
      <x:c r="K1304" s="7" t="str">
        <x:v>Verified qualifications do not include active general Life. Current target-pool mismatch; actual historical omission reason unknown.</x:v>
      </x:c>
      <x:c r="L1304" s="7" t="str">
        <x:v>Not supplied; membership is known, motive is not</x:v>
      </x:c>
      <x:c r="M1304" s="7" t="n">
        <x:v>7</x:v>
      </x:c>
      <x:c r="N1304" s="7" t="str">
        <x:v>Outside current general-Life recruiting pool</x:v>
      </x:c>
      <x:c r="O1304" s="7" t="str">
        <x:v>Not displayed</x:v>
      </x:c>
      <x:c r="P1304" s="7" t="str"/>
      <x:c r="Q1304" s="7" t="str"/>
      <x:c r="R1304" s="7" t="str"/>
      <x:c r="S1304" s="15" t="str"/>
      <x:c r="T1304" s="7" t="str">
        <x:v>No public business phone in collected record</x:v>
      </x:c>
      <x:c r="U1304" s="7" t="str">
        <x:v>11911 LISCOMB ST EL MONTE CA, 91732</x:v>
      </x:c>
      <x:c r="V1304" s="7" t="str">
        <x:v>Resident</x:v>
      </x:c>
      <x:c r="W1304" s="7" t="str">
        <x:v>CA</x:v>
      </x:c>
      <x:c r="X1304" s="7" t="str"/>
      <x:c r="Y1304" s="7" t="str"/>
      <x:c r="Z1304" s="7" t="str"/>
      <x:c r="AA1304" s="7" t="str"/>
      <x:c r="AB1304" s="7" t="str"/>
      <x:c r="AC1304" s="7" t="str"/>
      <x:c r="AD1304" s="7" t="str">
        <x:v>No agency or insurer displayed: onboarding opportunity possible; existing business unknown</x:v>
      </x:c>
      <x:c r="AE1304" s="7" t="str">
        <x:v>No public business phone: contact enrichment needed, not proof of poor recruiting fit</x:v>
      </x:c>
      <x:c r="AF1304" s="16" t="str"/>
      <x:c r="AG1304" s="17" t="str"/>
      <x:c r="AH1304" s="7" t="str"/>
      <x:c r="AI1304" s="7" t="str"/>
      <x:c r="AJ1304" s="7" t="str"/>
      <x:c r="AK1304" s="15" t="str"/>
      <x:c r="AL1304" s="7" t="str"/>
      <x:c r="AM1304" s="7" t="str">
        <x:v>AGUILAR-SOSA LUIS ANGEL</x:v>
      </x:c>
      <x:c r="AN1304" s="7" t="str">
        <x:v>https://cdicloud.insurance.ca.gov/cal/LicenseDetail?SearchType=IND&amp;SearchLicNbr=4219040&amp;SearchIndvId=4219040</x:v>
      </x:c>
      <x:c r="AO1304" s="7" t="str">
        <x:v>2026-10-08</x:v>
      </x:c>
      <x:c r="AP1304" s="7" t="str">
        <x:v>0d1abcdf26567622f9e4d65c4ad016a273f333e100d4f8cebaba8196f46fee2a</x:v>
      </x:c>
      <x:c r="AQ1304" s="7" t="str">
        <x:v>Casualty / Inactive / 07/11/2022 / 07/31/2024 / 07/31/2024
Property / Inactive / 07/11/2022 / 07/31/2024 / 07/31/2024</x:v>
      </x:c>
      <x:c r="AR1304" s="7" t="str">
        <x:v>Inactive</x:v>
      </x:c>
      <x:c r="AS1304" s="7" t="str">
        <x:v>Current detail page</x:v>
      </x:c>
    </x:row>
    <x:row r="1305" ht="52" customHeight="1">
      <x:c r="A1305" s="7" t="str">
        <x:v>AGUILAR-TEMAJ EDGAR ALBERTO</x:v>
      </x:c>
      <x:c r="B1305" s="14" t="str">
        <x:f>"4149970"</x:f>
        <x:v>4149970</x:v>
      </x:c>
      <x:c r="C1305" s="7" t="str">
        <x:v>Omitted</x:v>
      </x:c>
      <x:c r="D1305" s="7" t="str">
        <x:v>FAIL</x:v>
      </x:c>
      <x:c r="E1305" s="13" t="str">
        <x:v>Pending</x:v>
      </x:c>
      <x:c r="F1305" s="13" t="str"/>
      <x:c r="G1305" s="13" t="str"/>
      <x:c r="H1305" s="13" t="str"/>
      <x:c r="I1305" s="7" t="str">
        <x:v>Was this person reviewed? If rejected, give the actual rule and evidence. If acceptable, correct the omission. Confirm the Life-qualification gate and any record change since selection.</x:v>
      </x:c>
      <x:c r="J1305" s="7" t="str">
        <x:v>L1</x:v>
      </x:c>
      <x:c r="K1305" s="7" t="str">
        <x:v>Verified qualifications do not include active general Life. Current target-pool mismatch; actual historical omission reason unknown.</x:v>
      </x:c>
      <x:c r="L1305" s="7" t="str">
        <x:v>Not supplied; membership is known, motive is not</x:v>
      </x:c>
      <x:c r="M1305" s="7" t="n">
        <x:v>7</x:v>
      </x:c>
      <x:c r="N1305" s="7" t="str">
        <x:v>Outside current general-Life recruiting pool</x:v>
      </x:c>
      <x:c r="O1305" s="7" t="str">
        <x:v>Inactive</x:v>
      </x:c>
      <x:c r="P1305" s="7" t="str">
        <x:v>09/29/2021</x:v>
      </x:c>
      <x:c r="Q1305" s="7" t="str">
        <x:v>09/30/2023</x:v>
      </x:c>
      <x:c r="R1305" s="7" t="str"/>
      <x:c r="S1305" s="15" t="str">
        <x:v>909-918-7446</x:v>
      </x:c>
      <x:c r="T1305" s="7" t="str">
        <x:v>Current CDI</x:v>
      </x:c>
      <x:c r="U1305" s="7" t="str">
        <x:v>2151 CONVENTION CENTER WAY STE 238 ONTARIO CA, 91764</x:v>
      </x:c>
      <x:c r="V1305" s="7" t="str">
        <x:v>Resident</x:v>
      </x:c>
      <x:c r="W1305" s="7" t="str">
        <x:v>CA</x:v>
      </x:c>
      <x:c r="X1305" s="7" t="str"/>
      <x:c r="Y1305" s="7" t="str"/>
      <x:c r="Z1305" s="7" t="str"/>
      <x:c r="AA1305" s="7" t="str"/>
      <x:c r="AB1305" s="7" t="str"/>
      <x:c r="AC1305" s="7" t="str"/>
      <x:c r="AD1305" s="7" t="str">
        <x:v>No agency or insurer displayed: onboarding opportunity possible; existing business unknown</x:v>
      </x:c>
      <x:c r="AE1305" s="7" t="str"/>
      <x:c r="AF1305" s="16" t="str"/>
      <x:c r="AG1305" s="17" t="str"/>
      <x:c r="AH1305" s="7" t="str"/>
      <x:c r="AI1305" s="7" t="str">
        <x:v>English</x:v>
      </x:c>
      <x:c r="AJ1305" s="7" t="str"/>
      <x:c r="AK1305" s="15" t="str"/>
      <x:c r="AL1305" s="7" t="str"/>
      <x:c r="AM1305" s="7" t="str">
        <x:v>AGUILAR-TEMAJ ALBERTO EDGAR</x:v>
      </x:c>
      <x:c r="AN1305" s="7" t="str">
        <x:v>https://cdicloud.insurance.ca.gov/cal/LicenseDetail?SearchType=IND&amp;SearchLicNbr=4149970&amp;SearchIndvId=4149970</x:v>
      </x:c>
      <x:c r="AO1305" s="7" t="str">
        <x:v>2026-10-08</x:v>
      </x:c>
      <x:c r="AP1305" s="7" t="str">
        <x:v>45356fe7bba0a91a5b04fc1cd84388fd95b89834b5a8049c1e93e450f3b39fb7</x:v>
      </x:c>
      <x:c r="AQ1305" s="7" t="str">
        <x:v>Life / Inactive / 09/29/2021 / 09/30/2023 / 09/30/2023</x:v>
      </x:c>
      <x:c r="AR1305" s="7" t="str">
        <x:v>Inactive</x:v>
      </x:c>
      <x:c r="AS1305" s="7" t="str">
        <x:v>Current detail page</x:v>
      </x:c>
    </x:row>
    <x:row r="1306" ht="52" customHeight="1">
      <x:c r="A1306" s="7" t="str">
        <x:v>AGUILAR-TINOCO PAOLA</x:v>
      </x:c>
      <x:c r="B1306" s="14" t="str">
        <x:f>"0K22567"</x:f>
        <x:v>0K22567</x:v>
      </x:c>
      <x:c r="C1306" s="7" t="str">
        <x:v>Omitted</x:v>
      </x:c>
      <x:c r="D1306" s="7" t="str">
        <x:v>FAIL</x:v>
      </x:c>
      <x:c r="E1306" s="13" t="str">
        <x:v>Pending</x:v>
      </x:c>
      <x:c r="F1306" s="13" t="str"/>
      <x:c r="G1306" s="13" t="str"/>
      <x:c r="H1306" s="13" t="str"/>
      <x:c r="I1306" s="7" t="str">
        <x:v>Was this person reviewed? If rejected, give the actual rule and evidence. If acceptable, correct the omission. Confirm the Life-qualification gate and any record change since selection.</x:v>
      </x:c>
      <x:c r="J1306" s="7" t="str">
        <x:v>L1</x:v>
      </x:c>
      <x:c r="K1306" s="7" t="str">
        <x:v>Verified qualifications do not include active general Life. Current target-pool mismatch; actual historical omission reason unknown.</x:v>
      </x:c>
      <x:c r="L1306" s="7" t="str">
        <x:v>Not supplied; membership is known, motive is not</x:v>
      </x:c>
      <x:c r="M1306" s="7" t="n">
        <x:v>7</x:v>
      </x:c>
      <x:c r="N1306" s="7" t="str">
        <x:v>Outside current general-Life recruiting pool</x:v>
      </x:c>
      <x:c r="O1306" s="7" t="str">
        <x:v>Not displayed</x:v>
      </x:c>
      <x:c r="P1306" s="7" t="str"/>
      <x:c r="Q1306" s="7" t="str"/>
      <x:c r="R1306" s="7" t="str"/>
      <x:c r="S1306" s="15" t="str"/>
      <x:c r="T1306" s="7" t="str">
        <x:v>No public business phone in collected record</x:v>
      </x:c>
      <x:c r="U1306" s="7" t="str"/>
      <x:c r="V1306" s="7" t="str">
        <x:v>Resident</x:v>
      </x:c>
      <x:c r="W1306" s="7" t="str">
        <x:v>CA</x:v>
      </x:c>
      <x:c r="X1306" s="7" t="str"/>
      <x:c r="Y1306" s="7" t="str"/>
      <x:c r="Z1306" s="7" t="str"/>
      <x:c r="AA1306" s="7" t="str"/>
      <x:c r="AB1306" s="7" t="str"/>
      <x:c r="AC1306" s="7" t="str"/>
      <x:c r="AD1306" s="7" t="str">
        <x:v>No agency or insurer displayed: onboarding opportunity possible; existing business unknown</x:v>
      </x:c>
      <x:c r="AE1306" s="7" t="str">
        <x:v>No public business phone: contact enrichment needed, not proof of poor recruiting fit</x:v>
      </x:c>
      <x:c r="AF1306" s="16" t="str"/>
      <x:c r="AG1306" s="17" t="str"/>
      <x:c r="AH1306" s="7" t="str"/>
      <x:c r="AI1306" s="7" t="str"/>
      <x:c r="AJ1306" s="7" t="str"/>
      <x:c r="AK1306" s="15" t="str"/>
      <x:c r="AL1306" s="7" t="str"/>
      <x:c r="AM1306" s="7" t="str">
        <x:v>AGUILAR-TINOCO  PAOLA</x:v>
      </x:c>
      <x:c r="AN1306" s="7" t="str">
        <x:v>https://cdicloud.insurance.ca.gov/cal/LicenseDetail?SearchType=IND&amp;SearchLicNbr=0K22567&amp;SearchIndvId=1752568</x:v>
      </x:c>
      <x:c r="AO1306" s="7" t="str">
        <x:v>2026-10-08</x:v>
      </x:c>
      <x:c r="AP1306" s="7" t="str">
        <x:v>5457a9eb089cbd2451690afca0af6431708f43fc44e5528ea414b34bc097dd9d</x:v>
      </x:c>
      <x:c r="AQ1306" s="7" t="str">
        <x:v>Life-Only / Inactive / 05/06/2015 / 05/31/2017 / 05/31/2017</x:v>
      </x:c>
      <x:c r="AR1306" s="7" t="str">
        <x:v>Inactive</x:v>
      </x:c>
      <x:c r="AS1306" s="7" t="str">
        <x:v>Current detail page</x:v>
      </x:c>
    </x:row>
    <x:row r="1307" ht="52" customHeight="1">
      <x:c r="A1307" s="7" t="str">
        <x:v>AGUILAR-TORRES PAULO ALBERTO</x:v>
      </x:c>
      <x:c r="B1307" s="14" t="str">
        <x:f>"0E18638"</x:f>
        <x:v>0E18638</x:v>
      </x:c>
      <x:c r="C1307" s="7" t="str">
        <x:v>Omitted</x:v>
      </x:c>
      <x:c r="D1307" s="7" t="str">
        <x:v>FAIL</x:v>
      </x:c>
      <x:c r="E1307" s="13" t="str">
        <x:v>Pending</x:v>
      </x:c>
      <x:c r="F1307" s="13" t="str"/>
      <x:c r="G1307" s="13" t="str"/>
      <x:c r="H1307" s="13" t="str"/>
      <x:c r="I1307" s="7" t="str">
        <x:v>Was this person reviewed? If rejected, give the actual rule and evidence. If acceptable, correct the omission. Confirm the Life-qualification gate and any record change since selection.</x:v>
      </x:c>
      <x:c r="J1307" s="7" t="str">
        <x:v>L1</x:v>
      </x:c>
      <x:c r="K1307" s="7" t="str">
        <x:v>Verified qualifications do not include active general Life. Current target-pool mismatch; actual historical omission reason unknown.</x:v>
      </x:c>
      <x:c r="L1307" s="7" t="str">
        <x:v>Not supplied; membership is known, motive is not</x:v>
      </x:c>
      <x:c r="M1307" s="7" t="n">
        <x:v>7</x:v>
      </x:c>
      <x:c r="N1307" s="7" t="str">
        <x:v>Outside current general-Life recruiting pool</x:v>
      </x:c>
      <x:c r="O1307" s="7" t="str">
        <x:v>Not displayed</x:v>
      </x:c>
      <x:c r="P1307" s="7" t="str"/>
      <x:c r="Q1307" s="7" t="str"/>
      <x:c r="R1307" s="7" t="str">
        <x:v>Casualty; Property</x:v>
      </x:c>
      <x:c r="S1307" s="15" t="str">
        <x:v>818-703-5000</x:v>
      </x:c>
      <x:c r="T1307" s="7" t="str">
        <x:v>Current CDI</x:v>
      </x:c>
      <x:c r="U1307" s="7" t="str">
        <x:v>32133 LINDERO CANYON RD SUITE 201 WESTLAKE VILLAGE CA, 91361</x:v>
      </x:c>
      <x:c r="V1307" s="7" t="str">
        <x:v>Resident</x:v>
      </x:c>
      <x:c r="W1307" s="7" t="str">
        <x:v>CA</x:v>
      </x:c>
      <x:c r="X1307" s="7" t="str">
        <x:v>PLATINUM 1 INSURANCE SERVICES, INC. / Casualty / 02/25/2020
PLATINUM 1 INSURANCE SERVICES, INC. / Property / 02/25/2020</x:v>
      </x:c>
      <x:c r="Y1307" s="7" t="str">
        <x:v>AMGUARD INSURANCE COMPANY / Casualty / 03/25/2023
AMGUARD INSURANCE COMPANY / Property / 03/25/2023
CINCINNATI CASUALTY COMPANY (THE) / Casualty / 07/20/2026
CINCINNATI CASUALTY COMPANY (THE) / Property / 07/20/2026
CINCINNATI INDEMNITY COMPANY (THE) / Casualty / 07/20/2026
CINCINNATI INDEMNITY COMPANY (THE) / Property / 07/20/2026
CINCINNATI INSURANCE COMPANY (THE) / Casualty / 07/20/2026
CINCINNATI INSURANCE COMPANY (THE) / Property / 07/20/2026
FOREMOST INSURANCE COMPANY GRAND RAPIDS, MICHIGAN / Casualty / 07/20/2020
FOREMOST INSURANCE COMPANY GRAND RAPIDS, MICHIGAN / Property / 07/20/2020
NORGUARD INSURANCE COMPANY / Casualty / 03/25/2023</x:v>
      </x:c>
      <x:c r="Z1307" s="7" t="str"/>
      <x:c r="AA1307" s="7" t="str"/>
      <x:c r="AB1307" s="7" t="str"/>
      <x:c r="AC1307" s="7" t="str"/>
      <x:c r="AD1307" s="7" t="str"/>
      <x:c r="AE1307" s="7" t="str">
        <x:v>P&amp;C/Personal Lines authority without displayed core Life appointments; mixed profile requires review</x:v>
      </x:c>
      <x:c r="AF1307" s="16" t="str"/>
      <x:c r="AG1307" s="17" t="str"/>
      <x:c r="AH1307" s="7" t="str"/>
      <x:c r="AI1307" s="7" t="str">
        <x:v>English</x:v>
      </x:c>
      <x:c r="AJ1307" s="7" t="str"/>
      <x:c r="AK1307" s="15" t="str"/>
      <x:c r="AL1307" s="7" t="str"/>
      <x:c r="AM1307" s="7" t="str">
        <x:v>AGUILAR-TORRES ALBERTO PAULO</x:v>
      </x:c>
      <x:c r="AN1307" s="7" t="str">
        <x:v>https://cdicloud.insurance.ca.gov/cal/LicenseDetail?SearchType=IND&amp;SearchLicNbr=0E18638&amp;SearchIndvId=865883</x:v>
      </x:c>
      <x:c r="AO1307" s="7" t="str">
        <x:v>2026-10-08</x:v>
      </x:c>
      <x:c r="AP1307" s="7" t="str">
        <x:v>51c8d75c314aa48d5b943b4817c10b7c47abc25c9665a96c4725d767f91872fd</x:v>
      </x:c>
      <x:c r="AQ1307" s="7" t="str">
        <x:v>Casualty / Active / 02/05/2007 / 04/22/2017 / 02/28/2027
Property / Active / 02/05/2007 / 04/22/2017 / 02/28/2027</x:v>
      </x:c>
      <x:c r="AR1307" s="7" t="str">
        <x:v>Active</x:v>
      </x:c>
      <x:c r="AS1307" s="7" t="str">
        <x:v>Current detail page</x:v>
      </x:c>
    </x:row>
    <x:row r="1308" ht="52" customHeight="1">
      <x:c r="A1308" s="7" t="str">
        <x:v>AGUILAR-VALDIVIA MARIA DOLORES</x:v>
      </x:c>
      <x:c r="B1308" s="14" t="str">
        <x:f>"0C95117"</x:f>
        <x:v>0C95117</x:v>
      </x:c>
      <x:c r="C1308" s="7" t="str">
        <x:v>Omitted</x:v>
      </x:c>
      <x:c r="D1308" s="7" t="str">
        <x:v>FAIL</x:v>
      </x:c>
      <x:c r="E1308" s="13" t="str">
        <x:v>Pending</x:v>
      </x:c>
      <x:c r="F1308" s="13" t="str"/>
      <x:c r="G1308" s="13" t="str"/>
      <x:c r="H1308" s="13" t="str"/>
      <x:c r="I1308" s="7" t="str">
        <x:v>Was this person reviewed? If rejected, give the actual rule and evidence. If acceptable, correct the omission. Confirm the Life-qualification gate and any record change since selection.</x:v>
      </x:c>
      <x:c r="J1308" s="7" t="str">
        <x:v>L1</x:v>
      </x:c>
      <x:c r="K1308" s="7" t="str">
        <x:v>Verified qualifications do not include active general Life. Current target-pool mismatch; actual historical omission reason unknown.</x:v>
      </x:c>
      <x:c r="L1308" s="7" t="str">
        <x:v>Not supplied; membership is known, motive is not</x:v>
      </x:c>
      <x:c r="M1308" s="7" t="n">
        <x:v>7</x:v>
      </x:c>
      <x:c r="N1308" s="7" t="str">
        <x:v>Outside current general-Life recruiting pool</x:v>
      </x:c>
      <x:c r="O1308" s="7" t="str">
        <x:v>Not displayed</x:v>
      </x:c>
      <x:c r="P1308" s="7" t="str"/>
      <x:c r="Q1308" s="7" t="str"/>
      <x:c r="R1308" s="7" t="str"/>
      <x:c r="S1308" s="15" t="str">
        <x:v>562-207-9520</x:v>
      </x:c>
      <x:c r="T1308" s="7" t="str">
        <x:v>Current CDI</x:v>
      </x:c>
      <x:c r="U1308" s="7" t="str">
        <x:v>12862 PIONEER BLVD NORWALK CA, 90650</x:v>
      </x:c>
      <x:c r="V1308" s="7" t="str">
        <x:v>Resident</x:v>
      </x:c>
      <x:c r="W1308" s="7" t="str">
        <x:v>CA</x:v>
      </x:c>
      <x:c r="X1308" s="7" t="str"/>
      <x:c r="Y1308" s="7" t="str"/>
      <x:c r="Z1308" s="7" t="str"/>
      <x:c r="AA1308" s="7" t="str"/>
      <x:c r="AB1308" s="7" t="str"/>
      <x:c r="AC1308" s="7" t="str"/>
      <x:c r="AD1308" s="7" t="str">
        <x:v>No agency or insurer displayed: onboarding opportunity possible; existing business unknown</x:v>
      </x:c>
      <x:c r="AE1308" s="7" t="str"/>
      <x:c r="AF1308" s="16" t="str"/>
      <x:c r="AG1308" s="17" t="str"/>
      <x:c r="AH1308" s="7" t="str"/>
      <x:c r="AI1308" s="7" t="str">
        <x:v>English, Spanish, Spanish</x:v>
      </x:c>
      <x:c r="AJ1308" s="7" t="str"/>
      <x:c r="AK1308" s="15" t="str"/>
      <x:c r="AL1308" s="7" t="str"/>
      <x:c r="AM1308" s="7" t="str">
        <x:v>AGUILAR-VALDIVIA DOLORES MARIA</x:v>
      </x:c>
      <x:c r="AN1308" s="7" t="str">
        <x:v>https://cdicloud.insurance.ca.gov/cal/LicenseDetail?SearchType=IND&amp;SearchLicNbr=0C95117&amp;SearchIndvId=467382</x:v>
      </x:c>
      <x:c r="AO1308" s="7" t="str">
        <x:v>2026-10-08</x:v>
      </x:c>
      <x:c r="AP1308" s="7" t="str">
        <x:v>146407220774f0c6335571ff25c425b32a17252396538be611df28bee98870b9</x:v>
      </x:c>
      <x:c r="AQ1308" s="7" t="str">
        <x:v>Casualty / Inactive / 04/21/2000 / 04/30/2024 / 04/30/2024
Property / Inactive / 04/21/2000 / 04/30/2024 / 04/30/2024</x:v>
      </x:c>
      <x:c r="AR1308" s="7" t="str">
        <x:v>Inactive</x:v>
      </x:c>
      <x:c r="AS1308" s="7" t="str">
        <x:v>Current detail page</x:v>
      </x:c>
    </x:row>
    <x:row r="1309" ht="52" customHeight="1">
      <x:c r="A1309" s="7" t="str">
        <x:v>AGUILAR-VARGAS EMANUEL</x:v>
      </x:c>
      <x:c r="B1309" s="14" t="str">
        <x:f>"4313504"</x:f>
        <x:v>4313504</x:v>
      </x:c>
      <x:c r="C1309" s="7" t="str">
        <x:v>Omitted</x:v>
      </x:c>
      <x:c r="D1309" s="7" t="str">
        <x:v>FAIL</x:v>
      </x:c>
      <x:c r="E1309" s="13" t="str">
        <x:v>Pending</x:v>
      </x:c>
      <x:c r="F1309" s="13" t="str"/>
      <x:c r="G1309" s="13" t="str"/>
      <x:c r="H1309" s="13" t="str"/>
      <x:c r="I1309" s="7" t="str">
        <x:v>Was this person reviewed? If rejected, give the actual rule and evidence. If acceptable, correct the omission. Confirm the Life-qualification gate and any record change since selection.</x:v>
      </x:c>
      <x:c r="J1309" s="7" t="str">
        <x:v>L1</x:v>
      </x:c>
      <x:c r="K1309" s="7" t="str">
        <x:v>Verified qualifications do not include active general Life. Current target-pool mismatch; actual historical omission reason unknown.</x:v>
      </x:c>
      <x:c r="L1309" s="7" t="str">
        <x:v>Not supplied; membership is known, motive is not</x:v>
      </x:c>
      <x:c r="M1309" s="7" t="n">
        <x:v>7</x:v>
      </x:c>
      <x:c r="N1309" s="7" t="str">
        <x:v>Outside current general-Life recruiting pool</x:v>
      </x:c>
      <x:c r="O1309" s="7" t="str">
        <x:v>Inactive</x:v>
      </x:c>
      <x:c r="P1309" s="7" t="str">
        <x:v>11/08/2023</x:v>
      </x:c>
      <x:c r="Q1309" s="7" t="str">
        <x:v>11/30/2025</x:v>
      </x:c>
      <x:c r="R1309" s="7" t="str"/>
      <x:c r="S1309" s="15" t="str"/>
      <x:c r="T1309" s="7" t="str">
        <x:v>No public business phone in collected record</x:v>
      </x:c>
      <x:c r="U1309" s="7" t="str">
        <x:v>351 N DELNO AVE FRESNO CA, 93706</x:v>
      </x:c>
      <x:c r="V1309" s="7" t="str">
        <x:v>Resident</x:v>
      </x:c>
      <x:c r="W1309" s="7" t="str">
        <x:v>CA</x:v>
      </x:c>
      <x:c r="X1309" s="7" t="str"/>
      <x:c r="Y1309" s="7" t="str"/>
      <x:c r="Z1309" s="7" t="str"/>
      <x:c r="AA1309" s="7" t="str"/>
      <x:c r="AB1309" s="7" t="str"/>
      <x:c r="AC1309" s="7" t="str"/>
      <x:c r="AD1309" s="7" t="str">
        <x:v>No agency or insurer displayed: onboarding opportunity possible; existing business unknown</x:v>
      </x:c>
      <x:c r="AE1309" s="7" t="str">
        <x:v>No public business phone: contact enrichment needed, not proof of poor recruiting fit</x:v>
      </x:c>
      <x:c r="AF1309" s="16" t="str"/>
      <x:c r="AG1309" s="17" t="str"/>
      <x:c r="AH1309" s="7" t="str"/>
      <x:c r="AI1309" s="7" t="str">
        <x:v>English</x:v>
      </x:c>
      <x:c r="AJ1309" s="7" t="str"/>
      <x:c r="AK1309" s="15" t="str"/>
      <x:c r="AL1309" s="7" t="str"/>
      <x:c r="AM1309" s="7" t="str">
        <x:v>Aguilar Vargas  Emanuel | AGUILAR-VARGAS  EMANUEL</x:v>
      </x:c>
      <x:c r="AN1309" s="7" t="str">
        <x:v>https://cdicloud.insurance.ca.gov/cal/LicenseDetail?SearchType=IND&amp;SearchLicNbr=4313504&amp;SearchIndvId=4313504</x:v>
      </x:c>
      <x:c r="AO1309" s="7" t="str">
        <x:v>2026-10-08</x:v>
      </x:c>
      <x:c r="AP1309" s="7" t="str">
        <x:v>6606fa2c94fbd8f5459791aa60856320f20d054895666a7d599e007665be02dc</x:v>
      </x:c>
      <x:c r="AQ1309" s="7" t="str">
        <x:v>Accident &amp; Health or Sickness / Inactive / 11/08/2023 / 11/30/2025 / 11/30/2025
Life / Inactive / 11/08/2023 / 11/30/2025 / 11/30/2025</x:v>
      </x:c>
      <x:c r="AR1309" s="7" t="str">
        <x:v>Inactive</x:v>
      </x:c>
      <x:c r="AS1309" s="7" t="str">
        <x:v>Current detail page</x:v>
      </x:c>
    </x:row>
    <x:row r="1310" ht="52" customHeight="1">
      <x:c r="A1310" s="7" t="str">
        <x:v>AGUILAR-VELASCO REGINA FLOR</x:v>
      </x:c>
      <x:c r="B1310" s="14" t="str">
        <x:f>"0D02536"</x:f>
        <x:v>0D02536</x:v>
      </x:c>
      <x:c r="C1310" s="7" t="str">
        <x:v>Omitted</x:v>
      </x:c>
      <x:c r="D1310" s="7" t="str">
        <x:v>FAIL</x:v>
      </x:c>
      <x:c r="E1310" s="13" t="str">
        <x:v>Pending</x:v>
      </x:c>
      <x:c r="F1310" s="13" t="str"/>
      <x:c r="G1310" s="13" t="str"/>
      <x:c r="H1310" s="13" t="str"/>
      <x:c r="I1310" s="7" t="str">
        <x:v>Was this person reviewed? If rejected, give the actual rule and evidence. If acceptable, correct the omission. Confirm the Life-qualification gate and any record change since selection.</x:v>
      </x:c>
      <x:c r="J1310" s="7" t="str">
        <x:v>L1</x:v>
      </x:c>
      <x:c r="K1310" s="7" t="str">
        <x:v>Verified qualifications do not include active general Life. Current target-pool mismatch; actual historical omission reason unknown.</x:v>
      </x:c>
      <x:c r="L1310" s="7" t="str">
        <x:v>Not supplied; membership is known, motive is not</x:v>
      </x:c>
      <x:c r="M1310" s="7" t="n">
        <x:v>7</x:v>
      </x:c>
      <x:c r="N1310" s="7" t="str">
        <x:v>Outside current general-Life recruiting pool</x:v>
      </x:c>
      <x:c r="O1310" s="7" t="str">
        <x:v>Not displayed</x:v>
      </x:c>
      <x:c r="P1310" s="7" t="str"/>
      <x:c r="Q1310" s="7" t="str"/>
      <x:c r="R1310" s="7" t="str"/>
      <x:c r="S1310" s="15" t="str"/>
      <x:c r="T1310" s="7" t="str">
        <x:v>No public business phone in collected record</x:v>
      </x:c>
      <x:c r="U1310" s="7" t="str"/>
      <x:c r="V1310" s="7" t="str">
        <x:v>Resident</x:v>
      </x:c>
      <x:c r="W1310" s="7" t="str">
        <x:v>CA</x:v>
      </x:c>
      <x:c r="X1310" s="7" t="str">
        <x:v>PRIMERICA FINANCIAL SERVICES INSURANCE MARKETING, INC. / Accident and Health / 07/31/2000
PRIMERICA FINANCIAL SERVICES INSURANCE MARKETING, INC. / Life-Only / 07/31/2000</x:v>
      </x:c>
      <x:c r="Y1310" s="7" t="str"/>
      <x:c r="Z1310" s="7" t="str"/>
      <x:c r="AA1310" s="7" t="str"/>
      <x:c r="AB1310" s="7" t="str"/>
      <x:c r="AC1310" s="7" t="str"/>
      <x:c r="AD1310" s="7" t="str">
        <x:v>Primerica relationship: matches an explicitly targeted recruiting segment</x:v>
      </x:c>
      <x:c r="AE1310" s="7" t="str">
        <x:v>No public business phone: contact enrichment needed, not proof of poor recruiting fit</x:v>
      </x:c>
      <x:c r="AF1310" s="16" t="str"/>
      <x:c r="AG1310" s="17" t="str"/>
      <x:c r="AH1310" s="7" t="str"/>
      <x:c r="AI1310" s="7" t="str"/>
      <x:c r="AJ1310" s="7" t="str"/>
      <x:c r="AK1310" s="15" t="str"/>
      <x:c r="AL1310" s="7" t="str"/>
      <x:c r="AM1310" s="7" t="str">
        <x:v>AGUILAR-VELASCO FLOR REGINA</x:v>
      </x:c>
      <x:c r="AN1310" s="7" t="str">
        <x:v>https://cdicloud.insurance.ca.gov/cal/LicenseDetail?SearchType=IND&amp;SearchLicNbr=0D02536&amp;SearchIndvId=499829</x:v>
      </x:c>
      <x:c r="AO1310" s="7" t="str">
        <x:v>2026-10-08</x:v>
      </x:c>
      <x:c r="AP1310" s="7" t="str">
        <x:v>32007b7821bb226d2055c96a5888e8135a1a2ddd3021f382b906c0b0107048f7</x:v>
      </x:c>
      <x:c r="AQ1310" s="7" t="str">
        <x:v>Accident and Health / Inactive / 07/31/2000 / 07/31/2002 / 07/31/2002
Life-Only / Inactive / 07/31/2000 / 07/31/2002 / 07/31/2002</x:v>
      </x:c>
      <x:c r="AR1310" s="7" t="str">
        <x:v>Inactive</x:v>
      </x:c>
      <x:c r="AS1310" s="7" t="str">
        <x:v>Current detail page</x:v>
      </x:c>
    </x:row>
    <x:row r="1311" ht="52" customHeight="1">
      <x:c r="A1311" s="7" t="str">
        <x:v>AGUILAR-VELASQUEZ BIANCA</x:v>
      </x:c>
      <x:c r="B1311" s="14" t="str">
        <x:f>"4217104"</x:f>
        <x:v>4217104</x:v>
      </x:c>
      <x:c r="C1311" s="7" t="str">
        <x:v>Omitted</x:v>
      </x:c>
      <x:c r="D1311" s="7" t="str">
        <x:v>FAIL</x:v>
      </x:c>
      <x:c r="E1311" s="13" t="str">
        <x:v>Pending</x:v>
      </x:c>
      <x:c r="F1311" s="13" t="str"/>
      <x:c r="G1311" s="13" t="str"/>
      <x:c r="H1311" s="13" t="str"/>
      <x:c r="I1311" s="7" t="str">
        <x:v>Was this person reviewed? If rejected, give the actual rule and evidence. If acceptable, correct the omission. Confirm the Life-qualification gate and any record change since selection.</x:v>
      </x:c>
      <x:c r="J1311" s="7" t="str">
        <x:v>L1</x:v>
      </x:c>
      <x:c r="K1311" s="7" t="str">
        <x:v>Verified qualifications do not include active general Life. Current target-pool mismatch; actual historical omission reason unknown.</x:v>
      </x:c>
      <x:c r="L1311" s="7" t="str">
        <x:v>Not supplied; membership is known, motive is not</x:v>
      </x:c>
      <x:c r="M1311" s="7" t="n">
        <x:v>7</x:v>
      </x:c>
      <x:c r="N1311" s="7" t="str">
        <x:v>Outside current general-Life recruiting pool</x:v>
      </x:c>
      <x:c r="O1311" s="7" t="str">
        <x:v>Not displayed</x:v>
      </x:c>
      <x:c r="P1311" s="7" t="str"/>
      <x:c r="Q1311" s="7" t="str"/>
      <x:c r="R1311" s="7" t="str">
        <x:v>Personal Lines</x:v>
      </x:c>
      <x:c r="S1311" s="15" t="str"/>
      <x:c r="T1311" s="7" t="str">
        <x:v>No public business phone in collected record</x:v>
      </x:c>
      <x:c r="U1311" s="7" t="str">
        <x:v>9800 FREDERICKSBURG RD SAN ANTONIO TX, 78288-0001</x:v>
      </x:c>
      <x:c r="V1311" s="7" t="str">
        <x:v>Non-resident</x:v>
      </x:c>
      <x:c r="W1311" s="7" t="str">
        <x:v>TX</x:v>
      </x:c>
      <x:c r="X1311" s="7" t="str"/>
      <x:c r="Y1311" s="7" t="str">
        <x:v>GARRISON PROPERTY AND CASUALTY INSURANCE COMPANY / Personal Lines / 06/28/2022
UNITED SERVICES AUTOMOBILE ASSOCIATION / Personal Lines / 06/28/2022
USAA CASUALTY INSURANCE COMPANY / Personal Lines / 06/28/2022
USAA GENERAL INDEMNITY COMPANY / Personal Lines / 06/28/2022</x:v>
      </x:c>
      <x:c r="Z1311" s="7" t="str"/>
      <x:c r="AA1311" s="7" t="str"/>
      <x:c r="AB1311" s="7" t="str"/>
      <x:c r="AC1311" s="7" t="str"/>
      <x:c r="AD1311" s="7" t="str"/>
      <x:c r="AE1311"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1311" s="16" t="str"/>
      <x:c r="AG1311" s="17" t="str"/>
      <x:c r="AH1311" s="7" t="str"/>
      <x:c r="AI1311" s="7" t="str"/>
      <x:c r="AJ1311" s="7" t="str"/>
      <x:c r="AK1311" s="15" t="str"/>
      <x:c r="AL1311" s="7" t="str"/>
      <x:c r="AM1311" s="7" t="str">
        <x:v>AGUILAR-VELASQUEZ  BIANCA</x:v>
      </x:c>
      <x:c r="AN1311" s="7" t="str">
        <x:v>https://cdicloud.insurance.ca.gov/cal/LicenseDetail?SearchType=IND&amp;SearchLicNbr=4217104&amp;SearchIndvId=4217104</x:v>
      </x:c>
      <x:c r="AO1311" s="7" t="str">
        <x:v>2026-10-08</x:v>
      </x:c>
      <x:c r="AP1311" s="7" t="str">
        <x:v>1be3adf426ef571f2680d07a381081046d652c7126845536a129871e83750578</x:v>
      </x:c>
      <x:c r="AQ1311" s="7" t="str">
        <x:v>Personal Lines / Active / 06/16/2022 / 06/16/2022 / 06/30/2028</x:v>
      </x:c>
      <x:c r="AR1311" s="7" t="str">
        <x:v>Active</x:v>
      </x:c>
      <x:c r="AS1311" s="7" t="str">
        <x:v>Current detail page</x:v>
      </x:c>
    </x:row>
    <x:row r="1312" ht="52" customHeight="1">
      <x:c r="A1312" s="7" t="str">
        <x:v>AGUILAR-VENEGAS FERNANDO</x:v>
      </x:c>
      <x:c r="B1312" s="14" t="str">
        <x:f>"0L42753"</x:f>
        <x:v>0L42753</x:v>
      </x:c>
      <x:c r="C1312" s="7" t="str">
        <x:v>Omitted</x:v>
      </x:c>
      <x:c r="D1312" s="7" t="str">
        <x:v>FAIL</x:v>
      </x:c>
      <x:c r="E1312" s="13" t="str">
        <x:v>Pending</x:v>
      </x:c>
      <x:c r="F1312" s="13" t="str"/>
      <x:c r="G1312" s="13" t="str"/>
      <x:c r="H1312" s="13" t="str"/>
      <x:c r="I1312" s="7" t="str">
        <x:v>Was this person reviewed? If rejected, give the actual rule and evidence. If acceptable, correct the omission. Confirm the Life-qualification gate and any record change since selection.</x:v>
      </x:c>
      <x:c r="J1312" s="7" t="str">
        <x:v>L1</x:v>
      </x:c>
      <x:c r="K1312" s="7" t="str">
        <x:v>Verified qualifications do not include active general Life. Current target-pool mismatch; actual historical omission reason unknown.</x:v>
      </x:c>
      <x:c r="L1312" s="7" t="str">
        <x:v>Not supplied; membership is known, motive is not</x:v>
      </x:c>
      <x:c r="M1312" s="7" t="n">
        <x:v>7</x:v>
      </x:c>
      <x:c r="N1312" s="7" t="str">
        <x:v>Outside current general-Life recruiting pool</x:v>
      </x:c>
      <x:c r="O1312" s="7" t="str">
        <x:v>Not displayed</x:v>
      </x:c>
      <x:c r="P1312" s="7" t="str"/>
      <x:c r="Q1312" s="7" t="str"/>
      <x:c r="R1312" s="7" t="str"/>
      <x:c r="S1312" s="15" t="str"/>
      <x:c r="T1312" s="7" t="str">
        <x:v>No public business phone in collected record</x:v>
      </x:c>
      <x:c r="U1312" s="7" t="str"/>
      <x:c r="V1312" s="7" t="str">
        <x:v>Resident</x:v>
      </x:c>
      <x:c r="W1312" s="7" t="str">
        <x:v>CA</x:v>
      </x:c>
      <x:c r="X1312" s="7" t="str"/>
      <x:c r="Y1312" s="7" t="str"/>
      <x:c r="Z1312" s="7" t="str"/>
      <x:c r="AA1312" s="7" t="str"/>
      <x:c r="AB1312" s="7" t="str"/>
      <x:c r="AC1312" s="7" t="str"/>
      <x:c r="AD1312" s="7" t="str">
        <x:v>No agency or insurer displayed: onboarding opportunity possible; existing business unknown</x:v>
      </x:c>
      <x:c r="AE1312" s="7" t="str">
        <x:v>No public business phone: contact enrichment needed, not proof of poor recruiting fit</x:v>
      </x:c>
      <x:c r="AF1312" s="16" t="str"/>
      <x:c r="AG1312" s="17" t="str"/>
      <x:c r="AH1312" s="7" t="str"/>
      <x:c r="AI1312" s="7" t="str"/>
      <x:c r="AJ1312" s="7" t="str"/>
      <x:c r="AK1312" s="15" t="str"/>
      <x:c r="AL1312" s="7" t="str"/>
      <x:c r="AM1312" s="7" t="str">
        <x:v>AGUILAR-VENEGAS  FERNANDO</x:v>
      </x:c>
      <x:c r="AN1312" s="7" t="str">
        <x:v>https://cdicloud.insurance.ca.gov/cal/LicenseDetail?SearchType=IND&amp;SearchLicNbr=0L42753&amp;SearchIndvId=1889283</x:v>
      </x:c>
      <x:c r="AO1312" s="7" t="str">
        <x:v>2026-10-08</x:v>
      </x:c>
      <x:c r="AP1312" s="7" t="str">
        <x:v>8a48092dee92914cf4e150cf922f539d390cfc767745522bc2084ab270959a06</x:v>
      </x:c>
      <x:c r="AQ1312" s="7" t="str">
        <x:v>Life-Only / Inactive / 12/06/2016 / 12/31/2018 / 12/31/2018</x:v>
      </x:c>
      <x:c r="AR1312" s="7" t="str">
        <x:v>Inactive</x:v>
      </x:c>
      <x:c r="AS1312" s="7" t="str">
        <x:v>Current detail page</x:v>
      </x:c>
    </x:row>
    <x:row r="1313" ht="52" customHeight="1">
      <x:c r="A1313" s="7" t="str">
        <x:v>AGUILAR-VENEGAS MANUEL DAVID</x:v>
      </x:c>
      <x:c r="B1313" s="14" t="str">
        <x:f>"0M94984"</x:f>
        <x:v>0M94984</x:v>
      </x:c>
      <x:c r="C1313" s="7" t="str">
        <x:v>Omitted</x:v>
      </x:c>
      <x:c r="D1313" s="7" t="str">
        <x:v>FAIL</x:v>
      </x:c>
      <x:c r="E1313" s="13" t="str">
        <x:v>Pending</x:v>
      </x:c>
      <x:c r="F1313" s="13" t="str"/>
      <x:c r="G1313" s="13" t="str"/>
      <x:c r="H1313" s="13" t="str"/>
      <x:c r="I1313" s="7" t="str">
        <x:v>Was this person reviewed? If rejected, give the actual rule and evidence. If acceptable, correct the omission. Confirm the Life-qualification gate and any record change since selection.</x:v>
      </x:c>
      <x:c r="J1313" s="7" t="str">
        <x:v>L1</x:v>
      </x:c>
      <x:c r="K1313" s="7" t="str">
        <x:v>Verified qualifications do not include active general Life. Current target-pool mismatch; actual historical omission reason unknown.</x:v>
      </x:c>
      <x:c r="L1313" s="7" t="str">
        <x:v>Not supplied; membership is known, motive is not</x:v>
      </x:c>
      <x:c r="M1313" s="7" t="n">
        <x:v>7</x:v>
      </x:c>
      <x:c r="N1313" s="7" t="str">
        <x:v>Outside current general-Life recruiting pool</x:v>
      </x:c>
      <x:c r="O1313" s="7" t="str">
        <x:v>Not displayed</x:v>
      </x:c>
      <x:c r="P1313" s="7" t="str"/>
      <x:c r="Q1313" s="7" t="str"/>
      <x:c r="R1313" s="7" t="str"/>
      <x:c r="S1313" s="15" t="str"/>
      <x:c r="T1313" s="7" t="str">
        <x:v>No public business phone in collected record</x:v>
      </x:c>
      <x:c r="U1313" s="7" t="str"/>
      <x:c r="V1313" s="7" t="str">
        <x:v>Resident</x:v>
      </x:c>
      <x:c r="W1313" s="7" t="str">
        <x:v>CA</x:v>
      </x:c>
      <x:c r="X1313" s="7" t="str"/>
      <x:c r="Y1313" s="7" t="str"/>
      <x:c r="Z1313" s="7" t="str"/>
      <x:c r="AA1313" s="7" t="str"/>
      <x:c r="AB1313" s="7" t="str"/>
      <x:c r="AC1313" s="7" t="str"/>
      <x:c r="AD1313" s="7" t="str">
        <x:v>No agency or insurer displayed: onboarding opportunity possible; existing business unknown</x:v>
      </x:c>
      <x:c r="AE1313" s="7" t="str">
        <x:v>No public business phone: contact enrichment needed, not proof of poor recruiting fit</x:v>
      </x:c>
      <x:c r="AF1313" s="16" t="str"/>
      <x:c r="AG1313" s="17" t="str"/>
      <x:c r="AH1313" s="7" t="str"/>
      <x:c r="AI1313" s="7" t="str"/>
      <x:c r="AJ1313" s="7" t="str"/>
      <x:c r="AK1313" s="15" t="str"/>
      <x:c r="AL1313" s="7" t="str"/>
      <x:c r="AM1313" s="7" t="str">
        <x:v>Aguilar-Venegas D Manuel | AGUILAR-VENEGAS DAVID MANUEL</x:v>
      </x:c>
      <x:c r="AN1313" s="7" t="str">
        <x:v>https://cdicloud.insurance.ca.gov/cal/LicenseDetail?SearchType=IND&amp;SearchLicNbr=0M94984&amp;SearchIndvId=2102225</x:v>
      </x:c>
      <x:c r="AO1313" s="7" t="str">
        <x:v>2026-10-08</x:v>
      </x:c>
      <x:c r="AP1313" s="7" t="str">
        <x:v>7a09115433a453ec9d15845ec78298268a38c09e0b90c47bcf388be2ee33c978</x:v>
      </x:c>
      <x:c r="AQ1313" s="7" t="str">
        <x:v>Life-Only / Inactive / 04/29/2019 / 04/30/2021 / 04/30/2021</x:v>
      </x:c>
      <x:c r="AR1313" s="7" t="str">
        <x:v>Inactive</x:v>
      </x:c>
      <x:c r="AS1313" s="7" t="str">
        <x:v>Current detail page</x:v>
      </x:c>
    </x:row>
    <x:row r="1314" ht="52" customHeight="1">
      <x:c r="A1314" s="7" t="str">
        <x:v>AGUILAR-VITELA TOMAS</x:v>
      </x:c>
      <x:c r="B1314" s="14" t="str">
        <x:f>"0H41253"</x:f>
        <x:v>0H41253</x:v>
      </x:c>
      <x:c r="C1314" s="7" t="str">
        <x:v>Omitted</x:v>
      </x:c>
      <x:c r="D1314" s="7" t="str">
        <x:v>FAIL</x:v>
      </x:c>
      <x:c r="E1314" s="13" t="str">
        <x:v>Pending</x:v>
      </x:c>
      <x:c r="F1314" s="13" t="str"/>
      <x:c r="G1314" s="13" t="str"/>
      <x:c r="H1314" s="13" t="str"/>
      <x:c r="I1314" s="7" t="str">
        <x:v>Was this person reviewed? If rejected, give the actual rule and evidence. If acceptable, correct the omission. Confirm the Life-qualification gate and any record change since selection.</x:v>
      </x:c>
      <x:c r="J1314" s="7" t="str">
        <x:v>L1</x:v>
      </x:c>
      <x:c r="K1314" s="7" t="str">
        <x:v>Verified qualifications do not include active general Life. Current target-pool mismatch; actual historical omission reason unknown.</x:v>
      </x:c>
      <x:c r="L1314" s="7" t="str">
        <x:v>Not supplied; membership is known, motive is not</x:v>
      </x:c>
      <x:c r="M1314" s="7" t="n">
        <x:v>7</x:v>
      </x:c>
      <x:c r="N1314" s="7" t="str">
        <x:v>Outside current general-Life recruiting pool</x:v>
      </x:c>
      <x:c r="O1314" s="7" t="str">
        <x:v>Not displayed</x:v>
      </x:c>
      <x:c r="P1314" s="7" t="str"/>
      <x:c r="Q1314" s="7" t="str"/>
      <x:c r="R1314" s="7" t="str"/>
      <x:c r="S1314" s="15" t="str">
        <x:v>818-314-8507</x:v>
      </x:c>
      <x:c r="T1314" s="7" t="str">
        <x:v>Current CDI</x:v>
      </x:c>
      <x:c r="U1314" s="7" t="str">
        <x:v>10155 PETIT AVE NORTH HILLS CA, 91343</x:v>
      </x:c>
      <x:c r="V1314" s="7" t="str">
        <x:v>Resident</x:v>
      </x:c>
      <x:c r="W1314" s="7" t="str">
        <x:v>CA</x:v>
      </x:c>
      <x:c r="X1314" s="7" t="str"/>
      <x:c r="Y1314" s="7" t="str"/>
      <x:c r="Z1314" s="7" t="str"/>
      <x:c r="AA1314" s="7" t="str"/>
      <x:c r="AB1314" s="7" t="str"/>
      <x:c r="AC1314" s="7" t="str"/>
      <x:c r="AD1314" s="7" t="str">
        <x:v>No agency or insurer displayed: onboarding opportunity possible; existing business unknown</x:v>
      </x:c>
      <x:c r="AE1314" s="7" t="str"/>
      <x:c r="AF1314" s="16" t="str"/>
      <x:c r="AG1314" s="17" t="str"/>
      <x:c r="AH1314" s="7" t="str"/>
      <x:c r="AI1314" s="7" t="str">
        <x:v>English</x:v>
      </x:c>
      <x:c r="AJ1314" s="7" t="str"/>
      <x:c r="AK1314" s="15" t="str"/>
      <x:c r="AL1314" s="7" t="str"/>
      <x:c r="AM1314" s="7" t="str">
        <x:v>AGUILAR-VITELA  TOMAS</x:v>
      </x:c>
      <x:c r="AN1314" s="7" t="str">
        <x:v>https://cdicloud.insurance.ca.gov/cal/LicenseDetail?SearchType=IND&amp;SearchLicNbr=0H41253&amp;SearchIndvId=1451601</x:v>
      </x:c>
      <x:c r="AO1314" s="7" t="str">
        <x:v>2026-10-08</x:v>
      </x:c>
      <x:c r="AP1314" s="7" t="str">
        <x:v>865f8d80d8ffe250a70aee7bde7610d4b69b3cc8c7a1308536e34e111dee52c7</x:v>
      </x:c>
      <x:c r="AQ1314" s="7" t="str">
        <x:v>Casualty / Inactive / 05/06/2011 / 05/31/2025 / 05/31/2025
Property / Inactive / 05/06/2011 / 05/31/2025 / 05/31/2025</x:v>
      </x:c>
      <x:c r="AR1314" s="7" t="str">
        <x:v>Inactive</x:v>
      </x:c>
      <x:c r="AS1314" s="7" t="str">
        <x:v>Current detail page</x:v>
      </x:c>
    </x:row>
    <x:row r="1315" ht="52" customHeight="1">
      <x:c r="A1315" s="7" t="str">
        <x:v>AGUILAR-WARREN KENNDRA ANNE</x:v>
      </x:c>
      <x:c r="B1315" s="14" t="str">
        <x:f>"0K03611"</x:f>
        <x:v>0K03611</x:v>
      </x:c>
      <x:c r="C1315" s="7" t="str">
        <x:v>Omitted</x:v>
      </x:c>
      <x:c r="D1315" s="7" t="str">
        <x:v>FAIL</x:v>
      </x:c>
      <x:c r="E1315" s="13" t="str">
        <x:v>Pending</x:v>
      </x:c>
      <x:c r="F1315" s="13" t="str"/>
      <x:c r="G1315" s="13" t="str"/>
      <x:c r="H1315" s="13" t="str"/>
      <x:c r="I1315" s="7" t="str">
        <x:v>Was this person reviewed? If rejected, give the actual rule and evidence. If acceptable, correct the omission. Confirm the Life-qualification gate and any record change since selection.</x:v>
      </x:c>
      <x:c r="J1315" s="7" t="str">
        <x:v>L1</x:v>
      </x:c>
      <x:c r="K1315" s="7" t="str">
        <x:v>Verified qualifications do not include active general Life. Current target-pool mismatch; actual historical omission reason unknown.</x:v>
      </x:c>
      <x:c r="L1315" s="7" t="str">
        <x:v>Not supplied; membership is known, motive is not</x:v>
      </x:c>
      <x:c r="M1315" s="7" t="n">
        <x:v>7</x:v>
      </x:c>
      <x:c r="N1315" s="7" t="str">
        <x:v>Outside current general-Life recruiting pool</x:v>
      </x:c>
      <x:c r="O1315" s="7" t="str">
        <x:v>Not displayed</x:v>
      </x:c>
      <x:c r="P1315" s="7" t="str"/>
      <x:c r="Q1315" s="7" t="str"/>
      <x:c r="R1315" s="7" t="str">
        <x:v>Casualty; Property</x:v>
      </x:c>
      <x:c r="S1315" s="15" t="str">
        <x:v>818-620-7663</x:v>
      </x:c>
      <x:c r="T1315" s="7" t="str">
        <x:v>Current CDI</x:v>
      </x:c>
      <x:c r="U1315" s="7" t="str">
        <x:v>1896 STOW ST SIMI VALLEY CA, 93063</x:v>
      </x:c>
      <x:c r="V1315" s="7" t="str">
        <x:v>Resident</x:v>
      </x:c>
      <x:c r="W1315" s="7" t="str">
        <x:v>CA</x:v>
      </x:c>
      <x:c r="X1315" s="7" t="str"/>
      <x:c r="Y1315" s="7" t="str">
        <x:v>FOREMOST INSURANCE COMPANY GRAND RAPIDS, MICHIGAN / Casualty / 09/23/2026
FOREMOST INSURANCE COMPANY GRAND RAPIDS, MICHIGAN / Property / 09/23/2026</x:v>
      </x:c>
      <x:c r="Z1315" s="7" t="str"/>
      <x:c r="AA1315" s="7" t="str"/>
      <x:c r="AB1315" s="7" t="str"/>
      <x:c r="AC1315" s="7" t="str"/>
      <x:c r="AD1315" s="7" t="str"/>
      <x:c r="AE1315" s="7" t="str">
        <x:v>P&amp;C/Personal Lines authority without displayed core Life appointments; mixed profile requires review</x:v>
      </x:c>
      <x:c r="AF1315" s="16" t="str"/>
      <x:c r="AG1315" s="17" t="str"/>
      <x:c r="AH1315" s="7" t="str"/>
      <x:c r="AI1315" s="7" t="str">
        <x:v>English</x:v>
      </x:c>
      <x:c r="AJ1315" s="7" t="str"/>
      <x:c r="AK1315" s="15" t="str"/>
      <x:c r="AL1315" s="7" t="str"/>
      <x:c r="AM1315" s="7" t="str">
        <x:v>AGUILAR-WARREN ANNE KENNDRA</x:v>
      </x:c>
      <x:c r="AN1315" s="7" t="str">
        <x:v>https://cdicloud.insurance.ca.gov/cal/LicenseDetail?SearchType=IND&amp;SearchLicNbr=0K03611&amp;SearchIndvId=1730181</x:v>
      </x:c>
      <x:c r="AO1315" s="7" t="str">
        <x:v>2026-10-08</x:v>
      </x:c>
      <x:c r="AP1315" s="7" t="str">
        <x:v>5bfc6c34b8305a11573d3cd3a1779d27941b6ae3ebd623de4fc3881a7100f7e3</x:v>
      </x:c>
      <x:c r="AQ1315" s="7" t="str">
        <x:v>Casualty / Active / 01/07/2015 / 04/28/2026 / 04/30/2028
Property / Active / 01/07/2015 / 04/28/2026 / 04/30/2028</x:v>
      </x:c>
      <x:c r="AR1315" s="7" t="str">
        <x:v>Active</x:v>
      </x:c>
      <x:c r="AS1315" s="7" t="str">
        <x:v>Current detail page</x:v>
      </x:c>
    </x:row>
    <x:row r="1316" ht="52" customHeight="1">
      <x:c r="A1316" s="7" t="str">
        <x:v>AGUILAR-ZAMACONA JOHN FRANKLIN</x:v>
      </x:c>
      <x:c r="B1316" s="14" t="str">
        <x:f>"4215601"</x:f>
        <x:v>4215601</x:v>
      </x:c>
      <x:c r="C1316" s="7" t="str">
        <x:v>Omitted</x:v>
      </x:c>
      <x:c r="D1316" s="7" t="str">
        <x:v>FAIL</x:v>
      </x:c>
      <x:c r="E1316" s="13" t="str">
        <x:v>Pending</x:v>
      </x:c>
      <x:c r="F1316" s="13" t="str"/>
      <x:c r="G1316" s="13" t="str"/>
      <x:c r="H1316" s="13" t="str"/>
      <x:c r="I1316" s="7" t="str">
        <x:v>Was this person reviewed? If rejected, give the actual rule and evidence. If acceptable, correct the omission. Confirm the Life-qualification gate and any record change since selection.</x:v>
      </x:c>
      <x:c r="J1316" s="7" t="str">
        <x:v>L1</x:v>
      </x:c>
      <x:c r="K1316" s="7" t="str">
        <x:v>Verified qualifications do not include active general Life. Current target-pool mismatch; actual historical omission reason unknown.</x:v>
      </x:c>
      <x:c r="L1316" s="7" t="str">
        <x:v>Not supplied; membership is known, motive is not</x:v>
      </x:c>
      <x:c r="M1316" s="7" t="n">
        <x:v>7</x:v>
      </x:c>
      <x:c r="N1316" s="7" t="str">
        <x:v>Outside current general-Life recruiting pool</x:v>
      </x:c>
      <x:c r="O1316" s="7" t="str">
        <x:v>Inactive</x:v>
      </x:c>
      <x:c r="P1316" s="7" t="str">
        <x:v>07/27/2022</x:v>
      </x:c>
      <x:c r="Q1316" s="7" t="str">
        <x:v>07/31/2024</x:v>
      </x:c>
      <x:c r="R1316" s="7" t="str"/>
      <x:c r="S1316" s="15" t="str"/>
      <x:c r="T1316" s="7" t="str">
        <x:v>No public business phone in collected record</x:v>
      </x:c>
      <x:c r="U1316" s="7" t="str">
        <x:v>533 N VICTORY BLVD BURBANK CA, 91502</x:v>
      </x:c>
      <x:c r="V1316" s="7" t="str">
        <x:v>Resident</x:v>
      </x:c>
      <x:c r="W1316" s="7" t="str">
        <x:v>CA</x:v>
      </x:c>
      <x:c r="X1316" s="7" t="str"/>
      <x:c r="Y1316" s="7" t="str"/>
      <x:c r="Z1316" s="7" t="str"/>
      <x:c r="AA1316" s="7" t="str"/>
      <x:c r="AB1316" s="7" t="str"/>
      <x:c r="AC1316" s="7" t="str"/>
      <x:c r="AD1316" s="7" t="str">
        <x:v>No agency or insurer displayed: onboarding opportunity possible; existing business unknown</x:v>
      </x:c>
      <x:c r="AE1316" s="7" t="str">
        <x:v>No public business phone: contact enrichment needed, not proof of poor recruiting fit</x:v>
      </x:c>
      <x:c r="AF1316" s="16" t="str"/>
      <x:c r="AG1316" s="17" t="str"/>
      <x:c r="AH1316" s="7" t="str"/>
      <x:c r="AI1316" s="7" t="str"/>
      <x:c r="AJ1316" s="7" t="str"/>
      <x:c r="AK1316" s="15" t="str"/>
      <x:c r="AL1316" s="7" t="str"/>
      <x:c r="AM1316" s="7" t="str">
        <x:v>AGUILAR-ZAMACONA FRANKLIN JOHN</x:v>
      </x:c>
      <x:c r="AN1316" s="7" t="str">
        <x:v>https://cdicloud.insurance.ca.gov/cal/LicenseDetail?SearchType=IND&amp;SearchLicNbr=4215601&amp;SearchIndvId=4215601</x:v>
      </x:c>
      <x:c r="AO1316" s="7" t="str">
        <x:v>2026-10-08</x:v>
      </x:c>
      <x:c r="AP1316" s="7" t="str">
        <x:v>ea79a430153e21a1a803ae90d9a3e7ee501b130dbc4ba25c1f5f4312db3e92c7</x:v>
      </x:c>
      <x:c r="AQ1316" s="7" t="str">
        <x:v>Life / Inactive / 07/27/2022 / 07/31/2024 / 07/31/2024</x:v>
      </x:c>
      <x:c r="AR1316" s="7" t="str">
        <x:v>Inactive</x:v>
      </x:c>
      <x:c r="AS1316" s="7" t="str">
        <x:v>Current detail page</x:v>
      </x:c>
    </x:row>
    <x:row r="1317" ht="52" customHeight="1">
      <x:c r="A1317" s="7" t="str">
        <x:v>AGUILAR-ZAPIEN EFREN</x:v>
      </x:c>
      <x:c r="B1317" s="14" t="str">
        <x:f>"4011572"</x:f>
        <x:v>4011572</x:v>
      </x:c>
      <x:c r="C1317" s="7" t="str">
        <x:v>Omitted</x:v>
      </x:c>
      <x:c r="D1317" s="7" t="str">
        <x:v>FAIL</x:v>
      </x:c>
      <x:c r="E1317" s="13" t="str">
        <x:v>Pending</x:v>
      </x:c>
      <x:c r="F1317" s="13" t="str"/>
      <x:c r="G1317" s="13" t="str"/>
      <x:c r="H1317" s="13" t="str"/>
      <x:c r="I1317" s="7" t="str">
        <x:v>Was this person reviewed? If rejected, give the actual rule and evidence. If acceptable, correct the omission. Confirm the Life-qualification gate and any record change since selection.</x:v>
      </x:c>
      <x:c r="J1317" s="7" t="str">
        <x:v>L1</x:v>
      </x:c>
      <x:c r="K1317" s="7" t="str">
        <x:v>Verified qualifications do not include active general Life. Current target-pool mismatch; actual historical omission reason unknown.</x:v>
      </x:c>
      <x:c r="L1317" s="7" t="str">
        <x:v>Not supplied; membership is known, motive is not</x:v>
      </x:c>
      <x:c r="M1317" s="7" t="n">
        <x:v>7</x:v>
      </x:c>
      <x:c r="N1317" s="7" t="str">
        <x:v>Outside current general-Life recruiting pool</x:v>
      </x:c>
      <x:c r="O1317" s="7" t="str">
        <x:v>Inactive</x:v>
      </x:c>
      <x:c r="P1317" s="7" t="str">
        <x:v>10/15/2019</x:v>
      </x:c>
      <x:c r="Q1317" s="7" t="str">
        <x:v>10/31/2021</x:v>
      </x:c>
      <x:c r="R1317" s="7" t="str"/>
      <x:c r="S1317" s="15" t="str"/>
      <x:c r="T1317" s="7" t="str">
        <x:v>No public business phone in collected record</x:v>
      </x:c>
      <x:c r="U1317" s="7" t="str">
        <x:v>2154 ADAMS AVE. #6 SAN DIEGO CA, 92116</x:v>
      </x:c>
      <x:c r="V1317" s="7" t="str">
        <x:v>Resident</x:v>
      </x:c>
      <x:c r="W1317" s="7" t="str">
        <x:v>CA</x:v>
      </x:c>
      <x:c r="X1317" s="7" t="str"/>
      <x:c r="Y1317" s="7" t="str"/>
      <x:c r="Z1317" s="7" t="str"/>
      <x:c r="AA1317" s="7" t="str"/>
      <x:c r="AB1317" s="7" t="str"/>
      <x:c r="AC1317" s="7" t="str"/>
      <x:c r="AD1317" s="7" t="str">
        <x:v>No agency or insurer displayed: onboarding opportunity possible; existing business unknown</x:v>
      </x:c>
      <x:c r="AE1317" s="7" t="str">
        <x:v>No public business phone: contact enrichment needed, not proof of poor recruiting fit</x:v>
      </x:c>
      <x:c r="AF1317" s="16" t="str"/>
      <x:c r="AG1317" s="17" t="str"/>
      <x:c r="AH1317" s="7" t="str"/>
      <x:c r="AI1317" s="7" t="str"/>
      <x:c r="AJ1317" s="7" t="str"/>
      <x:c r="AK1317" s="15" t="str"/>
      <x:c r="AL1317" s="7" t="str"/>
      <x:c r="AM1317" s="7" t="str">
        <x:v>AGUILAR-ZAPIEN  EFREN</x:v>
      </x:c>
      <x:c r="AN1317" s="7" t="str">
        <x:v>https://cdicloud.insurance.ca.gov/cal/LicenseDetail?SearchType=IND&amp;SearchLicNbr=4011572&amp;SearchIndvId=4011572</x:v>
      </x:c>
      <x:c r="AO1317" s="7" t="str">
        <x:v>2026-10-08</x:v>
      </x:c>
      <x:c r="AP1317" s="7" t="str">
        <x:v>2e10e8749c4872a5f2c0f68b605776c3eff610629422bfb69747a2ecd9fafe4b</x:v>
      </x:c>
      <x:c r="AQ1317" s="7" t="str">
        <x:v>Accident &amp; Health or Sickness / Inactive / 10/15/2019 / 10/31/2021 / 10/31/2021
Life / Inactive / 10/15/2019 / 10/31/2021 / 10/31/2021</x:v>
      </x:c>
      <x:c r="AR1317" s="7" t="str">
        <x:v>Inactive</x:v>
      </x:c>
      <x:c r="AS1317" s="7" t="str">
        <x:v>Current detail page</x:v>
      </x:c>
    </x:row>
    <x:row r="1318" ht="52" customHeight="1">
      <x:c r="A1318" s="7" t="str">
        <x:v>AGUILAR-ZEPEDA VERONICA</x:v>
      </x:c>
      <x:c r="B1318" s="14" t="str">
        <x:f>"0I10669"</x:f>
        <x:v>0I10669</x:v>
      </x:c>
      <x:c r="C1318" s="7" t="str">
        <x:v>Omitted</x:v>
      </x:c>
      <x:c r="D1318" s="7" t="str">
        <x:v>FAIL</x:v>
      </x:c>
      <x:c r="E1318" s="13" t="str">
        <x:v>Pending</x:v>
      </x:c>
      <x:c r="F1318" s="13" t="str"/>
      <x:c r="G1318" s="13" t="str"/>
      <x:c r="H1318" s="13" t="str"/>
      <x:c r="I1318" s="7" t="str">
        <x:v>Was this person reviewed? If rejected, give the actual rule and evidence. If acceptable, correct the omission. Confirm the Life-qualification gate and any record change since selection.</x:v>
      </x:c>
      <x:c r="J1318" s="7" t="str">
        <x:v>L1</x:v>
      </x:c>
      <x:c r="K1318" s="7" t="str">
        <x:v>Verified qualifications do not include active general Life. Current target-pool mismatch; actual historical omission reason unknown.</x:v>
      </x:c>
      <x:c r="L1318" s="7" t="str">
        <x:v>Not supplied; membership is known, motive is not</x:v>
      </x:c>
      <x:c r="M1318" s="7" t="n">
        <x:v>7</x:v>
      </x:c>
      <x:c r="N1318" s="7" t="str">
        <x:v>Outside current general-Life recruiting pool</x:v>
      </x:c>
      <x:c r="O1318" s="7" t="str">
        <x:v>Not displayed</x:v>
      </x:c>
      <x:c r="P1318" s="7" t="str"/>
      <x:c r="Q1318" s="7" t="str"/>
      <x:c r="R1318" s="7" t="str"/>
      <x:c r="S1318" s="15" t="str"/>
      <x:c r="T1318" s="7" t="str">
        <x:v>No public business phone in collected record</x:v>
      </x:c>
      <x:c r="U1318" s="7" t="str"/>
      <x:c r="V1318" s="7" t="str">
        <x:v>Resident</x:v>
      </x:c>
      <x:c r="W1318" s="7" t="str">
        <x:v>CA</x:v>
      </x:c>
      <x:c r="X1318" s="7" t="str"/>
      <x:c r="Y1318" s="7" t="str"/>
      <x:c r="Z1318" s="7" t="str"/>
      <x:c r="AA1318" s="7" t="str"/>
      <x:c r="AB1318" s="7" t="str"/>
      <x:c r="AC1318" s="7" t="str"/>
      <x:c r="AD1318" s="7" t="str">
        <x:v>No agency or insurer displayed: onboarding opportunity possible; existing business unknown</x:v>
      </x:c>
      <x:c r="AE1318" s="7" t="str">
        <x:v>No public business phone: contact enrichment needed, not proof of poor recruiting fit</x:v>
      </x:c>
      <x:c r="AF1318" s="16" t="str"/>
      <x:c r="AG1318" s="17" t="str"/>
      <x:c r="AH1318" s="7" t="str"/>
      <x:c r="AI1318" s="7" t="str"/>
      <x:c r="AJ1318" s="7" t="str"/>
      <x:c r="AK1318" s="15" t="str"/>
      <x:c r="AL1318" s="7" t="str"/>
      <x:c r="AM1318" s="7" t="str">
        <x:v>AGUILAR-ZEPEDA  VERONICA</x:v>
      </x:c>
      <x:c r="AN1318" s="7" t="str">
        <x:v>https://cdicloud.insurance.ca.gov/cal/LicenseDetail?SearchType=IND&amp;SearchLicNbr=0I10669&amp;SearchIndvId=1537382</x:v>
      </x:c>
      <x:c r="AO1318" s="7" t="str">
        <x:v>2026-10-08</x:v>
      </x:c>
      <x:c r="AP1318" s="7" t="str">
        <x:v>81e23003d23e32c439cdcddc00e3e47144e08700df0625e1ed3b183a025f359a</x:v>
      </x:c>
      <x:c r="AQ1318" s="7" t="str">
        <x:v>Life-Only / Inactive / 10/29/2012 / 10/31/2014 / 10/31/2014</x:v>
      </x:c>
      <x:c r="AR1318" s="7" t="str">
        <x:v>Inactive</x:v>
      </x:c>
      <x:c r="AS1318" s="7" t="str">
        <x:v>Current detail page</x:v>
      </x:c>
    </x:row>
    <x:row r="1319" ht="52" customHeight="1">
      <x:c r="A1319" s="7" t="str">
        <x:v>AGUILAR-ZUNIGA LOUISA</x:v>
      </x:c>
      <x:c r="B1319" s="14" t="str">
        <x:f>"0K75574"</x:f>
        <x:v>0K75574</x:v>
      </x:c>
      <x:c r="C1319" s="7" t="str">
        <x:v>Omitted</x:v>
      </x:c>
      <x:c r="D1319" s="7" t="str">
        <x:v>FAIL</x:v>
      </x:c>
      <x:c r="E1319" s="13" t="str">
        <x:v>Pending</x:v>
      </x:c>
      <x:c r="F1319" s="13" t="str"/>
      <x:c r="G1319" s="13" t="str"/>
      <x:c r="H1319" s="13" t="str"/>
      <x:c r="I1319" s="7" t="str">
        <x:v>Was this person reviewed? If rejected, give the actual rule and evidence. If acceptable, correct the omission. Confirm the Life-qualification gate and any record change since selection.</x:v>
      </x:c>
      <x:c r="J1319" s="7" t="str">
        <x:v>L1</x:v>
      </x:c>
      <x:c r="K1319" s="7" t="str">
        <x:v>Verified qualifications do not include active general Life. Current target-pool mismatch; actual historical omission reason unknown.</x:v>
      </x:c>
      <x:c r="L1319" s="7" t="str">
        <x:v>Not supplied; membership is known, motive is not</x:v>
      </x:c>
      <x:c r="M1319" s="7" t="n">
        <x:v>7</x:v>
      </x:c>
      <x:c r="N1319" s="7" t="str">
        <x:v>Outside current general-Life recruiting pool</x:v>
      </x:c>
      <x:c r="O1319" s="7" t="str">
        <x:v>Not displayed</x:v>
      </x:c>
      <x:c r="P1319" s="7" t="str"/>
      <x:c r="Q1319" s="7" t="str"/>
      <x:c r="R1319" s="7" t="str"/>
      <x:c r="S1319" s="15" t="str"/>
      <x:c r="T1319" s="7" t="str">
        <x:v>No public business phone in collected record</x:v>
      </x:c>
      <x:c r="U1319" s="7" t="str"/>
      <x:c r="V1319" s="7" t="str">
        <x:v>Resident</x:v>
      </x:c>
      <x:c r="W1319" s="7" t="str">
        <x:v>CA</x:v>
      </x:c>
      <x:c r="X1319" s="7" t="str"/>
      <x:c r="Y1319" s="7" t="str"/>
      <x:c r="Z1319" s="7" t="str"/>
      <x:c r="AA1319" s="7" t="str"/>
      <x:c r="AB1319" s="7" t="str"/>
      <x:c r="AC1319" s="7" t="str"/>
      <x:c r="AD1319" s="7" t="str">
        <x:v>No agency or insurer displayed: onboarding opportunity possible; existing business unknown</x:v>
      </x:c>
      <x:c r="AE1319" s="7" t="str">
        <x:v>No public business phone: contact enrichment needed, not proof of poor recruiting fit</x:v>
      </x:c>
      <x:c r="AF1319" s="16" t="str"/>
      <x:c r="AG1319" s="17" t="str"/>
      <x:c r="AH1319" s="7" t="str"/>
      <x:c r="AI1319" s="7" t="str"/>
      <x:c r="AJ1319" s="7" t="str"/>
      <x:c r="AK1319" s="15" t="str"/>
      <x:c r="AL1319" s="7" t="str"/>
      <x:c r="AM1319" s="7" t="str">
        <x:v>AGUILAR-ZUNIGA  LOUISA</x:v>
      </x:c>
      <x:c r="AN1319" s="7" t="str">
        <x:v>https://cdicloud.insurance.ca.gov/cal/LicenseDetail?SearchType=IND&amp;SearchLicNbr=0K75574&amp;SearchIndvId=1823261</x:v>
      </x:c>
      <x:c r="AO1319" s="7" t="str">
        <x:v>2026-10-08</x:v>
      </x:c>
      <x:c r="AP1319" s="7" t="str">
        <x:v>9fa58dee093de32ad3e3af2da4d979c6713fa359c3994f7c9e3b6d031626aeaf</x:v>
      </x:c>
      <x:c r="AQ1319" s="7" t="str">
        <x:v>Motor Club Agent / Inactive / 02/22/2016 / 02/28/2018 / 02/28/2018</x:v>
      </x:c>
      <x:c r="AR1319" s="7" t="str">
        <x:v>Inactive</x:v>
      </x:c>
      <x:c r="AS1319" s="7" t="str">
        <x:v>Current detail page</x:v>
      </x:c>
    </x:row>
    <x:row r="1320" ht="52" customHeight="1">
      <x:c r="A1320" s="7" t="str">
        <x:v>AGUILARGALVAN JACQUELINE AILEEN</x:v>
      </x:c>
      <x:c r="B1320" s="14" t="str">
        <x:f>"0L80443"</x:f>
        <x:v>0L80443</x:v>
      </x:c>
      <x:c r="C1320" s="7" t="str">
        <x:v>Omitted</x:v>
      </x:c>
      <x:c r="D1320" s="7" t="str">
        <x:v>FAIL</x:v>
      </x:c>
      <x:c r="E1320" s="13" t="str">
        <x:v>Pending</x:v>
      </x:c>
      <x:c r="F1320" s="13" t="str"/>
      <x:c r="G1320" s="13" t="str"/>
      <x:c r="H1320" s="13" t="str"/>
      <x:c r="I1320" s="7" t="str">
        <x:v>Was this person reviewed? If rejected, give the actual rule and evidence. If acceptable, correct the omission. Confirm the Life-qualification gate and any record change since selection.</x:v>
      </x:c>
      <x:c r="J1320" s="7" t="str">
        <x:v>L1</x:v>
      </x:c>
      <x:c r="K1320" s="7" t="str">
        <x:v>Verified qualifications do not include active general Life. Current target-pool mismatch; actual historical omission reason unknown.</x:v>
      </x:c>
      <x:c r="L1320" s="7" t="str">
        <x:v>Not supplied; membership is known, motive is not</x:v>
      </x:c>
      <x:c r="M1320" s="7" t="n">
        <x:v>7</x:v>
      </x:c>
      <x:c r="N1320" s="7" t="str">
        <x:v>Outside current general-Life recruiting pool</x:v>
      </x:c>
      <x:c r="O1320" s="7" t="str">
        <x:v>Not displayed</x:v>
      </x:c>
      <x:c r="P1320" s="7" t="str"/>
      <x:c r="Q1320" s="7" t="str"/>
      <x:c r="R1320" s="7" t="str"/>
      <x:c r="S1320" s="15" t="str"/>
      <x:c r="T1320" s="7" t="str">
        <x:v>No public business phone in collected record</x:v>
      </x:c>
      <x:c r="U1320" s="7" t="str"/>
      <x:c r="V1320" s="7" t="str">
        <x:v>Resident</x:v>
      </x:c>
      <x:c r="W1320" s="7" t="str">
        <x:v>CA</x:v>
      </x:c>
      <x:c r="X1320" s="7" t="str"/>
      <x:c r="Y1320" s="7" t="str"/>
      <x:c r="Z1320" s="7" t="str"/>
      <x:c r="AA1320" s="7" t="str"/>
      <x:c r="AB1320" s="7" t="str"/>
      <x:c r="AC1320" s="7" t="str"/>
      <x:c r="AD1320" s="7" t="str">
        <x:v>No agency or insurer displayed: onboarding opportunity possible; existing business unknown</x:v>
      </x:c>
      <x:c r="AE1320" s="7" t="str">
        <x:v>No public business phone: contact enrichment needed, not proof of poor recruiting fit</x:v>
      </x:c>
      <x:c r="AF1320" s="16" t="str"/>
      <x:c r="AG1320" s="17" t="str"/>
      <x:c r="AH1320" s="7" t="str"/>
      <x:c r="AI1320" s="7" t="str"/>
      <x:c r="AJ1320" s="7" t="str"/>
      <x:c r="AK1320" s="15" t="str"/>
      <x:c r="AL1320" s="7" t="str"/>
      <x:c r="AM1320" s="7" t="str">
        <x:v>Aguilar A Jacqueline | AGUILARGALVAN AILEEN JACQUELINE</x:v>
      </x:c>
      <x:c r="AN1320" s="7" t="str">
        <x:v>https://cdicloud.insurance.ca.gov/cal/LicenseDetail?SearchType=IND&amp;SearchLicNbr=0L80443&amp;SearchIndvId=1945687</x:v>
      </x:c>
      <x:c r="AO1320" s="7" t="str">
        <x:v>2026-10-08</x:v>
      </x:c>
      <x:c r="AP1320" s="7" t="str">
        <x:v>d066bc35510f7837ee551879cb32c1e1231ab6b6cb0bbfe294af57d2593f6e54</x:v>
      </x:c>
      <x:c r="AQ1320" s="7" t="str">
        <x:v>Life-Only / Inactive / 06/22/2017 / 06/30/2019 / 06/30/2019</x:v>
      </x:c>
      <x:c r="AR1320" s="7" t="str">
        <x:v>Inactive</x:v>
      </x:c>
      <x:c r="AS1320" s="7" t="str">
        <x:v>Current detail page</x:v>
      </x:c>
    </x:row>
    <x:row r="1321" ht="52" customHeight="1">
      <x:c r="A1321" s="7" t="str">
        <x:v>ALZAGA VERONICA</x:v>
      </x:c>
      <x:c r="B1321" s="14" t="str">
        <x:f>"0F05904"</x:f>
        <x:v>0F05904</x:v>
      </x:c>
      <x:c r="C1321" s="7" t="str">
        <x:v>Omitted</x:v>
      </x:c>
      <x:c r="D1321" s="7" t="str">
        <x:v>FAIL</x:v>
      </x:c>
      <x:c r="E1321" s="13" t="str">
        <x:v>Pending</x:v>
      </x:c>
      <x:c r="F1321" s="13" t="str"/>
      <x:c r="G1321" s="13" t="str"/>
      <x:c r="H1321" s="13" t="str"/>
      <x:c r="I1321" s="7" t="str">
        <x:v>Was this person reviewed? If rejected, give the actual rule and evidence. If acceptable, correct the omission. Confirm the Life-qualification gate and any record change since selection.</x:v>
      </x:c>
      <x:c r="J1321" s="7" t="str">
        <x:v>L1</x:v>
      </x:c>
      <x:c r="K1321" s="7" t="str">
        <x:v>Verified qualifications do not include active general Life. Current target-pool mismatch; actual historical omission reason unknown.</x:v>
      </x:c>
      <x:c r="L1321" s="7" t="str">
        <x:v>Not supplied; membership is known, motive is not</x:v>
      </x:c>
      <x:c r="M1321" s="7" t="n">
        <x:v>7</x:v>
      </x:c>
      <x:c r="N1321" s="7" t="str">
        <x:v>Outside current general-Life recruiting pool</x:v>
      </x:c>
      <x:c r="O1321" s="7" t="str">
        <x:v>Not displayed</x:v>
      </x:c>
      <x:c r="P1321" s="7" t="str"/>
      <x:c r="Q1321" s="7" t="str"/>
      <x:c r="R1321" s="7" t="str"/>
      <x:c r="S1321" s="15" t="str"/>
      <x:c r="T1321" s="7" t="str">
        <x:v>No public business phone in collected record</x:v>
      </x:c>
      <x:c r="U1321" s="7" t="str"/>
      <x:c r="V1321" s="7" t="str">
        <x:v>Resident</x:v>
      </x:c>
      <x:c r="W1321" s="7" t="str">
        <x:v>CA</x:v>
      </x:c>
      <x:c r="X1321" s="7" t="str"/>
      <x:c r="Y1321" s="7" t="str"/>
      <x:c r="Z1321" s="7" t="str"/>
      <x:c r="AA1321" s="7" t="str"/>
      <x:c r="AB1321" s="7" t="str"/>
      <x:c r="AC1321" s="7" t="str"/>
      <x:c r="AD1321" s="7" t="str">
        <x:v>No agency or insurer displayed: onboarding opportunity possible; existing business unknown</x:v>
      </x:c>
      <x:c r="AE1321" s="7" t="str">
        <x:v>No public business phone: contact enrichment needed, not proof of poor recruiting fit</x:v>
      </x:c>
      <x:c r="AF1321" s="16" t="str"/>
      <x:c r="AG1321" s="17" t="str"/>
      <x:c r="AH1321" s="7" t="str"/>
      <x:c r="AI1321" s="7" t="str"/>
      <x:c r="AJ1321" s="7" t="str"/>
      <x:c r="AK1321" s="15" t="str"/>
      <x:c r="AL1321" s="7" t="str"/>
      <x:c r="AM1321" s="7" t="str">
        <x:v>AGUILAR  VERONICA</x:v>
      </x:c>
      <x:c r="AN1321" s="7" t="str">
        <x:v>https://cdicloud.insurance.ca.gov/cal/LicenseDetail?SearchType=IND&amp;SearchLicNbr=0F05904&amp;SearchIndvId=989430</x:v>
      </x:c>
      <x:c r="AO1321" s="7" t="str">
        <x:v>2026-10-08</x:v>
      </x:c>
      <x:c r="AP1321" s="7" t="str">
        <x:v>3733ba69fdfa15604fd8cf174c53e2044f473db7324c3c653c7361ae8179c84f</x:v>
      </x:c>
      <x:c r="AQ1321" s="7" t="str">
        <x:v>Accident and Health / Inactive / 01/19/2006 / 01/31/2008 / 01/31/2008
Life-Only / Inactive / 01/19/2006 / 01/31/2008 / 01/31/2008</x:v>
      </x:c>
      <x:c r="AR1321" s="7" t="str">
        <x:v>Inactive</x:v>
      </x:c>
      <x:c r="AS1321" s="7" t="str">
        <x:v>Current detail page</x:v>
      </x:c>
    </x:row>
    <x:row r="1322" ht="52" customHeight="1">
      <x:c r="A1322" s="7" t="str">
        <x:v>ANDERSON PRISCILLA POBLETE</x:v>
      </x:c>
      <x:c r="B1322" s="14" t="str">
        <x:f>"0576764"</x:f>
        <x:v>0576764</x:v>
      </x:c>
      <x:c r="C1322" s="7" t="str">
        <x:v>Omitted</x:v>
      </x:c>
      <x:c r="D1322" s="7" t="str">
        <x:v>FAIL</x:v>
      </x:c>
      <x:c r="E1322" s="13" t="str">
        <x:v>Pending</x:v>
      </x:c>
      <x:c r="F1322" s="13" t="str"/>
      <x:c r="G1322" s="13" t="str"/>
      <x:c r="H1322" s="13" t="str"/>
      <x:c r="I1322" s="7" t="str">
        <x:v>Was this person reviewed? If rejected, give the actual rule and evidence. If acceptable, correct the omission. Confirm the Life-qualification gate and any record change since selection.</x:v>
      </x:c>
      <x:c r="J1322" s="7" t="str">
        <x:v>L1</x:v>
      </x:c>
      <x:c r="K1322" s="7" t="str">
        <x:v>Verified qualifications do not include active general Life. Current target-pool mismatch; actual historical omission reason unknown.</x:v>
      </x:c>
      <x:c r="L1322" s="7" t="str">
        <x:v>Not supplied; membership is known, motive is not</x:v>
      </x:c>
      <x:c r="M1322" s="7" t="n">
        <x:v>7</x:v>
      </x:c>
      <x:c r="N1322" s="7" t="str">
        <x:v>Outside current general-Life recruiting pool</x:v>
      </x:c>
      <x:c r="O1322" s="7" t="str">
        <x:v>Not displayed</x:v>
      </x:c>
      <x:c r="P1322" s="7" t="str"/>
      <x:c r="Q1322" s="7" t="str"/>
      <x:c r="R1322" s="7" t="str"/>
      <x:c r="S1322" s="15" t="str"/>
      <x:c r="T1322" s="7" t="str">
        <x:v>No public business phone in collected record</x:v>
      </x:c>
      <x:c r="U1322" s="7" t="str"/>
      <x:c r="V1322" s="7" t="str">
        <x:v>Resident</x:v>
      </x:c>
      <x:c r="W1322" s="7" t="str">
        <x:v>CA</x:v>
      </x:c>
      <x:c r="X1322" s="7" t="str"/>
      <x:c r="Y1322" s="7" t="str"/>
      <x:c r="Z1322" s="7" t="str"/>
      <x:c r="AA1322" s="7" t="str"/>
      <x:c r="AB1322" s="7" t="str"/>
      <x:c r="AC1322" s="7" t="str"/>
      <x:c r="AD1322" s="7" t="str">
        <x:v>No agency or insurer displayed: onboarding opportunity possible; existing business unknown</x:v>
      </x:c>
      <x:c r="AE1322" s="7" t="str">
        <x:v>No public business phone: contact enrichment needed, not proof of poor recruiting fit</x:v>
      </x:c>
      <x:c r="AF1322" s="16" t="str"/>
      <x:c r="AG1322" s="17" t="str"/>
      <x:c r="AH1322" s="7" t="str"/>
      <x:c r="AI1322" s="7" t="str"/>
      <x:c r="AJ1322" s="7" t="str"/>
      <x:c r="AK1322" s="15" t="str"/>
      <x:c r="AL1322" s="7" t="str"/>
      <x:c r="AM1322" s="7" t="str">
        <x:v>AGUILAR POBLETE PRESSIE</x:v>
      </x:c>
      <x:c r="AN1322" s="7" t="str">
        <x:v>https://cdicloud.insurance.ca.gov/cal/LicenseDetail?SearchType=IND&amp;SearchLicNbr=0576764&amp;SearchIndvId=385079</x:v>
      </x:c>
      <x:c r="AO1322" s="7" t="str">
        <x:v>2026-10-08</x:v>
      </x:c>
      <x:c r="AP1322" s="7" t="str">
        <x:v>4f5865348dfad02ba24572bc750122ee156225966aef168b7960820ec8481a89</x:v>
      </x:c>
      <x:c r="AQ1322" s="7" t="str">
        <x:v>Accident and Health / Inactive / 11/19/1991 / 11/30/2002 / 11/30/2002
Life-Only / Inactive / 11/19/1991 / 11/30/2002 / 11/30/2002</x:v>
      </x:c>
      <x:c r="AR1322" s="7" t="str">
        <x:v>Inactive</x:v>
      </x:c>
      <x:c r="AS1322" s="7" t="str">
        <x:v>Current detail page</x:v>
      </x:c>
    </x:row>
    <x:row r="1323" ht="52" customHeight="1">
      <x:c r="A1323" s="7" t="str">
        <x:v>ANDES CAROLINA ANNA</x:v>
      </x:c>
      <x:c r="B1323" s="14" t="str">
        <x:f>"0K02688"</x:f>
        <x:v>0K02688</x:v>
      </x:c>
      <x:c r="C1323" s="7" t="str">
        <x:v>Omitted</x:v>
      </x:c>
      <x:c r="D1323" s="7" t="str">
        <x:v>FAIL</x:v>
      </x:c>
      <x:c r="E1323" s="13" t="str">
        <x:v>Pending</x:v>
      </x:c>
      <x:c r="F1323" s="13" t="str"/>
      <x:c r="G1323" s="13" t="str"/>
      <x:c r="H1323" s="13" t="str"/>
      <x:c r="I1323" s="7" t="str">
        <x:v>Was this person reviewed? If rejected, give the actual rule and evidence. If acceptable, correct the omission. Confirm the Life-qualification gate and any record change since selection.</x:v>
      </x:c>
      <x:c r="J1323" s="7" t="str">
        <x:v>L1</x:v>
      </x:c>
      <x:c r="K1323" s="7" t="str">
        <x:v>Verified qualifications do not include active general Life. Current target-pool mismatch; actual historical omission reason unknown.</x:v>
      </x:c>
      <x:c r="L1323" s="7" t="str">
        <x:v>Not supplied; membership is known, motive is not</x:v>
      </x:c>
      <x:c r="M1323" s="7" t="n">
        <x:v>7</x:v>
      </x:c>
      <x:c r="N1323" s="7" t="str">
        <x:v>Outside current general-Life recruiting pool</x:v>
      </x:c>
      <x:c r="O1323" s="7" t="str">
        <x:v>Not displayed</x:v>
      </x:c>
      <x:c r="P1323" s="7" t="str"/>
      <x:c r="Q1323" s="7" t="str"/>
      <x:c r="R1323" s="7" t="str"/>
      <x:c r="S1323" s="15" t="str"/>
      <x:c r="T1323" s="7" t="str">
        <x:v>No public business phone in collected record</x:v>
      </x:c>
      <x:c r="U1323" s="7" t="str"/>
      <x:c r="V1323" s="7" t="str">
        <x:v>Resident</x:v>
      </x:c>
      <x:c r="W1323" s="7" t="str">
        <x:v>CA</x:v>
      </x:c>
      <x:c r="X1323" s="7" t="str"/>
      <x:c r="Y1323" s="7" t="str"/>
      <x:c r="Z1323" s="7" t="str"/>
      <x:c r="AA1323" s="7" t="str"/>
      <x:c r="AB1323" s="7" t="str"/>
      <x:c r="AC1323" s="7" t="str"/>
      <x:c r="AD1323" s="7" t="str">
        <x:v>No agency or insurer displayed: onboarding opportunity possible; existing business unknown</x:v>
      </x:c>
      <x:c r="AE1323" s="7" t="str">
        <x:v>No public business phone: contact enrichment needed, not proof of poor recruiting fit</x:v>
      </x:c>
      <x:c r="AF1323" s="16" t="str"/>
      <x:c r="AG1323" s="17" t="str"/>
      <x:c r="AH1323" s="7" t="str"/>
      <x:c r="AI1323" s="7" t="str"/>
      <x:c r="AJ1323" s="7" t="str"/>
      <x:c r="AK1323" s="15" t="str"/>
      <x:c r="AL1323" s="7" t="str"/>
      <x:c r="AM1323" s="7" t="str">
        <x:v>Aguilar A Carolina</x:v>
      </x:c>
      <x:c r="AN1323" s="7" t="str">
        <x:v>https://cdicloud.insurance.ca.gov/cal/LicenseDetail?SearchType=IND&amp;SearchLicNbr=0K02688&amp;SearchIndvId=1717322</x:v>
      </x:c>
      <x:c r="AO1323" s="7" t="str">
        <x:v>2026-10-08</x:v>
      </x:c>
      <x:c r="AP1323" s="7" t="str">
        <x:v>ac9dd66fc9785c37c0bad4e26be72f49af13ab53eff5c69032f26b0c28d9ec6e</x:v>
      </x:c>
      <x:c r="AQ1323" s="7" t="str">
        <x:v>Accident and Health / Inactive / 12/31/2014 / 12/31/2016 / 12/31/2016
Casualty Broker-Agent / Inactive / 01/05/2015 / 12/31/2016 / 12/31/2016
Life-Only / Inactive / 12/31/2014 / 12/31/2016 / 12/31/2016
Property Broker-Agent / Inactive / 01/05/2015 / 12/31/2016 / 12/31/2016</x:v>
      </x:c>
      <x:c r="AR1323" s="7" t="str">
        <x:v>Inactive</x:v>
      </x:c>
      <x:c r="AS1323" s="7" t="str">
        <x:v>Current detail page</x:v>
      </x:c>
    </x:row>
    <x:row r="1324" ht="52" customHeight="1">
      <x:c r="A1324" s="7" t="str">
        <x:v>ANDRADE SONIA LICEA</x:v>
      </x:c>
      <x:c r="B1324" s="14" t="str">
        <x:f>"0D47854"</x:f>
        <x:v>0D47854</x:v>
      </x:c>
      <x:c r="C1324" s="7" t="str">
        <x:v>Omitted</x:v>
      </x:c>
      <x:c r="D1324" s="7" t="str">
        <x:v>FAIL</x:v>
      </x:c>
      <x:c r="E1324" s="13" t="str">
        <x:v>Pending</x:v>
      </x:c>
      <x:c r="F1324" s="13" t="str"/>
      <x:c r="G1324" s="13" t="str"/>
      <x:c r="H1324" s="13" t="str"/>
      <x:c r="I1324" s="7" t="str">
        <x:v>Was this person reviewed? If rejected, give the actual rule and evidence. If acceptable, correct the omission. Confirm the Life-qualification gate and any record change since selection.</x:v>
      </x:c>
      <x:c r="J1324" s="7" t="str">
        <x:v>L1</x:v>
      </x:c>
      <x:c r="K1324" s="7" t="str">
        <x:v>Verified qualifications do not include active general Life. Current target-pool mismatch; actual historical omission reason unknown.</x:v>
      </x:c>
      <x:c r="L1324" s="7" t="str">
        <x:v>Not supplied; membership is known, motive is not</x:v>
      </x:c>
      <x:c r="M1324" s="7" t="n">
        <x:v>7</x:v>
      </x:c>
      <x:c r="N1324" s="7" t="str">
        <x:v>Outside current general-Life recruiting pool</x:v>
      </x:c>
      <x:c r="O1324" s="7" t="str">
        <x:v>Not displayed</x:v>
      </x:c>
      <x:c r="P1324" s="7" t="str"/>
      <x:c r="Q1324" s="7" t="str"/>
      <x:c r="R1324" s="7" t="str"/>
      <x:c r="S1324" s="15" t="str"/>
      <x:c r="T1324" s="7" t="str">
        <x:v>No public business phone in collected record</x:v>
      </x:c>
      <x:c r="U1324" s="7" t="str"/>
      <x:c r="V1324" s="7" t="str">
        <x:v>Resident</x:v>
      </x:c>
      <x:c r="W1324" s="7" t="str">
        <x:v>CA</x:v>
      </x:c>
      <x:c r="X1324" s="7" t="str"/>
      <x:c r="Y1324" s="7" t="str"/>
      <x:c r="Z1324" s="7" t="str"/>
      <x:c r="AA1324" s="7" t="str"/>
      <x:c r="AB1324" s="7" t="str"/>
      <x:c r="AC1324" s="7" t="str"/>
      <x:c r="AD1324" s="7" t="str">
        <x:v>No agency or insurer displayed: onboarding opportunity possible; existing business unknown</x:v>
      </x:c>
      <x:c r="AE1324" s="7" t="str">
        <x:v>No public business phone: contact enrichment needed, not proof of poor recruiting fit</x:v>
      </x:c>
      <x:c r="AF1324" s="16" t="str"/>
      <x:c r="AG1324" s="17" t="str"/>
      <x:c r="AH1324" s="7" t="str"/>
      <x:c r="AI1324" s="7" t="str"/>
      <x:c r="AJ1324" s="7" t="str"/>
      <x:c r="AK1324" s="15" t="str"/>
      <x:c r="AL1324" s="7" t="str"/>
      <x:c r="AM1324" s="7" t="str">
        <x:v>AGUILAR LICEA SONIA</x:v>
      </x:c>
      <x:c r="AN1324" s="7" t="str">
        <x:v>https://cdicloud.insurance.ca.gov/cal/LicenseDetail?SearchType=IND&amp;SearchLicNbr=0D47854&amp;SearchIndvId=486894</x:v>
      </x:c>
      <x:c r="AO1324" s="7" t="str">
        <x:v>2026-10-08</x:v>
      </x:c>
      <x:c r="AP1324" s="7" t="str">
        <x:v>921d99b31efda25e000ad5600027acfced135eef89d074acc11cfcbb6569cc3f</x:v>
      </x:c>
      <x:c r="AQ1324" s="7" t="str">
        <x:v>Casualty Broker-Agent / Inactive / 11/09/2001 / 11/30/2019 / 11/30/2019
Property Broker-Agent / Inactive / 11/09/2001 / 11/30/2019 / 11/30/2019</x:v>
      </x:c>
      <x:c r="AR1324" s="7" t="str">
        <x:v>Inactive</x:v>
      </x:c>
      <x:c r="AS1324" s="7" t="str">
        <x:v>Current detail page</x:v>
      </x:c>
    </x:row>
    <x:row r="1325" ht="52" customHeight="1">
      <x:c r="A1325" s="7" t="str">
        <x:v>ANTONSON STEPHANY AGUILAR</x:v>
      </x:c>
      <x:c r="B1325" s="14" t="str">
        <x:f>"0G78294"</x:f>
        <x:v>0G78294</x:v>
      </x:c>
      <x:c r="C1325" s="7" t="str">
        <x:v>Omitted</x:v>
      </x:c>
      <x:c r="D1325" s="7" t="str">
        <x:v>FAIL</x:v>
      </x:c>
      <x:c r="E1325" s="13" t="str">
        <x:v>Pending</x:v>
      </x:c>
      <x:c r="F1325" s="13" t="str"/>
      <x:c r="G1325" s="13" t="str"/>
      <x:c r="H1325" s="13" t="str"/>
      <x:c r="I1325" s="7" t="str">
        <x:v>Was this person reviewed? If rejected, give the actual rule and evidence. If acceptable, correct the omission. Confirm the Life-qualification gate and any record change since selection.</x:v>
      </x:c>
      <x:c r="J1325" s="7" t="str">
        <x:v>L1</x:v>
      </x:c>
      <x:c r="K1325" s="7" t="str">
        <x:v>Verified qualifications do not include active general Life. Current target-pool mismatch; actual historical omission reason unknown.</x:v>
      </x:c>
      <x:c r="L1325" s="7" t="str">
        <x:v>Not supplied; membership is known, motive is not</x:v>
      </x:c>
      <x:c r="M1325" s="7" t="n">
        <x:v>7</x:v>
      </x:c>
      <x:c r="N1325" s="7" t="str">
        <x:v>Outside current general-Life recruiting pool</x:v>
      </x:c>
      <x:c r="O1325" s="7" t="str">
        <x:v>Not displayed</x:v>
      </x:c>
      <x:c r="P1325" s="7" t="str"/>
      <x:c r="Q1325" s="7" t="str"/>
      <x:c r="R1325" s="7" t="str"/>
      <x:c r="S1325" s="15" t="str"/>
      <x:c r="T1325" s="7" t="str">
        <x:v>No public business phone in collected record</x:v>
      </x:c>
      <x:c r="U1325" s="7" t="str"/>
      <x:c r="V1325" s="7" t="str">
        <x:v>Resident</x:v>
      </x:c>
      <x:c r="W1325" s="7" t="str">
        <x:v>CA</x:v>
      </x:c>
      <x:c r="X1325" s="7" t="str"/>
      <x:c r="Y1325" s="7" t="str"/>
      <x:c r="Z1325" s="7" t="str"/>
      <x:c r="AA1325" s="7" t="str"/>
      <x:c r="AB1325" s="7" t="str"/>
      <x:c r="AC1325" s="7" t="str"/>
      <x:c r="AD1325" s="7" t="str">
        <x:v>No agency or insurer displayed: onboarding opportunity possible; existing business unknown</x:v>
      </x:c>
      <x:c r="AE1325" s="7" t="str">
        <x:v>No public business phone: contact enrichment needed, not proof of poor recruiting fit</x:v>
      </x:c>
      <x:c r="AF1325" s="16" t="str"/>
      <x:c r="AG1325" s="17" t="str"/>
      <x:c r="AH1325" s="7" t="str"/>
      <x:c r="AI1325" s="7" t="str"/>
      <x:c r="AJ1325" s="7" t="str"/>
      <x:c r="AK1325" s="15" t="str"/>
      <x:c r="AL1325" s="7" t="str"/>
      <x:c r="AM1325" s="7" t="str">
        <x:v>AGUILAR  STEPHANY | AGUILAR ANTONSON  STEPHANY</x:v>
      </x:c>
      <x:c r="AN1325" s="7" t="str">
        <x:v>https://cdicloud.insurance.ca.gov/cal/LicenseDetail?SearchType=IND&amp;SearchLicNbr=0G78294&amp;SearchIndvId=1307928</x:v>
      </x:c>
      <x:c r="AO1325" s="7" t="str">
        <x:v>2026-10-08</x:v>
      </x:c>
      <x:c r="AP1325" s="7" t="str">
        <x:v>20ad81fb98c0f2662e30892b6b746dd0008852d2e979b45503324c4ec7e99527</x:v>
      </x:c>
      <x:c r="AQ1325" s="7" t="str">
        <x:v>Accident and Health / Inactive / 04/26/2013 / 10/31/2015 / 10/31/2015
Casualty Broker-Agent / Inactive / 10/20/2009 / 10/31/2015 / 10/31/2015
Life-Only / Inactive / 04/26/2013 / 10/31/2015 / 10/31/2015
Property Broker-Agent / Inactive / 10/20/2009 / 10/31/2015 / 10/31/2015</x:v>
      </x:c>
      <x:c r="AR1325" s="7" t="str">
        <x:v>Inactive</x:v>
      </x:c>
      <x:c r="AS1325" s="7" t="str">
        <x:v>Current detail page</x:v>
      </x:c>
    </x:row>
    <x:row r="1326" ht="52" customHeight="1">
      <x:c r="A1326" s="7" t="str">
        <x:v>BARUH AMALIA MARIE</x:v>
      </x:c>
      <x:c r="B1326" s="14" t="str">
        <x:f>"0L86224"</x:f>
        <x:v>0L86224</x:v>
      </x:c>
      <x:c r="C1326" s="7" t="str">
        <x:v>Omitted</x:v>
      </x:c>
      <x:c r="D1326" s="7" t="str">
        <x:v>FAIL</x:v>
      </x:c>
      <x:c r="E1326" s="13" t="str">
        <x:v>Pending</x:v>
      </x:c>
      <x:c r="F1326" s="13" t="str"/>
      <x:c r="G1326" s="13" t="str"/>
      <x:c r="H1326" s="13" t="str"/>
      <x:c r="I1326" s="7" t="str">
        <x:v>Was this person reviewed? If rejected, give the actual rule and evidence. If acceptable, correct the omission. Confirm the Life-qualification gate and any record change since selection.</x:v>
      </x:c>
      <x:c r="J1326" s="7" t="str">
        <x:v>L1</x:v>
      </x:c>
      <x:c r="K1326" s="7" t="str">
        <x:v>Verified qualifications do not include active general Life. Current target-pool mismatch; actual historical omission reason unknown.</x:v>
      </x:c>
      <x:c r="L1326" s="7" t="str">
        <x:v>Not supplied; membership is known, motive is not</x:v>
      </x:c>
      <x:c r="M1326" s="7" t="n">
        <x:v>7</x:v>
      </x:c>
      <x:c r="N1326" s="7" t="str">
        <x:v>Outside current general-Life recruiting pool</x:v>
      </x:c>
      <x:c r="O1326" s="7" t="str">
        <x:v>Not displayed</x:v>
      </x:c>
      <x:c r="P1326" s="7" t="str"/>
      <x:c r="Q1326" s="7" t="str"/>
      <x:c r="R1326" s="7" t="str">
        <x:v>Casualty; Property</x:v>
      </x:c>
      <x:c r="S1326" s="15" t="str"/>
      <x:c r="T1326" s="7" t="str">
        <x:v>No public business phone in collected record</x:v>
      </x:c>
      <x:c r="U1326" s="7" t="str">
        <x:v>165 BROADWAY NEW YORK NY, 10006-1404</x:v>
      </x:c>
      <x:c r="V1326" s="7" t="str">
        <x:v>Non-resident</x:v>
      </x:c>
      <x:c r="W1326" s="7" t="str">
        <x:v>NY</x:v>
      </x:c>
      <x:c r="X1326" s="7" t="str">
        <x:v>AON RISK SERVICES NORTHEAST, INC. / Property / 07/30/2020
AON RISK SERVICES NORTHEAST, INC. / Casualty / 07/30/2020</x:v>
      </x:c>
      <x:c r="Y1326" s="7" t="str"/>
      <x:c r="Z1326" s="7" t="str">
        <x:v>ORDER ID: &lt;OBS002835&gt; A MONETARY PENALTY IN THE AMOUNT OF THREE HUNDRED (300) DOLLARS. / 07/27/2017</x:v>
      </x:c>
      <x:c r="AA1326" s="7" t="str"/>
      <x:c r="AB1326" s="7" t="str"/>
      <x:c r="AC1326" s="7" t="str"/>
      <x:c r="AD1326" s="7" t="str"/>
      <x:c r="AE1326" s="7" t="str">
        <x:v>P&amp;C/Personal Lines authority without displayed core Life appointments; mixed profile requires review | Nonresident or address state outside CA; confirm geographic recruiting scope | Enforcement order requires direct review; latest displayed order is not a removal order | No public business phone: contact enrichment needed, not proof of poor recruiting fit</x:v>
      </x:c>
      <x:c r="AF1326" s="16" t="str"/>
      <x:c r="AG1326" s="17" t="str"/>
      <x:c r="AH1326" s="7" t="str"/>
      <x:c r="AI1326" s="7" t="str">
        <x:v>English</x:v>
      </x:c>
      <x:c r="AJ1326" s="7" t="str"/>
      <x:c r="AK1326" s="15" t="str"/>
      <x:c r="AL1326" s="7" t="str"/>
      <x:c r="AM1326" s="7" t="str">
        <x:v>AGUILAR MARIE AMALIA</x:v>
      </x:c>
      <x:c r="AN1326" s="7" t="str">
        <x:v>https://cdicloud.insurance.ca.gov/cal/LicenseDetail?SearchType=IND&amp;SearchLicNbr=0L86224&amp;SearchIndvId=1858401</x:v>
      </x:c>
      <x:c r="AO1326" s="7" t="str">
        <x:v>2026-10-08</x:v>
      </x:c>
      <x:c r="AP1326" s="7" t="str">
        <x:v>641a9fd762a82ce479ddcd361aa5e7786f6261e8f57ca685c518a18d0c5801b6</x:v>
      </x:c>
      <x:c r="AQ1326" s="7" t="str">
        <x:v>Casualty / Active / 07/30/2020 / 07/30/2020 / 07/31/2028
Property / Active / 07/30/2020 / 07/30/2020 / 07/31/2028</x:v>
      </x:c>
      <x:c r="AR1326" s="7" t="str">
        <x:v>Active</x:v>
      </x:c>
      <x:c r="AS1326" s="7" t="str">
        <x:v>Current detail page</x:v>
      </x:c>
    </x:row>
    <x:row r="1327" ht="52" customHeight="1">
      <x:c r="A1327" s="7" t="str">
        <x:v>BERMUDEZ LYNETTE VANESSA</x:v>
      </x:c>
      <x:c r="B1327" s="14" t="str">
        <x:f>"0K79455"</x:f>
        <x:v>0K79455</x:v>
      </x:c>
      <x:c r="C1327" s="7" t="str">
        <x:v>Omitted</x:v>
      </x:c>
      <x:c r="D1327" s="7" t="str">
        <x:v>FAIL</x:v>
      </x:c>
      <x:c r="E1327" s="13" t="str">
        <x:v>Pending</x:v>
      </x:c>
      <x:c r="F1327" s="13" t="str"/>
      <x:c r="G1327" s="13" t="str"/>
      <x:c r="H1327" s="13" t="str"/>
      <x:c r="I1327" s="7" t="str">
        <x:v>Was this person reviewed? If rejected, give the actual rule and evidence. If acceptable, correct the omission. Confirm the Life-qualification gate and any record change since selection.</x:v>
      </x:c>
      <x:c r="J1327" s="7" t="str">
        <x:v>L1</x:v>
      </x:c>
      <x:c r="K1327" s="7" t="str">
        <x:v>Verified qualifications do not include active general Life. Current target-pool mismatch; actual historical omission reason unknown.</x:v>
      </x:c>
      <x:c r="L1327" s="7" t="str">
        <x:v>Not supplied; membership is known, motive is not</x:v>
      </x:c>
      <x:c r="M1327" s="7" t="n">
        <x:v>7</x:v>
      </x:c>
      <x:c r="N1327" s="7" t="str">
        <x:v>Outside current general-Life recruiting pool</x:v>
      </x:c>
      <x:c r="O1327" s="7" t="str">
        <x:v>Not displayed</x:v>
      </x:c>
      <x:c r="P1327" s="7" t="str"/>
      <x:c r="Q1327" s="7" t="str"/>
      <x:c r="R1327" s="7" t="str">
        <x:v>Casualty; Property</x:v>
      </x:c>
      <x:c r="S1327" s="15" t="str"/>
      <x:c r="T1327" s="7" t="str">
        <x:v>No public business phone in collected record</x:v>
      </x:c>
      <x:c r="U1327" s="7" t="str">
        <x:v>3257 GUASTI RD. SUITE 100 ONTARIO CA, 91761</x:v>
      </x:c>
      <x:c r="V1327" s="7" t="str">
        <x:v>Resident</x:v>
      </x:c>
      <x:c r="W1327" s="7" t="str">
        <x:v>CA</x:v>
      </x:c>
      <x:c r="X1327" s="7" t="str">
        <x:v>UNITED AGENCIES, INC. / Casualty / 01/10/2024
UNITED AGENCIES, INC. / Property / 01/10/2024</x:v>
      </x:c>
      <x:c r="Y1327" s="7" t="str">
        <x:v>NEXT INSURANCE US COMPANY / Casualty / 09/28/2026
NEXT INSURANCE US COMPANY / Property / 09/28/2026</x:v>
      </x:c>
      <x:c r="Z1327" s="7" t="str"/>
      <x:c r="AA1327" s="7" t="str"/>
      <x:c r="AB1327" s="7" t="str"/>
      <x:c r="AC1327" s="7" t="str"/>
      <x:c r="AD1327" s="7" t="str"/>
      <x:c r="AE1327" s="7" t="str">
        <x:v>P&amp;C/Personal Lines authority without displayed core Life appointments; mixed profile requires review | No public business phone: contact enrichment needed, not proof of poor recruiting fit</x:v>
      </x:c>
      <x:c r="AF1327" s="16" t="str"/>
      <x:c r="AG1327" s="17" t="str"/>
      <x:c r="AH1327" s="7" t="str"/>
      <x:c r="AI1327" s="7" t="str">
        <x:v>English</x:v>
      </x:c>
      <x:c r="AJ1327" s="7" t="str"/>
      <x:c r="AK1327" s="15" t="str"/>
      <x:c r="AL1327" s="7" t="str"/>
      <x:c r="AM1327" s="7" t="str">
        <x:v>aguilar v lynette | AGUILAR VANESSA LYNETTE</x:v>
      </x:c>
      <x:c r="AN1327" s="7" t="str">
        <x:v>https://cdicloud.insurance.ca.gov/cal/LicenseDetail?SearchType=IND&amp;SearchLicNbr=0K79455&amp;SearchIndvId=1823566</x:v>
      </x:c>
      <x:c r="AO1327" s="7" t="str">
        <x:v>2026-10-08</x:v>
      </x:c>
      <x:c r="AP1327" s="7" t="str">
        <x:v>1dc6e1d054008748c8f3b3fac8e72e96154eceb77e74798fe1a3f21f3aced9bc</x:v>
      </x:c>
      <x:c r="AQ1327" s="7" t="str">
        <x:v>Casualty / Active / 03/15/2016 / 04/03/2018 / 03/31/2028
Property / Active / 03/15/2016 / 04/03/2018 / 03/31/2028</x:v>
      </x:c>
      <x:c r="AR1327" s="7" t="str">
        <x:v>Active</x:v>
      </x:c>
      <x:c r="AS1327" s="7" t="str">
        <x:v>Current detail page</x:v>
      </x:c>
    </x:row>
    <x:row r="1328" ht="52" customHeight="1">
      <x:c r="A1328" s="7" t="str">
        <x:v>BERTE MARIA DEYANIRA</x:v>
      </x:c>
      <x:c r="B1328" s="14" t="str">
        <x:f>"4587576"</x:f>
        <x:v>4587576</x:v>
      </x:c>
      <x:c r="C1328" s="7" t="str">
        <x:v>Omitted</x:v>
      </x:c>
      <x:c r="D1328" s="7" t="str">
        <x:v>FAIL</x:v>
      </x:c>
      <x:c r="E1328" s="13" t="str">
        <x:v>Pending</x:v>
      </x:c>
      <x:c r="F1328" s="13" t="str"/>
      <x:c r="G1328" s="13" t="str"/>
      <x:c r="H1328" s="13" t="str"/>
      <x:c r="I1328" s="7" t="str">
        <x:v>Was this person reviewed? If rejected, give the actual rule and evidence. If acceptable, correct the omission. Confirm the Life-qualification gate and any record change since selection.</x:v>
      </x:c>
      <x:c r="J1328" s="7" t="str">
        <x:v>L1</x:v>
      </x:c>
      <x:c r="K1328" s="7" t="str">
        <x:v>Verified qualifications do not include active general Life. Current target-pool mismatch; actual historical omission reason unknown.</x:v>
      </x:c>
      <x:c r="L1328" s="7" t="str">
        <x:v>Not supplied; membership is known, motive is not</x:v>
      </x:c>
      <x:c r="M1328" s="7" t="n">
        <x:v>7</x:v>
      </x:c>
      <x:c r="N1328" s="7" t="str">
        <x:v>Outside current general-Life recruiting pool</x:v>
      </x:c>
      <x:c r="O1328" s="7" t="str">
        <x:v>Not displayed</x:v>
      </x:c>
      <x:c r="P1328" s="7" t="str"/>
      <x:c r="Q1328" s="7" t="str"/>
      <x:c r="R1328" s="7" t="str">
        <x:v>Accident &amp; Health or Sickness</x:v>
      </x:c>
      <x:c r="S1328" s="15" t="str"/>
      <x:c r="T1328" s="7" t="str">
        <x:v>No public business phone in collected record</x:v>
      </x:c>
      <x:c r="U1328" s="7" t="str">
        <x:v>MARIA D. BERTE 1636 SEIVER STREET THE VILLAGES FL, 34762</x:v>
      </x:c>
      <x:c r="V1328" s="7" t="str">
        <x:v>Non-resident</x:v>
      </x:c>
      <x:c r="W1328" s="7" t="str">
        <x:v>FL</x:v>
      </x:c>
      <x:c r="X1328" s="7" t="str"/>
      <x:c r="Y1328" s="7" t="str"/>
      <x:c r="Z1328" s="7" t="str"/>
      <x:c r="AA1328" s="7" t="str"/>
      <x:c r="AB1328" s="7" t="str"/>
      <x:c r="AC1328" s="7" t="str"/>
      <x:c r="AD1328" s="7" t="str">
        <x:v>No agency or insurer displayed: onboarding opportunity possible; existing business unknown | Active A&amp;H supports optional cross-selling; not necessary for target products</x:v>
      </x:c>
      <x:c r="AE1328" s="7" t="str">
        <x:v>Nonresident or address state outside CA; confirm geographic recruiting scope | No public business phone: contact enrichment needed, not proof of poor recruiting fit</x:v>
      </x:c>
      <x:c r="AF1328" s="16" t="str"/>
      <x:c r="AG1328" s="17" t="str"/>
      <x:c r="AH1328" s="7" t="str"/>
      <x:c r="AI1328" s="7" t="str"/>
      <x:c r="AJ1328" s="7" t="str"/>
      <x:c r="AK1328" s="15" t="str"/>
      <x:c r="AL1328" s="7" t="str"/>
      <x:c r="AM1328" s="7" t="str">
        <x:v>Aguilar  Maria D</x:v>
      </x:c>
      <x:c r="AN1328" s="7" t="str">
        <x:v>https://cdicloud.insurance.ca.gov/cal/LicenseDetail?SearchType=IND&amp;SearchLicNbr=4587576&amp;SearchIndvId=4587576</x:v>
      </x:c>
      <x:c r="AO1328" s="7" t="str">
        <x:v>2026-10-08</x:v>
      </x:c>
      <x:c r="AP1328" s="7" t="str">
        <x:v>6eb5a247e204e0efcc766d8fcfb453a2486d0a8b41c31ae76a4fe54ddff9f16d</x:v>
      </x:c>
      <x:c r="AQ1328" s="7" t="str">
        <x:v>Accident &amp; Health or Sickness / Active / 10/05/2026 / 10/05/2026 / 10/31/2028</x:v>
      </x:c>
      <x:c r="AR1328" s="7" t="str">
        <x:v>Active</x:v>
      </x:c>
      <x:c r="AS1328" s="7" t="str">
        <x:v>Current detail page</x:v>
      </x:c>
    </x:row>
    <x:row r="1329" ht="52" customHeight="1">
      <x:c r="A1329" s="7" t="str">
        <x:v>BRACY SELENA IRENE</x:v>
      </x:c>
      <x:c r="B1329" s="14" t="str">
        <x:f>"0H84412"</x:f>
        <x:v>0H84412</x:v>
      </x:c>
      <x:c r="C1329" s="7" t="str">
        <x:v>Omitted</x:v>
      </x:c>
      <x:c r="D1329" s="7" t="str">
        <x:v>FAIL</x:v>
      </x:c>
      <x:c r="E1329" s="13" t="str">
        <x:v>Pending</x:v>
      </x:c>
      <x:c r="F1329" s="13" t="str"/>
      <x:c r="G1329" s="13" t="str"/>
      <x:c r="H1329" s="13" t="str"/>
      <x:c r="I1329" s="7" t="str">
        <x:v>Was this person reviewed? If rejected, give the actual rule and evidence. If acceptable, correct the omission. Confirm the Life-qualification gate and any record change since selection.</x:v>
      </x:c>
      <x:c r="J1329" s="7" t="str">
        <x:v>L1</x:v>
      </x:c>
      <x:c r="K1329" s="7" t="str">
        <x:v>Verified qualifications do not include active general Life. Current target-pool mismatch; actual historical omission reason unknown.</x:v>
      </x:c>
      <x:c r="L1329" s="7" t="str">
        <x:v>Not supplied; membership is known, motive is not</x:v>
      </x:c>
      <x:c r="M1329" s="7" t="n">
        <x:v>7</x:v>
      </x:c>
      <x:c r="N1329" s="7" t="str">
        <x:v>Outside current general-Life recruiting pool</x:v>
      </x:c>
      <x:c r="O1329" s="7" t="str">
        <x:v>Not displayed</x:v>
      </x:c>
      <x:c r="P1329" s="7" t="str"/>
      <x:c r="Q1329" s="7" t="str"/>
      <x:c r="R1329" s="7" t="str"/>
      <x:c r="S1329" s="15" t="str"/>
      <x:c r="T1329" s="7" t="str">
        <x:v>No public business phone in collected record</x:v>
      </x:c>
      <x:c r="U1329" s="7" t="str"/>
      <x:c r="V1329" s="7" t="str">
        <x:v>Resident</x:v>
      </x:c>
      <x:c r="W1329" s="7" t="str">
        <x:v>CA</x:v>
      </x:c>
      <x:c r="X1329" s="7" t="str"/>
      <x:c r="Y1329" s="7" t="str"/>
      <x:c r="Z1329" s="7" t="str"/>
      <x:c r="AA1329" s="7" t="str"/>
      <x:c r="AB1329" s="7" t="str"/>
      <x:c r="AC1329" s="7" t="str"/>
      <x:c r="AD1329" s="7" t="str">
        <x:v>No agency or insurer displayed: onboarding opportunity possible; existing business unknown</x:v>
      </x:c>
      <x:c r="AE1329" s="7" t="str">
        <x:v>No public business phone: contact enrichment needed, not proof of poor recruiting fit</x:v>
      </x:c>
      <x:c r="AF1329" s="16" t="str"/>
      <x:c r="AG1329" s="17" t="str"/>
      <x:c r="AH1329" s="7" t="str"/>
      <x:c r="AI1329" s="7" t="str"/>
      <x:c r="AJ1329" s="7" t="str"/>
      <x:c r="AK1329" s="15" t="str"/>
      <x:c r="AL1329" s="7" t="str"/>
      <x:c r="AM1329" s="7" t="str">
        <x:v>AGUILAR IRENE SELENA</x:v>
      </x:c>
      <x:c r="AN1329" s="7" t="str">
        <x:v>https://cdicloud.insurance.ca.gov/cal/LicenseDetail?SearchType=IND&amp;SearchLicNbr=0H84412&amp;SearchIndvId=1508292</x:v>
      </x:c>
      <x:c r="AO1329" s="7" t="str">
        <x:v>2026-10-08</x:v>
      </x:c>
      <x:c r="AP1329" s="7" t="str">
        <x:v>e72aad60cf66f2456f683752009aabe300125195aaf46390eed681300fee7f2b</x:v>
      </x:c>
      <x:c r="AQ1329" s="7" t="str">
        <x:v>Life-Only / Inactive / 04/18/2012 / 04/30/2014 / 04/30/2014</x:v>
      </x:c>
      <x:c r="AR1329" s="7" t="str">
        <x:v>Inactive</x:v>
      </x:c>
      <x:c r="AS1329" s="7" t="str">
        <x:v>Current detail page</x:v>
      </x:c>
    </x:row>
    <x:row r="1330" ht="52" customHeight="1">
      <x:c r="A1330" s="7" t="str">
        <x:v>CABRADILLA JOYCE PUBLICO</x:v>
      </x:c>
      <x:c r="B1330" s="14" t="str">
        <x:f>"0I36180"</x:f>
        <x:v>0I36180</x:v>
      </x:c>
      <x:c r="C1330" s="7" t="str">
        <x:v>Omitted</x:v>
      </x:c>
      <x:c r="D1330" s="7" t="str">
        <x:v>FAIL</x:v>
      </x:c>
      <x:c r="E1330" s="13" t="str">
        <x:v>Pending</x:v>
      </x:c>
      <x:c r="F1330" s="13" t="str"/>
      <x:c r="G1330" s="13" t="str"/>
      <x:c r="H1330" s="13" t="str"/>
      <x:c r="I1330" s="7" t="str">
        <x:v>Was this person reviewed? If rejected, give the actual rule and evidence. If acceptable, correct the omission. Confirm the Life-qualification gate and any record change since selection.</x:v>
      </x:c>
      <x:c r="J1330" s="7" t="str">
        <x:v>L1</x:v>
      </x:c>
      <x:c r="K1330" s="7" t="str">
        <x:v>Verified qualifications do not include active general Life. Current target-pool mismatch; actual historical omission reason unknown.</x:v>
      </x:c>
      <x:c r="L1330" s="7" t="str">
        <x:v>Not supplied; membership is known, motive is not</x:v>
      </x:c>
      <x:c r="M1330" s="7" t="n">
        <x:v>7</x:v>
      </x:c>
      <x:c r="N1330" s="7" t="str">
        <x:v>Outside current general-Life recruiting pool</x:v>
      </x:c>
      <x:c r="O1330" s="7" t="str">
        <x:v>Inactive</x:v>
      </x:c>
      <x:c r="P1330" s="7" t="str">
        <x:v>06/04/2013</x:v>
      </x:c>
      <x:c r="Q1330" s="7" t="str">
        <x:v>06/30/2023</x:v>
      </x:c>
      <x:c r="R1330" s="7" t="str"/>
      <x:c r="S1330" s="15" t="str">
        <x:v>310-500-3194</x:v>
      </x:c>
      <x:c r="T1330" s="7" t="str">
        <x:v>Current CDI</x:v>
      </x:c>
      <x:c r="U1330" s="7" t="str">
        <x:v>515 SOUTH FIGUEROA STREET SUITE 1750 LOS ANGELES CA, 90071</x:v>
      </x:c>
      <x:c r="V1330" s="7" t="str">
        <x:v>Resident</x:v>
      </x:c>
      <x:c r="W1330" s="7" t="str">
        <x:v>CA</x:v>
      </x:c>
      <x:c r="X1330" s="7" t="str"/>
      <x:c r="Y1330" s="7" t="str"/>
      <x:c r="Z1330" s="7" t="str"/>
      <x:c r="AA1330" s="7" t="str"/>
      <x:c r="AB1330" s="7" t="str"/>
      <x:c r="AC1330" s="7" t="str"/>
      <x:c r="AD1330" s="7" t="str">
        <x:v>No agency or insurer displayed: onboarding opportunity possible; existing business unknown</x:v>
      </x:c>
      <x:c r="AE1330" s="7" t="str"/>
      <x:c r="AF1330" s="16" t="str"/>
      <x:c r="AG1330" s="17" t="str"/>
      <x:c r="AH1330" s="7" t="str"/>
      <x:c r="AI1330" s="7" t="str">
        <x:v>English</x:v>
      </x:c>
      <x:c r="AJ1330" s="7" t="str"/>
      <x:c r="AK1330" s="15" t="str"/>
      <x:c r="AL1330" s="7" t="str"/>
      <x:c r="AM1330" s="7" t="str">
        <x:v>AGUILAR CABRADILLA JOYCE</x:v>
      </x:c>
      <x:c r="AN1330" s="7" t="str">
        <x:v>https://cdicloud.insurance.ca.gov/cal/LicenseDetail?SearchType=IND&amp;SearchLicNbr=0I36180&amp;SearchIndvId=1579766</x:v>
      </x:c>
      <x:c r="AO1330" s="7" t="str">
        <x:v>2026-10-08</x:v>
      </x:c>
      <x:c r="AP1330" s="7" t="str">
        <x:v>07a24c0c8402899db7f5fc16931b265f72512c7ec5a172c863c64022891e9621</x:v>
      </x:c>
      <x:c r="AQ1330" s="7" t="str">
        <x:v>Accident &amp; Health or Sickness / Inactive / 06/04/2013 / 06/30/2023 / 06/30/2023
Life / Inactive / 06/04/2013 / 06/30/2023 / 06/30/2023</x:v>
      </x:c>
      <x:c r="AR1330" s="7" t="str">
        <x:v>Inactive</x:v>
      </x:c>
      <x:c r="AS1330" s="7" t="str">
        <x:v>Current detail page</x:v>
      </x:c>
    </x:row>
    <x:row r="1331" ht="52" customHeight="1">
      <x:c r="A1331" s="7" t="str">
        <x:v>CARRILLO MARISOL</x:v>
      </x:c>
      <x:c r="B1331" s="14" t="str">
        <x:f>"0F94576"</x:f>
        <x:v>0F94576</x:v>
      </x:c>
      <x:c r="C1331" s="7" t="str">
        <x:v>Omitted</x:v>
      </x:c>
      <x:c r="D1331" s="7" t="str">
        <x:v>FAIL</x:v>
      </x:c>
      <x:c r="E1331" s="13" t="str">
        <x:v>Pending</x:v>
      </x:c>
      <x:c r="F1331" s="13" t="str"/>
      <x:c r="G1331" s="13" t="str"/>
      <x:c r="H1331" s="13" t="str"/>
      <x:c r="I1331" s="7" t="str">
        <x:v>Was this person reviewed? If rejected, give the actual rule and evidence. If acceptable, correct the omission. Confirm the Life-qualification gate and any record change since selection.</x:v>
      </x:c>
      <x:c r="J1331" s="7" t="str">
        <x:v>L1</x:v>
      </x:c>
      <x:c r="K1331" s="7" t="str">
        <x:v>Verified qualifications do not include active general Life. Current target-pool mismatch; actual historical omission reason unknown.</x:v>
      </x:c>
      <x:c r="L1331" s="7" t="str">
        <x:v>Not supplied; membership is known, motive is not</x:v>
      </x:c>
      <x:c r="M1331" s="7" t="n">
        <x:v>7</x:v>
      </x:c>
      <x:c r="N1331" s="7" t="str">
        <x:v>Outside current general-Life recruiting pool</x:v>
      </x:c>
      <x:c r="O1331" s="7" t="str">
        <x:v>Inactive</x:v>
      </x:c>
      <x:c r="P1331" s="7" t="str">
        <x:v>01/23/2008</x:v>
      </x:c>
      <x:c r="Q1331" s="7" t="str">
        <x:v>11/30/2022</x:v>
      </x:c>
      <x:c r="R1331" s="7" t="str"/>
      <x:c r="S1331" s="15" t="str">
        <x:v>951-410-5965</x:v>
      </x:c>
      <x:c r="T1331" s="7" t="str">
        <x:v>Current CDI</x:v>
      </x:c>
      <x:c r="U1331" s="7" t="str">
        <x:v>1855 CHICAGO AVE RIVERSIDE CA, 92507</x:v>
      </x:c>
      <x:c r="V1331" s="7" t="str">
        <x:v>Resident</x:v>
      </x:c>
      <x:c r="W1331" s="7" t="str">
        <x:v>CA</x:v>
      </x:c>
      <x:c r="X1331" s="7" t="str"/>
      <x:c r="Y1331" s="7" t="str"/>
      <x:c r="Z1331" s="7" t="str"/>
      <x:c r="AA1331" s="7" t="str"/>
      <x:c r="AB1331" s="7" t="str"/>
      <x:c r="AC1331" s="7" t="str"/>
      <x:c r="AD1331" s="7" t="str">
        <x:v>No agency or insurer displayed: onboarding opportunity possible; existing business unknown</x:v>
      </x:c>
      <x:c r="AE1331" s="7" t="str"/>
      <x:c r="AF1331" s="16" t="str"/>
      <x:c r="AG1331" s="17" t="str"/>
      <x:c r="AH1331" s="7" t="str"/>
      <x:c r="AI1331" s="7" t="str">
        <x:v>English</x:v>
      </x:c>
      <x:c r="AJ1331" s="7" t="str"/>
      <x:c r="AK1331" s="15" t="str"/>
      <x:c r="AL1331" s="7" t="str"/>
      <x:c r="AM1331" s="7" t="str">
        <x:v>AGUILAR  MARISOL | AGUILAR-ZAMORA  MARISOL</x:v>
      </x:c>
      <x:c r="AN1331" s="7" t="str">
        <x:v>https://cdicloud.insurance.ca.gov/cal/LicenseDetail?SearchType=IND&amp;SearchLicNbr=0F94576&amp;SearchIndvId=1120104</x:v>
      </x:c>
      <x:c r="AO1331" s="7" t="str">
        <x:v>2026-10-08</x:v>
      </x:c>
      <x:c r="AP1331" s="7" t="str">
        <x:v>abea00680db553a130503eb15f971993982add3e8adb39f9af76af3e042dd882</x:v>
      </x:c>
      <x:c r="AQ1331" s="7" t="str">
        <x:v>Life / Inactive / 01/23/2008 / 11/30/2022 / 11/30/2022</x:v>
      </x:c>
      <x:c r="AR1331" s="7" t="str">
        <x:v>Inactive</x:v>
      </x:c>
      <x:c r="AS1331" s="7" t="str">
        <x:v>Current detail page</x:v>
      </x:c>
    </x:row>
    <x:row r="1332" ht="52" customHeight="1">
      <x:c r="A1332" s="7" t="str">
        <x:v>CHAVEZ HILDA</x:v>
      </x:c>
      <x:c r="B1332" s="14" t="str">
        <x:f>"0I89364"</x:f>
        <x:v>0I89364</x:v>
      </x:c>
      <x:c r="C1332" s="7" t="str">
        <x:v>Omitted</x:v>
      </x:c>
      <x:c r="D1332" s="7" t="str">
        <x:v>FAIL</x:v>
      </x:c>
      <x:c r="E1332" s="13" t="str">
        <x:v>Pending</x:v>
      </x:c>
      <x:c r="F1332" s="13" t="str"/>
      <x:c r="G1332" s="13" t="str"/>
      <x:c r="H1332" s="13" t="str"/>
      <x:c r="I1332" s="7" t="str">
        <x:v>Was this person reviewed? If rejected, give the actual rule and evidence. If acceptable, correct the omission. Confirm the Life-qualification gate and any record change since selection.</x:v>
      </x:c>
      <x:c r="J1332" s="7" t="str">
        <x:v>L1</x:v>
      </x:c>
      <x:c r="K1332" s="7" t="str">
        <x:v>Verified qualifications do not include active general Life. Current target-pool mismatch; actual historical omission reason unknown.</x:v>
      </x:c>
      <x:c r="L1332" s="7" t="str">
        <x:v>Not supplied; membership is known, motive is not</x:v>
      </x:c>
      <x:c r="M1332" s="7" t="n">
        <x:v>7</x:v>
      </x:c>
      <x:c r="N1332" s="7" t="str">
        <x:v>Outside current general-Life recruiting pool</x:v>
      </x:c>
      <x:c r="O1332" s="7" t="str">
        <x:v>Not displayed</x:v>
      </x:c>
      <x:c r="P1332" s="7" t="str"/>
      <x:c r="Q1332" s="7" t="str"/>
      <x:c r="R1332" s="7" t="str"/>
      <x:c r="S1332" s="15" t="str"/>
      <x:c r="T1332" s="7" t="str">
        <x:v>No public business phone in collected record</x:v>
      </x:c>
      <x:c r="U1332" s="7" t="str"/>
      <x:c r="V1332" s="7" t="str">
        <x:v>Resident</x:v>
      </x:c>
      <x:c r="W1332" s="7" t="str">
        <x:v>CA</x:v>
      </x:c>
      <x:c r="X1332" s="7" t="str"/>
      <x:c r="Y1332" s="7" t="str"/>
      <x:c r="Z1332" s="7" t="str"/>
      <x:c r="AA1332" s="7" t="str"/>
      <x:c r="AB1332" s="7" t="str"/>
      <x:c r="AC1332" s="7" t="str"/>
      <x:c r="AD1332" s="7" t="str">
        <x:v>No agency or insurer displayed: onboarding opportunity possible; existing business unknown</x:v>
      </x:c>
      <x:c r="AE1332" s="7" t="str">
        <x:v>No public business phone: contact enrichment needed, not proof of poor recruiting fit</x:v>
      </x:c>
      <x:c r="AF1332" s="16" t="str"/>
      <x:c r="AG1332" s="17" t="str"/>
      <x:c r="AH1332" s="7" t="str"/>
      <x:c r="AI1332" s="7" t="str"/>
      <x:c r="AJ1332" s="7" t="str"/>
      <x:c r="AK1332" s="15" t="str"/>
      <x:c r="AL1332" s="7" t="str"/>
      <x:c r="AM1332" s="7" t="str">
        <x:v>AGUILAR-CHAVEZ  HILDA</x:v>
      </x:c>
      <x:c r="AN1332" s="7" t="str">
        <x:v>https://cdicloud.insurance.ca.gov/cal/LicenseDetail?SearchType=IND&amp;SearchLicNbr=0I89364&amp;SearchIndvId=1671474</x:v>
      </x:c>
      <x:c r="AO1332" s="7" t="str">
        <x:v>2026-10-08</x:v>
      </x:c>
      <x:c r="AP1332" s="7" t="str">
        <x:v>8a2a7a7a07a0becf315c545210da58dcb91acae9a0b9e40ecef1ca7f92e4230e</x:v>
      </x:c>
      <x:c r="AQ1332" s="7" t="str">
        <x:v>Life-Only / Inactive / 05/14/2014 / 05/31/2016 / 05/31/2016</x:v>
      </x:c>
      <x:c r="AR1332" s="7" t="str">
        <x:v>Inactive</x:v>
      </x:c>
      <x:c r="AS1332" s="7" t="str">
        <x:v>Current detail page</x:v>
      </x:c>
    </x:row>
    <x:row r="1333" ht="52" customHeight="1">
      <x:c r="A1333" s="7" t="str">
        <x:v>COPNER CINDY ELLEN</x:v>
      </x:c>
      <x:c r="B1333" s="14" t="str">
        <x:f>"0809015"</x:f>
        <x:v>0809015</x:v>
      </x:c>
      <x:c r="C1333" s="7" t="str">
        <x:v>Omitted</x:v>
      </x:c>
      <x:c r="D1333" s="7" t="str">
        <x:v>FAIL</x:v>
      </x:c>
      <x:c r="E1333" s="13" t="str">
        <x:v>Pending</x:v>
      </x:c>
      <x:c r="F1333" s="13" t="str"/>
      <x:c r="G1333" s="13" t="str"/>
      <x:c r="H1333" s="13" t="str"/>
      <x:c r="I1333" s="7" t="str">
        <x:v>Was this person reviewed? If rejected, give the actual rule and evidence. If acceptable, correct the omission. Confirm the Life-qualification gate and any record change since selection.</x:v>
      </x:c>
      <x:c r="J1333" s="7" t="str">
        <x:v>L1</x:v>
      </x:c>
      <x:c r="K1333" s="7" t="str">
        <x:v>Verified qualifications do not include active general Life. Current target-pool mismatch; actual historical omission reason unknown.</x:v>
      </x:c>
      <x:c r="L1333" s="7" t="str">
        <x:v>Not supplied; membership is known, motive is not</x:v>
      </x:c>
      <x:c r="M1333" s="7" t="n">
        <x:v>7</x:v>
      </x:c>
      <x:c r="N1333" s="7" t="str">
        <x:v>Outside current general-Life recruiting pool</x:v>
      </x:c>
      <x:c r="O1333" s="7" t="str">
        <x:v>Inactive</x:v>
      </x:c>
      <x:c r="P1333" s="7" t="str">
        <x:v>11/20/1990</x:v>
      </x:c>
      <x:c r="Q1333" s="7" t="str">
        <x:v>09/30/2025</x:v>
      </x:c>
      <x:c r="R1333" s="7" t="str"/>
      <x:c r="S1333" s="15" t="str"/>
      <x:c r="T1333" s="7" t="str">
        <x:v>No public business phone in collected record</x:v>
      </x:c>
      <x:c r="U1333" s="7" t="str">
        <x:v>2875 E MUNCIE AVE FRESNO CA, 93720-4955</x:v>
      </x:c>
      <x:c r="V1333" s="7" t="str">
        <x:v>Resident</x:v>
      </x:c>
      <x:c r="W1333" s="7" t="str">
        <x:v>CA</x:v>
      </x:c>
      <x:c r="X1333" s="7" t="str"/>
      <x:c r="Y1333" s="7" t="str"/>
      <x:c r="Z1333" s="7" t="str"/>
      <x:c r="AA1333" s="7" t="str"/>
      <x:c r="AB1333" s="7" t="str"/>
      <x:c r="AC1333" s="7" t="str"/>
      <x:c r="AD1333" s="7" t="str">
        <x:v>No agency or insurer displayed: onboarding opportunity possible; existing business unknown</x:v>
      </x:c>
      <x:c r="AE1333" s="7" t="str">
        <x:v>No public business phone: contact enrichment needed, not proof of poor recruiting fit</x:v>
      </x:c>
      <x:c r="AF1333" s="16" t="str"/>
      <x:c r="AG1333" s="17" t="str"/>
      <x:c r="AH1333" s="7" t="str"/>
      <x:c r="AI1333" s="7" t="str">
        <x:v>English</x:v>
      </x:c>
      <x:c r="AJ1333" s="7" t="str"/>
      <x:c r="AK1333" s="15" t="str"/>
      <x:c r="AL1333" s="7" t="str"/>
      <x:c r="AM1333" s="7" t="str">
        <x:v>AGUILAR COPNER CINDY</x:v>
      </x:c>
      <x:c r="AN1333" s="7" t="str">
        <x:v>https://cdicloud.insurance.ca.gov/cal/LicenseDetail?SearchType=IND&amp;SearchLicNbr=0809015&amp;SearchIndvId=129698</x:v>
      </x:c>
      <x:c r="AO1333" s="7" t="str">
        <x:v>2026-10-08</x:v>
      </x:c>
      <x:c r="AP1333" s="7" t="str">
        <x:v>51b8884273032a6405d1fb803bf1b6d55adf0e089c68297fc553f6aebccfe58d</x:v>
      </x:c>
      <x:c r="AQ1333" s="7" t="str">
        <x:v>Accident &amp; Health or Sickness / Inactive / 11/20/1990 / 09/30/2025 / 09/30/2025
Life / Inactive / 11/20/1990 / 09/30/2025 / 09/30/2025</x:v>
      </x:c>
      <x:c r="AR1333" s="7" t="str">
        <x:v>Inactive</x:v>
      </x:c>
      <x:c r="AS1333" s="7" t="str">
        <x:v>Current detail page</x:v>
      </x:c>
    </x:row>
    <x:row r="1334" ht="52" customHeight="1">
      <x:c r="A1334" s="7" t="str">
        <x:v>CORONA MARICELA</x:v>
      </x:c>
      <x:c r="B1334" s="14" t="str">
        <x:f>"0K14887"</x:f>
        <x:v>0K14887</x:v>
      </x:c>
      <x:c r="C1334" s="7" t="str">
        <x:v>Omitted</x:v>
      </x:c>
      <x:c r="D1334" s="7" t="str">
        <x:v>FAIL</x:v>
      </x:c>
      <x:c r="E1334" s="13" t="str">
        <x:v>Pending</x:v>
      </x:c>
      <x:c r="F1334" s="13" t="str"/>
      <x:c r="G1334" s="13" t="str"/>
      <x:c r="H1334" s="13" t="str"/>
      <x:c r="I1334" s="7" t="str">
        <x:v>Was this person reviewed? If rejected, give the actual rule and evidence. If acceptable, correct the omission. Confirm the Life-qualification gate and any record change since selection.</x:v>
      </x:c>
      <x:c r="J1334" s="7" t="str">
        <x:v>L1</x:v>
      </x:c>
      <x:c r="K1334" s="7" t="str">
        <x:v>Verified qualifications do not include active general Life. Current target-pool mismatch; actual historical omission reason unknown.</x:v>
      </x:c>
      <x:c r="L1334" s="7" t="str">
        <x:v>Not supplied; membership is known, motive is not</x:v>
      </x:c>
      <x:c r="M1334" s="7" t="n">
        <x:v>7</x:v>
      </x:c>
      <x:c r="N1334" s="7" t="str">
        <x:v>Outside current general-Life recruiting pool</x:v>
      </x:c>
      <x:c r="O1334" s="7" t="str">
        <x:v>Not displayed</x:v>
      </x:c>
      <x:c r="P1334" s="7" t="str"/>
      <x:c r="Q1334" s="7" t="str"/>
      <x:c r="R1334" s="7" t="str"/>
      <x:c r="S1334" s="15" t="str"/>
      <x:c r="T1334" s="7" t="str">
        <x:v>No public business phone in collected record</x:v>
      </x:c>
      <x:c r="U1334" s="7" t="str">
        <x:v>9800 FREDERICKSBURG RD SAN ANTONIO TX, 78288-0001</x:v>
      </x:c>
      <x:c r="V1334" s="7" t="str">
        <x:v>Non-resident</x:v>
      </x:c>
      <x:c r="W1334" s="7" t="str">
        <x:v>TX</x:v>
      </x:c>
      <x:c r="X1334" s="7" t="str"/>
      <x:c r="Y1334" s="7" t="str"/>
      <x:c r="Z1334" s="7" t="str"/>
      <x:c r="AA1334" s="7" t="str"/>
      <x:c r="AB1334" s="7" t="str"/>
      <x:c r="AC1334" s="7" t="str"/>
      <x:c r="AD1334" s="7" t="str">
        <x:v>No agency or insurer displayed: onboarding opportunity possible; existing business unknown</x:v>
      </x:c>
      <x:c r="AE1334" s="7" t="str">
        <x:v>Nonresident or address state outside CA; confirm geographic recruiting scope | No public business phone: contact enrichment needed, not proof of poor recruiting fit</x:v>
      </x:c>
      <x:c r="AF1334" s="16" t="str"/>
      <x:c r="AG1334" s="17" t="str"/>
      <x:c r="AH1334" s="7" t="str"/>
      <x:c r="AI1334" s="7" t="str"/>
      <x:c r="AJ1334" s="7" t="str"/>
      <x:c r="AK1334" s="15" t="str"/>
      <x:c r="AL1334" s="7" t="str"/>
      <x:c r="AM1334" s="7" t="str">
        <x:v>AGUILAR CORONA  MARICELA</x:v>
      </x:c>
      <x:c r="AN1334" s="7" t="str">
        <x:v>https://cdicloud.insurance.ca.gov/cal/LicenseDetail?SearchType=IND&amp;SearchLicNbr=0K14887&amp;SearchIndvId=1746352</x:v>
      </x:c>
      <x:c r="AO1334" s="7" t="str">
        <x:v>2026-10-08</x:v>
      </x:c>
      <x:c r="AP1334" s="7" t="str">
        <x:v>fb560a56418d2fcc1257f242daeaeb09df09da59cc1eaced2cd118247bcc0cee</x:v>
      </x:c>
      <x:c r="AQ1334" s="7" t="str">
        <x:v>Casualty / Inactive / 03/19/2015 / 10/31/2024 / 10/31/2024
Property / Inactive / 03/19/2015 / 10/31/2024 / 10/31/2024</x:v>
      </x:c>
      <x:c r="AR1334" s="7" t="str">
        <x:v>Inactive</x:v>
      </x:c>
      <x:c r="AS1334" s="7" t="str">
        <x:v>Current detail page</x:v>
      </x:c>
    </x:row>
    <x:row r="1335" ht="52" customHeight="1">
      <x:c r="A1335" s="7" t="str">
        <x:v>CRUZ-LUNA CELINA O</x:v>
      </x:c>
      <x:c r="B1335" s="14" t="str">
        <x:f>"0J20374"</x:f>
        <x:v>0J20374</x:v>
      </x:c>
      <x:c r="C1335" s="7" t="str">
        <x:v>Omitted</x:v>
      </x:c>
      <x:c r="D1335" s="7" t="str">
        <x:v>FAIL</x:v>
      </x:c>
      <x:c r="E1335" s="13" t="str">
        <x:v>Pending</x:v>
      </x:c>
      <x:c r="F1335" s="13" t="str"/>
      <x:c r="G1335" s="13" t="str"/>
      <x:c r="H1335" s="13" t="str"/>
      <x:c r="I1335" s="7" t="str">
        <x:v>Was this person reviewed? If rejected, give the actual rule and evidence. If acceptable, correct the omission. Confirm the Life-qualification gate and any record change since selection.</x:v>
      </x:c>
      <x:c r="J1335" s="7" t="str">
        <x:v>L1</x:v>
      </x:c>
      <x:c r="K1335" s="7" t="str">
        <x:v>Verified qualifications do not include active general Life. Current target-pool mismatch; actual historical omission reason unknown.</x:v>
      </x:c>
      <x:c r="L1335" s="7" t="str">
        <x:v>Not supplied; membership is known, motive is not</x:v>
      </x:c>
      <x:c r="M1335" s="7" t="n">
        <x:v>7</x:v>
      </x:c>
      <x:c r="N1335" s="7" t="str">
        <x:v>Outside current general-Life recruiting pool</x:v>
      </x:c>
      <x:c r="O1335" s="7" t="str">
        <x:v>Not displayed</x:v>
      </x:c>
      <x:c r="P1335" s="7" t="str"/>
      <x:c r="Q1335" s="7" t="str"/>
      <x:c r="R1335" s="7" t="str"/>
      <x:c r="S1335" s="15" t="str"/>
      <x:c r="T1335" s="7" t="str">
        <x:v>No public business phone in collected record</x:v>
      </x:c>
      <x:c r="U1335" s="7" t="str"/>
      <x:c r="V1335" s="7" t="str">
        <x:v>Non-resident</x:v>
      </x:c>
      <x:c r="W1335" s="7" t="str">
        <x:v>AZ</x:v>
      </x:c>
      <x:c r="X1335" s="7" t="str"/>
      <x:c r="Y1335" s="7" t="str"/>
      <x:c r="Z1335" s="7" t="str"/>
      <x:c r="AA1335" s="7" t="str"/>
      <x:c r="AB1335" s="7" t="str"/>
      <x:c r="AC1335" s="7" t="str"/>
      <x:c r="AD1335" s="7" t="str">
        <x:v>No agency or insurer displayed: onboarding opportunity possible; existing business unknown</x:v>
      </x:c>
      <x:c r="AE1335" s="7" t="str">
        <x:v>Nonresident or address state outside CA; confirm geographic recruiting scope | No public business phone: contact enrichment needed, not proof of poor recruiting fit</x:v>
      </x:c>
      <x:c r="AF1335" s="16" t="str"/>
      <x:c r="AG1335" s="17" t="str"/>
      <x:c r="AH1335" s="7" t="str"/>
      <x:c r="AI1335" s="7" t="str"/>
      <x:c r="AJ1335" s="7" t="str"/>
      <x:c r="AK1335" s="15" t="str"/>
      <x:c r="AL1335" s="7" t="str"/>
      <x:c r="AM1335" s="7" t="str">
        <x:v>AGUILAR ODETTE CELINA</x:v>
      </x:c>
      <x:c r="AN1335" s="7" t="str">
        <x:v>https://cdicloud.insurance.ca.gov/cal/LicenseDetail?SearchType=IND&amp;SearchLicNbr=0J20374&amp;SearchIndvId=1711979</x:v>
      </x:c>
      <x:c r="AO1335" s="7" t="str">
        <x:v>2026-10-08</x:v>
      </x:c>
      <x:c r="AP1335" s="7" t="str">
        <x:v>7447133991926487adcc3ea17a8072f35e5924ff62c9e26ea9df1ec158ed0763</x:v>
      </x:c>
      <x:c r="AQ1335" s="7" t="str">
        <x:v>Personal Lines Broker-Agent / Inactive / 11/19/2014 / 11/30/2016 / 11/30/2016</x:v>
      </x:c>
      <x:c r="AR1335" s="7" t="str">
        <x:v>Inactive</x:v>
      </x:c>
      <x:c r="AS1335" s="7" t="str">
        <x:v>Current detail page</x:v>
      </x:c>
    </x:row>
    <x:row r="1336" ht="52" customHeight="1">
      <x:c r="A1336" s="7" t="str">
        <x:v>DELGADO SUSAN DELEON</x:v>
      </x:c>
      <x:c r="B1336" s="14" t="str">
        <x:f>"0E76390"</x:f>
        <x:v>0E76390</x:v>
      </x:c>
      <x:c r="C1336" s="7" t="str">
        <x:v>Omitted</x:v>
      </x:c>
      <x:c r="D1336" s="7" t="str">
        <x:v>FAIL</x:v>
      </x:c>
      <x:c r="E1336" s="13" t="str">
        <x:v>Pending</x:v>
      </x:c>
      <x:c r="F1336" s="13" t="str"/>
      <x:c r="G1336" s="13" t="str"/>
      <x:c r="H1336" s="13" t="str"/>
      <x:c r="I1336" s="7" t="str">
        <x:v>Was this person reviewed? If rejected, give the actual rule and evidence. If acceptable, correct the omission. Confirm the Life-qualification gate and any record change since selection.</x:v>
      </x:c>
      <x:c r="J1336" s="7" t="str">
        <x:v>L1</x:v>
      </x:c>
      <x:c r="K1336" s="7" t="str">
        <x:v>Verified qualifications do not include active general Life. Current target-pool mismatch; actual historical omission reason unknown.</x:v>
      </x:c>
      <x:c r="L1336" s="7" t="str">
        <x:v>Not supplied; membership is known, motive is not</x:v>
      </x:c>
      <x:c r="M1336" s="7" t="n">
        <x:v>7</x:v>
      </x:c>
      <x:c r="N1336" s="7" t="str">
        <x:v>Outside current general-Life recruiting pool</x:v>
      </x:c>
      <x:c r="O1336" s="7" t="str">
        <x:v>Not displayed</x:v>
      </x:c>
      <x:c r="P1336" s="7" t="str"/>
      <x:c r="Q1336" s="7" t="str"/>
      <x:c r="R1336" s="7" t="str"/>
      <x:c r="S1336" s="15" t="str"/>
      <x:c r="T1336" s="7" t="str">
        <x:v>No public business phone in collected record</x:v>
      </x:c>
      <x:c r="U1336" s="7" t="str"/>
      <x:c r="V1336" s="7" t="str">
        <x:v>Non-resident</x:v>
      </x:c>
      <x:c r="W1336" s="7" t="str">
        <x:v>TX</x:v>
      </x:c>
      <x:c r="X1336" s="7" t="str"/>
      <x:c r="Y1336" s="7" t="str"/>
      <x:c r="Z1336" s="7" t="str"/>
      <x:c r="AA1336" s="7" t="str"/>
      <x:c r="AB1336" s="7" t="str"/>
      <x:c r="AC1336" s="7" t="str"/>
      <x:c r="AD1336" s="7" t="str">
        <x:v>No agency or insurer displayed: onboarding opportunity possible; existing business unknown</x:v>
      </x:c>
      <x:c r="AE1336" s="7" t="str">
        <x:v>Nonresident or address state outside CA; confirm geographic recruiting scope | No public business phone: contact enrichment needed, not proof of poor recruiting fit</x:v>
      </x:c>
      <x:c r="AF1336" s="16" t="str"/>
      <x:c r="AG1336" s="17" t="str"/>
      <x:c r="AH1336" s="7" t="str"/>
      <x:c r="AI1336" s="7" t="str"/>
      <x:c r="AJ1336" s="7" t="str"/>
      <x:c r="AK1336" s="15" t="str"/>
      <x:c r="AL1336" s="7" t="str"/>
      <x:c r="AM1336" s="7" t="str">
        <x:v>AGUILAR DELEON SUSAN</x:v>
      </x:c>
      <x:c r="AN1336" s="7" t="str">
        <x:v>https://cdicloud.insurance.ca.gov/cal/LicenseDetail?SearchType=IND&amp;SearchLicNbr=0E76390&amp;SearchIndvId=947376</x:v>
      </x:c>
      <x:c r="AO1336" s="7" t="str">
        <x:v>2026-10-08</x:v>
      </x:c>
      <x:c r="AP1336" s="7" t="str">
        <x:v>200c4ad1943b90d7feb783fe93df4fbfdbb12ac6ea2414fe61b2fb695fd47cc1</x:v>
      </x:c>
      <x:c r="AQ1336" s="7" t="str">
        <x:v>Casualty Broker-Agent / Inactive / 04/19/2005 / 04/30/2007 / 04/30/2007
Property Broker-Agent / Inactive / 04/19/2005 / 04/30/2007 / 04/30/2007</x:v>
      </x:c>
      <x:c r="AR1336" s="7" t="str">
        <x:v>Inactive</x:v>
      </x:c>
      <x:c r="AS1336" s="7" t="str">
        <x:v>Current detail page</x:v>
      </x:c>
    </x:row>
    <x:row r="1337" ht="52" customHeight="1">
      <x:c r="A1337" s="7" t="str">
        <x:v>DIAZ MARIBEL</x:v>
      </x:c>
      <x:c r="B1337" s="14" t="str">
        <x:f>"0K07215"</x:f>
        <x:v>0K07215</x:v>
      </x:c>
      <x:c r="C1337" s="7" t="str">
        <x:v>Omitted</x:v>
      </x:c>
      <x:c r="D1337" s="7" t="str">
        <x:v>FAIL</x:v>
      </x:c>
      <x:c r="E1337" s="13" t="str">
        <x:v>Pending</x:v>
      </x:c>
      <x:c r="F1337" s="13" t="str"/>
      <x:c r="G1337" s="13" t="str"/>
      <x:c r="H1337" s="13" t="str"/>
      <x:c r="I1337" s="7" t="str">
        <x:v>Was this person reviewed? If rejected, give the actual rule and evidence. If acceptable, correct the omission. Confirm the Life-qualification gate and any record change since selection.</x:v>
      </x:c>
      <x:c r="J1337" s="7" t="str">
        <x:v>L1</x:v>
      </x:c>
      <x:c r="K1337" s="7" t="str">
        <x:v>Verified qualifications do not include active general Life. Current target-pool mismatch; actual historical omission reason unknown.</x:v>
      </x:c>
      <x:c r="L1337" s="7" t="str">
        <x:v>Not supplied; membership is known, motive is not</x:v>
      </x:c>
      <x:c r="M1337" s="7" t="n">
        <x:v>7</x:v>
      </x:c>
      <x:c r="N1337" s="7" t="str">
        <x:v>Outside current general-Life recruiting pool</x:v>
      </x:c>
      <x:c r="O1337" s="7" t="str">
        <x:v>Not displayed</x:v>
      </x:c>
      <x:c r="P1337" s="7" t="str"/>
      <x:c r="Q1337" s="7" t="str"/>
      <x:c r="R1337" s="7" t="str"/>
      <x:c r="S1337" s="15" t="str"/>
      <x:c r="T1337" s="7" t="str">
        <x:v>No public business phone in collected record</x:v>
      </x:c>
      <x:c r="U1337" s="7" t="str"/>
      <x:c r="V1337" s="7" t="str">
        <x:v>Resident</x:v>
      </x:c>
      <x:c r="W1337" s="7" t="str">
        <x:v>CA</x:v>
      </x:c>
      <x:c r="X1337" s="7" t="str"/>
      <x:c r="Y1337" s="7" t="str"/>
      <x:c r="Z1337" s="7" t="str"/>
      <x:c r="AA1337" s="7" t="str"/>
      <x:c r="AB1337" s="7" t="str"/>
      <x:c r="AC1337" s="7" t="str"/>
      <x:c r="AD1337" s="7" t="str">
        <x:v>No agency or insurer displayed: onboarding opportunity possible; existing business unknown</x:v>
      </x:c>
      <x:c r="AE1337" s="7" t="str">
        <x:v>No public business phone: contact enrichment needed, not proof of poor recruiting fit</x:v>
      </x:c>
      <x:c r="AF1337" s="16" t="str"/>
      <x:c r="AG1337" s="17" t="str"/>
      <x:c r="AH1337" s="7" t="str"/>
      <x:c r="AI1337" s="7" t="str"/>
      <x:c r="AJ1337" s="7" t="str"/>
      <x:c r="AK1337" s="15" t="str"/>
      <x:c r="AL1337" s="7" t="str"/>
      <x:c r="AM1337" s="7" t="str">
        <x:v>Aguilar Lagunas  Maribel | AGUILAR-LAGUNAS  MARIBEL</x:v>
      </x:c>
      <x:c r="AN1337" s="7" t="str">
        <x:v>https://cdicloud.insurance.ca.gov/cal/LicenseDetail?SearchType=IND&amp;SearchLicNbr=0K07215&amp;SearchIndvId=1734601</x:v>
      </x:c>
      <x:c r="AO1337" s="7" t="str">
        <x:v>2026-10-08</x:v>
      </x:c>
      <x:c r="AP1337" s="7" t="str">
        <x:v>832a0cfac14b1c23c50873c945e5e8ef9dcde43f7cd4ebb28a4b544eed4f53cd</x:v>
      </x:c>
      <x:c r="AQ1337" s="7" t="str">
        <x:v>Life-Only / Inactive / 01/28/2015 / 01/31/2019 / 01/31/2019</x:v>
      </x:c>
      <x:c r="AR1337" s="7" t="str">
        <x:v>Inactive</x:v>
      </x:c>
      <x:c r="AS1337" s="7" t="str">
        <x:v>Current detail page</x:v>
      </x:c>
    </x:row>
    <x:row r="1338" ht="52" customHeight="1">
      <x:c r="A1338" s="7" t="str">
        <x:v>DOUGLAS CHRISTINE LAURA MARY</x:v>
      </x:c>
      <x:c r="B1338" s="14" t="str">
        <x:f>"0817266"</x:f>
        <x:v>0817266</x:v>
      </x:c>
      <x:c r="C1338" s="7" t="str">
        <x:v>Omitted</x:v>
      </x:c>
      <x:c r="D1338" s="7" t="str">
        <x:v>FAIL</x:v>
      </x:c>
      <x:c r="E1338" s="13" t="str">
        <x:v>Pending</x:v>
      </x:c>
      <x:c r="F1338" s="13" t="str"/>
      <x:c r="G1338" s="13" t="str"/>
      <x:c r="H1338" s="13" t="str"/>
      <x:c r="I1338" s="7" t="str">
        <x:v>Was this person reviewed? If rejected, give the actual rule and evidence. If acceptable, correct the omission. Confirm the Life-qualification gate and any record change since selection.</x:v>
      </x:c>
      <x:c r="J1338" s="7" t="str">
        <x:v>L1</x:v>
      </x:c>
      <x:c r="K1338" s="7" t="str">
        <x:v>Verified qualifications do not include active general Life. Current target-pool mismatch; actual historical omission reason unknown.</x:v>
      </x:c>
      <x:c r="L1338" s="7" t="str">
        <x:v>Not supplied; membership is known, motive is not</x:v>
      </x:c>
      <x:c r="M1338" s="7" t="n">
        <x:v>7</x:v>
      </x:c>
      <x:c r="N1338" s="7" t="str">
        <x:v>Outside current general-Life recruiting pool</x:v>
      </x:c>
      <x:c r="O1338" s="7" t="str">
        <x:v>Not displayed</x:v>
      </x:c>
      <x:c r="P1338" s="7" t="str"/>
      <x:c r="Q1338" s="7" t="str"/>
      <x:c r="R1338" s="7" t="str"/>
      <x:c r="S1338" s="15" t="str"/>
      <x:c r="T1338" s="7" t="str">
        <x:v>No public business phone in collected record</x:v>
      </x:c>
      <x:c r="U1338" s="7" t="str"/>
      <x:c r="V1338" s="7" t="str">
        <x:v>Resident</x:v>
      </x:c>
      <x:c r="W1338" s="7" t="str">
        <x:v>CA</x:v>
      </x:c>
      <x:c r="X1338" s="7" t="str"/>
      <x:c r="Y1338" s="7" t="str"/>
      <x:c r="Z1338" s="7" t="str"/>
      <x:c r="AA1338" s="7" t="str"/>
      <x:c r="AB1338" s="7" t="str"/>
      <x:c r="AC1338" s="7" t="str"/>
      <x:c r="AD1338" s="7" t="str">
        <x:v>No agency or insurer displayed: onboarding opportunity possible; existing business unknown</x:v>
      </x:c>
      <x:c r="AE1338" s="7" t="str">
        <x:v>No public business phone: contact enrichment needed, not proof of poor recruiting fit</x:v>
      </x:c>
      <x:c r="AF1338" s="16" t="str"/>
      <x:c r="AG1338" s="17" t="str"/>
      <x:c r="AH1338" s="7" t="str"/>
      <x:c r="AI1338" s="7" t="str"/>
      <x:c r="AJ1338" s="7" t="str"/>
      <x:c r="AK1338" s="15" t="str"/>
      <x:c r="AL1338" s="7" t="str"/>
      <x:c r="AM1338" s="7" t="str">
        <x:v>AGUILAR LAURA MARY CHRISTINE</x:v>
      </x:c>
      <x:c r="AN1338" s="7" t="str">
        <x:v>https://cdicloud.insurance.ca.gov/cal/LicenseDetail?SearchType=IND&amp;SearchLicNbr=0817266&amp;SearchIndvId=133330</x:v>
      </x:c>
      <x:c r="AO1338" s="7" t="str">
        <x:v>2026-10-08</x:v>
      </x:c>
      <x:c r="AP1338" s="7" t="str">
        <x:v>ff031c65d2d5bc848e17c35544d4363299f6265feacbc11fb3d04e8c4a281b9b</x:v>
      </x:c>
      <x:c r="AQ1338" s="7" t="str">
        <x:v>Accident and Health / Inactive / 01/26/1989 / 04/30/2009 / 04/30/2009
Life-Only / Inactive / 01/26/1989 / 04/30/2009 / 04/30/2009
Variable Contracts / Inactive / 08/24/1994 / 04/30/2009 / 04/30/2009</x:v>
      </x:c>
      <x:c r="AR1338" s="7" t="str">
        <x:v>Inactive</x:v>
      </x:c>
      <x:c r="AS1338" s="7" t="str">
        <x:v>Current detail page</x:v>
      </x:c>
    </x:row>
    <x:row r="1339" ht="52" customHeight="1">
      <x:c r="A1339" s="7" t="str">
        <x:v>FARROW JAQUITA RAE</x:v>
      </x:c>
      <x:c r="B1339" s="14" t="str">
        <x:f>"0M88133"</x:f>
        <x:v>0M88133</x:v>
      </x:c>
      <x:c r="C1339" s="7" t="str">
        <x:v>Omitted</x:v>
      </x:c>
      <x:c r="D1339" s="7" t="str">
        <x:v>FAIL</x:v>
      </x:c>
      <x:c r="E1339" s="13" t="str">
        <x:v>Pending</x:v>
      </x:c>
      <x:c r="F1339" s="13" t="str"/>
      <x:c r="G1339" s="13" t="str"/>
      <x:c r="H1339" s="13" t="str"/>
      <x:c r="I1339" s="7" t="str">
        <x:v>Was this person reviewed? If rejected, give the actual rule and evidence. If acceptable, correct the omission. Confirm the Life-qualification gate and any record change since selection.</x:v>
      </x:c>
      <x:c r="J1339" s="7" t="str">
        <x:v>L1</x:v>
      </x:c>
      <x:c r="K1339" s="7" t="str">
        <x:v>Verified qualifications do not include active general Life. Current target-pool mismatch; actual historical omission reason unknown.</x:v>
      </x:c>
      <x:c r="L1339" s="7" t="str">
        <x:v>Not supplied; membership is known, motive is not</x:v>
      </x:c>
      <x:c r="M1339" s="7" t="n">
        <x:v>7</x:v>
      </x:c>
      <x:c r="N1339" s="7" t="str">
        <x:v>Outside current general-Life recruiting pool</x:v>
      </x:c>
      <x:c r="O1339" s="7" t="str">
        <x:v>Inactive</x:v>
      </x:c>
      <x:c r="P1339" s="7" t="str">
        <x:v>03/19/2019</x:v>
      </x:c>
      <x:c r="Q1339" s="7" t="str">
        <x:v>07/31/2026</x:v>
      </x:c>
      <x:c r="R1339" s="7" t="str"/>
      <x:c r="S1339" s="15" t="str"/>
      <x:c r="T1339" s="7" t="str">
        <x:v>No public business phone in collected record</x:v>
      </x:c>
      <x:c r="U1339" s="7" t="str">
        <x:v>12400 COIT RD STE 700 DALLAS TX, 75251-2059</x:v>
      </x:c>
      <x:c r="V1339" s="7" t="str">
        <x:v>Non-resident</x:v>
      </x:c>
      <x:c r="W1339" s="7" t="str">
        <x:v>TX</x:v>
      </x:c>
      <x:c r="X1339" s="7" t="str"/>
      <x:c r="Y1339" s="7" t="str"/>
      <x:c r="Z1339" s="7" t="str"/>
      <x:c r="AA1339" s="7" t="str"/>
      <x:c r="AB1339" s="7" t="str"/>
      <x:c r="AC1339" s="7" t="str"/>
      <x:c r="AD1339" s="7" t="str">
        <x:v>No agency or insurer displayed: onboarding opportunity possible; existing business unknown</x:v>
      </x:c>
      <x:c r="AE1339" s="7" t="str">
        <x:v>Nonresident or address state outside CA; confirm geographic recruiting scope | No public business phone: contact enrichment needed, not proof of poor recruiting fit</x:v>
      </x:c>
      <x:c r="AF1339" s="16" t="str"/>
      <x:c r="AG1339" s="17" t="str"/>
      <x:c r="AH1339" s="7" t="str"/>
      <x:c r="AI1339" s="7" t="str"/>
      <x:c r="AJ1339" s="7" t="str"/>
      <x:c r="AK1339" s="15" t="str"/>
      <x:c r="AL1339" s="7" t="str"/>
      <x:c r="AM1339" s="7" t="str">
        <x:v>AGUILAR RAE JAQUITA</x:v>
      </x:c>
      <x:c r="AN1339" s="7" t="str">
        <x:v>https://cdicloud.insurance.ca.gov/cal/LicenseDetail?SearchType=IND&amp;SearchLicNbr=0M88133&amp;SearchIndvId=2095365</x:v>
      </x:c>
      <x:c r="AO1339" s="7" t="str">
        <x:v>2026-10-08</x:v>
      </x:c>
      <x:c r="AP1339" s="7" t="str">
        <x:v>ab68f38f8f460dea50b528201bedf1ae33d1cbe0e71a2c1684f5221bd1b673ed</x:v>
      </x:c>
      <x:c r="AQ1339" s="7" t="str">
        <x:v>Life / Inactive / 03/19/2019 / 07/31/2026 / 07/31/2026</x:v>
      </x:c>
      <x:c r="AR1339" s="7" t="str">
        <x:v>Inactive</x:v>
      </x:c>
      <x:c r="AS1339" s="7" t="str">
        <x:v>Current detail page</x:v>
      </x:c>
    </x:row>
    <x:row r="1340" ht="52" customHeight="1">
      <x:c r="A1340" s="7" t="str">
        <x:v>FUENTES DIANA</x:v>
      </x:c>
      <x:c r="B1340" s="14" t="str">
        <x:f>"0G50487"</x:f>
        <x:v>0G50487</x:v>
      </x:c>
      <x:c r="C1340" s="7" t="str">
        <x:v>Omitted</x:v>
      </x:c>
      <x:c r="D1340" s="7" t="str">
        <x:v>FAIL</x:v>
      </x:c>
      <x:c r="E1340" s="13" t="str">
        <x:v>Pending</x:v>
      </x:c>
      <x:c r="F1340" s="13" t="str"/>
      <x:c r="G1340" s="13" t="str"/>
      <x:c r="H1340" s="13" t="str"/>
      <x:c r="I1340" s="7" t="str">
        <x:v>Was this person reviewed? If rejected, give the actual rule and evidence. If acceptable, correct the omission. Confirm the Life-qualification gate and any record change since selection.</x:v>
      </x:c>
      <x:c r="J1340" s="7" t="str">
        <x:v>L1</x:v>
      </x:c>
      <x:c r="K1340" s="7" t="str">
        <x:v>Verified qualifications do not include active general Life. Current target-pool mismatch; actual historical omission reason unknown.</x:v>
      </x:c>
      <x:c r="L1340" s="7" t="str">
        <x:v>Not supplied; membership is known, motive is not</x:v>
      </x:c>
      <x:c r="M1340" s="7" t="n">
        <x:v>7</x:v>
      </x:c>
      <x:c r="N1340" s="7" t="str">
        <x:v>Outside current general-Life recruiting pool</x:v>
      </x:c>
      <x:c r="O1340" s="7" t="str">
        <x:v>Not displayed</x:v>
      </x:c>
      <x:c r="P1340" s="7" t="str"/>
      <x:c r="Q1340" s="7" t="str"/>
      <x:c r="R1340" s="7" t="str">
        <x:v>Limited Lines Automobile</x:v>
      </x:c>
      <x:c r="S1340" s="15" t="str">
        <x:v>209-538-3738</x:v>
      </x:c>
      <x:c r="T1340" s="7" t="str">
        <x:v>Current CDI</x:v>
      </x:c>
      <x:c r="U1340" s="7" t="str">
        <x:v>1515 MITCHELL ROAD 10 CERES CA, 95307</x:v>
      </x:c>
      <x:c r="V1340" s="7" t="str">
        <x:v>Resident</x:v>
      </x:c>
      <x:c r="W1340" s="7" t="str">
        <x:v>CA</x:v>
      </x:c>
      <x:c r="X1340" s="7" t="str">
        <x:v>FRED LOYA INSURANCE AGENCY, INC. / Limited Lines Automobile / 10/18/2019</x:v>
      </x:c>
      <x:c r="Y1340" s="7" t="str">
        <x:v>NATION MOTOR CLUB, LLC / Motor Club / 05/05/2021</x:v>
      </x:c>
      <x:c r="Z1340" s="7" t="str"/>
      <x:c r="AA1340" s="7" t="str"/>
      <x:c r="AB1340" s="7" t="str"/>
      <x:c r="AC1340" s="7" t="str"/>
      <x:c r="AD1340" s="7" t="str"/>
      <x:c r="AE1340" s="7" t="str"/>
      <x:c r="AF1340" s="16" t="str"/>
      <x:c r="AG1340" s="17" t="str"/>
      <x:c r="AH1340" s="7" t="str"/>
      <x:c r="AI1340" s="7" t="str">
        <x:v>Spanish, Spanish</x:v>
      </x:c>
      <x:c r="AJ1340" s="7" t="str"/>
      <x:c r="AK1340" s="15" t="str"/>
      <x:c r="AL1340" s="7" t="str"/>
      <x:c r="AM1340" s="7" t="str">
        <x:v>AGUILAR  DIANA</x:v>
      </x:c>
      <x:c r="AN1340" s="7" t="str">
        <x:v>https://cdicloud.insurance.ca.gov/cal/LicenseDetail?SearchType=IND&amp;SearchLicNbr=0G50487&amp;SearchIndvId=1239011</x:v>
      </x:c>
      <x:c r="AO1340" s="7" t="str">
        <x:v>2026-10-08</x:v>
      </x:c>
      <x:c r="AP1340" s="7" t="str">
        <x:v>a2b87166a92fb1600e75e4d76b2811afe63b29bf64cec9811e65585218b7d6cd</x:v>
      </x:c>
      <x:c r="AQ1340" s="7" t="str">
        <x:v>Limited Lines Automobile / Active / 03/06/2009 / 04/05/2017 / 03/31/2027</x:v>
      </x:c>
      <x:c r="AR1340" s="7" t="str">
        <x:v>Active</x:v>
      </x:c>
      <x:c r="AS1340" s="7" t="str">
        <x:v>Current detail page</x:v>
      </x:c>
    </x:row>
    <x:row r="1341" ht="52" customHeight="1">
      <x:c r="A1341" s="7" t="str">
        <x:v>GARCIA ELVA</x:v>
      </x:c>
      <x:c r="B1341" s="14" t="str">
        <x:f>"0G23982"</x:f>
        <x:v>0G23982</x:v>
      </x:c>
      <x:c r="C1341" s="7" t="str">
        <x:v>Omitted</x:v>
      </x:c>
      <x:c r="D1341" s="7" t="str">
        <x:v>FAIL</x:v>
      </x:c>
      <x:c r="E1341" s="13" t="str">
        <x:v>Pending</x:v>
      </x:c>
      <x:c r="F1341" s="13" t="str"/>
      <x:c r="G1341" s="13" t="str"/>
      <x:c r="H1341" s="13" t="str"/>
      <x:c r="I1341" s="7" t="str">
        <x:v>Was this person reviewed? If rejected, give the actual rule and evidence. If acceptable, correct the omission. Confirm the Life-qualification gate and any record change since selection.</x:v>
      </x:c>
      <x:c r="J1341" s="7" t="str">
        <x:v>L1</x:v>
      </x:c>
      <x:c r="K1341" s="7" t="str">
        <x:v>Verified qualifications do not include active general Life. Current target-pool mismatch; actual historical omission reason unknown.</x:v>
      </x:c>
      <x:c r="L1341" s="7" t="str">
        <x:v>Not supplied; membership is known, motive is not</x:v>
      </x:c>
      <x:c r="M1341" s="7" t="n">
        <x:v>7</x:v>
      </x:c>
      <x:c r="N1341" s="7" t="str">
        <x:v>Outside current general-Life recruiting pool</x:v>
      </x:c>
      <x:c r="O1341" s="7" t="str">
        <x:v>Not displayed</x:v>
      </x:c>
      <x:c r="P1341" s="7" t="str"/>
      <x:c r="Q1341" s="7" t="str"/>
      <x:c r="R1341" s="7" t="str"/>
      <x:c r="S1341" s="15" t="str"/>
      <x:c r="T1341" s="7" t="str">
        <x:v>No public business phone in collected record</x:v>
      </x:c>
      <x:c r="U1341" s="7" t="str"/>
      <x:c r="V1341" s="7" t="str">
        <x:v>Non-resident</x:v>
      </x:c>
      <x:c r="W1341" s="7" t="str">
        <x:v>TX</x:v>
      </x:c>
      <x:c r="X1341" s="7" t="str"/>
      <x:c r="Y1341" s="7" t="str"/>
      <x:c r="Z1341" s="7" t="str"/>
      <x:c r="AA1341" s="7" t="str"/>
      <x:c r="AB1341" s="7" t="str"/>
      <x:c r="AC1341" s="7" t="str"/>
      <x:c r="AD1341" s="7" t="str">
        <x:v>No agency or insurer displayed: onboarding opportunity possible; existing business unknown</x:v>
      </x:c>
      <x:c r="AE1341" s="7" t="str">
        <x:v>Nonresident or address state outside CA; confirm geographic recruiting scope | No public business phone: contact enrichment needed, not proof of poor recruiting fit</x:v>
      </x:c>
      <x:c r="AF1341" s="16" t="str"/>
      <x:c r="AG1341" s="17" t="str"/>
      <x:c r="AH1341" s="7" t="str"/>
      <x:c r="AI1341" s="7" t="str"/>
      <x:c r="AJ1341" s="7" t="str"/>
      <x:c r="AK1341" s="15" t="str"/>
      <x:c r="AL1341" s="7" t="str"/>
      <x:c r="AM1341" s="7" t="str">
        <x:v>AGUILAR GARCIA ELVA</x:v>
      </x:c>
      <x:c r="AN1341" s="7" t="str">
        <x:v>https://cdicloud.insurance.ca.gov/cal/LicenseDetail?SearchType=IND&amp;SearchLicNbr=0G23982&amp;SearchIndvId=1171086</x:v>
      </x:c>
      <x:c r="AO1341" s="7" t="str">
        <x:v>2026-10-08</x:v>
      </x:c>
      <x:c r="AP1341" s="7" t="str">
        <x:v>a66c9e7e7aeb88d240bc292ba7a01188f4c91b3c36c1ad2fc61f31e0a2620e7e</x:v>
      </x:c>
      <x:c r="AQ1341" s="7" t="str">
        <x:v>Casualty Broker-Agent / Inactive / 07/28/2008 / 07/31/2014 / 07/31/2014
Property Broker-Agent / Inactive / 07/28/2008 / 07/31/2014 / 07/31/2014</x:v>
      </x:c>
      <x:c r="AR1341" s="7" t="str">
        <x:v>Inactive</x:v>
      </x:c>
      <x:c r="AS1341" s="7" t="str">
        <x:v>Current detail page</x:v>
      </x:c>
    </x:row>
    <x:row r="1342" ht="52" customHeight="1">
      <x:c r="A1342" s="7" t="str">
        <x:v>GUZMAN GERARDO</x:v>
      </x:c>
      <x:c r="B1342" s="14" t="str">
        <x:f>"0F04215"</x:f>
        <x:v>0F04215</x:v>
      </x:c>
      <x:c r="C1342" s="7" t="str">
        <x:v>Omitted</x:v>
      </x:c>
      <x:c r="D1342" s="7" t="str">
        <x:v>FAIL</x:v>
      </x:c>
      <x:c r="E1342" s="13" t="str">
        <x:v>Pending</x:v>
      </x:c>
      <x:c r="F1342" s="13" t="str"/>
      <x:c r="G1342" s="13" t="str"/>
      <x:c r="H1342" s="13" t="str"/>
      <x:c r="I1342" s="7" t="str">
        <x:v>Was this person reviewed? If rejected, give the actual rule and evidence. If acceptable, correct the omission. Confirm the Life-qualification gate and any record change since selection.</x:v>
      </x:c>
      <x:c r="J1342" s="7" t="str">
        <x:v>L1</x:v>
      </x:c>
      <x:c r="K1342" s="7" t="str">
        <x:v>Verified qualifications do not include active general Life. Current target-pool mismatch; actual historical omission reason unknown.</x:v>
      </x:c>
      <x:c r="L1342" s="7" t="str">
        <x:v>Not supplied; membership is known, motive is not</x:v>
      </x:c>
      <x:c r="M1342" s="7" t="n">
        <x:v>7</x:v>
      </x:c>
      <x:c r="N1342" s="7" t="str">
        <x:v>Outside current general-Life recruiting pool</x:v>
      </x:c>
      <x:c r="O1342" s="7" t="str">
        <x:v>Not displayed</x:v>
      </x:c>
      <x:c r="P1342" s="7" t="str"/>
      <x:c r="Q1342" s="7" t="str"/>
      <x:c r="R1342" s="7" t="str"/>
      <x:c r="S1342" s="15" t="str"/>
      <x:c r="T1342" s="7" t="str">
        <x:v>No public business phone in collected record</x:v>
      </x:c>
      <x:c r="U1342" s="7" t="str"/>
      <x:c r="V1342" s="7" t="str">
        <x:v>Resident</x:v>
      </x:c>
      <x:c r="W1342" s="7" t="str">
        <x:v>CA</x:v>
      </x:c>
      <x:c r="X1342" s="7" t="str"/>
      <x:c r="Y1342" s="7" t="str"/>
      <x:c r="Z1342" s="7" t="str"/>
      <x:c r="AA1342" s="7" t="str"/>
      <x:c r="AB1342" s="7" t="str"/>
      <x:c r="AC1342" s="7" t="str"/>
      <x:c r="AD1342" s="7" t="str">
        <x:v>No agency or insurer displayed: onboarding opportunity possible; existing business unknown</x:v>
      </x:c>
      <x:c r="AE1342" s="7" t="str">
        <x:v>No public business phone: contact enrichment needed, not proof of poor recruiting fit</x:v>
      </x:c>
      <x:c r="AF1342" s="16" t="str"/>
      <x:c r="AG1342" s="17" t="str"/>
      <x:c r="AH1342" s="7" t="str"/>
      <x:c r="AI1342" s="7" t="str"/>
      <x:c r="AJ1342" s="7" t="str"/>
      <x:c r="AK1342" s="15" t="str"/>
      <x:c r="AL1342" s="7" t="str"/>
      <x:c r="AM1342" s="7" t="str">
        <x:v>AGUILAR  GERARDO</x:v>
      </x:c>
      <x:c r="AN1342" s="7" t="str">
        <x:v>https://cdicloud.insurance.ca.gov/cal/LicenseDetail?SearchType=IND&amp;SearchLicNbr=0F04215&amp;SearchIndvId=987218</x:v>
      </x:c>
      <x:c r="AO1342" s="7" t="str">
        <x:v>2026-10-08</x:v>
      </x:c>
      <x:c r="AP1342" s="7" t="str">
        <x:v>e940316b131f1212485df23701140da7ab54d7ec34dfdfed26ad257236b7a95e</x:v>
      </x:c>
      <x:c r="AQ1342" s="7" t="str">
        <x:v>Accident and Health / Inactive / 01/04/2006 / 01/31/2008 / 01/31/2008
Life-Only / Inactive / 01/04/2006 / 01/31/2014 / 01/31/2014</x:v>
      </x:c>
      <x:c r="AR1342" s="7" t="str">
        <x:v>Inactive</x:v>
      </x:c>
      <x:c r="AS1342" s="7" t="str">
        <x:v>Current detail page</x:v>
      </x:c>
    </x:row>
    <x:row r="1343" ht="52" customHeight="1">
      <x:c r="A1343" s="7" t="str">
        <x:v>HARMON CHRISTINE JOANNE</x:v>
      </x:c>
      <x:c r="B1343" s="14" t="str">
        <x:f>"0B78410"</x:f>
        <x:v>0B78410</x:v>
      </x:c>
      <x:c r="C1343" s="7" t="str">
        <x:v>Omitted</x:v>
      </x:c>
      <x:c r="D1343" s="7" t="str">
        <x:v>FAIL</x:v>
      </x:c>
      <x:c r="E1343" s="13" t="str">
        <x:v>Pending</x:v>
      </x:c>
      <x:c r="F1343" s="13" t="str"/>
      <x:c r="G1343" s="13" t="str"/>
      <x:c r="H1343" s="13" t="str"/>
      <x:c r="I1343" s="7" t="str">
        <x:v>Was this person reviewed? If rejected, give the actual rule and evidence. If acceptable, correct the omission. Confirm the Life-qualification gate and any record change since selection.</x:v>
      </x:c>
      <x:c r="J1343" s="7" t="str">
        <x:v>L1</x:v>
      </x:c>
      <x:c r="K1343" s="7" t="str">
        <x:v>Verified qualifications do not include active general Life. Current target-pool mismatch; actual historical omission reason unknown.</x:v>
      </x:c>
      <x:c r="L1343" s="7" t="str">
        <x:v>Not supplied; membership is known, motive is not</x:v>
      </x:c>
      <x:c r="M1343" s="7" t="n">
        <x:v>7</x:v>
      </x:c>
      <x:c r="N1343" s="7" t="str">
        <x:v>Outside current general-Life recruiting pool</x:v>
      </x:c>
      <x:c r="O1343" s="7" t="str">
        <x:v>Inactive</x:v>
      </x:c>
      <x:c r="P1343" s="7" t="str">
        <x:v>03/12/2014</x:v>
      </x:c>
      <x:c r="Q1343" s="7" t="str">
        <x:v>04/30/2022</x:v>
      </x:c>
      <x:c r="R1343" s="7" t="str"/>
      <x:c r="S1343" s="15" t="str"/>
      <x:c r="T1343" s="7" t="str">
        <x:v>No public business phone in collected record</x:v>
      </x:c>
      <x:c r="U1343" s="7" t="str">
        <x:v>610 MAIN ST HARTVILLE WY, 82215-5012</x:v>
      </x:c>
      <x:c r="V1343" s="7" t="str">
        <x:v>Non-resident</x:v>
      </x:c>
      <x:c r="W1343" s="7" t="str">
        <x:v>WY</x:v>
      </x:c>
      <x:c r="X1343" s="7" t="str"/>
      <x:c r="Y1343" s="7" t="str"/>
      <x:c r="Z1343" s="7" t="str"/>
      <x:c r="AA1343" s="7" t="str"/>
      <x:c r="AB1343" s="7" t="str"/>
      <x:c r="AC1343" s="7" t="str"/>
      <x:c r="AD1343" s="7" t="str">
        <x:v>No agency or insurer displayed: onboarding opportunity possible; existing business unknown</x:v>
      </x:c>
      <x:c r="AE1343" s="7" t="str">
        <x:v>Nonresident or address state outside CA; confirm geographic recruiting scope | No public business phone: contact enrichment needed, not proof of poor recruiting fit</x:v>
      </x:c>
      <x:c r="AF1343" s="16" t="str"/>
      <x:c r="AG1343" s="17" t="str"/>
      <x:c r="AH1343" s="7" t="str"/>
      <x:c r="AI1343" s="7" t="str"/>
      <x:c r="AJ1343" s="7" t="str"/>
      <x:c r="AK1343" s="15" t="str"/>
      <x:c r="AL1343" s="7" t="str"/>
      <x:c r="AM1343" s="7" t="str">
        <x:v>AGUILAR JOANNE CHRISTINE</x:v>
      </x:c>
      <x:c r="AN1343" s="7" t="str">
        <x:v>https://cdicloud.insurance.ca.gov/cal/LicenseDetail?SearchType=IND&amp;SearchLicNbr=0B78410&amp;SearchIndvId=256203</x:v>
      </x:c>
      <x:c r="AO1343" s="7" t="str">
        <x:v>2026-10-08</x:v>
      </x:c>
      <x:c r="AP1343" s="7" t="str">
        <x:v>efdb8ccfc4b4c12584401ca08a43cadde70a5f71a054bd004ea30eb19d88099c</x:v>
      </x:c>
      <x:c r="AQ1343" s="7" t="str">
        <x:v>Accident &amp; Health or Sickness / Inactive / 03/12/2014 / 04/30/2022 / 04/30/2022
Life / Inactive / 03/12/2014 / 04/30/2022 / 04/30/2022</x:v>
      </x:c>
      <x:c r="AR1343" s="7" t="str">
        <x:v>Inactive</x:v>
      </x:c>
      <x:c r="AS1343" s="7" t="str">
        <x:v>Current detail page</x:v>
      </x:c>
    </x:row>
    <x:row r="1344" ht="52" customHeight="1">
      <x:c r="A1344" s="7" t="str">
        <x:v>JOHNSON CATHLEEN HOPE</x:v>
      </x:c>
      <x:c r="B1344" s="14" t="str">
        <x:f>"0E85936"</x:f>
        <x:v>0E85936</x:v>
      </x:c>
      <x:c r="C1344" s="7" t="str">
        <x:v>Omitted</x:v>
      </x:c>
      <x:c r="D1344" s="7" t="str">
        <x:v>FAIL</x:v>
      </x:c>
      <x:c r="E1344" s="13" t="str">
        <x:v>Pending</x:v>
      </x:c>
      <x:c r="F1344" s="13" t="str"/>
      <x:c r="G1344" s="13" t="str"/>
      <x:c r="H1344" s="13" t="str"/>
      <x:c r="I1344" s="7" t="str">
        <x:v>Was this person reviewed? If rejected, give the actual rule and evidence. If acceptable, correct the omission. Confirm the Life-qualification gate and any record change since selection.</x:v>
      </x:c>
      <x:c r="J1344" s="7" t="str">
        <x:v>L1</x:v>
      </x:c>
      <x:c r="K1344" s="7" t="str">
        <x:v>Verified qualifications do not include active general Life. Current target-pool mismatch; actual historical omission reason unknown.</x:v>
      </x:c>
      <x:c r="L1344" s="7" t="str">
        <x:v>Not supplied; membership is known, motive is not</x:v>
      </x:c>
      <x:c r="M1344" s="7" t="n">
        <x:v>7</x:v>
      </x:c>
      <x:c r="N1344" s="7" t="str">
        <x:v>Outside current general-Life recruiting pool</x:v>
      </x:c>
      <x:c r="O1344" s="7" t="str">
        <x:v>Not displayed</x:v>
      </x:c>
      <x:c r="P1344" s="7" t="str"/>
      <x:c r="Q1344" s="7" t="str"/>
      <x:c r="R1344" s="7" t="str">
        <x:v>Casualty; Property</x:v>
      </x:c>
      <x:c r="S1344" s="15" t="str">
        <x:v>210-282-1888</x:v>
      </x:c>
      <x:c r="T1344" s="7" t="str">
        <x:v>Current CDI</x:v>
      </x:c>
      <x:c r="U1344" s="7" t="str">
        <x:v>9800 FREDERICKSBURG RD SAN ANTONIO TX, 78288--0434</x:v>
      </x:c>
      <x:c r="V1344" s="7" t="str">
        <x:v>Non-resident</x:v>
      </x:c>
      <x:c r="W1344" s="7" t="str">
        <x:v>TX</x:v>
      </x:c>
      <x:c r="X1344" s="7" t="str">
        <x:v>USAA INSURANCE AGENCY, INC. / Casualty / 02/03/2020
USAA INSURANCE AGENCY, INC. / Property / 02/03/2020</x:v>
      </x:c>
      <x:c r="Y1344" s="7" t="str">
        <x:v>GARRISON PROPERTY AND CASUALTY INSURANCE COMPANY / Casualty / 06/25/2019
GARRISON PROPERTY AND CASUALTY INSURANCE COMPANY / Property / 06/25/2019
UNITED SERVICES AUTOMOBILE ASSOCIATION / Casualty / 06/25/2019
UNITED SERVICES AUTOMOBILE ASSOCIATION / Property / 06/25/2019
USAA CASUALTY INSURANCE COMPANY / Casualty / 06/25/2019
USAA CASUALTY INSURANCE COMPANY / Property / 06/25/2019
USAA GENERAL INDEMNITY COMPANY / Casualty / 06/25/2019
USAA GENERAL INDEMNITY COMPANY / Property / 06/25/2019</x:v>
      </x:c>
      <x:c r="Z1344" s="7" t="str"/>
      <x:c r="AA1344" s="7" t="str"/>
      <x:c r="AB1344" s="7" t="str"/>
      <x:c r="AC1344" s="7" t="str"/>
      <x:c r="AD1344" s="7" t="str"/>
      <x:c r="AE1344" s="7" t="str">
        <x:v>P&amp;C/Personal Lines authority without displayed core Life appointments; mixed profile requires review | Nonresident or address state outside CA; confirm geographic recruiting scope</x:v>
      </x:c>
      <x:c r="AF1344" s="16" t="str"/>
      <x:c r="AG1344" s="17" t="str"/>
      <x:c r="AH1344" s="7" t="str"/>
      <x:c r="AI1344" s="7" t="str">
        <x:v>English</x:v>
      </x:c>
      <x:c r="AJ1344" s="7" t="str"/>
      <x:c r="AK1344" s="15" t="str"/>
      <x:c r="AL1344" s="7" t="str"/>
      <x:c r="AM1344" s="7" t="str">
        <x:v>AGUILAR HOPE CATHLEEN</x:v>
      </x:c>
      <x:c r="AN1344" s="7" t="str">
        <x:v>https://cdicloud.insurance.ca.gov/cal/LicenseDetail?SearchType=IND&amp;SearchLicNbr=0E85936&amp;SearchIndvId=960214</x:v>
      </x:c>
      <x:c r="AO1344" s="7" t="str">
        <x:v>2026-10-08</x:v>
      </x:c>
      <x:c r="AP1344" s="7" t="str">
        <x:v>cf10cc68312675c960ff0d43d1002ff2a9acc12c952d9cd962d3df546f98d702</x:v>
      </x:c>
      <x:c r="AQ1344" s="7" t="str">
        <x:v>Casualty / Active / 07/14/2005 / 07/14/2005 / 07/31/2027
Property / Active / 07/14/2005 / 07/14/2005 / 07/31/2027</x:v>
      </x:c>
      <x:c r="AR1344" s="7" t="str">
        <x:v>Active</x:v>
      </x:c>
      <x:c r="AS1344" s="7" t="str">
        <x:v>Current detail page</x:v>
      </x:c>
    </x:row>
    <x:row r="1345" ht="52" customHeight="1">
      <x:c r="A1345" s="7" t="str">
        <x:v>JOHNSON KIMBERLY NICOLE</x:v>
      </x:c>
      <x:c r="B1345" s="14" t="str">
        <x:f>"4225776"</x:f>
        <x:v>4225776</x:v>
      </x:c>
      <x:c r="C1345" s="7" t="str">
        <x:v>Omitted</x:v>
      </x:c>
      <x:c r="D1345" s="7" t="str">
        <x:v>FAIL</x:v>
      </x:c>
      <x:c r="E1345" s="13" t="str">
        <x:v>Pending</x:v>
      </x:c>
      <x:c r="F1345" s="13" t="str"/>
      <x:c r="G1345" s="13" t="str"/>
      <x:c r="H1345" s="13" t="str"/>
      <x:c r="I1345" s="7" t="str">
        <x:v>Was this person reviewed? If rejected, give the actual rule and evidence. If acceptable, correct the omission. Confirm the Life-qualification gate and any record change since selection.</x:v>
      </x:c>
      <x:c r="J1345" s="7" t="str">
        <x:v>L1</x:v>
      </x:c>
      <x:c r="K1345" s="7" t="str">
        <x:v>Verified qualifications do not include active general Life. Current target-pool mismatch; actual historical omission reason unknown.</x:v>
      </x:c>
      <x:c r="L1345" s="7" t="str">
        <x:v>Not supplied; membership is known, motive is not</x:v>
      </x:c>
      <x:c r="M1345" s="7" t="n">
        <x:v>7</x:v>
      </x:c>
      <x:c r="N1345" s="7" t="str">
        <x:v>Outside current general-Life recruiting pool</x:v>
      </x:c>
      <x:c r="O1345" s="7" t="str">
        <x:v>Not displayed</x:v>
      </x:c>
      <x:c r="P1345" s="7" t="str"/>
      <x:c r="Q1345" s="7" t="str"/>
      <x:c r="R1345" s="7" t="str">
        <x:v>Casualty; Property</x:v>
      </x:c>
      <x:c r="S1345" s="15" t="str">
        <x:v>760-304-7357</x:v>
      </x:c>
      <x:c r="T1345" s="7" t="str">
        <x:v>Current CDI</x:v>
      </x:c>
      <x:c r="U1345" s="7" t="str">
        <x:v>30027 VIA AMANTE MENIFEE CA, 92584-8916</x:v>
      </x:c>
      <x:c r="V1345" s="7" t="str">
        <x:v>Resident</x:v>
      </x:c>
      <x:c r="W1345" s="7" t="str">
        <x:v>CA</x:v>
      </x:c>
      <x:c r="X1345" s="7" t="str">
        <x:v>ALLIANT INSURANCE SERVICES, INC. / Casualty / 10/03/2022
ALLIANT INSURANCE SERVICES, INC. / Property / 10/03/2022</x:v>
      </x:c>
      <x:c r="Y1345" s="7" t="str">
        <x:v>PACIFIC COMPENSATION INSURANCE COMPANY / Casualty / 08/25/2023
PACIFIC COMPENSATION INSURANCE COMPANY / Property / 08/25/2023</x:v>
      </x:c>
      <x:c r="Z1345" s="7" t="str"/>
      <x:c r="AA1345" s="7" t="str"/>
      <x:c r="AB1345" s="7" t="str"/>
      <x:c r="AC1345" s="7" t="str"/>
      <x:c r="AD1345" s="7" t="str"/>
      <x:c r="AE1345" s="7" t="str">
        <x:v>P&amp;C/Personal Lines authority without displayed core Life appointments; mixed profile requires review</x:v>
      </x:c>
      <x:c r="AF1345" s="16" t="str"/>
      <x:c r="AG1345" s="17" t="str"/>
      <x:c r="AH1345" s="7" t="str"/>
      <x:c r="AI1345" s="7" t="str">
        <x:v>English</x:v>
      </x:c>
      <x:c r="AJ1345" s="7" t="str"/>
      <x:c r="AK1345" s="15" t="str"/>
      <x:c r="AL1345" s="7" t="str"/>
      <x:c r="AM1345" s="7" t="str">
        <x:v>AGUILAR NICOLE KIMBERLY</x:v>
      </x:c>
      <x:c r="AN1345" s="7" t="str">
        <x:v>https://cdicloud.insurance.ca.gov/cal/LicenseDetail?SearchType=IND&amp;SearchLicNbr=4225776&amp;SearchIndvId=4225776</x:v>
      </x:c>
      <x:c r="AO1345" s="7" t="str">
        <x:v>2026-10-08</x:v>
      </x:c>
      <x:c r="AP1345" s="7" t="str">
        <x:v>d51750c99fc36ff2945811cc5c0135d8d4a5443316a30da3d592534052ca6f73</x:v>
      </x:c>
      <x:c r="AQ1345" s="7" t="str">
        <x:v>Casualty / Active / 08/16/2022 / 08/16/2022 / 08/31/2028
Property / Active / 08/16/2022 / 08/16/2022 / 08/31/2028</x:v>
      </x:c>
      <x:c r="AR1345" s="7" t="str">
        <x:v>Active</x:v>
      </x:c>
      <x:c r="AS1345" s="7" t="str">
        <x:v>Current detail page</x:v>
      </x:c>
    </x:row>
    <x:row r="1346" ht="52" customHeight="1">
      <x:c r="A1346" s="7" t="str">
        <x:v>JURADO DANIELLE</x:v>
      </x:c>
      <x:c r="B1346" s="14" t="str">
        <x:f>"0I45098"</x:f>
        <x:v>0I45098</x:v>
      </x:c>
      <x:c r="C1346" s="7" t="str">
        <x:v>Omitted</x:v>
      </x:c>
      <x:c r="D1346" s="7" t="str">
        <x:v>FAIL</x:v>
      </x:c>
      <x:c r="E1346" s="13" t="str">
        <x:v>Pending</x:v>
      </x:c>
      <x:c r="F1346" s="13" t="str"/>
      <x:c r="G1346" s="13" t="str"/>
      <x:c r="H1346" s="13" t="str"/>
      <x:c r="I1346" s="7" t="str">
        <x:v>Was this person reviewed? If rejected, give the actual rule and evidence. If acceptable, correct the omission. Confirm the Life-qualification gate and any record change since selection.</x:v>
      </x:c>
      <x:c r="J1346" s="7" t="str">
        <x:v>L1</x:v>
      </x:c>
      <x:c r="K1346" s="7" t="str">
        <x:v>Verified qualifications do not include active general Life. Current target-pool mismatch; actual historical omission reason unknown.</x:v>
      </x:c>
      <x:c r="L1346" s="7" t="str">
        <x:v>Not supplied; membership is known, motive is not</x:v>
      </x:c>
      <x:c r="M1346" s="7" t="n">
        <x:v>7</x:v>
      </x:c>
      <x:c r="N1346" s="7" t="str">
        <x:v>Outside current general-Life recruiting pool</x:v>
      </x:c>
      <x:c r="O1346" s="7" t="str">
        <x:v>Not displayed</x:v>
      </x:c>
      <x:c r="P1346" s="7" t="str"/>
      <x:c r="Q1346" s="7" t="str"/>
      <x:c r="R1346" s="7" t="str"/>
      <x:c r="S1346" s="15" t="str"/>
      <x:c r="T1346" s="7" t="str">
        <x:v>No public business phone in collected record</x:v>
      </x:c>
      <x:c r="U1346" s="7" t="str"/>
      <x:c r="V1346" s="7" t="str">
        <x:v>Non-resident</x:v>
      </x:c>
      <x:c r="W1346" s="7" t="str">
        <x:v>TX</x:v>
      </x:c>
      <x:c r="X1346" s="7" t="str"/>
      <x:c r="Y1346" s="7" t="str"/>
      <x:c r="Z1346" s="7" t="str"/>
      <x:c r="AA1346" s="7" t="str"/>
      <x:c r="AB1346" s="7" t="str"/>
      <x:c r="AC1346" s="7" t="str"/>
      <x:c r="AD1346" s="7" t="str">
        <x:v>No agency or insurer displayed: onboarding opportunity possible; existing business unknown</x:v>
      </x:c>
      <x:c r="AE1346" s="7" t="str">
        <x:v>Nonresident or address state outside CA; confirm geographic recruiting scope | No public business phone: contact enrichment needed, not proof of poor recruiting fit</x:v>
      </x:c>
      <x:c r="AF1346" s="16" t="str"/>
      <x:c r="AG1346" s="17" t="str"/>
      <x:c r="AH1346" s="7" t="str"/>
      <x:c r="AI1346" s="7" t="str"/>
      <x:c r="AJ1346" s="7" t="str"/>
      <x:c r="AK1346" s="15" t="str"/>
      <x:c r="AL1346" s="7" t="str"/>
      <x:c r="AM1346" s="7" t="str">
        <x:v>AGUILAR  DANIELLE</x:v>
      </x:c>
      <x:c r="AN1346" s="7" t="str">
        <x:v>https://cdicloud.insurance.ca.gov/cal/LicenseDetail?SearchType=IND&amp;SearchLicNbr=0I45098&amp;SearchIndvId=1596438</x:v>
      </x:c>
      <x:c r="AO1346" s="7" t="str">
        <x:v>2026-10-08</x:v>
      </x:c>
      <x:c r="AP1346" s="7" t="str">
        <x:v>576644934153f78b3cb1ae7cb403b3b870eac2b35b1d0aae2a5ce56d8e1f52b0</x:v>
      </x:c>
      <x:c r="AQ1346" s="7" t="str">
        <x:v>Personal Lines / Inactive / 07/18/2013 / 07/31/2021 / 07/31/2021</x:v>
      </x:c>
      <x:c r="AR1346" s="7" t="str">
        <x:v>Inactive</x:v>
      </x:c>
      <x:c r="AS1346" s="7" t="str">
        <x:v>Current detail page</x:v>
      </x:c>
    </x:row>
    <x:row r="1347" ht="52" customHeight="1">
      <x:c r="A1347" s="7" t="str">
        <x:v>LAVEAGA BRENDA YRAXEMA</x:v>
      </x:c>
      <x:c r="B1347" s="14" t="str">
        <x:f>"0J16845"</x:f>
        <x:v>0J16845</x:v>
      </x:c>
      <x:c r="C1347" s="7" t="str">
        <x:v>Omitted</x:v>
      </x:c>
      <x:c r="D1347" s="7" t="str">
        <x:v>FAIL</x:v>
      </x:c>
      <x:c r="E1347" s="13" t="str">
        <x:v>Pending</x:v>
      </x:c>
      <x:c r="F1347" s="13" t="str"/>
      <x:c r="G1347" s="13" t="str"/>
      <x:c r="H1347" s="13" t="str"/>
      <x:c r="I1347" s="7" t="str">
        <x:v>Was this person reviewed? If rejected, give the actual rule and evidence. If acceptable, correct the omission. Confirm the Life-qualification gate and any record change since selection.</x:v>
      </x:c>
      <x:c r="J1347" s="7" t="str">
        <x:v>L1</x:v>
      </x:c>
      <x:c r="K1347" s="7" t="str">
        <x:v>Verified qualifications do not include active general Life. Current target-pool mismatch; actual historical omission reason unknown.</x:v>
      </x:c>
      <x:c r="L1347" s="7" t="str">
        <x:v>Not supplied; membership is known, motive is not</x:v>
      </x:c>
      <x:c r="M1347" s="7" t="n">
        <x:v>7</x:v>
      </x:c>
      <x:c r="N1347" s="7" t="str">
        <x:v>Outside current general-Life recruiting pool</x:v>
      </x:c>
      <x:c r="O1347" s="7" t="str">
        <x:v>Not displayed</x:v>
      </x:c>
      <x:c r="P1347" s="7" t="str"/>
      <x:c r="Q1347" s="7" t="str"/>
      <x:c r="R1347" s="7" t="str"/>
      <x:c r="S1347" s="15" t="str"/>
      <x:c r="T1347" s="7" t="str">
        <x:v>No public business phone in collected record</x:v>
      </x:c>
      <x:c r="U1347" s="7" t="str"/>
      <x:c r="V1347" s="7" t="str">
        <x:v>Resident</x:v>
      </x:c>
      <x:c r="W1347" s="7" t="str">
        <x:v>CA</x:v>
      </x:c>
      <x:c r="X1347" s="7" t="str"/>
      <x:c r="Y1347" s="7" t="str"/>
      <x:c r="Z1347" s="7" t="str"/>
      <x:c r="AA1347" s="7" t="str"/>
      <x:c r="AB1347" s="7" t="str"/>
      <x:c r="AC1347" s="7" t="str"/>
      <x:c r="AD1347" s="7" t="str">
        <x:v>No agency or insurer displayed: onboarding opportunity possible; existing business unknown</x:v>
      </x:c>
      <x:c r="AE1347" s="7" t="str">
        <x:v>No public business phone: contact enrichment needed, not proof of poor recruiting fit</x:v>
      </x:c>
      <x:c r="AF1347" s="16" t="str"/>
      <x:c r="AG1347" s="17" t="str"/>
      <x:c r="AH1347" s="7" t="str"/>
      <x:c r="AI1347" s="7" t="str"/>
      <x:c r="AJ1347" s="7" t="str"/>
      <x:c r="AK1347" s="15" t="str"/>
      <x:c r="AL1347" s="7" t="str"/>
      <x:c r="AM1347" s="7" t="str">
        <x:v>AGUILAR LAVEAGA YRAXEMA BRENDA</x:v>
      </x:c>
      <x:c r="AN1347" s="7" t="str">
        <x:v>https://cdicloud.insurance.ca.gov/cal/LicenseDetail?SearchType=IND&amp;SearchLicNbr=0J16845&amp;SearchIndvId=1713620</x:v>
      </x:c>
      <x:c r="AO1347" s="7" t="str">
        <x:v>2026-10-08</x:v>
      </x:c>
      <x:c r="AP1347" s="7" t="str">
        <x:v>a85cb2db5b582d6f15fa7d11e88791b1903b33cf500104376755ec6ac4434f6a</x:v>
      </x:c>
      <x:c r="AQ1347" s="7" t="str">
        <x:v>Life-Only / Inactive / 10/29/2014 / 06/30/2020 / 06/30/2020</x:v>
      </x:c>
      <x:c r="AR1347" s="7" t="str">
        <x:v>Inactive</x:v>
      </x:c>
      <x:c r="AS1347" s="7" t="str">
        <x:v>Current detail page</x:v>
      </x:c>
    </x:row>
    <x:row r="1348" ht="52" customHeight="1">
      <x:c r="A1348" s="7" t="str">
        <x:v>MATA UNI JAAZIEL</x:v>
      </x:c>
      <x:c r="B1348" s="14" t="str">
        <x:f>"0E21631"</x:f>
        <x:v>0E21631</x:v>
      </x:c>
      <x:c r="C1348" s="7" t="str">
        <x:v>Omitted</x:v>
      </x:c>
      <x:c r="D1348" s="7" t="str">
        <x:v>FAIL</x:v>
      </x:c>
      <x:c r="E1348" s="13" t="str">
        <x:v>Pending</x:v>
      </x:c>
      <x:c r="F1348" s="13" t="str"/>
      <x:c r="G1348" s="13" t="str"/>
      <x:c r="H1348" s="13" t="str"/>
      <x:c r="I1348" s="7" t="str">
        <x:v>Was this person reviewed? If rejected, give the actual rule and evidence. If acceptable, correct the omission. Confirm the Life-qualification gate and any record change since selection.</x:v>
      </x:c>
      <x:c r="J1348" s="7" t="str">
        <x:v>L1</x:v>
      </x:c>
      <x:c r="K1348" s="7" t="str">
        <x:v>Verified qualifications do not include active general Life. Current target-pool mismatch; actual historical omission reason unknown.</x:v>
      </x:c>
      <x:c r="L1348" s="7" t="str">
        <x:v>Not supplied; membership is known, motive is not</x:v>
      </x:c>
      <x:c r="M1348" s="7" t="n">
        <x:v>7</x:v>
      </x:c>
      <x:c r="N1348" s="7" t="str">
        <x:v>Outside current general-Life recruiting pool</x:v>
      </x:c>
      <x:c r="O1348" s="7" t="str">
        <x:v>Not displayed</x:v>
      </x:c>
      <x:c r="P1348" s="7" t="str"/>
      <x:c r="Q1348" s="7" t="str"/>
      <x:c r="R1348" s="7" t="str"/>
      <x:c r="S1348" s="15" t="str"/>
      <x:c r="T1348" s="7" t="str">
        <x:v>No public business phone in collected record</x:v>
      </x:c>
      <x:c r="U1348" s="7" t="str"/>
      <x:c r="V1348" s="7" t="str">
        <x:v>Resident</x:v>
      </x:c>
      <x:c r="W1348" s="7" t="str">
        <x:v>CA</x:v>
      </x:c>
      <x:c r="X1348" s="7" t="str"/>
      <x:c r="Y1348" s="7" t="str"/>
      <x:c r="Z1348" s="7" t="str"/>
      <x:c r="AA1348" s="7" t="str"/>
      <x:c r="AB1348" s="7" t="str"/>
      <x:c r="AC1348" s="7" t="str"/>
      <x:c r="AD1348" s="7" t="str">
        <x:v>No agency or insurer displayed: onboarding opportunity possible; existing business unknown</x:v>
      </x:c>
      <x:c r="AE1348" s="7" t="str">
        <x:v>No public business phone: contact enrichment needed, not proof of poor recruiting fit</x:v>
      </x:c>
      <x:c r="AF1348" s="16" t="str"/>
      <x:c r="AG1348" s="17" t="str"/>
      <x:c r="AH1348" s="7" t="str"/>
      <x:c r="AI1348" s="7" t="str"/>
      <x:c r="AJ1348" s="7" t="str"/>
      <x:c r="AK1348" s="15" t="str"/>
      <x:c r="AL1348" s="7" t="str"/>
      <x:c r="AM1348" s="7" t="str">
        <x:v>AGUILAR JAAZIEL UNI</x:v>
      </x:c>
      <x:c r="AN1348" s="7" t="str">
        <x:v>https://cdicloud.insurance.ca.gov/cal/LicenseDetail?SearchType=IND&amp;SearchLicNbr=0E21631&amp;SearchIndvId=870034</x:v>
      </x:c>
      <x:c r="AO1348" s="7" t="str">
        <x:v>2026-10-08</x:v>
      </x:c>
      <x:c r="AP1348" s="7" t="str">
        <x:v>e3ce00aac63b60c0b203f47fac0034fab382724ef6c46b73254ec278c69be668</x:v>
      </x:c>
      <x:c r="AQ1348" s="7" t="str">
        <x:v>Accident and Health / Inactive / 02/27/2008 / 11/30/2019 / 11/30/2019
Casualty Broker-Agent / Inactive / 11/06/2003 / 11/30/2019 / 11/30/2019
Life-Only / Inactive / 02/27/2008 / 11/30/2019 / 11/30/2019
Property Broker-Agent / Inactive / 11/06/2003 / 11/30/2019 / 11/30/2019</x:v>
      </x:c>
      <x:c r="AR1348" s="7" t="str">
        <x:v>Inactive</x:v>
      </x:c>
      <x:c r="AS1348" s="7" t="str">
        <x:v>Current detail page</x:v>
      </x:c>
    </x:row>
    <x:row r="1349" ht="52" customHeight="1">
      <x:c r="A1349" s="7" t="str">
        <x:v>MATEDNE ANGELICA NOEMI</x:v>
      </x:c>
      <x:c r="B1349" s="14" t="str">
        <x:f>"4220199"</x:f>
        <x:v>4220199</x:v>
      </x:c>
      <x:c r="C1349" s="7" t="str">
        <x:v>Omitted</x:v>
      </x:c>
      <x:c r="D1349" s="7" t="str">
        <x:v>FAIL</x:v>
      </x:c>
      <x:c r="E1349" s="13" t="str">
        <x:v>Pending</x:v>
      </x:c>
      <x:c r="F1349" s="13" t="str"/>
      <x:c r="G1349" s="13" t="str"/>
      <x:c r="H1349" s="13" t="str"/>
      <x:c r="I1349" s="7" t="str">
        <x:v>Was this person reviewed? If rejected, give the actual rule and evidence. If acceptable, correct the omission. Confirm the Life-qualification gate and any record change since selection.</x:v>
      </x:c>
      <x:c r="J1349" s="7" t="str">
        <x:v>L1</x:v>
      </x:c>
      <x:c r="K1349" s="7" t="str">
        <x:v>Verified qualifications do not include active general Life. Current target-pool mismatch; actual historical omission reason unknown.</x:v>
      </x:c>
      <x:c r="L1349" s="7" t="str">
        <x:v>Not supplied; membership is known, motive is not</x:v>
      </x:c>
      <x:c r="M1349" s="7" t="n">
        <x:v>7</x:v>
      </x:c>
      <x:c r="N1349" s="7" t="str">
        <x:v>Outside current general-Life recruiting pool</x:v>
      </x:c>
      <x:c r="O1349" s="7" t="str">
        <x:v>Not displayed</x:v>
      </x:c>
      <x:c r="P1349" s="7" t="str"/>
      <x:c r="Q1349" s="7" t="str"/>
      <x:c r="R1349" s="7" t="str">
        <x:v>Casualty; Property</x:v>
      </x:c>
      <x:c r="S1349" s="15" t="str"/>
      <x:c r="T1349" s="7" t="str">
        <x:v>No public business phone in collected record</x:v>
      </x:c>
      <x:c r="U1349" s="7" t="str">
        <x:v>16201 E INDIANA AVE STE 4000 SPOKANE VALLEY WA, 99216-2847</x:v>
      </x:c>
      <x:c r="V1349" s="7" t="str">
        <x:v>Non-resident</x:v>
      </x:c>
      <x:c r="W1349" s="7" t="str">
        <x:v>WA</x:v>
      </x:c>
      <x:c r="X1349" s="7" t="str"/>
      <x:c r="Y1349" s="7" t="str">
        <x:v>FARMINGTON CASUALTY COMPANY / Casualty / 03/28/2025
FARMINGTON CASUALTY COMPANY / Property / 03/28/2025
FIDELITY AND GUARANTY INSURANCE COMPANY / Casualty / 03/28/2025
FIDELITY AND GUARANTY INSURANCE COMPANY / Property / 03/28/2025
ST. PAUL FIRE AND MARINE INSURANCE COMPANY / Casualty / 03/28/2025
ST. PAUL FIRE AND MARINE INSURANCE COMPANY / Property / 03/28/2025
ST. PAUL GUARDIAN INSURANCE COMPANY / Casualty / 03/28/2025
ST. PAUL GUARDIAN INSURANCE COMPANY / Property / 03/28/2025
ST. PAUL MERCURY INSURANCE COMPANY / Casualty / 03/28/2025
ST. PAUL MERCURY INSURANCE COMPANY / Property / 03/28/2025
STANDARD FIRE INSURANCE COMPANY (THE) / Casualty / 03/28/2025
STANDARD FIRE INSURANCE COMPANY (THE) / Property / 03/28/2025
TRAVELERS CASUALTY COMPANY OF CONNECTICUT / Casualty / 07/30/2026
TRAVELERS CASUALTY COMPANY OF CONNECTICUT / Property / 07/30/2026
TRAVELERS CASUALTY INSURANCE COMPANY OF AMERICA / Casualty / 08/02/2022
TRAVELERS CASUALTY INSURANCE COMPANY OF AMERICA / Property / 08/02/2022
TRAVELERS INDEMNITY COMPANY OF CONNECTICUT (THE) / Casualty / 08/02/2022
TRAVELERS INDEMNITY COMPANY OF CONNECTICUT (THE) / Property / 08/02/2022
TRAVELERS PROPERTY CASUALTY COMPANY OF AMERICA / Casualty / 08/02/2022
TRAVELERS PROPERTY CASUALTY COMPANY OF AMERICA / Property / 08/02/2022</x:v>
      </x:c>
      <x:c r="Z1349" s="7" t="str"/>
      <x:c r="AA1349" s="7" t="str"/>
      <x:c r="AB1349" s="7" t="str"/>
      <x:c r="AC1349" s="7" t="str"/>
      <x:c r="AD1349" s="7" t="str"/>
      <x:c r="AE1349" s="7" t="str">
        <x:v>P&amp;C/Personal Lines authority without displayed core Life appointments; mixed profile requires review | Nonresident or address state outside CA; confirm geographic recruiting scope | No public business phone: contact enrichment needed, not proof of poor recruiting fit</x:v>
      </x:c>
      <x:c r="AF1349" s="16" t="str"/>
      <x:c r="AG1349" s="17" t="str"/>
      <x:c r="AH1349" s="7" t="str"/>
      <x:c r="AI1349" s="7" t="str"/>
      <x:c r="AJ1349" s="7" t="str"/>
      <x:c r="AK1349" s="15" t="str"/>
      <x:c r="AL1349" s="7" t="str"/>
      <x:c r="AM1349" s="7" t="str">
        <x:v>AGUILAR NOEMI ANGELICA</x:v>
      </x:c>
      <x:c r="AN1349" s="7" t="str">
        <x:v>https://cdicloud.insurance.ca.gov/cal/LicenseDetail?SearchType=IND&amp;SearchLicNbr=4220199&amp;SearchIndvId=4220199</x:v>
      </x:c>
      <x:c r="AO1349" s="7" t="str">
        <x:v>2026-10-08</x:v>
      </x:c>
      <x:c r="AP1349" s="7" t="str">
        <x:v>f692b807f164e944ab10139aaff29904259e892628aa9ce28fee002c99d29d19</x:v>
      </x:c>
      <x:c r="AQ1349" s="7" t="str">
        <x:v>Casualty / Active / 07/22/2022 / 07/22/2022 / 07/31/2028
Property / Active / 07/22/2022 / 07/22/2022 / 07/31/2028</x:v>
      </x:c>
      <x:c r="AR1349" s="7" t="str">
        <x:v>Active</x:v>
      </x:c>
      <x:c r="AS1349" s="7" t="str">
        <x:v>Current detail page</x:v>
      </x:c>
    </x:row>
    <x:row r="1350" ht="52" customHeight="1">
      <x:c r="A1350" s="7" t="str">
        <x:v>MENDEZ ESTHER MARIE</x:v>
      </x:c>
      <x:c r="B1350" s="14" t="str">
        <x:f>"0A99881"</x:f>
        <x:v>0A99881</x:v>
      </x:c>
      <x:c r="C1350" s="7" t="str">
        <x:v>Omitted</x:v>
      </x:c>
      <x:c r="D1350" s="7" t="str">
        <x:v>FAIL</x:v>
      </x:c>
      <x:c r="E1350" s="13" t="str">
        <x:v>Pending</x:v>
      </x:c>
      <x:c r="F1350" s="13" t="str"/>
      <x:c r="G1350" s="13" t="str"/>
      <x:c r="H1350" s="13" t="str"/>
      <x:c r="I1350" s="7" t="str">
        <x:v>Was this person reviewed? If rejected, give the actual rule and evidence. If acceptable, correct the omission. Confirm the Life-qualification gate and any record change since selection.</x:v>
      </x:c>
      <x:c r="J1350" s="7" t="str">
        <x:v>L1</x:v>
      </x:c>
      <x:c r="K1350" s="7" t="str">
        <x:v>Verified qualifications do not include active general Life. Current target-pool mismatch; actual historical omission reason unknown.</x:v>
      </x:c>
      <x:c r="L1350" s="7" t="str">
        <x:v>Not supplied; membership is known, motive is not</x:v>
      </x:c>
      <x:c r="M1350" s="7" t="n">
        <x:v>7</x:v>
      </x:c>
      <x:c r="N1350" s="7" t="str">
        <x:v>Outside current general-Life recruiting pool</x:v>
      </x:c>
      <x:c r="O1350" s="7" t="str">
        <x:v>Not displayed</x:v>
      </x:c>
      <x:c r="P1350" s="7" t="str"/>
      <x:c r="Q1350" s="7" t="str"/>
      <x:c r="R1350" s="7" t="str"/>
      <x:c r="S1350" s="15" t="str"/>
      <x:c r="T1350" s="7" t="str">
        <x:v>No public business phone in collected record</x:v>
      </x:c>
      <x:c r="U1350" s="7" t="str">
        <x:v>2125 S BROADWAY SUITE 107 SANTA MARIA CA, 93454</x:v>
      </x:c>
      <x:c r="V1350" s="7" t="str">
        <x:v>Resident</x:v>
      </x:c>
      <x:c r="W1350" s="7" t="str">
        <x:v>CA</x:v>
      </x:c>
      <x:c r="X1350" s="7" t="str"/>
      <x:c r="Y1350" s="7" t="str"/>
      <x:c r="Z1350" s="7" t="str"/>
      <x:c r="AA1350" s="7" t="str"/>
      <x:c r="AB1350" s="7" t="str"/>
      <x:c r="AC1350" s="7" t="str"/>
      <x:c r="AD1350" s="7" t="str">
        <x:v>No agency or insurer displayed: onboarding opportunity possible; existing business unknown</x:v>
      </x:c>
      <x:c r="AE1350" s="7" t="str">
        <x:v>No public business phone: contact enrichment needed, not proof of poor recruiting fit</x:v>
      </x:c>
      <x:c r="AF1350" s="16" t="str"/>
      <x:c r="AG1350" s="17" t="str"/>
      <x:c r="AH1350" s="7" t="str"/>
      <x:c r="AI1350" s="7" t="str"/>
      <x:c r="AJ1350" s="7" t="str"/>
      <x:c r="AK1350" s="15" t="str"/>
      <x:c r="AL1350" s="7" t="str"/>
      <x:c r="AM1350" s="7" t="str">
        <x:v>AGUILAR MARIE ESTHER</x:v>
      </x:c>
      <x:c r="AN1350" s="7" t="str">
        <x:v>https://cdicloud.insurance.ca.gov/cal/LicenseDetail?SearchType=IND&amp;SearchLicNbr=0A99881&amp;SearchIndvId=182317</x:v>
      </x:c>
      <x:c r="AO1350" s="7" t="str">
        <x:v>2026-10-08</x:v>
      </x:c>
      <x:c r="AP1350" s="7" t="str">
        <x:v>a11a4c7ddf458331e97ba2997d472f436d07018ee47ad716b9f3e52e45fd524a</x:v>
      </x:c>
      <x:c r="AQ1350" s="7" t="str">
        <x:v>Motor Club Agent / Inactive / 01/08/2020 / 01/31/2022 / 01/31/2022</x:v>
      </x:c>
      <x:c r="AR1350" s="7" t="str">
        <x:v>Inactive</x:v>
      </x:c>
      <x:c r="AS1350" s="7" t="str">
        <x:v>Current detail page</x:v>
      </x:c>
    </x:row>
    <x:row r="1351" ht="52" customHeight="1">
      <x:c r="A1351" s="7" t="str">
        <x:v>MERCADO ANA IRMA</x:v>
      </x:c>
      <x:c r="B1351" s="14" t="str">
        <x:f>"1975810"</x:f>
        <x:v>1975810</x:v>
      </x:c>
      <x:c r="C1351" s="7" t="str">
        <x:v>Omitted</x:v>
      </x:c>
      <x:c r="D1351" s="7" t="str">
        <x:v>FAIL</x:v>
      </x:c>
      <x:c r="E1351" s="13" t="str">
        <x:v>Pending</x:v>
      </x:c>
      <x:c r="F1351" s="13" t="str"/>
      <x:c r="G1351" s="13" t="str"/>
      <x:c r="H1351" s="13" t="str"/>
      <x:c r="I1351" s="7" t="str">
        <x:v>Was this person reviewed? If rejected, give the actual rule and evidence. If acceptable, correct the omission. Confirm the Life-qualification gate and any record change since selection.</x:v>
      </x:c>
      <x:c r="J1351" s="7" t="str">
        <x:v>L1</x:v>
      </x:c>
      <x:c r="K1351" s="7" t="str">
        <x:v>Verified qualifications do not include active general Life. Current target-pool mismatch; actual historical omission reason unknown.</x:v>
      </x:c>
      <x:c r="L1351" s="7" t="str">
        <x:v>Not supplied; membership is known, motive is not</x:v>
      </x:c>
      <x:c r="M1351" s="7" t="n">
        <x:v>7</x:v>
      </x:c>
      <x:c r="N1351" s="7" t="str">
        <x:v>Outside current general-Life recruiting pool</x:v>
      </x:c>
      <x:c r="O1351" s="7" t="str">
        <x:v>Inactive</x:v>
      </x:c>
      <x:c r="P1351" s="7" t="str">
        <x:v>03/30/2020</x:v>
      </x:c>
      <x:c r="Q1351" s="7" t="str">
        <x:v>03/31/2024</x:v>
      </x:c>
      <x:c r="R1351" s="7" t="str"/>
      <x:c r="S1351" s="15" t="str">
        <x:v>510-326-4433</x:v>
      </x:c>
      <x:c r="T1351" s="7" t="str">
        <x:v>Current CDI</x:v>
      </x:c>
      <x:c r="U1351" s="7" t="str">
        <x:v>10922 BIGGE ST. SAN LEANDRO CA, 94577</x:v>
      </x:c>
      <x:c r="V1351" s="7" t="str">
        <x:v>Resident</x:v>
      </x:c>
      <x:c r="W1351" s="7" t="str">
        <x:v>CA</x:v>
      </x:c>
      <x:c r="X1351" s="7" t="str"/>
      <x:c r="Y1351" s="7" t="str"/>
      <x:c r="Z1351" s="7" t="str"/>
      <x:c r="AA1351" s="7" t="str"/>
      <x:c r="AB1351" s="7" t="str"/>
      <x:c r="AC1351" s="7" t="str"/>
      <x:c r="AD1351" s="7" t="str">
        <x:v>No agency or insurer displayed: onboarding opportunity possible; existing business unknown</x:v>
      </x:c>
      <x:c r="AE1351" s="7" t="str"/>
      <x:c r="AF1351" s="16" t="str"/>
      <x:c r="AG1351" s="17" t="str"/>
      <x:c r="AH1351" s="7" t="str"/>
      <x:c r="AI1351" s="7" t="str">
        <x:v>English</x:v>
      </x:c>
      <x:c r="AJ1351" s="7" t="str"/>
      <x:c r="AK1351" s="15" t="str"/>
      <x:c r="AL1351" s="7" t="str"/>
      <x:c r="AM1351" s="7" t="str">
        <x:v>AGUILAR-OCEGEDA IRMA ANA</x:v>
      </x:c>
      <x:c r="AN1351" s="7" t="str">
        <x:v>https://cdicloud.insurance.ca.gov/cal/LicenseDetail?SearchType=IND&amp;SearchLicNbr=1975810&amp;SearchIndvId=1975810</x:v>
      </x:c>
      <x:c r="AO1351" s="7" t="str">
        <x:v>2026-10-08</x:v>
      </x:c>
      <x:c r="AP1351" s="7" t="str">
        <x:v>9e365864b5487d824a8ea342e55ce844887805040c585069e12bf002e0540019</x:v>
      </x:c>
      <x:c r="AQ1351" s="7" t="str">
        <x:v>Life / Inactive / 03/30/2020 / 03/31/2024 / 03/31/2024</x:v>
      </x:c>
      <x:c r="AR1351" s="7" t="str">
        <x:v>Inactive</x:v>
      </x:c>
      <x:c r="AS1351" s="7" t="str">
        <x:v>Current detail page</x:v>
      </x:c>
    </x:row>
    <x:row r="1352" ht="52" customHeight="1">
      <x:c r="A1352" s="7" t="str">
        <x:v>MERCURIO TERILYN</x:v>
      </x:c>
      <x:c r="B1352" s="14" t="str">
        <x:f>"2G51783"</x:f>
        <x:v>2G51783</x:v>
      </x:c>
      <x:c r="C1352" s="7" t="str">
        <x:v>Omitted</x:v>
      </x:c>
      <x:c r="D1352" s="7" t="str">
        <x:v>FAIL</x:v>
      </x:c>
      <x:c r="E1352" s="13" t="str">
        <x:v>Pending</x:v>
      </x:c>
      <x:c r="F1352" s="13" t="str"/>
      <x:c r="G1352" s="13" t="str"/>
      <x:c r="H1352" s="13" t="str"/>
      <x:c r="I1352" s="7" t="str">
        <x:v>Was this person reviewed? If rejected, give the actual rule and evidence. If acceptable, correct the omission. Confirm the Life-qualification gate and any record change since selection.</x:v>
      </x:c>
      <x:c r="J1352" s="7" t="str">
        <x:v>L1</x:v>
      </x:c>
      <x:c r="K1352" s="7" t="str">
        <x:v>Verified qualifications do not include active general Life. Current target-pool mismatch; actual historical omission reason unknown.</x:v>
      </x:c>
      <x:c r="L1352" s="7" t="str">
        <x:v>Not supplied; membership is known, motive is not</x:v>
      </x:c>
      <x:c r="M1352" s="7" t="n">
        <x:v>7</x:v>
      </x:c>
      <x:c r="N1352" s="7" t="str">
        <x:v>Outside current general-Life recruiting pool</x:v>
      </x:c>
      <x:c r="O1352" s="7" t="str">
        <x:v>Not displayed</x:v>
      </x:c>
      <x:c r="P1352" s="7" t="str"/>
      <x:c r="Q1352" s="7" t="str"/>
      <x:c r="R1352" s="7" t="str"/>
      <x:c r="S1352" s="15" t="str"/>
      <x:c r="T1352" s="7" t="str">
        <x:v>No public business phone in collected record</x:v>
      </x:c>
      <x:c r="U1352" s="7" t="str"/>
      <x:c r="V1352" s="7" t="str">
        <x:v>Resident</x:v>
      </x:c>
      <x:c r="W1352" s="7" t="str">
        <x:v>CA</x:v>
      </x:c>
      <x:c r="X1352" s="7" t="str"/>
      <x:c r="Y1352" s="7" t="str"/>
      <x:c r="Z1352" s="7" t="str"/>
      <x:c r="AA1352" s="7" t="str"/>
      <x:c r="AB1352" s="7" t="str"/>
      <x:c r="AC1352" s="7" t="str"/>
      <x:c r="AD1352" s="7" t="str">
        <x:v>No agency or insurer displayed: onboarding opportunity possible; existing business unknown</x:v>
      </x:c>
      <x:c r="AE1352" s="7" t="str">
        <x:v>No public business phone: contact enrichment needed, not proof of poor recruiting fit</x:v>
      </x:c>
      <x:c r="AF1352" s="16" t="str"/>
      <x:c r="AG1352" s="17" t="str"/>
      <x:c r="AH1352" s="7" t="str"/>
      <x:c r="AI1352" s="7" t="str"/>
      <x:c r="AJ1352" s="7" t="str"/>
      <x:c r="AK1352" s="15" t="str"/>
      <x:c r="AL1352" s="7" t="str"/>
      <x:c r="AM1352" s="7" t="str">
        <x:v>AGUILAR  TERILYN</x:v>
      </x:c>
      <x:c r="AN1352" s="7" t="str">
        <x:v>https://cdicloud.insurance.ca.gov/cal/LicenseDetail?SearchType=IND&amp;SearchLicNbr=2G51783&amp;SearchIndvId=1288890</x:v>
      </x:c>
      <x:c r="AO1352" s="7" t="str">
        <x:v>2026-10-08</x:v>
      </x:c>
      <x:c r="AP1352" s="7" t="str">
        <x:v>bfd66566249c76907ef32e6571874f3b710a9d1d6a9c8a02ae1ea729973a808d</x:v>
      </x:c>
      <x:c r="AQ1352" s="7" t="str">
        <x:v>Insurance Adjuster / Inactive / 09/16/2009 / 05/31/2016 / 05/31/2016</x:v>
      </x:c>
      <x:c r="AR1352" s="7" t="str">
        <x:v>Inactive</x:v>
      </x:c>
      <x:c r="AS1352" s="7" t="str">
        <x:v>Current detail page</x:v>
      </x:c>
    </x:row>
    <x:row r="1353" ht="52" customHeight="1">
      <x:c r="A1353" s="7" t="str">
        <x:v>MICHEL JESICA MONSERRATH</x:v>
      </x:c>
      <x:c r="B1353" s="14" t="str">
        <x:f>"0L90002"</x:f>
        <x:v>0L90002</x:v>
      </x:c>
      <x:c r="C1353" s="7" t="str">
        <x:v>Omitted</x:v>
      </x:c>
      <x:c r="D1353" s="7" t="str">
        <x:v>FAIL</x:v>
      </x:c>
      <x:c r="E1353" s="13" t="str">
        <x:v>Pending</x:v>
      </x:c>
      <x:c r="F1353" s="13" t="str"/>
      <x:c r="G1353" s="13" t="str"/>
      <x:c r="H1353" s="13" t="str"/>
      <x:c r="I1353" s="7" t="str">
        <x:v>Was this person reviewed? If rejected, give the actual rule and evidence. If acceptable, correct the omission. Confirm the Life-qualification gate and any record change since selection.</x:v>
      </x:c>
      <x:c r="J1353" s="7" t="str">
        <x:v>L1</x:v>
      </x:c>
      <x:c r="K1353" s="7" t="str">
        <x:v>Verified qualifications do not include active general Life. Current target-pool mismatch; actual historical omission reason unknown.</x:v>
      </x:c>
      <x:c r="L1353" s="7" t="str">
        <x:v>Not supplied; membership is known, motive is not</x:v>
      </x:c>
      <x:c r="M1353" s="7" t="n">
        <x:v>7</x:v>
      </x:c>
      <x:c r="N1353" s="7" t="str">
        <x:v>Outside current general-Life recruiting pool</x:v>
      </x:c>
      <x:c r="O1353" s="7" t="str">
        <x:v>Not displayed</x:v>
      </x:c>
      <x:c r="P1353" s="7" t="str"/>
      <x:c r="Q1353" s="7" t="str"/>
      <x:c r="R1353" s="7" t="str">
        <x:v>Casualty; Property</x:v>
      </x:c>
      <x:c r="S1353" s="15" t="str"/>
      <x:c r="T1353" s="7" t="str">
        <x:v>No public business phone in collected record</x:v>
      </x:c>
      <x:c r="U1353" s="7" t="str">
        <x:v>3230 VINE STREET STE 200 RIVERSIDE CA, 92507</x:v>
      </x:c>
      <x:c r="V1353" s="7" t="str">
        <x:v>Resident</x:v>
      </x:c>
      <x:c r="W1353" s="7" t="str">
        <x:v>CA</x:v>
      </x:c>
      <x:c r="X1353" s="7" t="str">
        <x:v>DMCG, INC. / Bail Agent / 05/22/2017
DMCG, INC. / Bail Agent / 05/22/2017</x:v>
      </x:c>
      <x:c r="Y1353" s="7" t="str">
        <x:v>BANKERS INSURANCE COMPANY / Casualty / 12/13/2018
BANKERS INSURANCE COMPANY / Property / 12/13/2018
FINANCIAL CASUALTY &amp; SURETY, INC. / Bail Agent / 08/24/2017
FINANCIAL CASUALTY &amp; SURETY, INC. / Casualty / 11/14/2018
FINANCIAL CASUALTY &amp; SURETY, INC. / Property / 11/14/2018</x:v>
      </x:c>
      <x:c r="Z1353" s="7" t="str"/>
      <x:c r="AA1353" s="7" t="str"/>
      <x:c r="AB1353" s="7" t="str"/>
      <x:c r="AC1353" s="7" t="str"/>
      <x:c r="AD1353" s="7" t="str"/>
      <x:c r="AE1353" s="7" t="str">
        <x:v>P&amp;C/Personal Lines authority without displayed core Life appointments; mixed profile requires review | No public business phone: contact enrichment needed, not proof of poor recruiting fit</x:v>
      </x:c>
      <x:c r="AF1353" s="16" t="str"/>
      <x:c r="AG1353" s="17" t="str"/>
      <x:c r="AH1353" s="7" t="str"/>
      <x:c r="AI1353" s="7" t="str">
        <x:v>English, Spanish, Spanish</x:v>
      </x:c>
      <x:c r="AJ1353" s="7" t="str"/>
      <x:c r="AK1353" s="15" t="str"/>
      <x:c r="AL1353" s="7" t="str"/>
      <x:c r="AM1353" s="7" t="str">
        <x:v>Aguilar  Jesica | AGUILAR CAZARES MONSERRATH JESICA | AGUILARCAZARES MONSERRATH JESICA</x:v>
      </x:c>
      <x:c r="AN1353" s="7" t="str">
        <x:v>https://cdicloud.insurance.ca.gov/cal/LicenseDetail?SearchType=IND&amp;SearchLicNbr=0L90002&amp;SearchIndvId=1946047</x:v>
      </x:c>
      <x:c r="AO1353" s="7" t="str">
        <x:v>2026-10-08</x:v>
      </x:c>
      <x:c r="AP1353" s="7" t="str">
        <x:v>d7b2d4e5e75d7eb75b47e6207ce83d25d579f1c80b50b83b0d97862a788147fe</x:v>
      </x:c>
      <x:c r="AQ1353" s="7" t="str">
        <x:v>Casualty / Active / 11/09/2018 / 11/09/2018 / 11/30/2026
Property / Active / 11/09/2018 / 11/09/2018 / 11/30/2026</x:v>
      </x:c>
      <x:c r="AR1353" s="7" t="str">
        <x:v>Active</x:v>
      </x:c>
      <x:c r="AS1353" s="7" t="str">
        <x:v>Current detail page</x:v>
      </x:c>
    </x:row>
    <x:row r="1354" ht="52" customHeight="1">
      <x:c r="A1354" s="7" t="str">
        <x:v>MICHEL JESICA MONSERRATH</x:v>
      </x:c>
      <x:c r="B1354" s="14" t="str">
        <x:f>"1L90002"</x:f>
        <x:v>1L90002</x:v>
      </x:c>
      <x:c r="C1354" s="7" t="str">
        <x:v>Omitted</x:v>
      </x:c>
      <x:c r="D1354" s="7" t="str">
        <x:v>FAIL</x:v>
      </x:c>
      <x:c r="E1354" s="13" t="str">
        <x:v>Pending</x:v>
      </x:c>
      <x:c r="F1354" s="13" t="str"/>
      <x:c r="G1354" s="13" t="str"/>
      <x:c r="H1354" s="13" t="str"/>
      <x:c r="I1354" s="7" t="str">
        <x:v>Was this person reviewed? If rejected, give the actual rule and evidence. If acceptable, correct the omission. Confirm the Life-qualification gate and any record change since selection.</x:v>
      </x:c>
      <x:c r="J1354" s="7" t="str">
        <x:v>L1</x:v>
      </x:c>
      <x:c r="K1354" s="7" t="str">
        <x:v>Verified qualifications do not include active general Life. Current target-pool mismatch; actual historical omission reason unknown.</x:v>
      </x:c>
      <x:c r="L1354" s="7" t="str">
        <x:v>Not supplied; membership is known, motive is not</x:v>
      </x:c>
      <x:c r="M1354" s="7" t="n">
        <x:v>7</x:v>
      </x:c>
      <x:c r="N1354" s="7" t="str">
        <x:v>Outside current general-Life recruiting pool</x:v>
      </x:c>
      <x:c r="O1354" s="7" t="str">
        <x:v>Not displayed</x:v>
      </x:c>
      <x:c r="P1354" s="7" t="str"/>
      <x:c r="Q1354" s="7" t="str"/>
      <x:c r="R1354" s="7" t="str">
        <x:v>Bail Agent</x:v>
      </x:c>
      <x:c r="S1354" s="15" t="str"/>
      <x:c r="T1354" s="7" t="str">
        <x:v>No public business phone in collected record</x:v>
      </x:c>
      <x:c r="U1354" s="7" t="str">
        <x:v>3601 UNIVERSITY AVE RIVERSIDE CA, 92501</x:v>
      </x:c>
      <x:c r="V1354" s="7" t="str">
        <x:v>Resident</x:v>
      </x:c>
      <x:c r="W1354" s="7" t="str">
        <x:v>CA</x:v>
      </x:c>
      <x:c r="X1354" s="7" t="str">
        <x:v>DMCG, INC. / Bail Agent / 05/22/2017
DMCG, INC. / Bail Agent / 05/22/2017</x:v>
      </x:c>
      <x:c r="Y1354" s="7" t="str">
        <x:v>BANKERS INSURANCE COMPANY / Casualty / 12/13/2018
BANKERS INSURANCE COMPANY / Property / 12/13/2018
FINANCIAL CASUALTY &amp; SURETY, INC. / Bail Agent / 08/24/2017
FINANCIAL CASUALTY &amp; SURETY, INC. / Casualty / 11/14/2018
FINANCIAL CASUALTY &amp; SURETY, INC. / Property / 11/14/2018</x:v>
      </x:c>
      <x:c r="Z1354" s="7" t="str"/>
      <x:c r="AA1354" s="7" t="str"/>
      <x:c r="AB1354" s="7" t="str"/>
      <x:c r="AC1354" s="7" t="str"/>
      <x:c r="AD1354" s="7" t="str"/>
      <x:c r="AE1354" s="7" t="str">
        <x:v>No public business phone: contact enrichment needed, not proof of poor recruiting fit</x:v>
      </x:c>
      <x:c r="AF1354" s="16" t="str"/>
      <x:c r="AG1354" s="17" t="str"/>
      <x:c r="AH1354" s="7" t="str"/>
      <x:c r="AI1354" s="7" t="str">
        <x:v>English, Spanish, Spanish</x:v>
      </x:c>
      <x:c r="AJ1354" s="7" t="str"/>
      <x:c r="AK1354" s="15" t="str"/>
      <x:c r="AL1354" s="7" t="str"/>
      <x:c r="AM1354" s="7" t="str">
        <x:v>Aguilar  Jesica | AGUILAR CAZARES MONSERRATH JESICA | AGUILARCAZARES MONSERRATH JESICA</x:v>
      </x:c>
      <x:c r="AN1354" s="7" t="str">
        <x:v>https://cdicloud.insurance.ca.gov/cal/LicenseDetail?SearchType=IND&amp;SearchLicNbr=1L90002&amp;SearchIndvId=1946047</x:v>
      </x:c>
      <x:c r="AO1354" s="7" t="str">
        <x:v>2026-10-08</x:v>
      </x:c>
      <x:c r="AP1354" s="7" t="str">
        <x:v>1536a87dedd836ebee5bf1a800d6aeb699e820f8f63980a74076a3cb6e8bf599</x:v>
      </x:c>
      <x:c r="AQ1354" s="7" t="str">
        <x:v>Bail Agent / Active / 08/24/2017 / 08/24/2017 / 08/31/2027</x:v>
      </x:c>
      <x:c r="AR1354" s="7" t="str">
        <x:v>Active</x:v>
      </x:c>
      <x:c r="AS1354" s="7" t="str">
        <x:v>Current detail page</x:v>
      </x:c>
    </x:row>
    <x:row r="1355" ht="52" customHeight="1">
      <x:c r="A1355" s="7" t="str">
        <x:v>MORALES KARLA LISSETH AGUILAR</x:v>
      </x:c>
      <x:c r="B1355" s="14" t="str">
        <x:f>"0G07355"</x:f>
        <x:v>0G07355</x:v>
      </x:c>
      <x:c r="C1355" s="7" t="str">
        <x:v>Omitted</x:v>
      </x:c>
      <x:c r="D1355" s="7" t="str">
        <x:v>FAIL</x:v>
      </x:c>
      <x:c r="E1355" s="13" t="str">
        <x:v>Pending</x:v>
      </x:c>
      <x:c r="F1355" s="13" t="str"/>
      <x:c r="G1355" s="13" t="str"/>
      <x:c r="H1355" s="13" t="str"/>
      <x:c r="I1355" s="7" t="str">
        <x:v>Was this person reviewed? If rejected, give the actual rule and evidence. If acceptable, correct the omission. Confirm the Life-qualification gate and any record change since selection.</x:v>
      </x:c>
      <x:c r="J1355" s="7" t="str">
        <x:v>L1</x:v>
      </x:c>
      <x:c r="K1355" s="7" t="str">
        <x:v>Verified qualifications do not include active general Life. Current target-pool mismatch; actual historical omission reason unknown.</x:v>
      </x:c>
      <x:c r="L1355" s="7" t="str">
        <x:v>Not supplied; membership is known, motive is not</x:v>
      </x:c>
      <x:c r="M1355" s="7" t="n">
        <x:v>7</x:v>
      </x:c>
      <x:c r="N1355" s="7" t="str">
        <x:v>Outside current general-Life recruiting pool</x:v>
      </x:c>
      <x:c r="O1355" s="7" t="str">
        <x:v>Not displayed</x:v>
      </x:c>
      <x:c r="P1355" s="7" t="str"/>
      <x:c r="Q1355" s="7" t="str"/>
      <x:c r="R1355" s="7" t="str"/>
      <x:c r="S1355" s="15" t="str"/>
      <x:c r="T1355" s="7" t="str">
        <x:v>No public business phone in collected record</x:v>
      </x:c>
      <x:c r="U1355" s="7" t="str"/>
      <x:c r="V1355" s="7" t="str">
        <x:v>Resident</x:v>
      </x:c>
      <x:c r="W1355" s="7" t="str">
        <x:v>CA</x:v>
      </x:c>
      <x:c r="X1355" s="7" t="str"/>
      <x:c r="Y1355" s="7" t="str"/>
      <x:c r="Z1355" s="7" t="str"/>
      <x:c r="AA1355" s="7" t="str"/>
      <x:c r="AB1355" s="7" t="str"/>
      <x:c r="AC1355" s="7" t="str"/>
      <x:c r="AD1355" s="7" t="str">
        <x:v>No agency or insurer displayed: onboarding opportunity possible; existing business unknown</x:v>
      </x:c>
      <x:c r="AE1355" s="7" t="str">
        <x:v>No public business phone: contact enrichment needed, not proof of poor recruiting fit</x:v>
      </x:c>
      <x:c r="AF1355" s="16" t="str"/>
      <x:c r="AG1355" s="17" t="str"/>
      <x:c r="AH1355" s="7" t="str"/>
      <x:c r="AI1355" s="7" t="str"/>
      <x:c r="AJ1355" s="7" t="str"/>
      <x:c r="AK1355" s="15" t="str"/>
      <x:c r="AL1355" s="7" t="str"/>
      <x:c r="AM1355" s="7" t="str">
        <x:v>AGUILAR LISSETH KARLA</x:v>
      </x:c>
      <x:c r="AN1355" s="7" t="str">
        <x:v>https://cdicloud.insurance.ca.gov/cal/LicenseDetail?SearchType=IND&amp;SearchLicNbr=0G07355&amp;SearchIndvId=1131534</x:v>
      </x:c>
      <x:c r="AO1355" s="7" t="str">
        <x:v>2026-10-08</x:v>
      </x:c>
      <x:c r="AP1355" s="7" t="str">
        <x:v>1473182770b54bb2b2ccc641457ef3152c29f8555cf793194f47372a70db413b</x:v>
      </x:c>
      <x:c r="AQ1355" s="7" t="str">
        <x:v>Casualty Broker-Agent / Inactive / 04/02/2008 / 04/30/2016 / 04/30/2016
Property Broker-Agent / Inactive / 04/02/2008 / 04/30/2016 / 04/30/2016</x:v>
      </x:c>
      <x:c r="AR1355" s="7" t="str">
        <x:v>Inactive</x:v>
      </x:c>
      <x:c r="AS1355" s="7" t="str">
        <x:v>Current detail page</x:v>
      </x:c>
    </x:row>
    <x:row r="1356" ht="52" customHeight="1">
      <x:c r="A1356" s="7" t="str">
        <x:v>MURRAY KASHAUNNA DANIELLE</x:v>
      </x:c>
      <x:c r="B1356" s="14" t="str">
        <x:f>"4435955"</x:f>
        <x:v>4435955</x:v>
      </x:c>
      <x:c r="C1356" s="7" t="str">
        <x:v>Omitted</x:v>
      </x:c>
      <x:c r="D1356" s="7" t="str">
        <x:v>FAIL</x:v>
      </x:c>
      <x:c r="E1356" s="13" t="str">
        <x:v>Pending</x:v>
      </x:c>
      <x:c r="F1356" s="13" t="str"/>
      <x:c r="G1356" s="13" t="str"/>
      <x:c r="H1356" s="13" t="str"/>
      <x:c r="I1356" s="7" t="str">
        <x:v>Was this person reviewed? If rejected, give the actual rule and evidence. If acceptable, correct the omission. Confirm the Life-qualification gate and any record change since selection.</x:v>
      </x:c>
      <x:c r="J1356" s="7" t="str">
        <x:v>L1</x:v>
      </x:c>
      <x:c r="K1356" s="7" t="str">
        <x:v>Verified qualifications do not include active general Life. Current target-pool mismatch; actual historical omission reason unknown.</x:v>
      </x:c>
      <x:c r="L1356" s="7" t="str">
        <x:v>Not supplied; membership is known, motive is not</x:v>
      </x:c>
      <x:c r="M1356" s="7" t="n">
        <x:v>7</x:v>
      </x:c>
      <x:c r="N1356" s="7" t="str">
        <x:v>Outside current general-Life recruiting pool</x:v>
      </x:c>
      <x:c r="O1356" s="7" t="str">
        <x:v>Not displayed</x:v>
      </x:c>
      <x:c r="P1356" s="7" t="str"/>
      <x:c r="Q1356" s="7" t="str"/>
      <x:c r="R1356" s="7" t="str">
        <x:v>Personal Lines</x:v>
      </x:c>
      <x:c r="S1356" s="15" t="str">
        <x:v>800-922-8228</x:v>
      </x:c>
      <x:c r="T1356" s="7" t="str">
        <x:v>Current CDI</x:v>
      </x:c>
      <x:c r="U1356" s="7" t="str">
        <x:v>2770 STONECREEK DR APT 188 SACRAMENTO CA, 95833-1957</x:v>
      </x:c>
      <x:c r="V1356" s="7" t="str">
        <x:v>Resident</x:v>
      </x:c>
      <x:c r="W1356" s="7" t="str">
        <x:v>CA</x:v>
      </x:c>
      <x:c r="X1356" s="7" t="str"/>
      <x:c r="Y1356" s="7" t="str">
        <x:v>CSAA FIRE &amp; CASUALTY INSURANCE COMPANY / Personal Lines / 03/12/2025
CSAA GENERAL INSURANCE COMPANY / Personal Lines / 03/12/2025
CSAA INSURANCE EXCHANGE / Personal Lines / 03/12/2025</x:v>
      </x:c>
      <x:c r="Z1356" s="7" t="str"/>
      <x:c r="AA1356" s="7" t="str"/>
      <x:c r="AB1356" s="7" t="str"/>
      <x:c r="AC1356" s="7" t="str"/>
      <x:c r="AD1356" s="7" t="str"/>
      <x:c r="AE1356" s="7" t="str">
        <x:v>P&amp;C/Personal Lines authority without displayed core Life appointments; mixed profile requires review | Toll-free business number: verify that it reaches the individual rather than a central office</x:v>
      </x:c>
      <x:c r="AF1356" s="16" t="str"/>
      <x:c r="AG1356" s="17" t="str"/>
      <x:c r="AH1356" s="7" t="str"/>
      <x:c r="AI1356" s="7" t="str">
        <x:v>English</x:v>
      </x:c>
      <x:c r="AJ1356" s="7" t="str"/>
      <x:c r="AK1356" s="15" t="str"/>
      <x:c r="AL1356" s="7" t="str"/>
      <x:c r="AM1356" s="7" t="str">
        <x:v>Aguilar-MacDonald  Kashaunna</x:v>
      </x:c>
      <x:c r="AN1356" s="7" t="str">
        <x:v>https://cdicloud.insurance.ca.gov/cal/LicenseDetail?SearchType=IND&amp;SearchLicNbr=4435955&amp;SearchIndvId=4435955</x:v>
      </x:c>
      <x:c r="AO1356" s="7" t="str">
        <x:v>2026-10-08</x:v>
      </x:c>
      <x:c r="AP1356" s="7" t="str">
        <x:v>042544a6a7279efd57f7e84b5f3b21a800c85c30992cf599571285ab6b7dbe60</x:v>
      </x:c>
      <x:c r="AQ1356" s="7" t="str">
        <x:v>Personal Lines / Active / 02/24/2025 / 02/24/2025 / 02/28/2027</x:v>
      </x:c>
      <x:c r="AR1356" s="7" t="str">
        <x:v>Active</x:v>
      </x:c>
      <x:c r="AS1356" s="7" t="str">
        <x:v>Current detail page</x:v>
      </x:c>
    </x:row>
    <x:row r="1357" ht="52" customHeight="1">
      <x:c r="A1357" s="7" t="str">
        <x:v>OCHOA NATALY AGUILAR</x:v>
      </x:c>
      <x:c r="B1357" s="14" t="str">
        <x:f>"0I69692"</x:f>
        <x:v>0I69692</x:v>
      </x:c>
      <x:c r="C1357" s="7" t="str">
        <x:v>Omitted</x:v>
      </x:c>
      <x:c r="D1357" s="7" t="str">
        <x:v>FAIL</x:v>
      </x:c>
      <x:c r="E1357" s="13" t="str">
        <x:v>Pending</x:v>
      </x:c>
      <x:c r="F1357" s="13" t="str"/>
      <x:c r="G1357" s="13" t="str"/>
      <x:c r="H1357" s="13" t="str"/>
      <x:c r="I1357" s="7" t="str">
        <x:v>Was this person reviewed? If rejected, give the actual rule and evidence. If acceptable, correct the omission. Confirm the Life-qualification gate and any record change since selection.</x:v>
      </x:c>
      <x:c r="J1357" s="7" t="str">
        <x:v>L1</x:v>
      </x:c>
      <x:c r="K1357" s="7" t="str">
        <x:v>Verified qualifications do not include active general Life. Current target-pool mismatch; actual historical omission reason unknown.</x:v>
      </x:c>
      <x:c r="L1357" s="7" t="str">
        <x:v>Not supplied; membership is known, motive is not</x:v>
      </x:c>
      <x:c r="M1357" s="7" t="n">
        <x:v>7</x:v>
      </x:c>
      <x:c r="N1357" s="7" t="str">
        <x:v>Outside current general-Life recruiting pool</x:v>
      </x:c>
      <x:c r="O1357" s="7" t="str">
        <x:v>Not displayed</x:v>
      </x:c>
      <x:c r="P1357" s="7" t="str"/>
      <x:c r="Q1357" s="7" t="str"/>
      <x:c r="R1357" s="7" t="str">
        <x:v>Casualty; Property</x:v>
      </x:c>
      <x:c r="S1357" s="15" t="str">
        <x:v>925-634-1234</x:v>
      </x:c>
      <x:c r="T1357" s="7" t="str">
        <x:v>Current CDI</x:v>
      </x:c>
      <x:c r="U1357" s="7" t="str">
        <x:v>613 1ST STREET STE 203 BRENTWOOD CA, 94513</x:v>
      </x:c>
      <x:c r="V1357" s="7" t="str">
        <x:v>Resident</x:v>
      </x:c>
      <x:c r="W1357" s="7" t="str">
        <x:v>CA</x:v>
      </x:c>
      <x:c r="X1357" s="7" t="str"/>
      <x:c r="Y1357" s="7" t="str">
        <x:v>ALLSTATE INDEMNITY COMPANY / Casualty / 04/03/2014
ALLSTATE INDEMNITY COMPANY / Property / 04/03/2014
ALLSTATE INSURANCE COMPANY / Casualty / 04/03/2014
ALLSTATE INSURANCE COMPANY / Property / 04/03/2014
ALLSTATE NORTHBROOK INDEMNITY COMPANY / Casualty / 06/19/2014
ALLSTATE NORTHBROOK INDEMNITY COMPANY / Property / 06/19/2014
ALLSTATE PROPERTY AND CASUALTY INSURANCE COMPANY / Casualty / 04/03/2014
ALLSTATE PROPERTY AND CASUALTY INSURANCE COMPANY / Property / 04/03/2014
FOREMOST INSURANCE COMPANY GRAND RAPIDS, MICHIGAN / Casualty / 01/14/2026
FOREMOST INSURANCE COMPANY GRAND RAPIDS, MICHIGAN / Property / 01/14/2026</x:v>
      </x:c>
      <x:c r="Z1357" s="7" t="str"/>
      <x:c r="AA1357" s="7" t="str"/>
      <x:c r="AB1357" s="7" t="str"/>
      <x:c r="AC1357" s="7" t="str"/>
      <x:c r="AD1357" s="7" t="str"/>
      <x:c r="AE1357" s="7" t="str">
        <x:v>Allstate P&amp;C appointments: verify distribution relationship; do not assume exclusivity | P&amp;C/Personal Lines authority without displayed core Life appointments; mixed profile requires review</x:v>
      </x:c>
      <x:c r="AF1357" s="16" t="str"/>
      <x:c r="AG1357" s="17" t="str"/>
      <x:c r="AH1357" s="7" t="str"/>
      <x:c r="AI1357" s="7" t="str">
        <x:v>English</x:v>
      </x:c>
      <x:c r="AJ1357" s="7" t="str"/>
      <x:c r="AK1357" s="15" t="str"/>
      <x:c r="AL1357" s="7" t="str"/>
      <x:c r="AM1357" s="7" t="str">
        <x:v>Aguilar Ochoa  Nataly</x:v>
      </x:c>
      <x:c r="AN1357" s="7" t="str">
        <x:v>https://cdicloud.insurance.ca.gov/cal/LicenseDetail?SearchType=IND&amp;SearchLicNbr=0I69692&amp;SearchIndvId=1623808</x:v>
      </x:c>
      <x:c r="AO1357" s="7" t="str">
        <x:v>2026-10-08</x:v>
      </x:c>
      <x:c r="AP1357" s="7" t="str">
        <x:v>06db8fa0c7342d9a602d61f6b35e28d40ba439d008ffa5de33a10fe11ed6b613</x:v>
      </x:c>
      <x:c r="AQ1357" s="7" t="str">
        <x:v>Casualty / Active / 01/06/2014 / 01/06/2014 / 01/31/2028
Property / Active / 03/21/2014 / 03/21/2014 / 01/31/2028</x:v>
      </x:c>
      <x:c r="AR1357" s="7" t="str">
        <x:v>Active</x:v>
      </x:c>
      <x:c r="AS1357" s="7" t="str">
        <x:v>Current detail page</x:v>
      </x:c>
    </x:row>
    <x:row r="1358" ht="52" customHeight="1">
      <x:c r="A1358" s="7" t="str">
        <x:v>PIVARAL GEMA</x:v>
      </x:c>
      <x:c r="B1358" s="14" t="str">
        <x:f>"0D26597"</x:f>
        <x:v>0D26597</x:v>
      </x:c>
      <x:c r="C1358" s="7" t="str">
        <x:v>Omitted</x:v>
      </x:c>
      <x:c r="D1358" s="7" t="str">
        <x:v>FAIL</x:v>
      </x:c>
      <x:c r="E1358" s="13" t="str">
        <x:v>Pending</x:v>
      </x:c>
      <x:c r="F1358" s="13" t="str"/>
      <x:c r="G1358" s="13" t="str"/>
      <x:c r="H1358" s="13" t="str"/>
      <x:c r="I1358" s="7" t="str">
        <x:v>Was this person reviewed? If rejected, give the actual rule and evidence. If acceptable, correct the omission. Confirm the Life-qualification gate and any record change since selection.</x:v>
      </x:c>
      <x:c r="J1358" s="7" t="str">
        <x:v>L1</x:v>
      </x:c>
      <x:c r="K1358" s="7" t="str">
        <x:v>Verified qualifications do not include active general Life. Current target-pool mismatch; actual historical omission reason unknown.</x:v>
      </x:c>
      <x:c r="L1358" s="7" t="str">
        <x:v>Not supplied; membership is known, motive is not</x:v>
      </x:c>
      <x:c r="M1358" s="7" t="n">
        <x:v>7</x:v>
      </x:c>
      <x:c r="N1358" s="7" t="str">
        <x:v>Outside current general-Life recruiting pool</x:v>
      </x:c>
      <x:c r="O1358" s="7" t="str">
        <x:v>Not displayed</x:v>
      </x:c>
      <x:c r="P1358" s="7" t="str"/>
      <x:c r="Q1358" s="7" t="str"/>
      <x:c r="R1358" s="7" t="str"/>
      <x:c r="S1358" s="15" t="str"/>
      <x:c r="T1358" s="7" t="str">
        <x:v>No public business phone in collected record</x:v>
      </x:c>
      <x:c r="U1358" s="7" t="str"/>
      <x:c r="V1358" s="7" t="str">
        <x:v>Resident</x:v>
      </x:c>
      <x:c r="W1358" s="7" t="str">
        <x:v>CA</x:v>
      </x:c>
      <x:c r="X1358" s="7" t="str"/>
      <x:c r="Y1358" s="7" t="str"/>
      <x:c r="Z1358" s="7" t="str"/>
      <x:c r="AA1358" s="7" t="str"/>
      <x:c r="AB1358" s="7" t="str"/>
      <x:c r="AC1358" s="7" t="str"/>
      <x:c r="AD1358" s="7" t="str">
        <x:v>No agency or insurer displayed: onboarding opportunity possible; existing business unknown</x:v>
      </x:c>
      <x:c r="AE1358" s="7" t="str">
        <x:v>No public business phone: contact enrichment needed, not proof of poor recruiting fit</x:v>
      </x:c>
      <x:c r="AF1358" s="16" t="str"/>
      <x:c r="AG1358" s="17" t="str"/>
      <x:c r="AH1358" s="7" t="str"/>
      <x:c r="AI1358" s="7" t="str"/>
      <x:c r="AJ1358" s="7" t="str"/>
      <x:c r="AK1358" s="15" t="str"/>
      <x:c r="AL1358" s="7" t="str"/>
      <x:c r="AM1358" s="7" t="str">
        <x:v>AGUILAR  GEMA</x:v>
      </x:c>
      <x:c r="AN1358" s="7" t="str">
        <x:v>https://cdicloud.insurance.ca.gov/cal/LicenseDetail?SearchType=IND&amp;SearchLicNbr=0D26597&amp;SearchIndvId=552727</x:v>
      </x:c>
      <x:c r="AO1358" s="7" t="str">
        <x:v>2026-10-08</x:v>
      </x:c>
      <x:c r="AP1358" s="7" t="str">
        <x:v>25bf15452e655784637a9042d3228b5e387887f3fbb05ab4b2b7aee69b2097a7</x:v>
      </x:c>
      <x:c r="AQ1358" s="7" t="str">
        <x:v>Accident and Health / Inactive / 04/26/2001 / 04/30/2009 / 04/30/2009
Life-Only / Inactive / 04/26/2001 / 04/30/2009 / 04/30/2009</x:v>
      </x:c>
      <x:c r="AR1358" s="7" t="str">
        <x:v>Inactive</x:v>
      </x:c>
      <x:c r="AS1358" s="7" t="str">
        <x:v>Current detail page</x:v>
      </x:c>
    </x:row>
    <x:row r="1359" ht="52" customHeight="1">
      <x:c r="A1359" s="7" t="str">
        <x:v>RAMOS DIANA</x:v>
      </x:c>
      <x:c r="B1359" s="14" t="str">
        <x:f>"0G64689"</x:f>
        <x:v>0G64689</x:v>
      </x:c>
      <x:c r="C1359" s="7" t="str">
        <x:v>Omitted</x:v>
      </x:c>
      <x:c r="D1359" s="7" t="str">
        <x:v>FAIL</x:v>
      </x:c>
      <x:c r="E1359" s="13" t="str">
        <x:v>Pending</x:v>
      </x:c>
      <x:c r="F1359" s="13" t="str"/>
      <x:c r="G1359" s="13" t="str"/>
      <x:c r="H1359" s="13" t="str"/>
      <x:c r="I1359" s="7" t="str">
        <x:v>Was this person reviewed? If rejected, give the actual rule and evidence. If acceptable, correct the omission. Confirm the Life-qualification gate and any record change since selection.</x:v>
      </x:c>
      <x:c r="J1359" s="7" t="str">
        <x:v>L1</x:v>
      </x:c>
      <x:c r="K1359" s="7" t="str">
        <x:v>Verified qualifications do not include active general Life. Current target-pool mismatch; actual historical omission reason unknown.</x:v>
      </x:c>
      <x:c r="L1359" s="7" t="str">
        <x:v>Not supplied; membership is known, motive is not</x:v>
      </x:c>
      <x:c r="M1359" s="7" t="n">
        <x:v>7</x:v>
      </x:c>
      <x:c r="N1359" s="7" t="str">
        <x:v>Outside current general-Life recruiting pool</x:v>
      </x:c>
      <x:c r="O1359" s="7" t="str">
        <x:v>Inactive</x:v>
      </x:c>
      <x:c r="P1359" s="7" t="str">
        <x:v>07/07/2009</x:v>
      </x:c>
      <x:c r="Q1359" s="7" t="str">
        <x:v>11/30/2023</x:v>
      </x:c>
      <x:c r="R1359" s="7" t="str"/>
      <x:c r="S1359" s="15" t="str"/>
      <x:c r="T1359" s="7" t="str">
        <x:v>No public business phone in collected record</x:v>
      </x:c>
      <x:c r="U1359" s="7" t="str">
        <x:v>801 N. BRAND BLVD 14TH FLOOR GLENDALE CA, 91203</x:v>
      </x:c>
      <x:c r="V1359" s="7" t="str">
        <x:v>Resident</x:v>
      </x:c>
      <x:c r="W1359" s="7" t="str">
        <x:v>CA</x:v>
      </x:c>
      <x:c r="X1359" s="7" t="str"/>
      <x:c r="Y1359" s="7" t="str"/>
      <x:c r="Z1359" s="7" t="str"/>
      <x:c r="AA1359" s="7" t="str"/>
      <x:c r="AB1359" s="7" t="str"/>
      <x:c r="AC1359" s="7" t="str"/>
      <x:c r="AD1359" s="7" t="str">
        <x:v>No agency or insurer displayed: onboarding opportunity possible; existing business unknown</x:v>
      </x:c>
      <x:c r="AE1359" s="7" t="str">
        <x:v>No public business phone: contact enrichment needed, not proof of poor recruiting fit</x:v>
      </x:c>
      <x:c r="AF1359" s="16" t="str"/>
      <x:c r="AG1359" s="17" t="str"/>
      <x:c r="AH1359" s="7" t="str"/>
      <x:c r="AI1359" s="7" t="str">
        <x:v>English</x:v>
      </x:c>
      <x:c r="AJ1359" s="7" t="str"/>
      <x:c r="AK1359" s="15" t="str"/>
      <x:c r="AL1359" s="7" t="str"/>
      <x:c r="AM1359" s="7" t="str">
        <x:v>AGUILAR-LECHUGA  DIANA</x:v>
      </x:c>
      <x:c r="AN1359" s="7" t="str">
        <x:v>https://cdicloud.insurance.ca.gov/cal/LicenseDetail?SearchType=IND&amp;SearchLicNbr=0G64689&amp;SearchIndvId=1271732</x:v>
      </x:c>
      <x:c r="AO1359" s="7" t="str">
        <x:v>2026-10-08</x:v>
      </x:c>
      <x:c r="AP1359" s="7" t="str">
        <x:v>055f999bde8524f65218245f2add9b6218926f33cb8a4909e2e7cd84d8575fdc</x:v>
      </x:c>
      <x:c r="AQ1359" s="7" t="str">
        <x:v>Accident &amp; Health or Sickness / Inactive / 07/07/2009 / 11/30/2023 / 11/30/2023
Life / Inactive / 07/07/2009 / 11/30/2023 / 11/30/2023</x:v>
      </x:c>
      <x:c r="AR1359" s="7" t="str">
        <x:v>Inactive</x:v>
      </x:c>
      <x:c r="AS1359" s="7" t="str">
        <x:v>Current detail page</x:v>
      </x:c>
    </x:row>
    <x:row r="1360" ht="52" customHeight="1">
      <x:c r="A1360" s="7" t="str">
        <x:v>RAMOS IVAN ZURIZADAHI-AGUILAR</x:v>
      </x:c>
      <x:c r="B1360" s="14" t="str">
        <x:f>"0J09108"</x:f>
        <x:v>0J09108</x:v>
      </x:c>
      <x:c r="C1360" s="7" t="str">
        <x:v>Omitted</x:v>
      </x:c>
      <x:c r="D1360" s="7" t="str">
        <x:v>FAIL</x:v>
      </x:c>
      <x:c r="E1360" s="13" t="str">
        <x:v>Pending</x:v>
      </x:c>
      <x:c r="F1360" s="13" t="str"/>
      <x:c r="G1360" s="13" t="str"/>
      <x:c r="H1360" s="13" t="str"/>
      <x:c r="I1360" s="7" t="str">
        <x:v>Was this person reviewed? If rejected, give the actual rule and evidence. If acceptable, correct the omission. Confirm the Life-qualification gate and any record change since selection.</x:v>
      </x:c>
      <x:c r="J1360" s="7" t="str">
        <x:v>L1</x:v>
      </x:c>
      <x:c r="K1360" s="7" t="str">
        <x:v>Verified qualifications do not include active general Life. Current target-pool mismatch; actual historical omission reason unknown.</x:v>
      </x:c>
      <x:c r="L1360" s="7" t="str">
        <x:v>Not supplied; membership is known, motive is not</x:v>
      </x:c>
      <x:c r="M1360" s="7" t="n">
        <x:v>7</x:v>
      </x:c>
      <x:c r="N1360" s="7" t="str">
        <x:v>Outside current general-Life recruiting pool</x:v>
      </x:c>
      <x:c r="O1360" s="7" t="str">
        <x:v>Not displayed</x:v>
      </x:c>
      <x:c r="P1360" s="7" t="str"/>
      <x:c r="Q1360" s="7" t="str"/>
      <x:c r="R1360" s="7" t="str"/>
      <x:c r="S1360" s="15" t="str"/>
      <x:c r="T1360" s="7" t="str">
        <x:v>No public business phone in collected record</x:v>
      </x:c>
      <x:c r="U1360" s="7" t="str"/>
      <x:c r="V1360" s="7" t="str">
        <x:v>Resident</x:v>
      </x:c>
      <x:c r="W1360" s="7" t="str">
        <x:v>CA</x:v>
      </x:c>
      <x:c r="X1360" s="7" t="str"/>
      <x:c r="Y1360" s="7" t="str"/>
      <x:c r="Z1360" s="7" t="str"/>
      <x:c r="AA1360" s="7" t="str"/>
      <x:c r="AB1360" s="7" t="str"/>
      <x:c r="AC1360" s="7" t="str"/>
      <x:c r="AD1360" s="7" t="str">
        <x:v>No agency or insurer displayed: onboarding opportunity possible; existing business unknown</x:v>
      </x:c>
      <x:c r="AE1360" s="7" t="str">
        <x:v>No public business phone: contact enrichment needed, not proof of poor recruiting fit</x:v>
      </x:c>
      <x:c r="AF1360" s="16" t="str"/>
      <x:c r="AG1360" s="17" t="str"/>
      <x:c r="AH1360" s="7" t="str"/>
      <x:c r="AI1360" s="7" t="str"/>
      <x:c r="AJ1360" s="7" t="str"/>
      <x:c r="AK1360" s="15" t="str"/>
      <x:c r="AL1360" s="7" t="str"/>
      <x:c r="AM1360" s="7" t="str">
        <x:v>AGUILAR-RAMOS ZURIZADAHI IVAN</x:v>
      </x:c>
      <x:c r="AN1360" s="7" t="str">
        <x:v>https://cdicloud.insurance.ca.gov/cal/LicenseDetail?SearchType=IND&amp;SearchLicNbr=0J09108&amp;SearchIndvId=1701383</x:v>
      </x:c>
      <x:c r="AO1360" s="7" t="str">
        <x:v>2026-10-08</x:v>
      </x:c>
      <x:c r="AP1360" s="7" t="str">
        <x:v>2dc30d7ca27dbf4c0c51fd4136d66ab897032d595ac76fd041e4141fad6f2c11</x:v>
      </x:c>
      <x:c r="AQ1360" s="7" t="str">
        <x:v>Life-Only / Inactive / 09/26/2014 / 09/30/2016 / 09/30/2016</x:v>
      </x:c>
      <x:c r="AR1360" s="7" t="str">
        <x:v>Inactive</x:v>
      </x:c>
      <x:c r="AS1360" s="7" t="str">
        <x:v>Current detail page</x:v>
      </x:c>
    </x:row>
    <x:row r="1361" ht="52" customHeight="1">
      <x:c r="A1361" s="7" t="str">
        <x:v>RODRIGUEZ ANA LIZETTE</x:v>
      </x:c>
      <x:c r="B1361" s="14" t="str">
        <x:f>"0E54726"</x:f>
        <x:v>0E54726</x:v>
      </x:c>
      <x:c r="C1361" s="7" t="str">
        <x:v>Omitted</x:v>
      </x:c>
      <x:c r="D1361" s="7" t="str">
        <x:v>FAIL</x:v>
      </x:c>
      <x:c r="E1361" s="13" t="str">
        <x:v>Pending</x:v>
      </x:c>
      <x:c r="F1361" s="13" t="str"/>
      <x:c r="G1361" s="13" t="str"/>
      <x:c r="H1361" s="13" t="str"/>
      <x:c r="I1361" s="7" t="str">
        <x:v>Was this person reviewed? If rejected, give the actual rule and evidence. If acceptable, correct the omission. Confirm the Life-qualification gate and any record change since selection.</x:v>
      </x:c>
      <x:c r="J1361" s="7" t="str">
        <x:v>L1</x:v>
      </x:c>
      <x:c r="K1361" s="7" t="str">
        <x:v>Verified qualifications do not include active general Life. Current target-pool mismatch; actual historical omission reason unknown.</x:v>
      </x:c>
      <x:c r="L1361" s="7" t="str">
        <x:v>Not supplied; membership is known, motive is not</x:v>
      </x:c>
      <x:c r="M1361" s="7" t="n">
        <x:v>7</x:v>
      </x:c>
      <x:c r="N1361" s="7" t="str">
        <x:v>Outside current general-Life recruiting pool</x:v>
      </x:c>
      <x:c r="O1361" s="7" t="str">
        <x:v>Not displayed</x:v>
      </x:c>
      <x:c r="P1361" s="7" t="str"/>
      <x:c r="Q1361" s="7" t="str"/>
      <x:c r="R1361" s="7" t="str"/>
      <x:c r="S1361" s="15" t="str"/>
      <x:c r="T1361" s="7" t="str">
        <x:v>No public business phone in collected record</x:v>
      </x:c>
      <x:c r="U1361" s="7" t="str"/>
      <x:c r="V1361" s="7" t="str">
        <x:v>Resident</x:v>
      </x:c>
      <x:c r="W1361" s="7" t="str">
        <x:v>CA</x:v>
      </x:c>
      <x:c r="X1361" s="7" t="str"/>
      <x:c r="Y1361" s="7" t="str"/>
      <x:c r="Z1361" s="7" t="str"/>
      <x:c r="AA1361" s="7" t="str"/>
      <x:c r="AB1361" s="7" t="str"/>
      <x:c r="AC1361" s="7" t="str"/>
      <x:c r="AD1361" s="7" t="str">
        <x:v>No agency or insurer displayed: onboarding opportunity possible; existing business unknown</x:v>
      </x:c>
      <x:c r="AE1361" s="7" t="str">
        <x:v>No public business phone: contact enrichment needed, not proof of poor recruiting fit</x:v>
      </x:c>
      <x:c r="AF1361" s="16" t="str"/>
      <x:c r="AG1361" s="17" t="str"/>
      <x:c r="AH1361" s="7" t="str"/>
      <x:c r="AI1361" s="7" t="str"/>
      <x:c r="AJ1361" s="7" t="str"/>
      <x:c r="AK1361" s="15" t="str"/>
      <x:c r="AL1361" s="7" t="str"/>
      <x:c r="AM1361" s="7" t="str">
        <x:v>AGUILAR LIZETTE ANA</x:v>
      </x:c>
      <x:c r="AN1361" s="7" t="str">
        <x:v>https://cdicloud.insurance.ca.gov/cal/LicenseDetail?SearchType=IND&amp;SearchLicNbr=0E54726&amp;SearchIndvId=912241</x:v>
      </x:c>
      <x:c r="AO1361" s="7" t="str">
        <x:v>2026-10-08</x:v>
      </x:c>
      <x:c r="AP1361" s="7" t="str">
        <x:v>480d4ac63c8e27d80cc55daa658a5b6453b4a8bc636a2fc73295af429def57f2</x:v>
      </x:c>
      <x:c r="AQ1361" s="7" t="str">
        <x:v>Accident and Health / Inactive / 08/24/2004 / 09/30/2016 / 09/30/2016
Life-Only / Inactive / 08/24/2004 / 09/30/2016 / 09/30/2016</x:v>
      </x:c>
      <x:c r="AR1361" s="7" t="str">
        <x:v>Inactive</x:v>
      </x:c>
      <x:c r="AS1361" s="7" t="str">
        <x:v>Current detail page</x:v>
      </x:c>
    </x:row>
    <x:row r="1362" ht="52" customHeight="1">
      <x:c r="A1362" s="7" t="str">
        <x:v>RODRIGUEZ LILIAN NOEMY</x:v>
      </x:c>
      <x:c r="B1362" s="14" t="str">
        <x:f>"0L91830"</x:f>
        <x:v>0L91830</x:v>
      </x:c>
      <x:c r="C1362" s="7" t="str">
        <x:v>Omitted</x:v>
      </x:c>
      <x:c r="D1362" s="7" t="str">
        <x:v>FAIL</x:v>
      </x:c>
      <x:c r="E1362" s="13" t="str">
        <x:v>Pending</x:v>
      </x:c>
      <x:c r="F1362" s="13" t="str"/>
      <x:c r="G1362" s="13" t="str"/>
      <x:c r="H1362" s="13" t="str"/>
      <x:c r="I1362" s="7" t="str">
        <x:v>Was this person reviewed? If rejected, give the actual rule and evidence. If acceptable, correct the omission. Confirm the Life-qualification gate and any record change since selection.</x:v>
      </x:c>
      <x:c r="J1362" s="7" t="str">
        <x:v>L1</x:v>
      </x:c>
      <x:c r="K1362" s="7" t="str">
        <x:v>Verified qualifications do not include active general Life. Current target-pool mismatch; actual historical omission reason unknown.</x:v>
      </x:c>
      <x:c r="L1362" s="7" t="str">
        <x:v>Not supplied; membership is known, motive is not</x:v>
      </x:c>
      <x:c r="M1362" s="7" t="n">
        <x:v>7</x:v>
      </x:c>
      <x:c r="N1362" s="7" t="str">
        <x:v>Outside current general-Life recruiting pool</x:v>
      </x:c>
      <x:c r="O1362" s="7" t="str">
        <x:v>Not displayed</x:v>
      </x:c>
      <x:c r="P1362" s="7" t="str"/>
      <x:c r="Q1362" s="7" t="str"/>
      <x:c r="R1362" s="7" t="str"/>
      <x:c r="S1362" s="15" t="str"/>
      <x:c r="T1362" s="7" t="str">
        <x:v>No public business phone in collected record</x:v>
      </x:c>
      <x:c r="U1362" s="7" t="str"/>
      <x:c r="V1362" s="7" t="str">
        <x:v>Non-resident</x:v>
      </x:c>
      <x:c r="W1362" s="7" t="str">
        <x:v>CO</x:v>
      </x:c>
      <x:c r="X1362" s="7" t="str"/>
      <x:c r="Y1362" s="7" t="str"/>
      <x:c r="Z1362" s="7" t="str"/>
      <x:c r="AA1362" s="7" t="str"/>
      <x:c r="AB1362" s="7" t="str"/>
      <x:c r="AC1362" s="7" t="str"/>
      <x:c r="AD1362" s="7" t="str">
        <x:v>No agency or insurer displayed: onboarding opportunity possible; existing business unknown</x:v>
      </x:c>
      <x:c r="AE1362" s="7" t="str">
        <x:v>Nonresident or address state outside CA; confirm geographic recruiting scope | No public business phone: contact enrichment needed, not proof of poor recruiting fit</x:v>
      </x:c>
      <x:c r="AF1362" s="16" t="str"/>
      <x:c r="AG1362" s="17" t="str"/>
      <x:c r="AH1362" s="7" t="str"/>
      <x:c r="AI1362" s="7" t="str"/>
      <x:c r="AJ1362" s="7" t="str"/>
      <x:c r="AK1362" s="15" t="str"/>
      <x:c r="AL1362" s="7" t="str"/>
      <x:c r="AM1362" s="7" t="str">
        <x:v>Aguilar  Lilian | AGUILAR  LILIAN</x:v>
      </x:c>
      <x:c r="AN1362" s="7" t="str">
        <x:v>https://cdicloud.insurance.ca.gov/cal/LicenseDetail?SearchType=IND&amp;SearchLicNbr=0L91830&amp;SearchIndvId=1955592</x:v>
      </x:c>
      <x:c r="AO1362" s="7" t="str">
        <x:v>2026-10-08</x:v>
      </x:c>
      <x:c r="AP1362" s="7" t="str">
        <x:v>66b022d1961d49b71914be9a50a36a2fab4784356b242130ba5a31e5b39b020a</x:v>
      </x:c>
      <x:c r="AQ1362" s="7" t="str">
        <x:v>Life-Only / Inactive / 09/05/2017 / 09/30/2019 / 09/30/2019</x:v>
      </x:c>
      <x:c r="AR1362" s="7" t="str">
        <x:v>Inactive</x:v>
      </x:c>
      <x:c r="AS1362" s="7" t="str">
        <x:v>Current detail page</x:v>
      </x:c>
    </x:row>
    <x:row r="1363" ht="52" customHeight="1">
      <x:c r="A1363" s="7" t="str">
        <x:v>RODRIGUEZ WENDY ELAINE</x:v>
      </x:c>
      <x:c r="B1363" s="14" t="str">
        <x:f>"0J11760"</x:f>
        <x:v>0J11760</x:v>
      </x:c>
      <x:c r="C1363" s="7" t="str">
        <x:v>Omitted</x:v>
      </x:c>
      <x:c r="D1363" s="7" t="str">
        <x:v>FAIL</x:v>
      </x:c>
      <x:c r="E1363" s="13" t="str">
        <x:v>Pending</x:v>
      </x:c>
      <x:c r="F1363" s="13" t="str"/>
      <x:c r="G1363" s="13" t="str"/>
      <x:c r="H1363" s="13" t="str"/>
      <x:c r="I1363" s="7" t="str">
        <x:v>Was this person reviewed? If rejected, give the actual rule and evidence. If acceptable, correct the omission. Confirm the Life-qualification gate and any record change since selection.</x:v>
      </x:c>
      <x:c r="J1363" s="7" t="str">
        <x:v>L1</x:v>
      </x:c>
      <x:c r="K1363" s="7" t="str">
        <x:v>Verified qualifications do not include active general Life. Current target-pool mismatch; actual historical omission reason unknown.</x:v>
      </x:c>
      <x:c r="L1363" s="7" t="str">
        <x:v>Not supplied; membership is known, motive is not</x:v>
      </x:c>
      <x:c r="M1363" s="7" t="n">
        <x:v>7</x:v>
      </x:c>
      <x:c r="N1363" s="7" t="str">
        <x:v>Outside current general-Life recruiting pool</x:v>
      </x:c>
      <x:c r="O1363" s="7" t="str">
        <x:v>Not displayed</x:v>
      </x:c>
      <x:c r="P1363" s="7" t="str"/>
      <x:c r="Q1363" s="7" t="str"/>
      <x:c r="R1363" s="7" t="str">
        <x:v>Casualty; Property</x:v>
      </x:c>
      <x:c r="S1363" s="15" t="str"/>
      <x:c r="T1363" s="7" t="str">
        <x:v>No public business phone in collected record</x:v>
      </x:c>
      <x:c r="U1363" s="7" t="str">
        <x:v>850 W AVENUE H7 LANCASTER CA, 93534-1524</x:v>
      </x:c>
      <x:c r="V1363" s="7" t="str">
        <x:v>Resident</x:v>
      </x:c>
      <x:c r="W1363" s="7" t="str">
        <x:v>CA</x:v>
      </x:c>
      <x:c r="X1363" s="7" t="str"/>
      <x:c r="Y1363" s="7" t="str">
        <x:v>ALLSTATE INDEMNITY COMPANY / Casualty / 09/29/2026
ALLSTATE INDEMNITY COMPANY / Property / 09/29/2026
ALLSTATE INSURANCE COMPANY / Casualty / 09/29/2026
ALLSTATE INSURANCE COMPANY / Property / 09/29/2026
ALLSTATE NORTHBROOK INDEMNITY COMPANY / Casualty / 09/29/2026
ALLSTATE NORTHBROOK INDEMNITY COMPANY / Property / 09/29/2026
ALLSTATE PROPERTY AND CASUALTY INSURANCE COMPANY / Casualty / 09/29/2026
ALLSTATE PROPERTY AND CASUALTY INSURANCE COMPANY / Property / 09/29/2026</x:v>
      </x:c>
      <x:c r="Z1363" s="7" t="str"/>
      <x:c r="AA1363" s="7" t="str"/>
      <x:c r="AB1363" s="7" t="str"/>
      <x:c r="AC1363" s="7" t="str"/>
      <x:c r="AD1363" s="7" t="str"/>
      <x:c r="AE1363" s="7" t="str">
        <x:v>Allstate P&amp;C appointments: verify distribution relationship; do not assume exclusivity | P&amp;C/Personal Lines authority without displayed core Life appointments; mixed profile requires review | No public business phone: contact enrichment needed, not proof of poor recruiting fit</x:v>
      </x:c>
      <x:c r="AF1363" s="16" t="str"/>
      <x:c r="AG1363" s="17" t="str"/>
      <x:c r="AH1363" s="7" t="str"/>
      <x:c r="AI1363" s="7" t="str">
        <x:v>English, Spanish, Spanish</x:v>
      </x:c>
      <x:c r="AJ1363" s="7" t="str"/>
      <x:c r="AK1363" s="15" t="str"/>
      <x:c r="AL1363" s="7" t="str"/>
      <x:c r="AM1363" s="7" t="str">
        <x:v>AGUILAR ELAINE WENDY</x:v>
      </x:c>
      <x:c r="AN1363" s="7" t="str">
        <x:v>https://cdicloud.insurance.ca.gov/cal/LicenseDetail?SearchType=IND&amp;SearchLicNbr=0J11760&amp;SearchIndvId=1701765</x:v>
      </x:c>
      <x:c r="AO1363" s="7" t="str">
        <x:v>2026-10-08</x:v>
      </x:c>
      <x:c r="AP1363" s="7" t="str">
        <x:v>34c77b291d8245357d495b416e44aa1ff1b322be164250e440ebc3f7d7726bde</x:v>
      </x:c>
      <x:c r="AQ1363" s="7" t="str">
        <x:v>Casualty / Active / 06/27/2024 / 06/27/2024 / 06/30/2028
Property / Active / 06/27/2024 / 06/27/2024 / 06/30/2028</x:v>
      </x:c>
      <x:c r="AR1363" s="7" t="str">
        <x:v>Active</x:v>
      </x:c>
      <x:c r="AS1363" s="7" t="str">
        <x:v>Current detail page</x:v>
      </x:c>
    </x:row>
    <x:row r="1364" ht="52" customHeight="1">
      <x:c r="A1364" s="7" t="str">
        <x:v>SANTOS ONALEE RANEE</x:v>
      </x:c>
      <x:c r="B1364" s="14" t="str">
        <x:f>"0E18547"</x:f>
        <x:v>0E18547</x:v>
      </x:c>
      <x:c r="C1364" s="7" t="str">
        <x:v>Omitted</x:v>
      </x:c>
      <x:c r="D1364" s="7" t="str">
        <x:v>FAIL</x:v>
      </x:c>
      <x:c r="E1364" s="13" t="str">
        <x:v>Pending</x:v>
      </x:c>
      <x:c r="F1364" s="13" t="str"/>
      <x:c r="G1364" s="13" t="str"/>
      <x:c r="H1364" s="13" t="str"/>
      <x:c r="I1364" s="7" t="str">
        <x:v>Was this person reviewed? If rejected, give the actual rule and evidence. If acceptable, correct the omission. Confirm the Life-qualification gate and any record change since selection.</x:v>
      </x:c>
      <x:c r="J1364" s="7" t="str">
        <x:v>L1</x:v>
      </x:c>
      <x:c r="K1364" s="7" t="str">
        <x:v>Verified qualifications do not include active general Life. Current target-pool mismatch; actual historical omission reason unknown.</x:v>
      </x:c>
      <x:c r="L1364" s="7" t="str">
        <x:v>Not supplied; membership is known, motive is not</x:v>
      </x:c>
      <x:c r="M1364" s="7" t="n">
        <x:v>7</x:v>
      </x:c>
      <x:c r="N1364" s="7" t="str">
        <x:v>Outside current general-Life recruiting pool</x:v>
      </x:c>
      <x:c r="O1364" s="7" t="str">
        <x:v>Not displayed</x:v>
      </x:c>
      <x:c r="P1364" s="7" t="str"/>
      <x:c r="Q1364" s="7" t="str"/>
      <x:c r="R1364" s="7" t="str"/>
      <x:c r="S1364" s="15" t="str"/>
      <x:c r="T1364" s="7" t="str">
        <x:v>No public business phone in collected record</x:v>
      </x:c>
      <x:c r="U1364" s="7" t="str"/>
      <x:c r="V1364" s="7" t="str">
        <x:v>Non-resident</x:v>
      </x:c>
      <x:c r="W1364" s="7" t="str">
        <x:v>OK</x:v>
      </x:c>
      <x:c r="X1364" s="7" t="str"/>
      <x:c r="Y1364" s="7" t="str"/>
      <x:c r="Z1364" s="7" t="str"/>
      <x:c r="AA1364" s="7" t="str"/>
      <x:c r="AB1364" s="7" t="str"/>
      <x:c r="AC1364" s="7" t="str"/>
      <x:c r="AD1364" s="7" t="str">
        <x:v>No agency or insurer displayed: onboarding opportunity possible; existing business unknown</x:v>
      </x:c>
      <x:c r="AE1364" s="7" t="str">
        <x:v>Nonresident or address state outside CA; confirm geographic recruiting scope | No public business phone: contact enrichment needed, not proof of poor recruiting fit</x:v>
      </x:c>
      <x:c r="AF1364" s="16" t="str"/>
      <x:c r="AG1364" s="17" t="str"/>
      <x:c r="AH1364" s="7" t="str"/>
      <x:c r="AI1364" s="7" t="str"/>
      <x:c r="AJ1364" s="7" t="str"/>
      <x:c r="AK1364" s="15" t="str"/>
      <x:c r="AL1364" s="7" t="str"/>
      <x:c r="AM1364" s="7" t="str">
        <x:v>AGUILAR RANEE ONALEE</x:v>
      </x:c>
      <x:c r="AN1364" s="7" t="str">
        <x:v>https://cdicloud.insurance.ca.gov/cal/LicenseDetail?SearchType=IND&amp;SearchLicNbr=0E18547&amp;SearchIndvId=865864</x:v>
      </x:c>
      <x:c r="AO1364" s="7" t="str">
        <x:v>2026-10-08</x:v>
      </x:c>
      <x:c r="AP1364" s="7" t="str">
        <x:v>bfd8e835b256c2b6fe60c17f58d58ef88db088e92aee525c62be40c9dd8a86b1</x:v>
      </x:c>
      <x:c r="AQ1364" s="7" t="str">
        <x:v>Casualty Broker-Agent / Inactive / 10/07/2003 / 10/31/2019 / 10/31/2019
Property Broker-Agent / Inactive / 10/07/2003 / 10/31/2019 / 10/31/2019</x:v>
      </x:c>
      <x:c r="AR1364" s="7" t="str">
        <x:v>Inactive</x:v>
      </x:c>
      <x:c r="AS1364" s="7" t="str">
        <x:v>Current detail page</x:v>
      </x:c>
    </x:row>
    <x:row r="1365" ht="52" customHeight="1">
      <x:c r="A1365" s="7" t="str">
        <x:v>SERENO KARINA JASMINE</x:v>
      </x:c>
      <x:c r="B1365" s="14" t="str">
        <x:f>"0C71435"</x:f>
        <x:v>0C71435</x:v>
      </x:c>
      <x:c r="C1365" s="7" t="str">
        <x:v>Omitted</x:v>
      </x:c>
      <x:c r="D1365" s="7" t="str">
        <x:v>FAIL</x:v>
      </x:c>
      <x:c r="E1365" s="13" t="str">
        <x:v>Pending</x:v>
      </x:c>
      <x:c r="F1365" s="13" t="str"/>
      <x:c r="G1365" s="13" t="str"/>
      <x:c r="H1365" s="13" t="str"/>
      <x:c r="I1365" s="7" t="str">
        <x:v>Was this person reviewed? If rejected, give the actual rule and evidence. If acceptable, correct the omission. Confirm the Life-qualification gate and any record change since selection.</x:v>
      </x:c>
      <x:c r="J1365" s="7" t="str">
        <x:v>L1</x:v>
      </x:c>
      <x:c r="K1365" s="7" t="str">
        <x:v>Verified qualifications do not include active general Life. Current target-pool mismatch; actual historical omission reason unknown.</x:v>
      </x:c>
      <x:c r="L1365" s="7" t="str">
        <x:v>Not supplied; membership is known, motive is not</x:v>
      </x:c>
      <x:c r="M1365" s="7" t="n">
        <x:v>7</x:v>
      </x:c>
      <x:c r="N1365" s="7" t="str">
        <x:v>Outside current general-Life recruiting pool</x:v>
      </x:c>
      <x:c r="O1365" s="7" t="str">
        <x:v>Not displayed</x:v>
      </x:c>
      <x:c r="P1365" s="7" t="str"/>
      <x:c r="Q1365" s="7" t="str"/>
      <x:c r="R1365" s="7" t="str"/>
      <x:c r="S1365" s="15" t="str"/>
      <x:c r="T1365" s="7" t="str">
        <x:v>No public business phone in collected record</x:v>
      </x:c>
      <x:c r="U1365" s="7" t="str"/>
      <x:c r="V1365" s="7" t="str">
        <x:v>Resident</x:v>
      </x:c>
      <x:c r="W1365" s="7" t="str">
        <x:v>CA</x:v>
      </x:c>
      <x:c r="X1365" s="7" t="str"/>
      <x:c r="Y1365" s="7" t="str"/>
      <x:c r="Z1365" s="7" t="str"/>
      <x:c r="AA1365" s="7" t="str"/>
      <x:c r="AB1365" s="7" t="str"/>
      <x:c r="AC1365" s="7" t="str"/>
      <x:c r="AD1365" s="7" t="str">
        <x:v>No agency or insurer displayed: onboarding opportunity possible; existing business unknown</x:v>
      </x:c>
      <x:c r="AE1365" s="7" t="str">
        <x:v>No public business phone: contact enrichment needed, not proof of poor recruiting fit</x:v>
      </x:c>
      <x:c r="AF1365" s="16" t="str"/>
      <x:c r="AG1365" s="17" t="str"/>
      <x:c r="AH1365" s="7" t="str"/>
      <x:c r="AI1365" s="7" t="str"/>
      <x:c r="AJ1365" s="7" t="str"/>
      <x:c r="AK1365" s="15" t="str"/>
      <x:c r="AL1365" s="7" t="str"/>
      <x:c r="AM1365" s="7" t="str">
        <x:v>AGUILAR JASMINE KARINA</x:v>
      </x:c>
      <x:c r="AN1365" s="7" t="str">
        <x:v>https://cdicloud.insurance.ca.gov/cal/LicenseDetail?SearchType=IND&amp;SearchLicNbr=0C71435&amp;SearchIndvId=449288</x:v>
      </x:c>
      <x:c r="AO1365" s="7" t="str">
        <x:v>2026-10-08</x:v>
      </x:c>
      <x:c r="AP1365" s="7" t="str">
        <x:v>b9c39b8d8214c24a31e4a337afe6b9c4bb18fce0f9feb48010e2128c1cc2cf01</x:v>
      </x:c>
      <x:c r="AQ1365" s="7" t="str">
        <x:v>Casualty Broker-Agent / Inactive / 09/07/1999 / 09/30/2011 / 09/30/2011
Property Broker-Agent / Inactive / 09/07/1999 / 09/30/2011 / 09/30/2011</x:v>
      </x:c>
      <x:c r="AR1365" s="7" t="str">
        <x:v>Inactive</x:v>
      </x:c>
      <x:c r="AS1365" s="7" t="str">
        <x:v>Current detail page</x:v>
      </x:c>
    </x:row>
    <x:row r="1366" ht="52" customHeight="1">
      <x:c r="A1366" s="7" t="str">
        <x:v>STIEF TRACI GAIL</x:v>
      </x:c>
      <x:c r="B1366" s="14" t="str">
        <x:f>"0D90185"</x:f>
        <x:v>0D90185</x:v>
      </x:c>
      <x:c r="C1366" s="7" t="str">
        <x:v>Omitted</x:v>
      </x:c>
      <x:c r="D1366" s="7" t="str">
        <x:v>FAIL</x:v>
      </x:c>
      <x:c r="E1366" s="13" t="str">
        <x:v>Pending</x:v>
      </x:c>
      <x:c r="F1366" s="13" t="str"/>
      <x:c r="G1366" s="13" t="str"/>
      <x:c r="H1366" s="13" t="str"/>
      <x:c r="I1366" s="7" t="str">
        <x:v>Was this person reviewed? If rejected, give the actual rule and evidence. If acceptable, correct the omission. Confirm the Life-qualification gate and any record change since selection.</x:v>
      </x:c>
      <x:c r="J1366" s="7" t="str">
        <x:v>L1</x:v>
      </x:c>
      <x:c r="K1366" s="7" t="str">
        <x:v>Verified qualifications do not include active general Life. Current target-pool mismatch; actual historical omission reason unknown.</x:v>
      </x:c>
      <x:c r="L1366" s="7" t="str">
        <x:v>Not supplied; membership is known, motive is not</x:v>
      </x:c>
      <x:c r="M1366" s="7" t="n">
        <x:v>7</x:v>
      </x:c>
      <x:c r="N1366" s="7" t="str">
        <x:v>Outside current general-Life recruiting pool</x:v>
      </x:c>
      <x:c r="O1366" s="7" t="str">
        <x:v>Not displayed</x:v>
      </x:c>
      <x:c r="P1366" s="7" t="str"/>
      <x:c r="Q1366" s="7" t="str"/>
      <x:c r="R1366" s="7" t="str">
        <x:v>Casualty; Property</x:v>
      </x:c>
      <x:c r="S1366" s="15" t="str">
        <x:v>707-782-9200 Ext. 144</x:v>
      </x:c>
      <x:c r="T1366" s="7" t="str">
        <x:v>Current CDI</x:v>
      </x:c>
      <x:c r="U1366" s="7" t="str">
        <x:v>731A SOUTHPOINT BLVD. 731A SOUTHPOINT BLVD. PETALUMA CA, 94954</x:v>
      </x:c>
      <x:c r="V1366" s="7" t="str">
        <x:v>Resident</x:v>
      </x:c>
      <x:c r="W1366" s="7" t="str">
        <x:v>CA</x:v>
      </x:c>
      <x:c r="X1366" s="7" t="str">
        <x:v>HUB INTERNATIONAL INSURANCE SERVICES INC. / Casualty / 09/11/2025
HUB INTERNATIONAL INSURANCE SERVICES INC. / Property / 09/11/2025</x:v>
      </x:c>
      <x:c r="Y1366" s="7" t="str">
        <x:v>FOREMOST INSURANCE COMPANY GRAND RAPIDS, MICHIGAN / Casualty / 04/21/2026
FOREMOST INSURANCE COMPANY GRAND RAPIDS, MICHIGAN / Property / 04/21/2026</x:v>
      </x:c>
      <x:c r="Z1366" s="7" t="str"/>
      <x:c r="AA1366" s="7" t="str"/>
      <x:c r="AB1366" s="7" t="str"/>
      <x:c r="AC1366" s="7" t="str"/>
      <x:c r="AD1366" s="7" t="str"/>
      <x:c r="AE1366" s="7" t="str">
        <x:v>Benefits/large-broker agency signal: HUB INTERNATIONAL INSURANCE SERVICES INC. | P&amp;C/Personal Lines authority without displayed core Life appointments; mixed profile requires review</x:v>
      </x:c>
      <x:c r="AF1366" s="16" t="str"/>
      <x:c r="AG1366" s="17" t="str"/>
      <x:c r="AH1366" s="7" t="str"/>
      <x:c r="AI1366" s="7" t="str">
        <x:v>English</x:v>
      </x:c>
      <x:c r="AJ1366" s="7" t="str"/>
      <x:c r="AK1366" s="15" t="str"/>
      <x:c r="AL1366" s="7" t="str"/>
      <x:c r="AM1366" s="7" t="str">
        <x:v>AGUILAR GAIL TRACI</x:v>
      </x:c>
      <x:c r="AN1366" s="7" t="str">
        <x:v>https://cdicloud.insurance.ca.gov/cal/LicenseDetail?SearchType=IND&amp;SearchLicNbr=0D90185&amp;SearchIndvId=830732</x:v>
      </x:c>
      <x:c r="AO1366" s="7" t="str">
        <x:v>2026-10-08</x:v>
      </x:c>
      <x:c r="AP1366" s="7" t="str">
        <x:v>03b1ef477d7ff7bee012f461d6d46a25092355d6a3b26641ae2919945337f40d</x:v>
      </x:c>
      <x:c r="AQ1366" s="7" t="str">
        <x:v>Casualty / Active / 02/25/2003 / 02/25/2003 / 02/28/2027
Property / Active / 02/25/2003 / 02/25/2003 / 02/28/2027</x:v>
      </x:c>
      <x:c r="AR1366" s="7" t="str">
        <x:v>Active</x:v>
      </x:c>
      <x:c r="AS1366" s="7" t="str">
        <x:v>Current detail page</x:v>
      </x:c>
    </x:row>
    <x:row r="1367" ht="52" customHeight="1">
      <x:c r="A1367" s="7" t="str">
        <x:v>TAISTRA ALICIA ANGELICA</x:v>
      </x:c>
      <x:c r="B1367" s="14" t="str">
        <x:f>"4335711"</x:f>
        <x:v>4335711</x:v>
      </x:c>
      <x:c r="C1367" s="7" t="str">
        <x:v>Omitted</x:v>
      </x:c>
      <x:c r="D1367" s="7" t="str">
        <x:v>FAIL</x:v>
      </x:c>
      <x:c r="E1367" s="13" t="str">
        <x:v>Pending</x:v>
      </x:c>
      <x:c r="F1367" s="13" t="str"/>
      <x:c r="G1367" s="13" t="str"/>
      <x:c r="H1367" s="13" t="str"/>
      <x:c r="I1367" s="7" t="str">
        <x:v>Was this person reviewed? If rejected, give the actual rule and evidence. If acceptable, correct the omission. Confirm the Life-qualification gate and any record change since selection.</x:v>
      </x:c>
      <x:c r="J1367" s="7" t="str">
        <x:v>L1</x:v>
      </x:c>
      <x:c r="K1367" s="7" t="str">
        <x:v>Verified qualifications do not include active general Life. Current target-pool mismatch; actual historical omission reason unknown.</x:v>
      </x:c>
      <x:c r="L1367" s="7" t="str">
        <x:v>Not supplied; membership is known, motive is not</x:v>
      </x:c>
      <x:c r="M1367" s="7" t="n">
        <x:v>7</x:v>
      </x:c>
      <x:c r="N1367" s="7" t="str">
        <x:v>Outside current general-Life recruiting pool</x:v>
      </x:c>
      <x:c r="O1367" s="7" t="str">
        <x:v>Not displayed</x:v>
      </x:c>
      <x:c r="P1367" s="7" t="str"/>
      <x:c r="Q1367" s="7" t="str"/>
      <x:c r="R1367" s="7" t="str">
        <x:v>Casualty; Property</x:v>
      </x:c>
      <x:c r="S1367" s="15" t="str">
        <x:v>760-553-6321</x:v>
      </x:c>
      <x:c r="T1367" s="7" t="str">
        <x:v>Current CDI</x:v>
      </x:c>
      <x:c r="U1367" s="7" t="str">
        <x:v>12180 RIDGECREST RD SUIT 522 VICTORVILLE CA, 92395</x:v>
      </x:c>
      <x:c r="V1367" s="7" t="str">
        <x:v>Non-resident</x:v>
      </x:c>
      <x:c r="W1367" s="7" t="str">
        <x:v>CA</x:v>
      </x:c>
      <x:c r="X1367" s="7" t="str"/>
      <x:c r="Y1367" s="7" t="str">
        <x:v>ALLSTATE INDEMNITY COMPANY / Casualty / 10/21/2025
ALLSTATE INDEMNITY COMPANY / Property / 10/21/2025
ALLSTATE INSURANCE COMPANY / Casualty / 10/21/2025
ALLSTATE INSURANCE COMPANY / Property / 10/21/2025
ALLSTATE NORTHBROOK INDEMNITY COMPANY / Casualty / 10/21/2025
ALLSTATE NORTHBROOK INDEMNITY COMPANY / Property / 10/21/2025
ALLSTATE PROPERTY AND CASUALTY INSURANCE COMPANY / Casualty / 10/21/2025
ALLSTATE PROPERTY AND CASUALTY INSURANCE COMPANY / Property / 10/21/2025</x:v>
      </x:c>
      <x:c r="Z1367" s="7" t="str"/>
      <x:c r="AA1367" s="7" t="str"/>
      <x:c r="AB1367" s="7" t="str"/>
      <x:c r="AC1367" s="7" t="str"/>
      <x:c r="AD1367" s="7" t="str"/>
      <x:c r="AE1367" s="7" t="str">
        <x:v>Allstate P&amp;C appointments: verify distribution relationship; do not assume exclusivity | P&amp;C/Personal Lines authority without displayed core Life appointments; mixed profile requires review | Nonresident or address state outside CA; confirm geographic recruiting scope</x:v>
      </x:c>
      <x:c r="AF1367" s="16" t="str"/>
      <x:c r="AG1367" s="17" t="str"/>
      <x:c r="AH1367" s="7" t="str"/>
      <x:c r="AI1367" s="7" t="str">
        <x:v>English</x:v>
      </x:c>
      <x:c r="AJ1367" s="7" t="str"/>
      <x:c r="AK1367" s="15" t="str"/>
      <x:c r="AL1367" s="7" t="str"/>
      <x:c r="AM1367" s="7" t="str">
        <x:v>AGUILAR ANGELICA ALICIA</x:v>
      </x:c>
      <x:c r="AN1367" s="7" t="str">
        <x:v>https://cdicloud.insurance.ca.gov/cal/LicenseDetail?SearchType=IND&amp;SearchLicNbr=4335711&amp;SearchIndvId=4335711</x:v>
      </x:c>
      <x:c r="AO1367" s="7" t="str">
        <x:v>2026-10-08</x:v>
      </x:c>
      <x:c r="AP1367" s="7" t="str">
        <x:v>82c8c5ed0cd830e9b677bd30f5487c5d1161af564f41afac0a99db070026bba0</x:v>
      </x:c>
      <x:c r="AQ1367" s="7" t="str">
        <x:v>Casualty / Active / 02/29/2024 / 10/21/2025 / 02/29/2028
Property / Active / 02/29/2024 / 10/21/2025 / 02/29/2028
Accident &amp; Health or Sickness / Inactive / 08/30/2024 / 10/16/2025 / 10/16/2025</x:v>
      </x:c>
      <x:c r="AR1367" s="7" t="str">
        <x:v>Active</x:v>
      </x:c>
      <x:c r="AS1367" s="7" t="str">
        <x:v>Current detail page</x:v>
      </x:c>
    </x:row>
    <x:row r="1368" ht="52" customHeight="1">
      <x:c r="A1368" s="7" t="str">
        <x:v>VALENZUELA ANGELICA</x:v>
      </x:c>
      <x:c r="B1368" s="14" t="str">
        <x:f>"0H70543"</x:f>
        <x:v>0H70543</x:v>
      </x:c>
      <x:c r="C1368" s="7" t="str">
        <x:v>Omitted</x:v>
      </x:c>
      <x:c r="D1368" s="7" t="str">
        <x:v>FAIL</x:v>
      </x:c>
      <x:c r="E1368" s="13" t="str">
        <x:v>Pending</x:v>
      </x:c>
      <x:c r="F1368" s="13" t="str"/>
      <x:c r="G1368" s="13" t="str"/>
      <x:c r="H1368" s="13" t="str"/>
      <x:c r="I1368" s="7" t="str">
        <x:v>Was this person reviewed? If rejected, give the actual rule and evidence. If acceptable, correct the omission. Confirm the Life-qualification gate and any record change since selection.</x:v>
      </x:c>
      <x:c r="J1368" s="7" t="str">
        <x:v>L1</x:v>
      </x:c>
      <x:c r="K1368" s="7" t="str">
        <x:v>Verified qualifications do not include active general Life. Current target-pool mismatch; actual historical omission reason unknown.</x:v>
      </x:c>
      <x:c r="L1368" s="7" t="str">
        <x:v>Not supplied; membership is known, motive is not</x:v>
      </x:c>
      <x:c r="M1368" s="7" t="n">
        <x:v>7</x:v>
      </x:c>
      <x:c r="N1368" s="7" t="str">
        <x:v>Outside current general-Life recruiting pool</x:v>
      </x:c>
      <x:c r="O1368" s="7" t="str">
        <x:v>Inactive</x:v>
      </x:c>
      <x:c r="P1368" s="7" t="str">
        <x:v>12/16/2011</x:v>
      </x:c>
      <x:c r="Q1368" s="7" t="str">
        <x:v>12/31/2023</x:v>
      </x:c>
      <x:c r="R1368" s="7" t="str"/>
      <x:c r="S1368" s="15" t="str">
        <x:v>909-966-5090</x:v>
      </x:c>
      <x:c r="T1368" s="7" t="str">
        <x:v>Current CDI</x:v>
      </x:c>
      <x:c r="U1368" s="7" t="str">
        <x:v>8273 WHITE OAK AVE STE 120-F RANCHO CUCAMONGA CA, 91730-7671</x:v>
      </x:c>
      <x:c r="V1368" s="7" t="str">
        <x:v>Resident</x:v>
      </x:c>
      <x:c r="W1368" s="7" t="str">
        <x:v>CA</x:v>
      </x:c>
      <x:c r="X1368" s="7" t="str"/>
      <x:c r="Y1368" s="7" t="str"/>
      <x:c r="Z1368" s="7" t="str"/>
      <x:c r="AA1368" s="7" t="str"/>
      <x:c r="AB1368" s="7" t="str"/>
      <x:c r="AC1368" s="7" t="str"/>
      <x:c r="AD1368" s="7" t="str">
        <x:v>No agency or insurer displayed: onboarding opportunity possible; existing business unknown</x:v>
      </x:c>
      <x:c r="AE1368" s="7" t="str"/>
      <x:c r="AF1368" s="16" t="str"/>
      <x:c r="AG1368" s="17" t="str"/>
      <x:c r="AH1368" s="7" t="str"/>
      <x:c r="AI1368" s="7" t="str">
        <x:v>English</x:v>
      </x:c>
      <x:c r="AJ1368" s="7" t="str"/>
      <x:c r="AK1368" s="15" t="str"/>
      <x:c r="AL1368" s="7" t="str"/>
      <x:c r="AM1368" s="7" t="str">
        <x:v>AGUILAR-CRUZ  ANGELICA</x:v>
      </x:c>
      <x:c r="AN1368" s="7" t="str">
        <x:v>https://cdicloud.insurance.ca.gov/cal/LicenseDetail?SearchType=IND&amp;SearchLicNbr=0H70543&amp;SearchIndvId=1492973</x:v>
      </x:c>
      <x:c r="AO1368" s="7" t="str">
        <x:v>2026-10-08</x:v>
      </x:c>
      <x:c r="AP1368" s="7" t="str">
        <x:v>dc1d7a02fd8415a3c8b4744aa855012ec51928a79e22a8a31e41da034cf1c296</x:v>
      </x:c>
      <x:c r="AQ1368" s="7" t="str">
        <x:v>Casualty / Inactive / 02/10/2022 / 12/31/2023 / 12/31/2023
Life / Inactive / 12/16/2011 / 12/31/2023 / 12/31/2023
Property / Inactive / 02/10/2022 / 12/31/2023 / 12/31/2023
Var Life and Var Annuity / Inactive / 12/16/2011 / 12/31/2023 / 12/31/2023</x:v>
      </x:c>
      <x:c r="AR1368" s="7" t="str">
        <x:v>Inactive</x:v>
      </x:c>
      <x:c r="AS1368" s="7" t="str">
        <x:v>Current detail page</x:v>
      </x:c>
    </x:row>
    <x:row r="1369" ht="52" customHeight="1">
      <x:c r="A1369" s="7" t="str">
        <x:v>VEGA MARICELA</x:v>
      </x:c>
      <x:c r="B1369" s="14" t="str">
        <x:f>"4118013"</x:f>
        <x:v>4118013</x:v>
      </x:c>
      <x:c r="C1369" s="7" t="str">
        <x:v>Omitted</x:v>
      </x:c>
      <x:c r="D1369" s="7" t="str">
        <x:v>FAIL</x:v>
      </x:c>
      <x:c r="E1369" s="13" t="str">
        <x:v>Pending</x:v>
      </x:c>
      <x:c r="F1369" s="13" t="str"/>
      <x:c r="G1369" s="13" t="str"/>
      <x:c r="H1369" s="13" t="str"/>
      <x:c r="I1369" s="7" t="str">
        <x:v>Was this person reviewed? If rejected, give the actual rule and evidence. If acceptable, correct the omission. Confirm the Life-qualification gate and any record change since selection.</x:v>
      </x:c>
      <x:c r="J1369" s="7" t="str">
        <x:v>L1</x:v>
      </x:c>
      <x:c r="K1369" s="7" t="str">
        <x:v>Verified qualifications do not include active general Life. Current target-pool mismatch; actual historical omission reason unknown.</x:v>
      </x:c>
      <x:c r="L1369" s="7" t="str">
        <x:v>Not supplied; membership is known, motive is not</x:v>
      </x:c>
      <x:c r="M1369" s="7" t="n">
        <x:v>7</x:v>
      </x:c>
      <x:c r="N1369" s="7" t="str">
        <x:v>Outside current general-Life recruiting pool</x:v>
      </x:c>
      <x:c r="O1369" s="7" t="str">
        <x:v>Not displayed</x:v>
      </x:c>
      <x:c r="P1369" s="7" t="str"/>
      <x:c r="Q1369" s="7" t="str"/>
      <x:c r="R1369" s="7" t="str">
        <x:v>Casualty; Property</x:v>
      </x:c>
      <x:c r="S1369" s="15" t="str">
        <x:v>818-920-2200</x:v>
      </x:c>
      <x:c r="T1369" s="7" t="str">
        <x:v>Current CDI</x:v>
      </x:c>
      <x:c r="U1369" s="7" t="str">
        <x:v>15545 DEVONSHIRE ST SUITE 102 MISSION HILLS CA, 91345</x:v>
      </x:c>
      <x:c r="V1369" s="7" t="str">
        <x:v>Resident</x:v>
      </x:c>
      <x:c r="W1369" s="7" t="str">
        <x:v>CA</x:v>
      </x:c>
      <x:c r="X1369" s="7" t="str">
        <x:v>PRIMEWEST INSURANCE BROKERAGE, INC. / Casualty / 07/12/2021
PRIMEWEST INSURANCE BROKERAGE, INC. / Property / 07/12/2021</x:v>
      </x:c>
      <x:c r="Y1369" s="7" t="str">
        <x:v>FOREMOST INSURANCE COMPANY GRAND RAPIDS, MICHIGAN / Casualty / 02/12/2026
FOREMOST INSURANCE COMPANY GRAND RAPIDS, MICHIGAN / Property / 02/12/2026</x:v>
      </x:c>
      <x:c r="Z1369" s="7" t="str"/>
      <x:c r="AA1369" s="7" t="str"/>
      <x:c r="AB1369" s="7" t="str"/>
      <x:c r="AC1369" s="7" t="str"/>
      <x:c r="AD1369" s="7" t="str"/>
      <x:c r="AE1369" s="7" t="str">
        <x:v>P&amp;C/Personal Lines authority without displayed core Life appointments; mixed profile requires review</x:v>
      </x:c>
      <x:c r="AF1369" s="16" t="str"/>
      <x:c r="AG1369" s="17" t="str"/>
      <x:c r="AH1369" s="7" t="str"/>
      <x:c r="AI1369" s="7" t="str">
        <x:v>English</x:v>
      </x:c>
      <x:c r="AJ1369" s="7" t="str"/>
      <x:c r="AK1369" s="15" t="str"/>
      <x:c r="AL1369" s="7" t="str"/>
      <x:c r="AM1369" s="7" t="str">
        <x:v>AGUILAR  MARICELA</x:v>
      </x:c>
      <x:c r="AN1369" s="7" t="str">
        <x:v>https://cdicloud.insurance.ca.gov/cal/LicenseDetail?SearchType=IND&amp;SearchLicNbr=4118013&amp;SearchIndvId=4118013</x:v>
      </x:c>
      <x:c r="AO1369" s="7" t="str">
        <x:v>2026-10-08</x:v>
      </x:c>
      <x:c r="AP1369" s="7" t="str">
        <x:v>9bd878b7af519d212c8ce74c1b84eca9938873904e6b380286b907bf3bb5b0c4</x:v>
      </x:c>
      <x:c r="AQ1369" s="7" t="str">
        <x:v>Casualty / Active / 05/11/2021 / 05/11/2021 / 05/31/2027
Property / Active / 05/11/2021 / 05/11/2021 / 05/31/2027</x:v>
      </x:c>
      <x:c r="AR1369" s="7" t="str">
        <x:v>Active</x:v>
      </x:c>
      <x:c r="AS1369" s="7" t="str">
        <x:v>Current detail page</x:v>
      </x:c>
    </x:row>
    <x:row r="1370" ht="52" customHeight="1">
      <x:c r="A1370" s="7" t="str">
        <x:v>VELAZQUEZ ERENDIRA</x:v>
      </x:c>
      <x:c r="B1370" s="14" t="str">
        <x:f>"0E37792"</x:f>
        <x:v>0E37792</x:v>
      </x:c>
      <x:c r="C1370" s="7" t="str">
        <x:v>Omitted</x:v>
      </x:c>
      <x:c r="D1370" s="7" t="str">
        <x:v>FAIL</x:v>
      </x:c>
      <x:c r="E1370" s="13" t="str">
        <x:v>Pending</x:v>
      </x:c>
      <x:c r="F1370" s="13" t="str"/>
      <x:c r="G1370" s="13" t="str"/>
      <x:c r="H1370" s="13" t="str"/>
      <x:c r="I1370" s="7" t="str">
        <x:v>Was this person reviewed? If rejected, give the actual rule and evidence. If acceptable, correct the omission. Confirm the Life-qualification gate and any record change since selection.</x:v>
      </x:c>
      <x:c r="J1370" s="7" t="str">
        <x:v>L1</x:v>
      </x:c>
      <x:c r="K1370" s="7" t="str">
        <x:v>Verified qualifications do not include active general Life. Current target-pool mismatch; actual historical omission reason unknown.</x:v>
      </x:c>
      <x:c r="L1370" s="7" t="str">
        <x:v>Not supplied; membership is known, motive is not</x:v>
      </x:c>
      <x:c r="M1370" s="7" t="n">
        <x:v>7</x:v>
      </x:c>
      <x:c r="N1370" s="7" t="str">
        <x:v>Outside current general-Life recruiting pool</x:v>
      </x:c>
      <x:c r="O1370" s="7" t="str">
        <x:v>Not displayed</x:v>
      </x:c>
      <x:c r="P1370" s="7" t="str"/>
      <x:c r="Q1370" s="7" t="str"/>
      <x:c r="R1370" s="7" t="str"/>
      <x:c r="S1370" s="15" t="str"/>
      <x:c r="T1370" s="7" t="str">
        <x:v>No public business phone in collected record</x:v>
      </x:c>
      <x:c r="U1370" s="7" t="str"/>
      <x:c r="V1370" s="7" t="str">
        <x:v>Resident</x:v>
      </x:c>
      <x:c r="W1370" s="7" t="str">
        <x:v>CA</x:v>
      </x:c>
      <x:c r="X1370" s="7" t="str"/>
      <x:c r="Y1370" s="7" t="str"/>
      <x:c r="Z1370" s="7" t="str"/>
      <x:c r="AA1370" s="7" t="str"/>
      <x:c r="AB1370" s="7" t="str"/>
      <x:c r="AC1370" s="7" t="str"/>
      <x:c r="AD1370" s="7" t="str">
        <x:v>No agency or insurer displayed: onboarding opportunity possible; existing business unknown</x:v>
      </x:c>
      <x:c r="AE1370" s="7" t="str">
        <x:v>No public business phone: contact enrichment needed, not proof of poor recruiting fit</x:v>
      </x:c>
      <x:c r="AF1370" s="16" t="str"/>
      <x:c r="AG1370" s="17" t="str"/>
      <x:c r="AH1370" s="7" t="str"/>
      <x:c r="AI1370" s="7" t="str"/>
      <x:c r="AJ1370" s="7" t="str"/>
      <x:c r="AK1370" s="15" t="str"/>
      <x:c r="AL1370" s="7" t="str"/>
      <x:c r="AM1370" s="7" t="str">
        <x:v>AGUILAR  ERENDIRA</x:v>
      </x:c>
      <x:c r="AN1370" s="7" t="str">
        <x:v>https://cdicloud.insurance.ca.gov/cal/LicenseDetail?SearchType=IND&amp;SearchLicNbr=0E37792&amp;SearchIndvId=892112</x:v>
      </x:c>
      <x:c r="AO1370" s="7" t="str">
        <x:v>2026-10-08</x:v>
      </x:c>
      <x:c r="AP1370" s="7" t="str">
        <x:v>69142853e8995162a45ccf7284866db5c9900adefef699e3dee940969d1849ec</x:v>
      </x:c>
      <x:c r="AQ1370" s="7" t="str">
        <x:v>Casualty Broker-Agent / Inactive / 04/08/2004 / 04/30/2020 / 04/30/2020
Life-Only / Inactive / 03/05/2012 / 04/30/2014 / 04/30/2014
Property Broker-Agent / Inactive / 04/08/2004 / 04/30/2020 / 04/30/2020</x:v>
      </x:c>
      <x:c r="AR1370" s="7" t="str">
        <x:v>Inactive</x:v>
      </x:c>
      <x:c r="AS1370" s="7" t="str">
        <x:v>Current detail page</x:v>
      </x:c>
    </x:row>
    <x:row r="1371" ht="52" customHeight="1">
      <x:c r="A1371" s="7" t="str">
        <x:v>VILLARREAL PATRICIA</x:v>
      </x:c>
      <x:c r="B1371" s="14" t="str">
        <x:f>"0E32893"</x:f>
        <x:v>0E32893</x:v>
      </x:c>
      <x:c r="C1371" s="7" t="str">
        <x:v>Omitted</x:v>
      </x:c>
      <x:c r="D1371" s="7" t="str">
        <x:v>FAIL</x:v>
      </x:c>
      <x:c r="E1371" s="13" t="str">
        <x:v>Pending</x:v>
      </x:c>
      <x:c r="F1371" s="13" t="str"/>
      <x:c r="G1371" s="13" t="str"/>
      <x:c r="H1371" s="13" t="str"/>
      <x:c r="I1371" s="7" t="str">
        <x:v>Was this person reviewed? If rejected, give the actual rule and evidence. If acceptable, correct the omission. Confirm the Life-qualification gate and any record change since selection.</x:v>
      </x:c>
      <x:c r="J1371" s="7" t="str">
        <x:v>L1</x:v>
      </x:c>
      <x:c r="K1371" s="7" t="str">
        <x:v>Verified qualifications do not include active general Life. Current target-pool mismatch; actual historical omission reason unknown.</x:v>
      </x:c>
      <x:c r="L1371" s="7" t="str">
        <x:v>Not supplied; membership is known, motive is not</x:v>
      </x:c>
      <x:c r="M1371" s="7" t="n">
        <x:v>7</x:v>
      </x:c>
      <x:c r="N1371" s="7" t="str">
        <x:v>Outside current general-Life recruiting pool</x:v>
      </x:c>
      <x:c r="O1371" s="7" t="str">
        <x:v>Not displayed</x:v>
      </x:c>
      <x:c r="P1371" s="7" t="str"/>
      <x:c r="Q1371" s="7" t="str"/>
      <x:c r="R1371" s="7" t="str"/>
      <x:c r="S1371" s="15" t="str">
        <x:v>708-752-5801</x:v>
      </x:c>
      <x:c r="T1371" s="7" t="str">
        <x:v>Current CDI</x:v>
      </x:c>
      <x:c r="U1371" s="7" t="str">
        <x:v>404 CAMINO DEL RIO SOUTH #410 SAN DIEGO CA, 92108</x:v>
      </x:c>
      <x:c r="V1371" s="7" t="str">
        <x:v>Resident</x:v>
      </x:c>
      <x:c r="W1371" s="7" t="str">
        <x:v>CA</x:v>
      </x:c>
      <x:c r="X1371" s="7" t="str"/>
      <x:c r="Y1371" s="7" t="str"/>
      <x:c r="Z1371" s="7" t="str"/>
      <x:c r="AA1371" s="7" t="str"/>
      <x:c r="AB1371" s="7" t="str"/>
      <x:c r="AC1371" s="7" t="str"/>
      <x:c r="AD1371" s="7" t="str">
        <x:v>No agency or insurer displayed: onboarding opportunity possible; existing business unknown</x:v>
      </x:c>
      <x:c r="AE1371" s="7" t="str"/>
      <x:c r="AF1371" s="16" t="str"/>
      <x:c r="AG1371" s="17" t="str"/>
      <x:c r="AH1371" s="7" t="str"/>
      <x:c r="AI1371" s="7" t="str">
        <x:v>English</x:v>
      </x:c>
      <x:c r="AJ1371" s="7" t="str"/>
      <x:c r="AK1371" s="15" t="str"/>
      <x:c r="AL1371" s="7" t="str"/>
      <x:c r="AM1371" s="7" t="str">
        <x:v>AGUILAR  PATRICIA</x:v>
      </x:c>
      <x:c r="AN1371" s="7" t="str">
        <x:v>https://cdicloud.insurance.ca.gov/cal/LicenseDetail?SearchType=IND&amp;SearchLicNbr=0E32893&amp;SearchIndvId=886523</x:v>
      </x:c>
      <x:c r="AO1371" s="7" t="str">
        <x:v>2026-10-08</x:v>
      </x:c>
      <x:c r="AP1371" s="7" t="str">
        <x:v>6119f875e90fd9a35a3e3b8eb71ed461fff98973603aefca18b66e5f764de506</x:v>
      </x:c>
      <x:c r="AQ1371" s="7" t="str">
        <x:v>Casualty / Inactive / 03/03/2004 / 01/22/2025 / 01/22/2025
Property / Inactive / 03/03/2004 / 01/22/2025 / 01/22/2025</x:v>
      </x:c>
      <x:c r="AR1371" s="7" t="str">
        <x:v>Inactive</x:v>
      </x:c>
      <x:c r="AS1371" s="7" t="str">
        <x:v>Current detail page</x:v>
      </x:c>
    </x:row>
    <x:row r="1372" ht="52" customHeight="1">
      <x:c r="A1372" s="7" t="str">
        <x:v>WILSON MARGARET IRENE</x:v>
      </x:c>
      <x:c r="B1372" s="14" t="str">
        <x:f>"4171475"</x:f>
        <x:v>4171475</x:v>
      </x:c>
      <x:c r="C1372" s="7" t="str">
        <x:v>Omitted</x:v>
      </x:c>
      <x:c r="D1372" s="7" t="str">
        <x:v>FAIL</x:v>
      </x:c>
      <x:c r="E1372" s="13" t="str">
        <x:v>Pending</x:v>
      </x:c>
      <x:c r="F1372" s="13" t="str"/>
      <x:c r="G1372" s="13" t="str"/>
      <x:c r="H1372" s="13" t="str"/>
      <x:c r="I1372" s="7" t="str">
        <x:v>Was this person reviewed? If rejected, give the actual rule and evidence. If acceptable, correct the omission. Confirm the Life-qualification gate and any record change since selection.</x:v>
      </x:c>
      <x:c r="J1372" s="7" t="str">
        <x:v>L1</x:v>
      </x:c>
      <x:c r="K1372" s="7" t="str">
        <x:v>Verified qualifications do not include active general Life. Current target-pool mismatch; actual historical omission reason unknown.</x:v>
      </x:c>
      <x:c r="L1372" s="7" t="str">
        <x:v>Not supplied; membership is known, motive is not</x:v>
      </x:c>
      <x:c r="M1372" s="7" t="n">
        <x:v>7</x:v>
      </x:c>
      <x:c r="N1372" s="7" t="str">
        <x:v>Outside current general-Life recruiting pool</x:v>
      </x:c>
      <x:c r="O1372" s="7" t="str">
        <x:v>Inactive</x:v>
      </x:c>
      <x:c r="P1372" s="7" t="str">
        <x:v>12/14/2021</x:v>
      </x:c>
      <x:c r="Q1372" s="7" t="str">
        <x:v>12/31/2023</x:v>
      </x:c>
      <x:c r="R1372" s="7" t="str"/>
      <x:c r="S1372" s="15" t="str">
        <x:v>559-300-0916</x:v>
      </x:c>
      <x:c r="T1372" s="7" t="str">
        <x:v>Current CDI</x:v>
      </x:c>
      <x:c r="U1372" s="7" t="str">
        <x:v>4991 E MCKINLEY AVE # 104 FRESNO CA, 93727</x:v>
      </x:c>
      <x:c r="V1372" s="7" t="str">
        <x:v>Resident</x:v>
      </x:c>
      <x:c r="W1372" s="7" t="str">
        <x:v>CA</x:v>
      </x:c>
      <x:c r="X1372" s="7" t="str"/>
      <x:c r="Y1372" s="7" t="str"/>
      <x:c r="Z1372" s="7" t="str"/>
      <x:c r="AA1372" s="7" t="str"/>
      <x:c r="AB1372" s="7" t="str"/>
      <x:c r="AC1372" s="7" t="str"/>
      <x:c r="AD1372" s="7" t="str">
        <x:v>No agency or insurer displayed: onboarding opportunity possible; existing business unknown</x:v>
      </x:c>
      <x:c r="AE1372" s="7" t="str"/>
      <x:c r="AF1372" s="16" t="str"/>
      <x:c r="AG1372" s="17" t="str"/>
      <x:c r="AH1372" s="7" t="str"/>
      <x:c r="AI1372" s="7" t="str">
        <x:v>English</x:v>
      </x:c>
      <x:c r="AJ1372" s="7" t="str"/>
      <x:c r="AK1372" s="15" t="str"/>
      <x:c r="AL1372" s="7" t="str"/>
      <x:c r="AM1372" s="7" t="str">
        <x:v>AGUILAR IRENE MARGARET</x:v>
      </x:c>
      <x:c r="AN1372" s="7" t="str">
        <x:v>https://cdicloud.insurance.ca.gov/cal/LicenseDetail?SearchType=IND&amp;SearchLicNbr=4171475&amp;SearchIndvId=4171475</x:v>
      </x:c>
      <x:c r="AO1372" s="7" t="str">
        <x:v>2026-10-08</x:v>
      </x:c>
      <x:c r="AP1372" s="7" t="str">
        <x:v>a15e495b3128275702eb8fd9ad1eea31ecb5404364a40c20a97876ab21a96ba0</x:v>
      </x:c>
      <x:c r="AQ1372" s="7" t="str">
        <x:v>Life / Inactive / 12/14/2021 / 12/31/2023 / 12/31/2023</x:v>
      </x:c>
      <x:c r="AR1372" s="7" t="str">
        <x:v>Inactive</x:v>
      </x:c>
      <x:c r="AS1372" s="7" t="str">
        <x:v>Current detail page</x:v>
      </x:c>
    </x:row>
  </x:sheetData>
  <x:conditionalFormatting sqref="D6:D1372">
    <x:cfRule type="containsText" dxfId="2" priority="1" operator="containsText" text="FAIL"/>
    <x:cfRule type="containsText" dxfId="3" priority="2" operator="containsText" text="REVIEW"/>
  </x:conditionalFormatting>
  <x:dataValidations count="1">
    <x:dataValidation type="list" sqref="E6:E1372">
      <x:formula1>"Pending,Approve,Reject,Defer,Not reviewed"</x:formula1>
    </x:dataValidation>
  </x:dataValidations>
  <x:pageMargins left="0.7" right="0.7" top="0.75" bottom="0.75" header="0.3" footer="0.3"/>
  <x:tableParts count="1">
    <x:tablePart xmlns:r="http://schemas.openxmlformats.org/officeDocument/2006/relationships" r:id="R511c2ec13de64a62"/>
  </x:tableParts>
</x:worksheet>
</file>

<file path=xl/worksheets/sheet4.xml><?xml version="1.0" encoding="utf-8"?>
<x:worksheet xmlns:x="http://schemas.openxmlformats.org/spreadsheetml/2006/main">
  <x:sheetPr>
    <x:tabColor rgb="FF7A8793"/>
  </x:sheetPr>
  <x:sheetViews>
    <x:sheetView showGridLines="0" workbookViewId="0">
      <x:pane ySplit="5" topLeftCell="A6" activePane="bottomLeft" state="frozen"/>
    </x:sheetView>
  </x:sheetViews>
  <x:sheetFormatPr defaultRowHeight="15"/>
  <x:cols>
    <x:col min="1" max="1" width="9" hidden="0" customWidth="1"/>
    <x:col min="2" max="2" width="29" hidden="0" customWidth="1"/>
    <x:col min="3" max="3" width="45" hidden="0" customWidth="1"/>
    <x:col min="4" max="4" width="35" hidden="0" customWidth="1"/>
    <x:col min="5" max="5" width="35" hidden="0" customWidth="1"/>
    <x:col min="6" max="6" width="60" hidden="0" customWidth="1"/>
    <x:col min="7" max="7" width="20" hidden="0" customWidth="1"/>
    <x:col min="8" max="8" width="60" hidden="0" customWidth="1"/>
    <x:col min="9" max="9" width="24" hidden="0" customWidth="1"/>
  </x:cols>
  <x:sheetData>
    <x:row r="2">
      <x:c r="A2" s="5" t="str">
        <x:v>Provisional rule register • reviewer confirmation required</x:v>
      </x:c>
      <x:c r="B2" s="3"/>
      <x:c r="C2" s="3"/>
      <x:c r="D2" s="3"/>
      <x:c r="E2" s="3"/>
      <x:c r="F2" s="3"/>
      <x:c r="G2" s="3"/>
      <x:c r="H2" s="3"/>
      <x:c r="I2" s="3"/>
    </x:row>
    <x:row r="3">
      <x:c r="A3" s="3" t="str">
        <x:v>Counts are approved / omitted; active-Life denominators 136 / 202 except L1. Factors overlap. Amber fields are editable.</x:v>
      </x:c>
      <x:c r="B3" s="3"/>
      <x:c r="C3" s="3"/>
      <x:c r="D3" s="3"/>
      <x:c r="E3" s="3"/>
      <x:c r="F3" s="3"/>
      <x:c r="G3" s="3"/>
      <x:c r="H3" s="3"/>
      <x:c r="I3" s="3"/>
    </x:row>
    <x:row r="4">
      <x:c r="A4" s="3"/>
      <x:c r="B4" s="3"/>
      <x:c r="C4" s="3"/>
      <x:c r="D4" s="3"/>
      <x:c r="E4" s="3"/>
      <x:c r="F4" s="3"/>
      <x:c r="G4" s="3"/>
      <x:c r="H4" s="3"/>
      <x:c r="I4" s="3"/>
    </x:row>
    <x:row r="5" ht="36" customHeight="1">
      <x:c r="A5" s="12" t="str">
        <x:v>ID</x:v>
      </x:c>
      <x:c r="B5" s="12" t="str">
        <x:v>Factor</x:v>
      </x:c>
      <x:c r="C5" s="12" t="str">
        <x:v>Draft action</x:v>
      </x:c>
      <x:c r="D5" s="12" t="str">
        <x:v>Evidence / confidence</x:v>
      </x:c>
      <x:c r="E5" s="12" t="str">
        <x:v>Observed counts</x:v>
      </x:c>
      <x:c r="F5" s="12" t="str">
        <x:v>Guardrail</x:v>
      </x:c>
      <x:c r="G5" s="12" t="str">
        <x:v>Reviewer status</x:v>
      </x:c>
      <x:c r="H5" s="12" t="str">
        <x:v>Confirmed scope / exception</x:v>
      </x:c>
      <x:c r="I5" s="12" t="str">
        <x:v>Reviewer / date</x:v>
      </x:c>
    </x:row>
    <x:row r="6" ht="85" customHeight="1">
      <x:c r="A6" s="7" t="str">
        <x:v>L1</x:v>
      </x:c>
      <x:c r="B6" s="7" t="str">
        <x:v>General Life authority</x:v>
      </x:c>
      <x:c r="C6" s="7" t="str">
        <x:v>FAIL if verified record lacks active general Life</x:v>
      </x:c>
      <x:c r="D6" s="7" t="str">
        <x:v>Qualification gate for stated target; reviewer must ratify</x:v>
      </x:c>
      <x:c r="E6" s="7" t="str">
        <x:v>0 / 1347; 20 unverifiable records REVIEW</x:v>
      </x:c>
      <x:c r="F6" s="7" t="str">
        <x:v>No general Life is different from missing/unavailable data; limited burial authority separate.</x:v>
      </x:c>
      <x:c r="G6" s="13" t="str">
        <x:v>Unconfirmed</x:v>
      </x:c>
      <x:c r="H6" s="13" t="str"/>
      <x:c r="I6" s="13" t="str"/>
    </x:row>
    <x:row r="7" ht="85" customHeight="1">
      <x:c r="A7" s="7" t="str">
        <x:v>C1</x:v>
      </x:c>
      <x:c r="B7" s="7" t="str">
        <x:v>State Farm / Farmers</x:v>
      </x:c>
      <x:c r="C7" s="7" t="str">
        <x:v>FAIL for established current named relationship</x:v>
      </x:c>
      <x:c r="D7" s="7" t="str">
        <x:v>User-confirmed exclusion</x:v>
      </x:c>
      <x:c r="E7" s="7" t="str">
        <x:v>0 / 17</x:v>
      </x:c>
      <x:c r="F7" s="7" t="str">
        <x:v>Confirm exact company scope; do not expand automatically to corporate affiliates.</x:v>
      </x:c>
      <x:c r="G7" s="13" t="str">
        <x:v>User-confirmed</x:v>
      </x:c>
      <x:c r="H7" s="13" t="str"/>
      <x:c r="I7" s="13" t="str"/>
    </x:row>
    <x:row r="8" ht="85" customHeight="1">
      <x:c r="A8" s="7" t="str">
        <x:v>R1</x:v>
      </x:c>
      <x:c r="B8" s="7" t="str">
        <x:v>Bank / securities agency</x:v>
      </x:c>
      <x:c r="C8" s="7" t="str">
        <x:v>REVIEW actual role and outside contracting</x:v>
      </x:c>
      <x:c r="D8" s="7" t="str">
        <x:v>Inferred channel concern</x:v>
      </x:c>
      <x:c r="E8" s="7" t="str">
        <x:v>0 / 20</x:v>
      </x:c>
      <x:c r="F8" s="7" t="str">
        <x:v>A carrier appointment alone does not prove an exclusive role.</x:v>
      </x:c>
      <x:c r="G8" s="13" t="str">
        <x:v>Unconfirmed</x:v>
      </x:c>
      <x:c r="H8" s="13" t="str"/>
      <x:c r="I8" s="13" t="str"/>
    </x:row>
    <x:row r="9" ht="85" customHeight="1">
      <x:c r="A9" s="7" t="str">
        <x:v>R2</x:v>
      </x:c>
      <x:c r="B9" s="7" t="str">
        <x:v>Career / member channel</x:v>
      </x:c>
      <x:c r="C9" s="7" t="str">
        <x:v>REVIEW actual contract and portability</x:v>
      </x:c>
      <x:c r="D9" s="7" t="str">
        <x:v>Inferred channel concern</x:v>
      </x:c>
      <x:c r="E9" s="7" t="str">
        <x:v>0 / 10</x:v>
      </x:c>
      <x:c r="F9" s="7" t="str">
        <x:v>New York Life, NYLIFE, Northwestern, Knights, Thrivent signals are not contracts.</x:v>
      </x:c>
      <x:c r="G9" s="13" t="str">
        <x:v>Unconfirmed</x:v>
      </x:c>
      <x:c r="H9" s="13" t="str"/>
      <x:c r="I9" s="13" t="str"/>
    </x:row>
    <x:row r="10" ht="85" customHeight="1">
      <x:c r="A10" s="7" t="str">
        <x:v>R3</x:v>
      </x:c>
      <x:c r="B10" s="7" t="str">
        <x:v>Benefits broker / Allstate</x:v>
      </x:c>
      <x:c r="C10" s="7" t="str">
        <x:v>REVIEW role, product business, distribution</x:v>
      </x:c>
      <x:c r="D10" s="7" t="str">
        <x:v>Inferred channel concern</x:v>
      </x:c>
      <x:c r="E10" s="7" t="str">
        <x:v>Benefits: 0 / 6</x:v>
      </x:c>
      <x:c r="F10" s="7" t="str">
        <x:v>Named-marker heuristic is incomplete; no blanket Allstate ban confirmed.</x:v>
      </x:c>
      <x:c r="G10" s="13" t="str">
        <x:v>Unconfirmed</x:v>
      </x:c>
      <x:c r="H10" s="13" t="str"/>
      <x:c r="I10" s="13" t="str"/>
    </x:row>
    <x:row r="11" ht="85" customHeight="1">
      <x:c r="A11" s="7" t="str">
        <x:v>R4</x:v>
      </x:c>
      <x:c r="B11" s="7" t="str">
        <x:v>Health / P&amp;C emphasis</x:v>
      </x:c>
      <x:c r="C11" s="7" t="str">
        <x:v>REVIEW product focus when Life business unclear</x:v>
      </x:c>
      <x:c r="D11" s="7" t="str">
        <x:v>Inferred product concern</x:v>
      </x:c>
      <x:c r="E11" s="7" t="str">
        <x:v>Health-only: 0 / 4; health-skew: 2 / 13; P&amp;C-skew: 2 / 20</x:v>
      </x:c>
      <x:c r="F11" s="7" t="str">
        <x:v>Approved exceptions prohibit universal rejection. Carrier mix does not prove sales.</x:v>
      </x:c>
      <x:c r="G11" s="13" t="str">
        <x:v>Unconfirmed</x:v>
      </x:c>
      <x:c r="H11" s="13" t="str"/>
      <x:c r="I11" s="13" t="str"/>
    </x:row>
    <x:row r="12" ht="85" customHeight="1">
      <x:c r="A12" s="7" t="str">
        <x:v>R5</x:v>
      </x:c>
      <x:c r="B12" s="7" t="str">
        <x:v>No / indirect business contact</x:v>
      </x:c>
      <x:c r="C12" s="7" t="str">
        <x:v>REVIEW or enrich contact</x:v>
      </x:c>
      <x:c r="D12" s="7" t="str">
        <x:v>Operational hold; rejection unconfirmed</x:v>
      </x:c>
      <x:c r="E12" s="7" t="str">
        <x:v>Current phone: 135 / 93</x:v>
      </x:c>
      <x:c r="F12" s="7" t="str">
        <x:v>Approved PDF provides one missing-current-phone contact; no shared-number ban.</x:v>
      </x:c>
      <x:c r="G12" s="13" t="str">
        <x:v>Unconfirmed</x:v>
      </x:c>
      <x:c r="H12" s="13" t="str"/>
      <x:c r="I12" s="13" t="str"/>
    </x:row>
    <x:row r="13" ht="85" customHeight="1">
      <x:c r="A13" s="7" t="str">
        <x:v>R6</x:v>
      </x:c>
      <x:c r="B13" s="7" t="str">
        <x:v>Outside California baseline</x:v>
      </x:c>
      <x:c r="C13" s="7" t="str">
        <x:v>REVIEW geographic scope</x:v>
      </x:c>
      <x:c r="D13" s="7" t="str">
        <x:v>Pattern with approved exception</x:v>
      </x:c>
      <x:c r="E13" s="7" t="str">
        <x:v>CA resident: 135 / 153</x:v>
      </x:c>
      <x:c r="F13" s="7" t="str">
        <x:v>Nonresident approval exists; state/address discrepancies must be resolved.</x:v>
      </x:c>
      <x:c r="G13" s="13" t="str">
        <x:v>Unconfirmed</x:v>
      </x:c>
      <x:c r="H13" s="13" t="str"/>
      <x:c r="I13" s="13" t="str"/>
    </x:row>
    <x:row r="14" ht="85" customHeight="1">
      <x:c r="A14" s="7" t="str">
        <x:v>R7</x:v>
      </x:c>
      <x:c r="B14" s="7" t="str">
        <x:v>Licensing orders</x:v>
      </x:c>
      <x:c r="C14" s="7" t="str">
        <x:v>REVIEW actual order and contracting effect</x:v>
      </x:c>
      <x:c r="D14" s="7" t="str">
        <x:v>Observed order; effect unknown</x:v>
      </x:c>
      <x:c r="E14" s="7" t="str">
        <x:v>Order-review signal: 1 / 2</x:v>
      </x:c>
      <x:c r="F14" s="7" t="str">
        <x:v>Removal orders and resolved history are not current restrictions.</x:v>
      </x:c>
      <x:c r="G14" s="13" t="str">
        <x:v>Unconfirmed</x:v>
      </x:c>
      <x:c r="H14" s="13" t="str"/>
      <x:c r="I14" s="13" t="str"/>
    </x:row>
    <x:row r="15" ht="85" customHeight="1">
      <x:c r="A15" s="7" t="str">
        <x:v>S1</x:v>
      </x:c>
      <x:c r="B15" s="7" t="str">
        <x:v>WFG / Primerica</x:v>
      </x:c>
      <x:c r="C15" s="7" t="str">
        <x:v>Positive segment signal; not automatic PASS</x:v>
      </x:c>
      <x:c r="D15" s="7" t="str">
        <x:v>Observed approved target groups</x:v>
      </x:c>
      <x:c r="E15" s="7" t="str">
        <x:v>WFG: 9 / 9; Primerica: 42 / 20</x:v>
      </x:c>
      <x:c r="F15" s="7" t="str">
        <x:v>Original PDF headings identify fewer than current relationships.</x:v>
      </x:c>
      <x:c r="G15" s="13" t="str">
        <x:v>Unconfirmed</x:v>
      </x:c>
      <x:c r="H15" s="13" t="str"/>
      <x:c r="I15" s="13" t="str"/>
    </x:row>
    <x:row r="16" ht="85" customHeight="1">
      <x:c r="A16" s="7" t="str">
        <x:v>S2</x:v>
      </x:c>
      <x:c r="B16" s="7" t="str">
        <x:v>Mixed P&amp;C / variable authority</x:v>
      </x:c>
      <x:c r="C16" s="7" t="str">
        <x:v>Retain; assess surrounding profile</x:v>
      </x:c>
      <x:c r="D16" s="7" t="str">
        <x:v>Blanket exclusion contradicted</x:v>
      </x:c>
      <x:c r="E16" s="7" t="str">
        <x:v>Active P&amp;C: 6 / 44; variable: 4 / 31</x:v>
      </x:c>
      <x:c r="F16" s="7" t="str">
        <x:v>These authorities alone do not establish poor fit.</x:v>
      </x:c>
      <x:c r="G16" s="13" t="str">
        <x:v>Unconfirmed</x:v>
      </x:c>
      <x:c r="H16" s="13" t="str"/>
      <x:c r="I16" s="13" t="str"/>
    </x:row>
    <x:row r="17" ht="85" customHeight="1">
      <x:c r="A17" s="7" t="str">
        <x:v>S3</x:v>
      </x:c>
      <x:c r="B17" s="7" t="str">
        <x:v>Tenure / expiry / languages / sponsors</x:v>
      </x:c>
      <x:c r="C17" s="7" t="str">
        <x:v>Outreach context; no automatic FAIL</x:v>
      </x:c>
      <x:c r="D17" s="7" t="str">
        <x:v>No threshold confirmed</x:v>
      </x:c>
      <x:c r="E17" s="7" t="str">
        <x:v>Sponsor: 1 / 14</x:v>
      </x:c>
      <x:c r="F17" s="7" t="str">
        <x:v>Tenure is issue-date tenure, not age or continuous production.</x:v>
      </x:c>
      <x:c r="G17" s="13" t="str">
        <x:v>Unconfirmed</x:v>
      </x:c>
      <x:c r="H17" s="13" t="str"/>
      <x:c r="I17" s="13" t="str"/>
    </x:row>
    <x:row r="18" ht="85" customHeight="1">
      <x:c r="A18" s="7" t="str">
        <x:v>P1</x:v>
      </x:c>
      <x:c r="B18" s="7" t="str">
        <x:v>No unresolved screen issue</x:v>
      </x:c>
      <x:c r="C18" s="7" t="str">
        <x:v>PASS initial screen; preserve original label</x:v>
      </x:c>
      <x:c r="D18" s="7" t="str">
        <x:v>Provisional screening result</x:v>
      </x:c>
      <x:c r="E18" s="7" t="str">
        <x:v>Computed in workbook</x:v>
      </x:c>
      <x:c r="F18" s="7" t="str">
        <x:v>PASS is neither reviewer approval nor contracting eligibility.</x:v>
      </x:c>
      <x:c r="G18" s="13" t="str">
        <x:v>Unconfirmed</x:v>
      </x:c>
      <x:c r="H18" s="13" t="str"/>
      <x:c r="I18" s="13" t="str"/>
    </x:row>
    <x:row r="19">
      <x:c r="A19" s="3"/>
      <x:c r="B19" s="3"/>
      <x:c r="C19" s="3"/>
      <x:c r="D19" s="3"/>
      <x:c r="E19" s="3"/>
      <x:c r="F19" s="3"/>
      <x:c r="G19" s="3"/>
      <x:c r="H19" s="3"/>
      <x:c r="I19" s="3"/>
    </x:row>
    <x:row r="20">
      <x:c r="A20" s="3"/>
      <x:c r="B20" s="3"/>
      <x:c r="C20" s="3"/>
      <x:c r="D20" s="3"/>
      <x:c r="E20" s="3"/>
      <x:c r="F20" s="3"/>
      <x:c r="G20" s="3"/>
      <x:c r="H20" s="3"/>
      <x:c r="I20" s="3"/>
    </x:row>
    <x:row r="21">
      <x:c r="A21" s="3"/>
      <x:c r="B21" s="3"/>
      <x:c r="C21" s="3"/>
      <x:c r="D21" s="3"/>
      <x:c r="E21" s="3"/>
      <x:c r="F21" s="3"/>
      <x:c r="G21" s="3"/>
      <x:c r="H21" s="3"/>
      <x:c r="I21" s="3"/>
    </x:row>
    <x:row r="22">
      <x:c r="A22" s="3"/>
      <x:c r="B22" s="3"/>
      <x:c r="C22" s="3"/>
      <x:c r="D22" s="3"/>
      <x:c r="E22" s="3"/>
      <x:c r="F22" s="3"/>
      <x:c r="G22" s="3"/>
      <x:c r="H22" s="3"/>
      <x:c r="I22" s="3"/>
    </x:row>
    <x:row r="23">
      <x:c r="A23" s="3"/>
      <x:c r="B23" s="3"/>
      <x:c r="C23" s="3"/>
      <x:c r="D23" s="3"/>
      <x:c r="E23" s="3"/>
      <x:c r="F23" s="3"/>
      <x:c r="G23" s="3"/>
      <x:c r="H23" s="3"/>
      <x:c r="I23" s="3"/>
    </x:row>
    <x:row r="24">
      <x:c r="A24" s="3"/>
      <x:c r="B24" s="3"/>
      <x:c r="C24" s="3"/>
      <x:c r="D24" s="3"/>
      <x:c r="E24" s="3"/>
      <x:c r="F24" s="3"/>
      <x:c r="G24" s="3"/>
      <x:c r="H24" s="3"/>
      <x:c r="I24" s="3"/>
    </x:row>
    <x:row r="25">
      <x:c r="A25" s="3"/>
      <x:c r="B25" s="3"/>
      <x:c r="C25" s="3"/>
      <x:c r="D25" s="3"/>
      <x:c r="E25" s="3"/>
      <x:c r="F25" s="3"/>
      <x:c r="G25" s="3"/>
      <x:c r="H25" s="3"/>
      <x:c r="I25" s="3"/>
    </x:row>
    <x:row r="26">
      <x:c r="A26" s="3"/>
      <x:c r="B26" s="3"/>
      <x:c r="C26" s="3"/>
      <x:c r="D26" s="3"/>
      <x:c r="E26" s="3"/>
      <x:c r="F26" s="3"/>
      <x:c r="G26" s="3"/>
      <x:c r="H26" s="3"/>
      <x:c r="I26" s="3"/>
    </x:row>
    <x:row r="27">
      <x:c r="A27" s="3"/>
      <x:c r="B27" s="3"/>
      <x:c r="C27" s="3"/>
      <x:c r="D27" s="3"/>
      <x:c r="E27" s="3"/>
      <x:c r="F27" s="3"/>
      <x:c r="G27" s="3"/>
      <x:c r="H27" s="3"/>
      <x:c r="I27" s="3"/>
    </x:row>
    <x:row r="28">
      <x:c r="A28" s="3"/>
      <x:c r="B28" s="3"/>
      <x:c r="C28" s="3"/>
      <x:c r="D28" s="3"/>
      <x:c r="E28" s="3"/>
      <x:c r="F28" s="3"/>
      <x:c r="G28" s="3"/>
      <x:c r="H28" s="3"/>
      <x:c r="I28" s="3"/>
    </x:row>
    <x:row r="29">
      <x:c r="A29" s="3"/>
      <x:c r="B29" s="3"/>
      <x:c r="C29" s="3"/>
      <x:c r="D29" s="3"/>
      <x:c r="E29" s="3"/>
      <x:c r="F29" s="3"/>
      <x:c r="G29" s="3"/>
      <x:c r="H29" s="3"/>
      <x:c r="I29" s="3"/>
    </x:row>
    <x:row r="30">
      <x:c r="A30" s="3"/>
      <x:c r="B30" s="3"/>
      <x:c r="C30" s="3"/>
      <x:c r="D30" s="3"/>
      <x:c r="E30" s="3"/>
      <x:c r="F30" s="3"/>
      <x:c r="G30" s="3"/>
      <x:c r="H30" s="3"/>
      <x:c r="I30" s="3"/>
    </x:row>
  </x:sheetData>
  <x:dataValidations count="1">
    <x:dataValidation type="list" sqref="G6:G18">
      <x:formula1>"Unconfirmed,User-confirmed,Confirmed,Revised,Rejected"</x:formula1>
    </x:dataValidation>
  </x:dataValidations>
  <x:pageMargins left="0.7" right="0.7" top="0.75" bottom="0.75" header="0.3" footer="0.3"/>
  <x:tableParts count="1">
    <x:tablePart xmlns:r="http://schemas.openxmlformats.org/officeDocument/2006/relationships" r:id="Ra5ef7f0923ba4acd"/>
  </x:tableParts>
</x:worksheet>
</file>