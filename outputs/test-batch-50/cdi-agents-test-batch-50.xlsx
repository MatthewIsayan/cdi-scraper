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7d48f3f0b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f19c457439634f59"/>
    <x:sheet xmlns:r="http://schemas.openxmlformats.org/officeDocument/2006/relationships" name="Passed" sheetId="2" r:id="Rf84cae754d7c40f1"/>
    <x:sheet xmlns:r="http://schemas.openxmlformats.org/officeDocument/2006/relationships" name="Failed" sheetId="3" r:id="Rd34c443274fc42ac"/>
    <x:sheet xmlns:r="http://schemas.openxmlformats.org/officeDocument/2006/relationships" name="Needs review" sheetId="4" r:id="Rd33b7bb8a41648d0"/>
    <x:sheet xmlns:r="http://schemas.openxmlformats.org/officeDocument/2006/relationships" name="Passed - Armenian" sheetId="5" r:id="Rbcbf8f414d08437e"/>
    <x:sheet xmlns:r="http://schemas.openxmlformats.org/officeDocument/2006/relationships" name="Passed - Cantonese" sheetId="6" r:id="R05e983665ea143f4"/>
    <x:sheet xmlns:r="http://schemas.openxmlformats.org/officeDocument/2006/relationships" name="Passed - English" sheetId="7" r:id="R00c8f7950a2a498a"/>
    <x:sheet xmlns:r="http://schemas.openxmlformats.org/officeDocument/2006/relationships" name="Passed - Russian" sheetId="8" r:id="R547f0c19d1714942"/>
    <x:sheet xmlns:r="http://schemas.openxmlformats.org/officeDocument/2006/relationships" name="Passed - Spanish" sheetId="9" r:id="R6cb1d0dce1d1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F2933"/>
      <x:name val="Aptos"/>
    </x:font>
    <x:font>
      <x:b/>
      <x:sz val="10"/>
      <x:color rgb="FFFFFFFF"/>
      <x:name val="Aptos Display"/>
    </x:font>
    <x:font>
      <x:u val="single"/>
      <x:sz val="10"/>
      <x:color rgb="FF0563C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7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0b04c4a8e4e24" /><Relationship Type="http://schemas.openxmlformats.org/officeDocument/2006/relationships/theme" Target="/xl/theme/theme1.xml" Id="R87af41c0dbb148a1" /><Relationship Type="http://schemas.openxmlformats.org/officeDocument/2006/relationships/sharedStrings" Target="/xl/sharedStrings.xml" Id="Rc08d140add2b4277" /><Relationship Type="http://schemas.openxmlformats.org/officeDocument/2006/relationships/worksheet" Target="/xl/worksheets/sheet1.xml" Id="Rf19c457439634f59" /><Relationship Type="http://schemas.openxmlformats.org/officeDocument/2006/relationships/worksheet" Target="/xl/worksheets/sheet2.xml" Id="Rf84cae754d7c40f1" /><Relationship Type="http://schemas.openxmlformats.org/officeDocument/2006/relationships/worksheet" Target="/xl/worksheets/sheet3.xml" Id="Rd34c443274fc42ac" /><Relationship Type="http://schemas.openxmlformats.org/officeDocument/2006/relationships/worksheet" Target="/xl/worksheets/sheet4.xml" Id="Rd33b7bb8a41648d0" /><Relationship Type="http://schemas.openxmlformats.org/officeDocument/2006/relationships/worksheet" Target="/xl/worksheets/sheet5.xml" Id="Rbcbf8f414d08437e" /><Relationship Type="http://schemas.openxmlformats.org/officeDocument/2006/relationships/worksheet" Target="/xl/worksheets/sheet6.xml" Id="R05e983665ea143f4" /><Relationship Type="http://schemas.openxmlformats.org/officeDocument/2006/relationships/worksheet" Target="/xl/worksheets/sheet7.xml" Id="R00c8f7950a2a498a" /><Relationship Type="http://schemas.openxmlformats.org/officeDocument/2006/relationships/worksheet" Target="/xl/worksheets/sheet8.xml" Id="R547f0c19d1714942" /><Relationship Type="http://schemas.openxmlformats.org/officeDocument/2006/relationships/worksheet" Target="/xl/worksheets/sheet9.xml" Id="R6cb1d0dce1d146e5" /></Relationships>
</file>

<file path=xl/tables/table1.xml><?xml version="1.0" encoding="utf-8"?>
<x:table xmlns:x="http://schemas.openxmlformats.org/spreadsheetml/2006/main" id="1" name="Table_1" displayName="Table_1" ref="A1:AG51" headerRowCount="1" totalsRowCount="0" totalsRowShown="0">
  <x:autoFilter ref="A1:AG51"/>
  <x:tableColumns count="33">
    <x:tableColumn id="1" name="Name"/>
    <x:tableColumn id="2" name="Passed_Test"/>
    <x:tableColumn id="3" name="Assessment"/>
    <x:tableColumn id="4" name="License_URL"/>
    <x:tableColumn id="5" name="License_Number"/>
    <x:tableColumn id="6" name="Business_Address"/>
    <x:tableColumn id="7" name="Business_Phone"/>
    <x:tableColumn id="8" name="Directions_URL"/>
    <x:tableColumn id="9" name="Source_ZIPs"/>
    <x:tableColumn id="10" name="Checked_On"/>
    <x:tableColumn id="11" name="Languages"/>
    <x:tableColumn id="12" name="Active_Qualifications"/>
    <x:tableColumn id="13" name="Qualification_Details"/>
    <x:tableColumn id="14" name="Life_Issue_Date"/>
    <x:tableColumn id="15" name="Years_Since_Life_Issue"/>
    <x:tableColumn id="16" name="Active_Health_Authority"/>
    <x:tableColumn id="17" name="Active_PC_Authority"/>
    <x:tableColumn id="18" name="Active_Variable_Authority"/>
    <x:tableColumn id="19" name="Appointed_Insurers"/>
    <x:tableColumn id="20" name="Appointment_Row_Count"/>
    <x:tableColumn id="21" name="Unique_Insurer_Count"/>
    <x:tableColumn id="22" name="Life_Appointed_Insurers"/>
    <x:tableColumn id="23" name="Unique_Life_Insurer_Count"/>
    <x:tableColumn id="24" name="Health_Appointed_Insurers"/>
    <x:tableColumn id="25" name="PC_Appointed_Insurers"/>
    <x:tableColumn id="26" name="Appointment_Details"/>
    <x:tableColumn id="27" name="Agency_Organizations"/>
    <x:tableColumn id="28" name="Unique_Agency_Count"/>
    <x:tableColumn id="29" name="Agency_Relationship_Count"/>
    <x:tableColumn id="30" name="Life_Agency_Organizations"/>
    <x:tableColumn id="31" name="Agency_Relationship_Details"/>
    <x:tableColumn id="32" name="Latest_Displayed_Relationship_Date"/>
    <x:tableColumn id="33" name="Rule_Docu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2" displayName="Table_2" ref="A1:AG42" headerRowCount="1" totalsRowCount="0" totalsRowShown="0">
  <x:autoFilter ref="A1:AG42"/>
  <x:tableColumns count="33">
    <x:tableColumn id="1" name="Name"/>
    <x:tableColumn id="2" name="Passed_Test"/>
    <x:tableColumn id="3" name="Assessment"/>
    <x:tableColumn id="4" name="License_URL"/>
    <x:tableColumn id="5" name="License_Number"/>
    <x:tableColumn id="6" name="Business_Address"/>
    <x:tableColumn id="7" name="Business_Phone"/>
    <x:tableColumn id="8" name="Directions_URL"/>
    <x:tableColumn id="9" name="Source_ZIPs"/>
    <x:tableColumn id="10" name="Checked_On"/>
    <x:tableColumn id="11" name="Languages"/>
    <x:tableColumn id="12" name="Active_Qualifications"/>
    <x:tableColumn id="13" name="Qualification_Details"/>
    <x:tableColumn id="14" name="Life_Issue_Date"/>
    <x:tableColumn id="15" name="Years_Since_Life_Issue"/>
    <x:tableColumn id="16" name="Active_Health_Authority"/>
    <x:tableColumn id="17" name="Active_PC_Authority"/>
    <x:tableColumn id="18" name="Active_Variable_Authority"/>
    <x:tableColumn id="19" name="Appointed_Insurers"/>
    <x:tableColumn id="20" name="Appointment_Row_Count"/>
    <x:tableColumn id="21" name="Unique_Insurer_Count"/>
    <x:tableColumn id="22" name="Life_Appointed_Insurers"/>
    <x:tableColumn id="23" name="Unique_Life_Insurer_Count"/>
    <x:tableColumn id="24" name="Health_Appointed_Insurers"/>
    <x:tableColumn id="25" name="PC_Appointed_Insurers"/>
    <x:tableColumn id="26" name="Appointment_Details"/>
    <x:tableColumn id="27" name="Agency_Organizations"/>
    <x:tableColumn id="28" name="Unique_Agency_Count"/>
    <x:tableColumn id="29" name="Agency_Relationship_Count"/>
    <x:tableColumn id="30" name="Life_Agency_Organizations"/>
    <x:tableColumn id="31" name="Agency_Relationship_Details"/>
    <x:tableColumn id="32" name="Latest_Displayed_Relationship_Date"/>
    <x:tableColumn id="33" name="Rule_Docu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3" displayName="Table_3" ref="A1:AG9" headerRowCount="1" totalsRowCount="0" totalsRowShown="0">
  <x:autoFilter ref="A1:AG9"/>
  <x:tableColumns count="33">
    <x:tableColumn id="1" name="Name"/>
    <x:tableColumn id="2" name="Passed_Test"/>
    <x:tableColumn id="3" name="Assessment"/>
    <x:tableColumn id="4" name="License_URL"/>
    <x:tableColumn id="5" name="License_Number"/>
    <x:tableColumn id="6" name="Business_Address"/>
    <x:tableColumn id="7" name="Business_Phone"/>
    <x:tableColumn id="8" name="Directions_URL"/>
    <x:tableColumn id="9" name="Source_ZIPs"/>
    <x:tableColumn id="10" name="Checked_On"/>
    <x:tableColumn id="11" name="Languages"/>
    <x:tableColumn id="12" name="Active_Qualifications"/>
    <x:tableColumn id="13" name="Qualification_Details"/>
    <x:tableColumn id="14" name="Life_Issue_Date"/>
    <x:tableColumn id="15" name="Years_Since_Life_Issue"/>
    <x:tableColumn id="16" name="Active_Health_Authority"/>
    <x:tableColumn id="17" name="Active_PC_Authority"/>
    <x:tableColumn id="18" name="Active_Variable_Authority"/>
    <x:tableColumn id="19" name="Appointed_Insurers"/>
    <x:tableColumn id="20" name="Appointment_Row_Count"/>
    <x:tableColumn id="21" name="Unique_Insurer_Count"/>
    <x:tableColumn id="22" name="Life_Appointed_Insurers"/>
    <x:tableColumn id="23" name="Unique_Life_Insurer_Count"/>
    <x:tableColumn id="24" name="Health_Appointed_Insurers"/>
    <x:tableColumn id="25" name="PC_Appointed_Insurers"/>
    <x:tableColumn id="26" name="Appointment_Details"/>
    <x:tableColumn id="27" name="Agency_Organizations"/>
    <x:tableColumn id="28" name="Unique_Agency_Count"/>
    <x:tableColumn id="29" name="Agency_Relationship_Count"/>
    <x:tableColumn id="30" name="Life_Agency_Organizations"/>
    <x:tableColumn id="31" name="Agency_Relationship_Details"/>
    <x:tableColumn id="32" name="Latest_Displayed_Relationship_Date"/>
    <x:tableColumn id="33" name="Rule_Docum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4" displayName="Table_4" ref="A1:AG2" headerRowCount="1" totalsRowCount="0" totalsRowShown="0">
  <x:autoFilter ref="A1:AG2"/>
  <x:tableColumns count="33">
    <x:tableColumn id="1" name="Name"/>
    <x:tableColumn id="2" name="Passed_Test"/>
    <x:tableColumn id="3" name="Assessment"/>
    <x:tableColumn id="4" name="License_URL"/>
    <x:tableColumn id="5" name="License_Number"/>
    <x:tableColumn id="6" name="Business_Address"/>
    <x:tableColumn id="7" name="Business_Phone"/>
    <x:tableColumn id="8" name="Directions_URL"/>
    <x:tableColumn id="9" name="Source_ZIPs"/>
    <x:tableColumn id="10" name="Checked_On"/>
    <x:tableColumn id="11" name="Languages"/>
    <x:tableColumn id="12" name="Active_Qualifications"/>
    <x:tableColumn id="13" name="Qualification_Details"/>
    <x:tableColumn id="14" name="Life_Issue_Date"/>
    <x:tableColumn id="15" name="Years_Since_Life_Issue"/>
    <x:tableColumn id="16" name="Active_Health_Authority"/>
    <x:tableColumn id="17" name="Active_PC_Authority"/>
    <x:tableColumn id="18" name="Active_Variable_Authority"/>
    <x:tableColumn id="19" name="Appointed_Insurers"/>
    <x:tableColumn id="20" name="Appointment_Row_Count"/>
    <x:tableColumn id="21" name="Unique_Insurer_Count"/>
    <x:tableColumn id="22" name="Life_Appointed_Insurers"/>
    <x:tableColumn id="23" name="Unique_Life_Insurer_Count"/>
    <x:tableColumn id="24" name="Health_Appointed_Insurers"/>
    <x:tableColumn id="25" name="PC_Appointed_Insurers"/>
    <x:tableColumn id="26" name="Appointment_Details"/>
    <x:tableColumn id="27" name="Agency_Organizations"/>
    <x:tableColumn id="28" name="Unique_Agency_Count"/>
    <x:tableColumn id="29" name="Agency_Relationship_Count"/>
    <x:tableColumn id="30" name="Life_Agency_Organizations"/>
    <x:tableColumn id="31" name="Agency_Relationship_Details"/>
    <x:tableColumn id="32" name="Latest_Displayed_Relationship_Date"/>
    <x:tableColumn id="33" name="Rule_Docu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5" displayName="Table_5" ref="A1:AG2" headerRowCount="1" totalsRowCount="0" totalsRowShown="0">
  <x:autoFilter ref="A1:AG2"/>
  <x:tableColumns count="33">
    <x:tableColumn id="1" name="Name"/>
    <x:tableColumn id="2" name="Passed_Test"/>
    <x:tableColumn id="3" name="Assessment"/>
    <x:tableColumn id="4" name="License_URL"/>
    <x:tableColumn id="5" name="License_Number"/>
    <x:tableColumn id="6" name="Business_Address"/>
    <x:tableColumn id="7" name="Business_Phone"/>
    <x:tableColumn id="8" name="Directions_URL"/>
    <x:tableColumn id="9" name="Source_ZIPs"/>
    <x:tableColumn id="10" name="Checked_On"/>
    <x:tableColumn id="11" name="Languages"/>
    <x:tableColumn id="12" name="Active_Qualifications"/>
    <x:tableColumn id="13" name="Qualification_Details"/>
    <x:tableColumn id="14" name="Life_Issue_Date"/>
    <x:tableColumn id="15" name="Years_Since_Life_Issue"/>
    <x:tableColumn id="16" name="Active_Health_Authority"/>
    <x:tableColumn id="17" name="Active_PC_Authority"/>
    <x:tableColumn id="18" name="Active_Variable_Authority"/>
    <x:tableColumn id="19" name="Appointed_Insurers"/>
    <x:tableColumn id="20" name="Appointment_Row_Count"/>
    <x:tableColumn id="21" name="Unique_Insurer_Count"/>
    <x:tableColumn id="22" name="Life_Appointed_Insurers"/>
    <x:tableColumn id="23" name="Unique_Life_Insurer_Count"/>
    <x:tableColumn id="24" name="Health_Appointed_Insurers"/>
    <x:tableColumn id="25" name="PC_Appointed_Insurers"/>
    <x:tableColumn id="26" name="Appointment_Details"/>
    <x:tableColumn id="27" name="Agency_Organizations"/>
    <x:tableColumn id="28" name="Unique_Agency_Count"/>
    <x:tableColumn id="29" name="Agency_Relationship_Count"/>
    <x:tableColumn id="30" name="Life_Agency_Organizations"/>
    <x:tableColumn id="31" name="Agency_Relationship_Details"/>
    <x:tableColumn id="32" name="Latest_Displayed_Relationship_Date"/>
    <x:tableColumn id="33" name="Rule_Docu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_6" displayName="Table_6" ref="A1:AG2" headerRowCount="1" totalsRowCount="0" totalsRowShown="0">
  <x:autoFilter ref="A1:AG2"/>
  <x:tableColumns count="33">
    <x:tableColumn id="1" name="Name"/>
    <x:tableColumn id="2" name="Passed_Test"/>
    <x:tableColumn id="3" name="Assessment"/>
    <x:tableColumn id="4" name="License_URL"/>
    <x:tableColumn id="5" name="License_Number"/>
    <x:tableColumn id="6" name="Business_Address"/>
    <x:tableColumn id="7" name="Business_Phone"/>
    <x:tableColumn id="8" name="Directions_URL"/>
    <x:tableColumn id="9" name="Source_ZIPs"/>
    <x:tableColumn id="10" name="Checked_On"/>
    <x:tableColumn id="11" name="Languages"/>
    <x:tableColumn id="12" name="Active_Qualifications"/>
    <x:tableColumn id="13" name="Qualification_Details"/>
    <x:tableColumn id="14" name="Life_Issue_Date"/>
    <x:tableColumn id="15" name="Years_Since_Life_Issue"/>
    <x:tableColumn id="16" name="Active_Health_Authority"/>
    <x:tableColumn id="17" name="Active_PC_Authority"/>
    <x:tableColumn id="18" name="Active_Variable_Authority"/>
    <x:tableColumn id="19" name="Appointed_Insurers"/>
    <x:tableColumn id="20" name="Appointment_Row_Count"/>
    <x:tableColumn id="21" name="Unique_Insurer_Count"/>
    <x:tableColumn id="22" name="Life_Appointed_Insurers"/>
    <x:tableColumn id="23" name="Unique_Life_Insurer_Count"/>
    <x:tableColumn id="24" name="Health_Appointed_Insurers"/>
    <x:tableColumn id="25" name="PC_Appointed_Insurers"/>
    <x:tableColumn id="26" name="Appointment_Details"/>
    <x:tableColumn id="27" name="Agency_Organizations"/>
    <x:tableColumn id="28" name="Unique_Agency_Count"/>
    <x:tableColumn id="29" name="Agency_Relationship_Count"/>
    <x:tableColumn id="30" name="Life_Agency_Organizations"/>
    <x:tableColumn id="31" name="Agency_Relationship_Details"/>
    <x:tableColumn id="32" name="Latest_Displayed_Relationship_Date"/>
    <x:tableColumn id="33" name="Rule_Docum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_7" displayName="Table_7" ref="A1:AG42" headerRowCount="1" totalsRowCount="0" totalsRowShown="0">
  <x:autoFilter ref="A1:AG42"/>
  <x:tableColumns count="33">
    <x:tableColumn id="1" name="Name"/>
    <x:tableColumn id="2" name="Passed_Test"/>
    <x:tableColumn id="3" name="Assessment"/>
    <x:tableColumn id="4" name="License_URL"/>
    <x:tableColumn id="5" name="License_Number"/>
    <x:tableColumn id="6" name="Business_Address"/>
    <x:tableColumn id="7" name="Business_Phone"/>
    <x:tableColumn id="8" name="Directions_URL"/>
    <x:tableColumn id="9" name="Source_ZIPs"/>
    <x:tableColumn id="10" name="Checked_On"/>
    <x:tableColumn id="11" name="Languages"/>
    <x:tableColumn id="12" name="Active_Qualifications"/>
    <x:tableColumn id="13" name="Qualification_Details"/>
    <x:tableColumn id="14" name="Life_Issue_Date"/>
    <x:tableColumn id="15" name="Years_Since_Life_Issue"/>
    <x:tableColumn id="16" name="Active_Health_Authority"/>
    <x:tableColumn id="17" name="Active_PC_Authority"/>
    <x:tableColumn id="18" name="Active_Variable_Authority"/>
    <x:tableColumn id="19" name="Appointed_Insurers"/>
    <x:tableColumn id="20" name="Appointment_Row_Count"/>
    <x:tableColumn id="21" name="Unique_Insurer_Count"/>
    <x:tableColumn id="22" name="Life_Appointed_Insurers"/>
    <x:tableColumn id="23" name="Unique_Life_Insurer_Count"/>
    <x:tableColumn id="24" name="Health_Appointed_Insurers"/>
    <x:tableColumn id="25" name="PC_Appointed_Insurers"/>
    <x:tableColumn id="26" name="Appointment_Details"/>
    <x:tableColumn id="27" name="Agency_Organizations"/>
    <x:tableColumn id="28" name="Unique_Agency_Count"/>
    <x:tableColumn id="29" name="Agency_Relationship_Count"/>
    <x:tableColumn id="30" name="Life_Agency_Organizations"/>
    <x:tableColumn id="31" name="Agency_Relationship_Details"/>
    <x:tableColumn id="32" name="Latest_Displayed_Relationship_Date"/>
    <x:tableColumn id="33" name="Rule_Docume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_8" displayName="Table_8" ref="A1:AG2" headerRowCount="1" totalsRowCount="0" totalsRowShown="0">
  <x:autoFilter ref="A1:AG2"/>
  <x:tableColumns count="33">
    <x:tableColumn id="1" name="Name"/>
    <x:tableColumn id="2" name="Passed_Test"/>
    <x:tableColumn id="3" name="Assessment"/>
    <x:tableColumn id="4" name="License_URL"/>
    <x:tableColumn id="5" name="License_Number"/>
    <x:tableColumn id="6" name="Business_Address"/>
    <x:tableColumn id="7" name="Business_Phone"/>
    <x:tableColumn id="8" name="Directions_URL"/>
    <x:tableColumn id="9" name="Source_ZIPs"/>
    <x:tableColumn id="10" name="Checked_On"/>
    <x:tableColumn id="11" name="Languages"/>
    <x:tableColumn id="12" name="Active_Qualifications"/>
    <x:tableColumn id="13" name="Qualification_Details"/>
    <x:tableColumn id="14" name="Life_Issue_Date"/>
    <x:tableColumn id="15" name="Years_Since_Life_Issue"/>
    <x:tableColumn id="16" name="Active_Health_Authority"/>
    <x:tableColumn id="17" name="Active_PC_Authority"/>
    <x:tableColumn id="18" name="Active_Variable_Authority"/>
    <x:tableColumn id="19" name="Appointed_Insurers"/>
    <x:tableColumn id="20" name="Appointment_Row_Count"/>
    <x:tableColumn id="21" name="Unique_Insurer_Count"/>
    <x:tableColumn id="22" name="Life_Appointed_Insurers"/>
    <x:tableColumn id="23" name="Unique_Life_Insurer_Count"/>
    <x:tableColumn id="24" name="Health_Appointed_Insurers"/>
    <x:tableColumn id="25" name="PC_Appointed_Insurers"/>
    <x:tableColumn id="26" name="Appointment_Details"/>
    <x:tableColumn id="27" name="Agency_Organizations"/>
    <x:tableColumn id="28" name="Unique_Agency_Count"/>
    <x:tableColumn id="29" name="Agency_Relationship_Count"/>
    <x:tableColumn id="30" name="Life_Agency_Organizations"/>
    <x:tableColumn id="31" name="Agency_Relationship_Details"/>
    <x:tableColumn id="32" name="Latest_Displayed_Relationship_Date"/>
    <x:tableColumn id="33" name="Rule_Docume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_9" displayName="Table_9" ref="A1:AG2" headerRowCount="1" totalsRowCount="0" totalsRowShown="0">
  <x:autoFilter ref="A1:AG2"/>
  <x:tableColumns count="33">
    <x:tableColumn id="1" name="Name"/>
    <x:tableColumn id="2" name="Passed_Test"/>
    <x:tableColumn id="3" name="Assessment"/>
    <x:tableColumn id="4" name="License_URL"/>
    <x:tableColumn id="5" name="License_Number"/>
    <x:tableColumn id="6" name="Business_Address"/>
    <x:tableColumn id="7" name="Business_Phone"/>
    <x:tableColumn id="8" name="Directions_URL"/>
    <x:tableColumn id="9" name="Source_ZIPs"/>
    <x:tableColumn id="10" name="Checked_On"/>
    <x:tableColumn id="11" name="Languages"/>
    <x:tableColumn id="12" name="Active_Qualifications"/>
    <x:tableColumn id="13" name="Qualification_Details"/>
    <x:tableColumn id="14" name="Life_Issue_Date"/>
    <x:tableColumn id="15" name="Years_Since_Life_Issue"/>
    <x:tableColumn id="16" name="Active_Health_Authority"/>
    <x:tableColumn id="17" name="Active_PC_Authority"/>
    <x:tableColumn id="18" name="Active_Variable_Authority"/>
    <x:tableColumn id="19" name="Appointed_Insurers"/>
    <x:tableColumn id="20" name="Appointment_Row_Count"/>
    <x:tableColumn id="21" name="Unique_Insurer_Count"/>
    <x:tableColumn id="22" name="Life_Appointed_Insurers"/>
    <x:tableColumn id="23" name="Unique_Life_Insurer_Count"/>
    <x:tableColumn id="24" name="Health_Appointed_Insurers"/>
    <x:tableColumn id="25" name="PC_Appointed_Insurers"/>
    <x:tableColumn id="26" name="Appointment_Details"/>
    <x:tableColumn id="27" name="Agency_Organizations"/>
    <x:tableColumn id="28" name="Unique_Agency_Count"/>
    <x:tableColumn id="29" name="Agency_Relationship_Count"/>
    <x:tableColumn id="30" name="Life_Agency_Organizations"/>
    <x:tableColumn id="31" name="Agency_Relationship_Details"/>
    <x:tableColumn id="32" name="Latest_Displayed_Relationship_Date"/>
    <x:tableColumn id="33" name="Rule_Docu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94b363d85c4f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d4c0a5031b4e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2d2126e2fb46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e713cc307ac4b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707b6c0ee3444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ec3ce6edbba4a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f890b7d8ae849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b64f228898d47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9b22395bc614288" /></Relationships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52" hidden="0" customWidth="1"/>
    <x:col min="4" max="4" width="56" hidden="0" customWidth="1"/>
    <x:col min="5" max="5" width="17" hidden="0" customWidth="1"/>
    <x:col min="6" max="6" width="34" hidden="0" customWidth="1"/>
    <x:col min="7" max="7" width="16" hidden="0" customWidth="1"/>
    <x:col min="8" max="8" width="56" hidden="0" customWidth="1"/>
    <x:col min="9" max="9" width="13" hidden="0" customWidth="1"/>
    <x:col min="10" max="10" width="17" hidden="0" customWidth="1"/>
    <x:col min="11" max="11" width="17" hidden="0" customWidth="1"/>
    <x:col min="12" max="12" width="23" hidden="0" customWidth="1"/>
    <x:col min="13" max="13" width="52" hidden="0" customWidth="1"/>
    <x:col min="14" max="14" width="17" hidden="0" customWidth="1"/>
    <x:col min="15" max="15" width="24" hidden="0" customWidth="1"/>
    <x:col min="16" max="16" width="25" hidden="0" customWidth="1"/>
    <x:col min="17" max="17" width="21" hidden="0" customWidth="1"/>
    <x:col min="18" max="18" width="27" hidden="0" customWidth="1"/>
    <x:col min="19" max="19" width="34" hidden="0" customWidth="1"/>
    <x:col min="20" max="20" width="23" hidden="0" customWidth="1"/>
    <x:col min="21" max="21" width="22" hidden="0" customWidth="1"/>
    <x:col min="22" max="22" width="34" hidden="0" customWidth="1"/>
    <x:col min="23" max="23" width="27" hidden="0" customWidth="1"/>
    <x:col min="24" max="24" width="34" hidden="0" customWidth="1"/>
    <x:col min="25" max="25" width="34" hidden="0" customWidth="1"/>
    <x:col min="26" max="26" width="52" hidden="0" customWidth="1"/>
    <x:col min="27" max="27" width="34" hidden="0" customWidth="1"/>
    <x:col min="28" max="28" width="21" hidden="0" customWidth="1"/>
    <x:col min="29" max="29" width="27" hidden="0" customWidth="1"/>
    <x:col min="30" max="30" width="34" hidden="0" customWidth="1"/>
    <x:col min="31" max="31" width="52" hidden="0" customWidth="1"/>
    <x:col min="32" max="32" width="34" hidden="0" customWidth="1"/>
    <x:col min="33" max="33" width="52" hidden="0" customWidth="1"/>
  </x:cols>
  <x:sheetData>
    <x:row r="1" ht="32" customHeight="1">
      <x:c r="A1" s="7" t="str">
        <x:v>Name</x:v>
      </x:c>
      <x:c r="B1" s="7" t="str">
        <x:v>Passed_Test</x:v>
      </x:c>
      <x:c r="C1" s="7" t="str">
        <x:v>Assessment</x:v>
      </x:c>
      <x:c r="D1" s="7" t="str">
        <x:v>License_URL</x:v>
      </x:c>
      <x:c r="E1" s="7" t="str">
        <x:v>License_Number</x:v>
      </x:c>
      <x:c r="F1" s="7" t="str">
        <x:v>Business_Address</x:v>
      </x:c>
      <x:c r="G1" s="7" t="str">
        <x:v>Business_Phone</x:v>
      </x:c>
      <x:c r="H1" s="7" t="str">
        <x:v>Directions_URL</x:v>
      </x:c>
      <x:c r="I1" s="7" t="str">
        <x:v>Source_ZIPs</x:v>
      </x:c>
      <x:c r="J1" s="7" t="str">
        <x:v>Checked_On</x:v>
      </x:c>
      <x:c r="K1" s="7" t="str">
        <x:v>Languages</x:v>
      </x:c>
      <x:c r="L1" s="7" t="str">
        <x:v>Active_Qualifications</x:v>
      </x:c>
      <x:c r="M1" s="7" t="str">
        <x:v>Qualification_Details</x:v>
      </x:c>
      <x:c r="N1" s="7" t="str">
        <x:v>Life_Issue_Date</x:v>
      </x:c>
      <x:c r="O1" s="7" t="str">
        <x:v>Years_Since_Life_Issue</x:v>
      </x:c>
      <x:c r="P1" s="7" t="str">
        <x:v>Active_Health_Authority</x:v>
      </x:c>
      <x:c r="Q1" s="7" t="str">
        <x:v>Active_PC_Authority</x:v>
      </x:c>
      <x:c r="R1" s="7" t="str">
        <x:v>Active_Variable_Authority</x:v>
      </x:c>
      <x:c r="S1" s="7" t="str">
        <x:v>Appointed_Insurers</x:v>
      </x:c>
      <x:c r="T1" s="7" t="str">
        <x:v>Appointment_Row_Count</x:v>
      </x:c>
      <x:c r="U1" s="7" t="str">
        <x:v>Unique_Insurer_Count</x:v>
      </x:c>
      <x:c r="V1" s="7" t="str">
        <x:v>Life_Appointed_Insurers</x:v>
      </x:c>
      <x:c r="W1" s="7" t="str">
        <x:v>Unique_Life_Insurer_Count</x:v>
      </x:c>
      <x:c r="X1" s="7" t="str">
        <x:v>Health_Appointed_Insurers</x:v>
      </x:c>
      <x:c r="Y1" s="7" t="str">
        <x:v>PC_Appointed_Insurers</x:v>
      </x:c>
      <x:c r="Z1" s="7" t="str">
        <x:v>Appointment_Details</x:v>
      </x:c>
      <x:c r="AA1" s="7" t="str">
        <x:v>Agency_Organizations</x:v>
      </x:c>
      <x:c r="AB1" s="7" t="str">
        <x:v>Unique_Agency_Count</x:v>
      </x:c>
      <x:c r="AC1" s="7" t="str">
        <x:v>Agency_Relationship_Count</x:v>
      </x:c>
      <x:c r="AD1" s="7" t="str">
        <x:v>Life_Agency_Organizations</x:v>
      </x:c>
      <x:c r="AE1" s="7" t="str">
        <x:v>Agency_Relationship_Details</x:v>
      </x:c>
      <x:c r="AF1" s="7" t="str">
        <x:v>Latest_Displayed_Relationship_Date</x:v>
      </x:c>
      <x:c r="AG1" s="7" t="str">
        <x:v>Rule_Document</x:v>
      </x:c>
    </x:row>
    <x:row r="2" ht="42" customHeight="1">
      <x:c r="A2" s="4" t="str">
        <x:v>AARON BERO</x:v>
      </x:c>
      <x:c r="B2" s="8" t="str">
        <x:v>Yes</x:v>
      </x:c>
      <x:c r="C2" s="4" t="str">
        <x:v>Active general Life; only non-Life or lower-priority relationships displayed; no confirmed exclusion.</x:v>
      </x:c>
      <x:c r="D2" s="10" t="e">
        <x:f>HYPERLINK("https://cdicloud.insurance.ca.gov/cal/LicenseDetail?SearchType=IND&amp;SearchLicNbr=0F01313&amp;SearchIndvId=983009","https://cdicloud.insurance.ca.gov/cal/LicenseDetail?SearchType=IND&amp;SearchLicNbr=0F01313&amp;SearchIndvId=983009")</x:f>
        <x:v>HYPERLINK is not implemented. linkLocation=https://cdicloud.insurance.ca.gov/cal/LicenseDetail?SearchType=IND&amp;SearchLicNbr=0F01313&amp;SearchIndvId=983009, friendlyName=https://cdicloud.insurance.ca.gov/cal/LicenseDetail?SearchType=IND&amp;SearchLicNbr=0F01313&amp;SearchIndvId=983009</x:v>
      </x:c>
      <x:c r="E2" s="9" t="str">
        <x:v>0F01313</x:v>
      </x:c>
      <x:c r="F2" s="4" t="str">
        <x:v>99 S. OAKLAND AVE. PASADENA CA, 91101</x:v>
      </x:c>
      <x:c r="G2" s="4" t="str">
        <x:v>626-405-5909</x:v>
      </x:c>
      <x:c r="H2" s="4" t="str">
        <x:v>https://www.google.com/maps/place/99%20S.%20OAKLAND%20AVE.,%20PASADENA,%20CA,%2091101</x:v>
      </x:c>
      <x:c r="I2" s="4" t="str">
        <x:v>91352 91504</x:v>
      </x:c>
      <x:c r="J2" s="4" t="str">
        <x:v>2026-10-08</x:v>
      </x:c>
      <x:c r="K2" s="4" t="str">
        <x:v>English</x:v>
      </x:c>
      <x:c r="L2" s="4" t="str">
        <x:v>Accident &amp; Health or Sickness; Life</x:v>
      </x:c>
      <x:c r="M2" s="4" t="str">
        <x:v>Accident &amp; Health or Sickness — issued 2005-12-06 | Life — issued 2005-12-06</x:v>
      </x:c>
      <x:c r="N2" s="4" t="str">
        <x:v>2005-12-06</x:v>
      </x:c>
      <x:c r="O2" s="4" t="n">
        <x:v>20.84</x:v>
      </x:c>
      <x:c r="P2" s="4" t="str">
        <x:v>Yes</x:v>
      </x:c>
      <x:c r="Q2" s="4" t="str">
        <x:v>No</x:v>
      </x:c>
      <x:c r="R2" s="4" t="str">
        <x:v>No</x:v>
      </x:c>
      <x:c r="S2" s="4" t="str">
        <x:v>KAISER PERMANENTE INSURANCE COMPANY</x:v>
      </x:c>
      <x:c r="T2" s="4" t="n">
        <x:v>1</x:v>
      </x:c>
      <x:c r="U2" s="4" t="n">
        <x:v>1</x:v>
      </x:c>
      <x:c r="V2" s="4" t="str"/>
      <x:c r="W2" s="4" t="n">
        <x:v>0</x:v>
      </x:c>
      <x:c r="X2" s="4" t="str"/>
      <x:c r="Y2" s="4" t="str"/>
      <x:c r="Z2" s="4" t="str">
        <x:v>KAISER PERMANENTE INSURANCE COMPANY — Disability Only — 2007-12-26</x:v>
      </x:c>
      <x:c r="AA2" s="4" t="str"/>
      <x:c r="AB2" s="4" t="n">
        <x:v>0</x:v>
      </x:c>
      <x:c r="AC2" s="4" t="n">
        <x:v>0</x:v>
      </x:c>
      <x:c r="AD2" s="4" t="str"/>
      <x:c r="AE2" s="4" t="str"/>
      <x:c r="AF2" s="4" t="str">
        <x:v>2007-12-26</x:v>
      </x:c>
      <x:c r="AG2" s="4" t="str">
        <x:v>imo-final-approval-rules.md (2026-10-08)</x:v>
      </x:c>
    </x:row>
    <x:row r="3" ht="42" customHeight="1">
      <x:c r="A3" s="4" t="str">
        <x:v>AARON BYRD</x:v>
      </x:c>
      <x:c r="B3" s="8" t="str">
        <x:v>Yes</x:v>
      </x:c>
      <x:c r="C3" s="4" t="str">
        <x:v>Active general Life; Life agency relationship: WORLD FINANCIAL GROUP INSURANCE AGENCY, LLC; no confirmed exclusion.</x:v>
      </x:c>
      <x:c r="D3" s="10" t="e">
        <x:f>HYPERLINK("https://cdicloud.insurance.ca.gov/cal/LicenseDetail?SearchType=IND&amp;SearchLicNbr=4260816&amp;SearchIndvId=4260816","https://cdicloud.insurance.ca.gov/cal/LicenseDetail?SearchType=IND&amp;SearchLicNbr=4260816&amp;SearchIndvId=4260816")</x:f>
        <x:v>HYPERLINK is not implemented. linkLocation=https://cdicloud.insurance.ca.gov/cal/LicenseDetail?SearchType=IND&amp;SearchLicNbr=4260816&amp;SearchIndvId=4260816, friendlyName=https://cdicloud.insurance.ca.gov/cal/LicenseDetail?SearchType=IND&amp;SearchLicNbr=4260816&amp;SearchIndvId=4260816</x:v>
      </x:c>
      <x:c r="E3" s="9" t="str">
        <x:v>4260816</x:v>
      </x:c>
      <x:c r="F3" s="4" t="str">
        <x:v>4569 EDGEWOOD PLACE LOS ANGELES CA, 90019</x:v>
      </x:c>
      <x:c r="G3" s="4" t="str"/>
      <x:c r="H3" s="4" t="str">
        <x:v>https://www.google.com/maps/place/4569%20EDGEWOOD%20PLACE,%20LOS%20ANGELES,%20CA,%2090019</x:v>
      </x:c>
      <x:c r="I3" s="4" t="str">
        <x:v>90018</x:v>
      </x:c>
      <x:c r="J3" s="4" t="str">
        <x:v>2026-10-08</x:v>
      </x:c>
      <x:c r="K3" s="4" t="str">
        <x:v>English</x:v>
      </x:c>
      <x:c r="L3" s="4" t="str">
        <x:v>Accident &amp; Health or Sickness; Life</x:v>
      </x:c>
      <x:c r="M3" s="4" t="str">
        <x:v>Accident &amp; Health or Sickness — issued 2022-12-12 | Life — issued 2022-12-12</x:v>
      </x:c>
      <x:c r="N3" s="4" t="str">
        <x:v>2022-12-12</x:v>
      </x:c>
      <x:c r="O3" s="4" t="n">
        <x:v>3.82</x:v>
      </x:c>
      <x:c r="P3" s="4" t="str">
        <x:v>Yes</x:v>
      </x:c>
      <x:c r="Q3" s="4" t="str">
        <x:v>No</x:v>
      </x:c>
      <x:c r="R3" s="4" t="str">
        <x:v>No</x:v>
      </x:c>
      <x:c r="S3" s="4" t="str">
        <x:v>ASSURITY LIFE INSURANCE COMPANY; ATHENE ANNUITY AND LIFE COMPANY; FORETHOUGHT LIFE INSURANCE COMPANY; LIFE INSURANCE COMPANY OF THE SOUTHWEST; PRUCO LIFE INSURANCE COMPANY</x:v>
      </x:c>
      <x:c r="T3" s="4" t="n">
        <x:v>8</x:v>
      </x:c>
      <x:c r="U3" s="4" t="n">
        <x:v>5</x:v>
      </x:c>
      <x:c r="V3" s="4" t="str">
        <x:v>ASSURITY LIFE INSURANCE COMPANY; ATHENE ANNUITY AND LIFE COMPANY; FORETHOUGHT LIFE INSURANCE COMPANY; LIFE INSURANCE COMPANY OF THE SOUTHWEST; PRUCO LIFE INSURANCE COMPANY</x:v>
      </x:c>
      <x:c r="W3" s="4" t="n">
        <x:v>5</x:v>
      </x:c>
      <x:c r="X3" s="4" t="str">
        <x:v>ASSURITY LIFE INSURANCE COMPANY; FORETHOUGHT LIFE INSURANCE COMPANY; LIFE INSURANCE COMPANY OF THE SOUTHWEST</x:v>
      </x:c>
      <x:c r="Y3" s="4" t="str"/>
      <x:c r="Z3" s="4" t="str">
        <x:v>ASSURITY LIFE INSURANCE COMPANY — Accident &amp; Health or Sickness — 2026-05-08 | ASSURITY LIFE INSURANCE COMPANY — Life — 2026-05-08 | ATHENE ANNUITY AND LIFE COMPANY — Life — 2023-02-28 | FORETHOUGHT LIFE INSURANCE COMPANY — Accident &amp; Health or Sickness — 2025-05-15 | FORETHOUGHT LIFE INSURANCE COMPANY — Life — 2025-05-15 | LIFE INSURANCE COMPANY OF THE SOUTHWEST — Accident &amp; Health or Sickness — 2026-07-15 | LIFE INSURANCE COMPANY OF THE SOUTHWEST — Life — 2026-07-15 | PRUCO LIFE INSURANCE COMPANY — Life — 2026-05-19</x:v>
      </x:c>
      <x:c r="AA3" s="4" t="str">
        <x:v>WORLD FINANCIAL GROUP INSURANCE AGENCY, LLC</x:v>
      </x:c>
      <x:c r="AB3" s="4" t="n">
        <x:v>1</x:v>
      </x:c>
      <x:c r="AC3" s="4" t="n">
        <x:v>2</x:v>
      </x:c>
      <x:c r="AD3" s="4" t="str">
        <x:v>WORLD FINANCIAL GROUP INSURANCE AGENCY, LLC</x:v>
      </x:c>
      <x:c r="AE3" s="4" t="str">
        <x:v>WORLD FINANCIAL GROUP INSURANCE AGENCY, LLC — Life — 2022-12-16 | WORLD FINANCIAL GROUP INSURANCE AGENCY, LLC — Accident &amp; Health or Sickness — 2022-12-16</x:v>
      </x:c>
      <x:c r="AF3" s="4" t="str">
        <x:v>2026-07-15</x:v>
      </x:c>
      <x:c r="AG3" s="4" t="str">
        <x:v>imo-final-approval-rules.md (2026-10-08)</x:v>
      </x:c>
    </x:row>
    <x:row r="4" ht="42" customHeight="1">
      <x:c r="A4" s="4" t="str">
        <x:v>AARON COOK</x:v>
      </x:c>
      <x:c r="B4" s="8" t="str">
        <x:v>Yes</x:v>
      </x:c>
      <x:c r="C4" s="4" t="str">
        <x:v>Active general Life; Life appointments: SECURITY BENEFIT LIFE INSURANCE COMPANY; TRANSAMERICA LIFE INSURANCE COMPANY; no confirmed exclusion.</x:v>
      </x:c>
      <x:c r="D4" s="10" t="e">
        <x:f>HYPERLINK("https://cdicloud.insurance.ca.gov/cal/LicenseDetail?SearchType=IND&amp;SearchLicNbr=0B94305&amp;SearchIndvId=271280","https://cdicloud.insurance.ca.gov/cal/LicenseDetail?SearchType=IND&amp;SearchLicNbr=0B94305&amp;SearchIndvId=271280")</x:f>
        <x:v>HYPERLINK is not implemented. linkLocation=https://cdicloud.insurance.ca.gov/cal/LicenseDetail?SearchType=IND&amp;SearchLicNbr=0B94305&amp;SearchIndvId=271280, friendlyName=https://cdicloud.insurance.ca.gov/cal/LicenseDetail?SearchType=IND&amp;SearchLicNbr=0B94305&amp;SearchIndvId=271280</x:v>
      </x:c>
      <x:c r="E4" s="9" t="str">
        <x:v>0B94305</x:v>
      </x:c>
      <x:c r="F4" s="4" t="str">
        <x:v>12130 MILLENNIUM STE 300 LOS ANGELES CA, 90094-3156</x:v>
      </x:c>
      <x:c r="G4" s="4" t="str">
        <x:v>424-360-1133</x:v>
      </x:c>
      <x:c r="H4" s="4" t="str">
        <x:v>https://www.google.com/maps/place/12130%20MILLENNIUM%20STE%20300,%20LOS%20ANGELES,%20CA,%20900943156</x:v>
      </x:c>
      <x:c r="I4" s="4" t="str">
        <x:v>90230</x:v>
      </x:c>
      <x:c r="J4" s="4" t="str">
        <x:v>2026-10-08</x:v>
      </x:c>
      <x:c r="K4" s="4" t="str">
        <x:v>English</x:v>
      </x:c>
      <x:c r="L4" s="4" t="str">
        <x:v>Accident &amp; Health or Sickness; Life; Var Life and Var Annuity</x:v>
      </x:c>
      <x:c r="M4" s="4" t="str">
        <x:v>Accident &amp; Health or Sickness — issued 1996-11-25 | Life — issued 1996-11-25 | Var Life and Var Annuity — issued 1997-07-17</x:v>
      </x:c>
      <x:c r="N4" s="4" t="str">
        <x:v>1996-11-25</x:v>
      </x:c>
      <x:c r="O4" s="4" t="n">
        <x:v>29.87</x:v>
      </x:c>
      <x:c r="P4" s="4" t="str">
        <x:v>Yes</x:v>
      </x:c>
      <x:c r="Q4" s="4" t="str">
        <x:v>No</x:v>
      </x:c>
      <x:c r="R4" s="4" t="str">
        <x:v>Yes</x:v>
      </x:c>
      <x:c r="S4" s="4" t="str">
        <x:v>SECURITY BENEFIT LIFE INSURANCE COMPANY; TRANSAMERICA LIFE INSURANCE COMPANY</x:v>
      </x:c>
      <x:c r="T4" s="4" t="n">
        <x:v>3</x:v>
      </x:c>
      <x:c r="U4" s="4" t="n">
        <x:v>2</x:v>
      </x:c>
      <x:c r="V4" s="4" t="str">
        <x:v>SECURITY BENEFIT LIFE INSURANCE COMPANY; TRANSAMERICA LIFE INSURANCE COMPANY</x:v>
      </x:c>
      <x:c r="W4" s="4" t="n">
        <x:v>2</x:v>
      </x:c>
      <x:c r="X4" s="4" t="str">
        <x:v>SECURITY BENEFIT LIFE INSURANCE COMPANY</x:v>
      </x:c>
      <x:c r="Y4" s="4" t="str"/>
      <x:c r="Z4" s="4" t="str">
        <x:v>SECURITY BENEFIT LIFE INSURANCE COMPANY — Accident &amp; Health or Sickness — 2025-02-04 | SECURITY BENEFIT LIFE INSURANCE COMPANY — Life — 2025-02-04 | TRANSAMERICA LIFE INSURANCE COMPANY — Life — 2025-06-20</x:v>
      </x:c>
      <x:c r="AA4" s="4" t="str"/>
      <x:c r="AB4" s="4" t="n">
        <x:v>0</x:v>
      </x:c>
      <x:c r="AC4" s="4" t="n">
        <x:v>0</x:v>
      </x:c>
      <x:c r="AD4" s="4" t="str"/>
      <x:c r="AE4" s="4" t="str"/>
      <x:c r="AF4" s="4" t="str">
        <x:v>2025-06-20</x:v>
      </x:c>
      <x:c r="AG4" s="4" t="str">
        <x:v>imo-final-approval-rules.md (2026-10-08)</x:v>
      </x:c>
    </x:row>
    <x:row r="5" ht="42" customHeight="1">
      <x:c r="A5" s="4" t="str">
        <x:v>AARON MA</x:v>
      </x:c>
      <x:c r="B5" s="8" t="str">
        <x:v>Yes</x:v>
      </x:c>
      <x:c r="C5" s="4" t="str">
        <x:v>Active general Life; Life agency relationship: CARLYLE SPECIALTY INSURANCE SERVICES LLC; no confirmed exclusion.</x:v>
      </x:c>
      <x:c r="D5" s="10" t="e">
        <x:f>HYPERLINK("https://cdicloud.insurance.ca.gov/cal/LicenseDetail?SearchType=IND&amp;SearchLicNbr=0D42453&amp;SearchIndvId=586849","https://cdicloud.insurance.ca.gov/cal/LicenseDetail?SearchType=IND&amp;SearchLicNbr=0D42453&amp;SearchIndvId=586849")</x:f>
        <x:v>HYPERLINK is not implemented. linkLocation=https://cdicloud.insurance.ca.gov/cal/LicenseDetail?SearchType=IND&amp;SearchLicNbr=0D42453&amp;SearchIndvId=586849, friendlyName=https://cdicloud.insurance.ca.gov/cal/LicenseDetail?SearchType=IND&amp;SearchLicNbr=0D42453&amp;SearchIndvId=586849</x:v>
      </x:c>
      <x:c r="E5" s="9" t="str">
        <x:v>0D42453</x:v>
      </x:c>
      <x:c r="F5" s="4" t="str">
        <x:v>C/O CARLYLE SPECIALTY INSURANCE SERVICES 12100 WILSHIRE BLVD STE 800 LOS ANGELES CA, 90025-7140</x:v>
      </x:c>
      <x:c r="G5" s="4" t="str"/>
      <x:c r="H5" s="4" t="str">
        <x:v>https://www.google.com/maps/place/C/O%20CARLYLE%20SPECIALTY%20INSURANCE%20SERVICES,%20LOS%20ANGELES,%20CA,%20900257140</x:v>
      </x:c>
      <x:c r="I5" s="4" t="str">
        <x:v>90090</x:v>
      </x:c>
      <x:c r="J5" s="4" t="str">
        <x:v>2026-10-08</x:v>
      </x:c>
      <x:c r="K5" s="4" t="str">
        <x:v>English</x:v>
      </x:c>
      <x:c r="L5" s="4" t="str">
        <x:v>Accident &amp; Health or Sickness; Casualty; Life; Property; Surplus Lines Broker</x:v>
      </x:c>
      <x:c r="M5" s="4" t="str">
        <x:v>Accident &amp; Health or Sickness — issued 2010-12-01 | Casualty — issued 2001-09-26 | Life — issued 2010-12-01 | Property — issued 2001-09-26 | Surplus Lines Broker — issued 2008-01-01</x:v>
      </x:c>
      <x:c r="N5" s="4" t="str">
        <x:v>2010-12-01</x:v>
      </x:c>
      <x:c r="O5" s="4" t="n">
        <x:v>15.85</x:v>
      </x:c>
      <x:c r="P5" s="4" t="str">
        <x:v>Yes</x:v>
      </x:c>
      <x:c r="Q5" s="4" t="str">
        <x:v>Yes</x:v>
      </x:c>
      <x:c r="R5" s="4" t="str">
        <x:v>No</x:v>
      </x:c>
      <x:c r="S5" s="4" t="str">
        <x:v>ARCH INDEMNITY INSURANCE COMPANY; ARCH INSURANCE COMPANY; BERKLEY NATIONAL INSURANCE COMPANY; BERKLEY REGIONAL INSURANCE COMPANY; GREAT DIVIDE INSURANCE COMPANY; IMPERIUM INSURANCE COMPANY; NATIONAL UNION FIRE INSURANCE COMPANY OF PITTSBURGH, PA; RIVERPORT INSURANCE COMPANY; SENECA INSURANCE COMPANY, INC.; STARNET INSURANCE COMPANY; TRI-STATE INSURANCE COMPANY OF MINNESOTA</x:v>
      </x:c>
      <x:c r="T5" s="4" t="n">
        <x:v>22</x:v>
      </x:c>
      <x:c r="U5" s="4" t="n">
        <x:v>11</x:v>
      </x:c>
      <x:c r="V5" s="4" t="str"/>
      <x:c r="W5" s="4" t="n">
        <x:v>0</x:v>
      </x:c>
      <x:c r="X5" s="4" t="str">
        <x:v>ARCH INSURANCE COMPANY; NATIONAL UNION FIRE INSURANCE COMPANY OF PITTSBURGH, PA</x:v>
      </x:c>
      <x:c r="Y5" s="4" t="str">
        <x:v>ARCH INDEMNITY INSURANCE COMPANY; ARCH INSURANCE COMPANY; BERKLEY NATIONAL INSURANCE COMPANY; BERKLEY REGIONAL INSURANCE COMPANY; GREAT DIVIDE INSURANCE COMPANY; IMPERIUM INSURANCE COMPANY; RIVERPORT INSURANCE COMPANY; SENECA INSURANCE COMPANY, INC.; STARNET INSURANCE COMPANY; TRI-STATE INSURANCE COMPANY OF MINNESOTA</x:v>
      </x:c>
      <x:c r="Z5" s="4" t="str">
        <x:v>ARCH INDEMNITY INSURANCE COMPANY — Casualty — 2024-04-03 | ARCH INDEMNITY INSURANCE COMPANY — Property — 2024-04-03 | ARCH INSURANCE COMPANY — Accident &amp; Health or Sickness — 2025-06-23 | ARCH INSURANCE COMPANY — Casualty — 2024-04-03 | ARCH INSURANCE COMPANY — Disability Only — 2025-06-23 | ARCH INSURANCE COMPANY — Property — 2024-04-03 | BERKLEY NATIONAL INSURANCE COMPANY — Casualty — 2024-04-24 | BERKLEY NATIONAL INSURANCE COMPANY — Property — 2024-04-24 | BERKLEY REGIONAL INSURANCE COMPANY — Casualty — 2024-04-24 | BERKLEY REGIONAL INSURANCE COMPANY — Property — 2024-04-24 | GREAT DIVIDE INSURANCE COMPANY — Casualty — 2024-04-24 | GREAT DIVIDE INSURANCE COMPANY — Property — 2024-04-24 | IMPERIUM INSURANCE COMPANY — Casualty — 2024-07-30 | IMPERIUM INSURANCE COMPANY — Property — 2024-07-30 | NATIONAL UNION FIRE INSURANCE COMPANY OF PITTSBURGH, PA — Accident &amp; Health or Sickness — 2015-05-05 | RIVERPORT INSURANCE COMPANY — Casualty — 2024-04-24 | RIVERPORT INSURANCE COMPANY — Property — 2024-04-24 | SENECA INSURANCE COMPANY, INC. — Casualty — 2012-07-28 | SENECA INSURANCE COMPANY, INC. — Property — 2012-07-28 | STARNET INSURANCE COMPANY — Casualty — 2024-04-24 | STARNET INSURANCE COMPANY — Property — 2024-04-24 | TRI-STATE INSURANCE COMPANY OF MINNESOTA — Casualty — 2024-04-24</x:v>
      </x:c>
      <x:c r="AA5" s="4" t="str">
        <x:v>CARLYLE SPECIALTY INSURANCE SERVICES LLC</x:v>
      </x:c>
      <x:c r="AB5" s="4" t="n">
        <x:v>1</x:v>
      </x:c>
      <x:c r="AC5" s="4" t="n">
        <x:v>5</x:v>
      </x:c>
      <x:c r="AD5" s="4" t="str">
        <x:v>CARLYLE SPECIALTY INSURANCE SERVICES LLC</x:v>
      </x:c>
      <x:c r="AE5" s="4" t="str">
        <x:v>CARLYLE SPECIALTY INSURANCE SERVICES LLC — Accident &amp; Health or Sickness — 2024-01-22 | CARLYLE SPECIALTY INSURANCE SERVICES LLC — Surplus Lines Broker — 2024-01-22 | CARLYLE SPECIALTY INSURANCE SERVICES LLC — Casualty — 2024-01-22 | CARLYLE SPECIALTY INSURANCE SERVICES LLC — Life — 2024-01-22 | CARLYLE SPECIALTY INSURANCE SERVICES LLC — Property — 2024-01-22</x:v>
      </x:c>
      <x:c r="AF5" s="4" t="str">
        <x:v>2025-06-23</x:v>
      </x:c>
      <x:c r="AG5" s="4" t="str">
        <x:v>imo-final-approval-rules.md (2026-10-08)</x:v>
      </x:c>
    </x:row>
    <x:row r="6" ht="42" customHeight="1">
      <x:c r="A6" s="4" t="str">
        <x:v>AARON WILLIAMS</x:v>
      </x:c>
      <x:c r="B6" s="8" t="str">
        <x:v>Yes</x:v>
      </x:c>
      <x:c r="C6" s="4" t="str">
        <x:v>Active general Life; no displayed agency or insurer relationships; lower priority; no confirmed exclusion.</x:v>
      </x:c>
      <x:c r="D6" s="10" t="e">
        <x:f>HYPERLINK("https://cdicloud.insurance.ca.gov/cal/LicenseDetail?SearchType=IND&amp;SearchLicNbr=0L93589&amp;SearchIndvId=1963035","https://cdicloud.insurance.ca.gov/cal/LicenseDetail?SearchType=IND&amp;SearchLicNbr=0L93589&amp;SearchIndvId=1963035")</x:f>
        <x:v>HYPERLINK is not implemented. linkLocation=https://cdicloud.insurance.ca.gov/cal/LicenseDetail?SearchType=IND&amp;SearchLicNbr=0L93589&amp;SearchIndvId=1963035, friendlyName=https://cdicloud.insurance.ca.gov/cal/LicenseDetail?SearchType=IND&amp;SearchLicNbr=0L93589&amp;SearchIndvId=1963035</x:v>
      </x:c>
      <x:c r="E6" s="9" t="str">
        <x:v>0L93589</x:v>
      </x:c>
      <x:c r="F6" s="4" t="str">
        <x:v>12130 MILLENNIUM STE 300 LOS ANGELES CA, 90094-3156</x:v>
      </x:c>
      <x:c r="G6" s="4" t="str">
        <x:v>310-654-4441</x:v>
      </x:c>
      <x:c r="H6" s="4" t="str">
        <x:v>https://www.google.com/maps/place/12130%20MILLENNIUM%20STE%20300,%20LOS%20ANGELES,%20CA,%20900943156</x:v>
      </x:c>
      <x:c r="I6" s="4" t="str">
        <x:v>90090</x:v>
      </x:c>
      <x:c r="J6" s="4" t="str">
        <x:v>2026-10-08</x:v>
      </x:c>
      <x:c r="K6" s="4" t="str">
        <x:v>English</x:v>
      </x:c>
      <x:c r="L6" s="4" t="str">
        <x:v>Accident &amp; Health or Sickness; Life</x:v>
      </x:c>
      <x:c r="M6" s="4" t="str">
        <x:v>Accident &amp; Health or Sickness — issued 2023-12-01 | Life — issued 2017-09-13</x:v>
      </x:c>
      <x:c r="N6" s="4" t="str">
        <x:v>2017-09-13</x:v>
      </x:c>
      <x:c r="O6" s="4" t="n">
        <x:v>9.07</x:v>
      </x:c>
      <x:c r="P6" s="4" t="str">
        <x:v>Yes</x:v>
      </x:c>
      <x:c r="Q6" s="4" t="str">
        <x:v>No</x:v>
      </x:c>
      <x:c r="R6" s="4" t="str">
        <x:v>No</x:v>
      </x:c>
      <x:c r="S6" s="4" t="str"/>
      <x:c r="T6" s="4" t="n">
        <x:v>0</x:v>
      </x:c>
      <x:c r="U6" s="4" t="n">
        <x:v>0</x:v>
      </x:c>
      <x:c r="V6" s="4" t="str"/>
      <x:c r="W6" s="4" t="n">
        <x:v>0</x:v>
      </x:c>
      <x:c r="X6" s="4" t="str"/>
      <x:c r="Y6" s="4" t="str"/>
      <x:c r="Z6" s="4" t="str"/>
      <x:c r="AA6" s="4" t="str"/>
      <x:c r="AB6" s="4" t="n">
        <x:v>0</x:v>
      </x:c>
      <x:c r="AC6" s="4" t="n">
        <x:v>0</x:v>
      </x:c>
      <x:c r="AD6" s="4" t="str"/>
      <x:c r="AE6" s="4" t="str"/>
      <x:c r="AF6" s="4" t="str"/>
      <x:c r="AG6" s="4" t="str">
        <x:v>imo-final-approval-rules.md (2026-10-08)</x:v>
      </x:c>
    </x:row>
    <x:row r="7" ht="42" customHeight="1">
      <x:c r="A7" s="4" t="str">
        <x:v>ABEL CICCHIELLO</x:v>
      </x:c>
      <x:c r="B7" s="8" t="str">
        <x:v>Yes</x:v>
      </x:c>
      <x:c r="C7" s="4" t="str">
        <x:v>Active general Life; only non-Life or lower-priority relationships displayed; no confirmed exclusion.</x:v>
      </x:c>
      <x:c r="D7" s="10" t="e">
        <x:f>HYPERLINK("https://cdicloud.insurance.ca.gov/cal/LicenseDetail?SearchType=IND&amp;SearchLicNbr=0D52881&amp;SearchIndvId=621509","https://cdicloud.insurance.ca.gov/cal/LicenseDetail?SearchType=IND&amp;SearchLicNbr=0D52881&amp;SearchIndvId=621509")</x:f>
        <x:v>HYPERLINK is not implemented. linkLocation=https://cdicloud.insurance.ca.gov/cal/LicenseDetail?SearchType=IND&amp;SearchLicNbr=0D52881&amp;SearchIndvId=621509, friendlyName=https://cdicloud.insurance.ca.gov/cal/LicenseDetail?SearchType=IND&amp;SearchLicNbr=0D52881&amp;SearchIndvId=621509</x:v>
      </x:c>
      <x:c r="E7" s="9" t="str">
        <x:v>0D52881</x:v>
      </x:c>
      <x:c r="F7" s="4" t="str">
        <x:v>418 N MACLAY AVE SAN FERNANDO CA, 91340</x:v>
      </x:c>
      <x:c r="G7" s="4" t="str">
        <x:v>818-798-0105</x:v>
      </x:c>
      <x:c r="H7" s="4" t="str">
        <x:v>https://www.google.com/maps/place/418%20N%20MACLAY%20AVE,%20SAN%20FERNANDO,%20CA,%2091340</x:v>
      </x:c>
      <x:c r="I7" s="4" t="str">
        <x:v>91333</x:v>
      </x:c>
      <x:c r="J7" s="4" t="str">
        <x:v>2026-10-08</x:v>
      </x:c>
      <x:c r="K7" s="4" t="str">
        <x:v>English</x:v>
      </x:c>
      <x:c r="L7" s="4" t="str">
        <x:v>Accident &amp; Health or Sickness; Casualty; Life; Property</x:v>
      </x:c>
      <x:c r="M7" s="4" t="str">
        <x:v>Accident &amp; Health or Sickness — issued 2006-02-07 | Casualty — issued 2002-01-12 | Life — issued 2006-02-07 | Property — issued 2002-01-12</x:v>
      </x:c>
      <x:c r="N7" s="4" t="str">
        <x:v>2006-02-07</x:v>
      </x:c>
      <x:c r="O7" s="4" t="n">
        <x:v>20.67</x:v>
      </x:c>
      <x:c r="P7" s="4" t="str">
        <x:v>Yes</x:v>
      </x:c>
      <x:c r="Q7" s="4" t="str">
        <x:v>Yes</x:v>
      </x:c>
      <x:c r="R7" s="4" t="str">
        <x:v>No</x:v>
      </x:c>
      <x:c r="S7" s="4" t="str">
        <x:v>AMERICAN MODERN HOME INSURANCE COMPANY; AMERICAN MODERN PROPERTY AND CASUALTY INSURANCE COMPANY; FOREMOST INSURANCE COMPANY GRAND RAPIDS, MICHIGAN; INFINITY INSURANCE COMPANY</x:v>
      </x:c>
      <x:c r="T7" s="4" t="n">
        <x:v>8</x:v>
      </x:c>
      <x:c r="U7" s="4" t="n">
        <x:v>4</x:v>
      </x:c>
      <x:c r="V7" s="4" t="str"/>
      <x:c r="W7" s="4" t="n">
        <x:v>0</x:v>
      </x:c>
      <x:c r="X7" s="4" t="str"/>
      <x:c r="Y7" s="4" t="str">
        <x:v>AMERICAN MODERN HOME INSURANCE COMPANY; AMERICAN MODERN PROPERTY AND CASUALTY INSURANCE COMPANY; FOREMOST INSURANCE COMPANY GRAND RAPIDS, MICHIGAN; INFINITY INSURANCE COMPANY</x:v>
      </x:c>
      <x:c r="Z7" s="4" t="str">
        <x:v>AMERICAN MODERN HOME INSURANCE COMPANY — Casualty — 2022-01-09 | AMERICAN MODERN HOME INSURANCE COMPANY — Property — 2022-01-09 | AMERICAN MODERN PROPERTY AND CASUALTY INSURANCE COMPANY — Casualty — 2022-01-09 | AMERICAN MODERN PROPERTY AND CASUALTY INSURANCE COMPANY — Property — 2022-01-09 | FOREMOST INSURANCE COMPANY GRAND RAPIDS, MICHIGAN — Casualty — 2020-05-11 | FOREMOST INSURANCE COMPANY GRAND RAPIDS, MICHIGAN — Property — 2020-05-11 | INFINITY INSURANCE COMPANY — Casualty — 2023-10-01 | INFINITY INSURANCE COMPANY — Property — 2023-10-01</x:v>
      </x:c>
      <x:c r="AA7" s="4" t="str"/>
      <x:c r="AB7" s="4" t="n">
        <x:v>0</x:v>
      </x:c>
      <x:c r="AC7" s="4" t="n">
        <x:v>0</x:v>
      </x:c>
      <x:c r="AD7" s="4" t="str"/>
      <x:c r="AE7" s="4" t="str"/>
      <x:c r="AF7" s="4" t="str">
        <x:v>2023-10-01</x:v>
      </x:c>
      <x:c r="AG7" s="4" t="str">
        <x:v>imo-final-approval-rules.md (2026-10-08)</x:v>
      </x:c>
    </x:row>
    <x:row r="8" ht="42" customHeight="1">
      <x:c r="A8" s="4" t="str">
        <x:v>ABEL MARTINEZ</x:v>
      </x:c>
      <x:c r="B8" s="8" t="str">
        <x:v>Yes</x:v>
      </x:c>
      <x:c r="C8" s="4" t="str">
        <x:v>Active general Life; Life appointments: AMERICAN GENERAL LIFE INSURANCE COMPANY; AMERICO FINANCIAL LIFE AND ANNUITY INSURANCE COMPANY; MEMBERS LIFE INSURANCE COMPANY; additional insurers listed; no confirmed exclusion.</x:v>
      </x:c>
      <x:c r="D8" s="10" t="e">
        <x:f>HYPERLINK("https://cdicloud.insurance.ca.gov/cal/LicenseDetail?SearchType=IND&amp;SearchLicNbr=4507369&amp;SearchIndvId=4507369","https://cdicloud.insurance.ca.gov/cal/LicenseDetail?SearchType=IND&amp;SearchLicNbr=4507369&amp;SearchIndvId=4507369")</x:f>
        <x:v>HYPERLINK is not implemented. linkLocation=https://cdicloud.insurance.ca.gov/cal/LicenseDetail?SearchType=IND&amp;SearchLicNbr=4507369&amp;SearchIndvId=4507369, friendlyName=https://cdicloud.insurance.ca.gov/cal/LicenseDetail?SearchType=IND&amp;SearchLicNbr=4507369&amp;SearchIndvId=4507369</x:v>
      </x:c>
      <x:c r="E8" s="9" t="str">
        <x:v>4507369</x:v>
      </x:c>
      <x:c r="F8" s="4" t="str">
        <x:v>157 S. VANCOUVER AVE LOS ANGELES CA, 90022</x:v>
      </x:c>
      <x:c r="G8" s="4" t="str">
        <x:v>213-898-5531</x:v>
      </x:c>
      <x:c r="H8" s="4" t="str">
        <x:v>https://www.google.com/maps/place/157%20S.%20VANCOUVER%20AVE,%20LOS%20ANGELES,%20CA,%2090022</x:v>
      </x:c>
      <x:c r="I8" s="4" t="str">
        <x:v>90023 91756</x:v>
      </x:c>
      <x:c r="J8" s="4" t="str">
        <x:v>2026-10-08</x:v>
      </x:c>
      <x:c r="K8" s="4" t="str">
        <x:v>English</x:v>
      </x:c>
      <x:c r="L8" s="4" t="str">
        <x:v>Life</x:v>
      </x:c>
      <x:c r="M8" s="4" t="str">
        <x:v>Life — issued 2025-11-04</x:v>
      </x:c>
      <x:c r="N8" s="4" t="str">
        <x:v>2025-11-04</x:v>
      </x:c>
      <x:c r="O8" s="4" t="n">
        <x:v>0.93</x:v>
      </x:c>
      <x:c r="P8" s="4" t="str">
        <x:v>No</x:v>
      </x:c>
      <x:c r="Q8" s="4" t="str">
        <x:v>No</x:v>
      </x:c>
      <x:c r="R8" s="4" t="str">
        <x:v>No</x:v>
      </x:c>
      <x:c r="S8" s="4" t="str">
        <x:v>AMERICAN GENERAL LIFE INSURANCE COMPANY; AMERICO FINANCIAL LIFE AND ANNUITY INSURANCE COMPANY; MEMBERS LIFE INSURANCE COMPANY; TRANSAMERICA LIFE INSURANCE COMPANY; UNITED OF OMAHA LIFE INSURANCE COMPANY</x:v>
      </x:c>
      <x:c r="T8" s="4" t="n">
        <x:v>5</x:v>
      </x:c>
      <x:c r="U8" s="4" t="n">
        <x:v>5</x:v>
      </x:c>
      <x:c r="V8" s="4" t="str">
        <x:v>AMERICAN GENERAL LIFE INSURANCE COMPANY; AMERICO FINANCIAL LIFE AND ANNUITY INSURANCE COMPANY; MEMBERS LIFE INSURANCE COMPANY; TRANSAMERICA LIFE INSURANCE COMPANY; UNITED OF OMAHA LIFE INSURANCE COMPANY</x:v>
      </x:c>
      <x:c r="W8" s="4" t="n">
        <x:v>5</x:v>
      </x:c>
      <x:c r="X8" s="4" t="str"/>
      <x:c r="Y8" s="4" t="str"/>
      <x:c r="Z8" s="4" t="str">
        <x:v>AMERICAN GENERAL LIFE INSURANCE COMPANY — Life — 2026-01-27 | AMERICO FINANCIAL LIFE AND ANNUITY INSURANCE COMPANY — Life — 2025-11-17 | MEMBERS LIFE INSURANCE COMPANY — Life — 2026-02-04 | TRANSAMERICA LIFE INSURANCE COMPANY — Life — 2025-11-13 | UNITED OF OMAHA LIFE INSURANCE COMPANY — Life — 2025-11-04</x:v>
      </x:c>
      <x:c r="AA8" s="4" t="str"/>
      <x:c r="AB8" s="4" t="n">
        <x:v>0</x:v>
      </x:c>
      <x:c r="AC8" s="4" t="n">
        <x:v>0</x:v>
      </x:c>
      <x:c r="AD8" s="4" t="str"/>
      <x:c r="AE8" s="4" t="str"/>
      <x:c r="AF8" s="4" t="str">
        <x:v>2026-02-04</x:v>
      </x:c>
      <x:c r="AG8" s="4" t="str">
        <x:v>imo-final-approval-rules.md (2026-10-08)</x:v>
      </x:c>
    </x:row>
    <x:row r="9" ht="42" customHeight="1">
      <x:c r="A9" s="4" t="str">
        <x:v>ABELARDO DIAZ</x:v>
      </x:c>
      <x:c r="B9" s="8" t="str">
        <x:v>Yes</x:v>
      </x:c>
      <x:c r="C9" s="4" t="str">
        <x:v>Active general Life; Life appointments: NATIONWIDE LIFE AND ANNUITY INSURANCE COMPANY; NORTH AMERICAN COMPANY FOR LIFE AND HEALTH INSURANCE; no confirmed exclusion.</x:v>
      </x:c>
      <x:c r="D9" s="10" t="e">
        <x:f>HYPERLINK("https://cdicloud.insurance.ca.gov/cal/LicenseDetail?SearchType=IND&amp;SearchLicNbr=0I44731&amp;SearchIndvId=1590576","https://cdicloud.insurance.ca.gov/cal/LicenseDetail?SearchType=IND&amp;SearchLicNbr=0I44731&amp;SearchIndvId=1590576")</x:f>
        <x:v>HYPERLINK is not implemented. linkLocation=https://cdicloud.insurance.ca.gov/cal/LicenseDetail?SearchType=IND&amp;SearchLicNbr=0I44731&amp;SearchIndvId=1590576, friendlyName=https://cdicloud.insurance.ca.gov/cal/LicenseDetail?SearchType=IND&amp;SearchLicNbr=0I44731&amp;SearchIndvId=1590576</x:v>
      </x:c>
      <x:c r="E9" s="9" t="str">
        <x:v>0I44731</x:v>
      </x:c>
      <x:c r="F9" s="4" t="str">
        <x:v>9625 HAYVENHURST AVE NORTHRIDGE CA, 91343</x:v>
      </x:c>
      <x:c r="G9" s="4" t="str">
        <x:v>818-770-8849</x:v>
      </x:c>
      <x:c r="H9" s="4" t="str">
        <x:v>https://www.google.com/maps/place/9625%20HAYVENHURST%20AVE,%20NORTHRIDGE,%20CA,%2091343</x:v>
      </x:c>
      <x:c r="I9" s="4" t="str">
        <x:v>91325</x:v>
      </x:c>
      <x:c r="J9" s="4" t="str">
        <x:v>2026-10-08</x:v>
      </x:c>
      <x:c r="K9" s="4" t="str">
        <x:v>English</x:v>
      </x:c>
      <x:c r="L9" s="4" t="str">
        <x:v>Accident &amp; Health or Sickness; Life</x:v>
      </x:c>
      <x:c r="M9" s="4" t="str">
        <x:v>Accident &amp; Health or Sickness — issued 2026-07-16 | Life — issued 2026-07-16</x:v>
      </x:c>
      <x:c r="N9" s="4" t="str">
        <x:v>2026-07-16</x:v>
      </x:c>
      <x:c r="O9" s="4" t="n">
        <x:v>0.23</x:v>
      </x:c>
      <x:c r="P9" s="4" t="str">
        <x:v>Yes</x:v>
      </x:c>
      <x:c r="Q9" s="4" t="str">
        <x:v>No</x:v>
      </x:c>
      <x:c r="R9" s="4" t="str">
        <x:v>No</x:v>
      </x:c>
      <x:c r="S9" s="4" t="str">
        <x:v>NATIONWIDE LIFE AND ANNUITY INSURANCE COMPANY; NORTH AMERICAN COMPANY FOR LIFE AND HEALTH INSURANCE</x:v>
      </x:c>
      <x:c r="T9" s="4" t="n">
        <x:v>3</x:v>
      </x:c>
      <x:c r="U9" s="4" t="n">
        <x:v>2</x:v>
      </x:c>
      <x:c r="V9" s="4" t="str">
        <x:v>NATIONWIDE LIFE AND ANNUITY INSURANCE COMPANY; NORTH AMERICAN COMPANY FOR LIFE AND HEALTH INSURANCE</x:v>
      </x:c>
      <x:c r="W9" s="4" t="n">
        <x:v>2</x:v>
      </x:c>
      <x:c r="X9" s="4" t="str">
        <x:v>NATIONWIDE LIFE AND ANNUITY INSURANCE COMPANY</x:v>
      </x:c>
      <x:c r="Y9" s="4" t="str"/>
      <x:c r="Z9" s="4" t="str">
        <x:v>NATIONWIDE LIFE AND ANNUITY INSURANCE COMPANY — Accident &amp; Health or Sickness — 2026-08-04 | NATIONWIDE LIFE AND ANNUITY INSURANCE COMPANY — Life — 2026-08-04 | NORTH AMERICAN COMPANY FOR LIFE AND HEALTH INSURANCE — Life — 2026-09-10</x:v>
      </x:c>
      <x:c r="AA9" s="4" t="str"/>
      <x:c r="AB9" s="4" t="n">
        <x:v>0</x:v>
      </x:c>
      <x:c r="AC9" s="4" t="n">
        <x:v>0</x:v>
      </x:c>
      <x:c r="AD9" s="4" t="str"/>
      <x:c r="AE9" s="4" t="str"/>
      <x:c r="AF9" s="4" t="str">
        <x:v>2026-09-10</x:v>
      </x:c>
      <x:c r="AG9" s="4" t="str">
        <x:v>imo-final-approval-rules.md (2026-10-08)</x:v>
      </x:c>
    </x:row>
    <x:row r="10" ht="42" customHeight="1">
      <x:c r="A10" s="4" t="str">
        <x:v>ABIGAIL LOPEZ</x:v>
      </x:c>
      <x:c r="B10" s="8" t="str">
        <x:v>Yes</x:v>
      </x:c>
      <x:c r="C10" s="4" t="str">
        <x:v>Active general Life; no displayed agency or insurer relationships; lower priority; no confirmed exclusion.</x:v>
      </x:c>
      <x:c r="D10" s="10" t="e">
        <x:f>HYPERLINK("https://cdicloud.insurance.ca.gov/cal/LicenseDetail?SearchType=IND&amp;SearchLicNbr=4513650&amp;SearchIndvId=4513650","https://cdicloud.insurance.ca.gov/cal/LicenseDetail?SearchType=IND&amp;SearchLicNbr=4513650&amp;SearchIndvId=4513650")</x:f>
        <x:v>HYPERLINK is not implemented. linkLocation=https://cdicloud.insurance.ca.gov/cal/LicenseDetail?SearchType=IND&amp;SearchLicNbr=4513650&amp;SearchIndvId=4513650, friendlyName=https://cdicloud.insurance.ca.gov/cal/LicenseDetail?SearchType=IND&amp;SearchLicNbr=4513650&amp;SearchIndvId=4513650</x:v>
      </x:c>
      <x:c r="E10" s="9" t="str">
        <x:v>4513650</x:v>
      </x:c>
      <x:c r="F10" s="4" t="str">
        <x:v>9521 LAUREL CANYON BLVD APT 13 ARLETA CA, 91331</x:v>
      </x:c>
      <x:c r="G10" s="4" t="str">
        <x:v>213-834-1784</x:v>
      </x:c>
      <x:c r="H10" s="4" t="str">
        <x:v>https://www.google.com/maps/place/9521%20LAUREL%20CANYON%20BLVD,%20ARLETA,%20CA,%2091331</x:v>
      </x:c>
      <x:c r="I10" s="4" t="str">
        <x:v>91333</x:v>
      </x:c>
      <x:c r="J10" s="4" t="str">
        <x:v>2026-10-08</x:v>
      </x:c>
      <x:c r="K10" s="4" t="str">
        <x:v>English</x:v>
      </x:c>
      <x:c r="L10" s="4" t="str">
        <x:v>Accident &amp; Health or Sickness; Life</x:v>
      </x:c>
      <x:c r="M10" s="4" t="str">
        <x:v>Accident &amp; Health or Sickness — issued 2025-12-03 | Life — issued 2025-12-03</x:v>
      </x:c>
      <x:c r="N10" s="4" t="str">
        <x:v>2025-12-03</x:v>
      </x:c>
      <x:c r="O10" s="4" t="n">
        <x:v>0.85</x:v>
      </x:c>
      <x:c r="P10" s="4" t="str">
        <x:v>Yes</x:v>
      </x:c>
      <x:c r="Q10" s="4" t="str">
        <x:v>No</x:v>
      </x:c>
      <x:c r="R10" s="4" t="str">
        <x:v>No</x:v>
      </x:c>
      <x:c r="S10" s="4" t="str"/>
      <x:c r="T10" s="4" t="n">
        <x:v>0</x:v>
      </x:c>
      <x:c r="U10" s="4" t="n">
        <x:v>0</x:v>
      </x:c>
      <x:c r="V10" s="4" t="str"/>
      <x:c r="W10" s="4" t="n">
        <x:v>0</x:v>
      </x:c>
      <x:c r="X10" s="4" t="str"/>
      <x:c r="Y10" s="4" t="str"/>
      <x:c r="Z10" s="4" t="str"/>
      <x:c r="AA10" s="4" t="str"/>
      <x:c r="AB10" s="4" t="n">
        <x:v>0</x:v>
      </x:c>
      <x:c r="AC10" s="4" t="n">
        <x:v>0</x:v>
      </x:c>
      <x:c r="AD10" s="4" t="str"/>
      <x:c r="AE10" s="4" t="str"/>
      <x:c r="AF10" s="4" t="str"/>
      <x:c r="AG10" s="4" t="str">
        <x:v>imo-final-approval-rules.md (2026-10-08)</x:v>
      </x:c>
    </x:row>
    <x:row r="11" ht="42" customHeight="1">
      <x:c r="A11" s="4" t="str">
        <x:v>ABISHAI COX</x:v>
      </x:c>
      <x:c r="B11" s="8" t="str">
        <x:v>Yes</x:v>
      </x:c>
      <x:c r="C11" s="4" t="str">
        <x:v>Active general Life; Life appointments: AMERICAN-AMICABLE LIFE INSURANCE COMPANY OF TEXAS; INDEPENDENT ORDER OF FORESTERS (THE); no confirmed exclusion.</x:v>
      </x:c>
      <x:c r="D11" s="10" t="e">
        <x:f>HYPERLINK("https://cdicloud.insurance.ca.gov/cal/LicenseDetail?SearchType=IND&amp;SearchLicNbr=4227077&amp;SearchIndvId=4227077","https://cdicloud.insurance.ca.gov/cal/LicenseDetail?SearchType=IND&amp;SearchLicNbr=4227077&amp;SearchIndvId=4227077")</x:f>
        <x:v>HYPERLINK is not implemented. linkLocation=https://cdicloud.insurance.ca.gov/cal/LicenseDetail?SearchType=IND&amp;SearchLicNbr=4227077&amp;SearchIndvId=4227077, friendlyName=https://cdicloud.insurance.ca.gov/cal/LicenseDetail?SearchType=IND&amp;SearchLicNbr=4227077&amp;SearchIndvId=4227077</x:v>
      </x:c>
      <x:c r="E11" s="9" t="str">
        <x:v>4227077</x:v>
      </x:c>
      <x:c r="F11" s="4" t="str">
        <x:v>928 N WESTERN AVE LOS ANGELES CA, 90029-3795</x:v>
      </x:c>
      <x:c r="G11" s="4" t="str">
        <x:v>360-763-2536</x:v>
      </x:c>
      <x:c r="H11" s="4" t="str">
        <x:v>https://www.google.com/maps/place/928%20N%20WESTERN%20AVE,%20LOS%20ANGELES,%20CA,%20900293795</x:v>
      </x:c>
      <x:c r="I11" s="4" t="str">
        <x:v>90028</x:v>
      </x:c>
      <x:c r="J11" s="4" t="str">
        <x:v>2026-10-08</x:v>
      </x:c>
      <x:c r="K11" s="4" t="str">
        <x:v>English</x:v>
      </x:c>
      <x:c r="L11" s="4" t="str">
        <x:v>Accident &amp; Health or Sickness; Life</x:v>
      </x:c>
      <x:c r="M11" s="4" t="str">
        <x:v>Accident &amp; Health or Sickness — issued 2022-10-10 | Life — issued 2022-10-10</x:v>
      </x:c>
      <x:c r="N11" s="4" t="str">
        <x:v>2022-10-10</x:v>
      </x:c>
      <x:c r="O11" s="4" t="n">
        <x:v>3.99</x:v>
      </x:c>
      <x:c r="P11" s="4" t="str">
        <x:v>Yes</x:v>
      </x:c>
      <x:c r="Q11" s="4" t="str">
        <x:v>No</x:v>
      </x:c>
      <x:c r="R11" s="4" t="str">
        <x:v>No</x:v>
      </x:c>
      <x:c r="S11" s="4" t="str">
        <x:v>AMERICAN-AMICABLE LIFE INSURANCE COMPANY OF TEXAS; INDEPENDENT ORDER OF FORESTERS (THE)</x:v>
      </x:c>
      <x:c r="T11" s="4" t="n">
        <x:v>2</x:v>
      </x:c>
      <x:c r="U11" s="4" t="n">
        <x:v>2</x:v>
      </x:c>
      <x:c r="V11" s="4" t="str">
        <x:v>AMERICAN-AMICABLE LIFE INSURANCE COMPANY OF TEXAS; INDEPENDENT ORDER OF FORESTERS (THE)</x:v>
      </x:c>
      <x:c r="W11" s="4" t="n">
        <x:v>2</x:v>
      </x:c>
      <x:c r="X11" s="4" t="str"/>
      <x:c r="Y11" s="4" t="str"/>
      <x:c r="Z11" s="4" t="str">
        <x:v>AMERICAN-AMICABLE LIFE INSURANCE COMPANY OF TEXAS — Life — 2024-11-04 | INDEPENDENT ORDER OF FORESTERS (THE) — Life — 2026-03-04</x:v>
      </x:c>
      <x:c r="AA11" s="4" t="str"/>
      <x:c r="AB11" s="4" t="n">
        <x:v>0</x:v>
      </x:c>
      <x:c r="AC11" s="4" t="n">
        <x:v>0</x:v>
      </x:c>
      <x:c r="AD11" s="4" t="str"/>
      <x:c r="AE11" s="4" t="str"/>
      <x:c r="AF11" s="4" t="str">
        <x:v>2026-03-04</x:v>
      </x:c>
      <x:c r="AG11" s="4" t="str">
        <x:v>imo-final-approval-rules.md (2026-10-08)</x:v>
      </x:c>
    </x:row>
    <x:row r="12" ht="42" customHeight="1">
      <x:c r="A12" s="4" t="str">
        <x:v>ABNER CORDOVA</x:v>
      </x:c>
      <x:c r="B12" s="8" t="str">
        <x:v>Yes</x:v>
      </x:c>
      <x:c r="C12" s="4" t="str">
        <x:v>Active general Life; Life appointments: AMERICAN FAMILY LIFE INSURANCE COMPANY OF COLUMBUS; AMERICAN HERITAGE LIFE INSURANCE COMPANY; BANNER LIFE INSURANCE COMPANY; additional insurers listed; no confirmed exclusion.</x:v>
      </x:c>
      <x:c r="D12" s="10" t="e">
        <x:f>HYPERLINK("https://cdicloud.insurance.ca.gov/cal/LicenseDetail?SearchType=IND&amp;SearchLicNbr=4308584&amp;SearchIndvId=4308584","https://cdicloud.insurance.ca.gov/cal/LicenseDetail?SearchType=IND&amp;SearchLicNbr=4308584&amp;SearchIndvId=4308584")</x:f>
        <x:v>HYPERLINK is not implemented. linkLocation=https://cdicloud.insurance.ca.gov/cal/LicenseDetail?SearchType=IND&amp;SearchLicNbr=4308584&amp;SearchIndvId=4308584, friendlyName=https://cdicloud.insurance.ca.gov/cal/LicenseDetail?SearchType=IND&amp;SearchLicNbr=4308584&amp;SearchIndvId=4308584</x:v>
      </x:c>
      <x:c r="E12" s="9" t="str">
        <x:v>4308584</x:v>
      </x:c>
      <x:c r="F12" s="4" t="str">
        <x:v>6167 BRISTOL PARKWAY SUITE 390 CULVER CITY CA, 90230</x:v>
      </x:c>
      <x:c r="G12" s="4" t="str"/>
      <x:c r="H12" s="4" t="str">
        <x:v>https://www.google.com/maps/place/6167%20BRISTOL%20PARKWAY,%20CULVER%20CITY,%20CA,%2090230</x:v>
      </x:c>
      <x:c r="I12" s="4" t="str">
        <x:v>90230</x:v>
      </x:c>
      <x:c r="J12" s="4" t="str">
        <x:v>2026-10-08</x:v>
      </x:c>
      <x:c r="K12" s="4" t="str">
        <x:v>English</x:v>
      </x:c>
      <x:c r="L12" s="4" t="str">
        <x:v>Accident &amp; Health or Sickness; Life</x:v>
      </x:c>
      <x:c r="M12" s="4" t="str">
        <x:v>Accident &amp; Health or Sickness — issued 2023-08-11 | Life — issued 2023-08-11</x:v>
      </x:c>
      <x:c r="N12" s="4" t="str">
        <x:v>2023-08-11</x:v>
      </x:c>
      <x:c r="O12" s="4" t="n">
        <x:v>3.16</x:v>
      </x:c>
      <x:c r="P12" s="4" t="str">
        <x:v>Yes</x:v>
      </x:c>
      <x:c r="Q12" s="4" t="str">
        <x:v>No</x:v>
      </x:c>
      <x:c r="R12" s="4" t="str">
        <x:v>No</x:v>
      </x:c>
      <x:c r="S12" s="4" t="str">
        <x:v>AMERICAN FAMILY LIFE INSURANCE COMPANY OF COLUMBUS; AMERICAN HERITAGE LIFE INSURANCE COMPANY; BANNER LIFE INSURANCE COMPANY; COLONIAL LIFE &amp; ACCIDENT INSURANCE COMPANY; CONTINENTAL AMERICAN INSURANCE COMPANY; MANHATTANLIFE INSURANCE AND ANNUITY COMPANY</x:v>
      </x:c>
      <x:c r="T12" s="4" t="n">
        <x:v>13</x:v>
      </x:c>
      <x:c r="U12" s="4" t="n">
        <x:v>6</x:v>
      </x:c>
      <x:c r="V12" s="4" t="str">
        <x:v>AMERICAN FAMILY LIFE INSURANCE COMPANY OF COLUMBUS; AMERICAN HERITAGE LIFE INSURANCE COMPANY; BANNER LIFE INSURANCE COMPANY; COLONIAL LIFE &amp; ACCIDENT INSURANCE COMPANY; CONTINENTAL AMERICAN INSURANCE COMPANY; MANHATTANLIFE INSURANCE AND ANNUITY COMPANY</x:v>
      </x:c>
      <x:c r="W12" s="4" t="n">
        <x:v>6</x:v>
      </x:c>
      <x:c r="X12" s="4" t="str">
        <x:v>AMERICAN FAMILY LIFE INSURANCE COMPANY OF COLUMBUS; AMERICAN HERITAGE LIFE INSURANCE COMPANY; COLONIAL LIFE &amp; ACCIDENT INSURANCE COMPANY; CONTINENTAL AMERICAN INSURANCE COMPANY; MANHATTANLIFE INSURANCE AND ANNUITY COMPANY</x:v>
      </x:c>
      <x:c r="Y12" s="4" t="str"/>
      <x:c r="Z12" s="4" t="str">
        <x:v>AMERICAN FAMILY LIFE INSURANCE COMPANY OF COLUMBUS — Accident &amp; Health or Sickness — 2023-08-11 | AMERICAN FAMILY LIFE INSURANCE COMPANY OF COLUMBUS — Life — 2023-08-11 | AMERICAN HERITAGE LIFE INSURANCE COMPANY — Accident &amp; Health or Sickness — 2024-01-03 | AMERICAN HERITAGE LIFE INSURANCE COMPANY — Disability Only — 2024-01-03 | AMERICAN HERITAGE LIFE INSURANCE COMPANY — Life — 2024-01-03 | BANNER LIFE INSURANCE COMPANY — Life — 2025-04-23 | COLONIAL LIFE &amp; ACCIDENT INSURANCE COMPANY — Accident &amp; Health or Sickness — 2025-08-30 | COLONIAL LIFE &amp; ACCIDENT INSURANCE COMPANY — Life — 2025-08-30 | CONTINENTAL AMERICAN INSURANCE COMPANY — Accident &amp; Health or Sickness — 2024-04-11 | CONTINENTAL AMERICAN INSURANCE COMPANY — Disability Only — 2024-04-11 | CONTINENTAL AMERICAN INSURANCE COMPANY — Life — 2024-04-11 | MANHATTANLIFE INSURANCE AND ANNUITY COMPANY — Accident &amp; Health or Sickness — 2023-11-20 | MANHATTANLIFE INSURANCE AND ANNUITY COMPANY — Life — 2023-11-20</x:v>
      </x:c>
      <x:c r="AA12" s="4" t="str"/>
      <x:c r="AB12" s="4" t="n">
        <x:v>0</x:v>
      </x:c>
      <x:c r="AC12" s="4" t="n">
        <x:v>0</x:v>
      </x:c>
      <x:c r="AD12" s="4" t="str"/>
      <x:c r="AE12" s="4" t="str"/>
      <x:c r="AF12" s="4" t="str">
        <x:v>2025-08-30</x:v>
      </x:c>
      <x:c r="AG12" s="4" t="str">
        <x:v>imo-final-approval-rules.md (2026-10-08)</x:v>
      </x:c>
    </x:row>
    <x:row r="13" ht="42" customHeight="1">
      <x:c r="A13" s="4" t="str">
        <x:v>ABNER YANES BARILLAS</x:v>
      </x:c>
      <x:c r="B13" s="8" t="str">
        <x:v>Yes</x:v>
      </x:c>
      <x:c r="C13" s="4" t="str">
        <x:v>Active general Life; Life appointments: AMERICAN NATIONAL INSURANCE COMPANY; FIDELITY &amp; GUARANTY LIFE INSURANCE COMPANY; GREAT WESTERN INSURANCE COMPANY; additional insurers listed; no confirmed exclusion.</x:v>
      </x:c>
      <x:c r="D13" s="10" t="e">
        <x:f>HYPERLINK("https://cdicloud.insurance.ca.gov/cal/LicenseDetail?SearchType=IND&amp;SearchLicNbr=4345308&amp;SearchIndvId=4345308","https://cdicloud.insurance.ca.gov/cal/LicenseDetail?SearchType=IND&amp;SearchLicNbr=4345308&amp;SearchIndvId=4345308")</x:f>
        <x:v>HYPERLINK is not implemented. linkLocation=https://cdicloud.insurance.ca.gov/cal/LicenseDetail?SearchType=IND&amp;SearchLicNbr=4345308&amp;SearchIndvId=4345308, friendlyName=https://cdicloud.insurance.ca.gov/cal/LicenseDetail?SearchType=IND&amp;SearchLicNbr=4345308&amp;SearchIndvId=4345308</x:v>
      </x:c>
      <x:c r="E13" s="9" t="str">
        <x:v>4345308</x:v>
      </x:c>
      <x:c r="F13" s="4" t="str">
        <x:v>2031 E 65TH ST LOS ANGELES CA, 90001-2112</x:v>
      </x:c>
      <x:c r="G13" s="4" t="str">
        <x:v>323-457-9609</x:v>
      </x:c>
      <x:c r="H13" s="4" t="str">
        <x:v>https://www.google.com/maps/place/2031%20E%2065TH%20ST,%20LOS%20ANGELES,%20CA,%20900012112</x:v>
      </x:c>
      <x:c r="I13" s="4" t="str">
        <x:v>90001</x:v>
      </x:c>
      <x:c r="J13" s="4" t="str">
        <x:v>2026-10-08</x:v>
      </x:c>
      <x:c r="K13" s="4" t="str">
        <x:v>English</x:v>
      </x:c>
      <x:c r="L13" s="4" t="str">
        <x:v>Life</x:v>
      </x:c>
      <x:c r="M13" s="4" t="str">
        <x:v>Life — issued 2023-12-05</x:v>
      </x:c>
      <x:c r="N13" s="4" t="str">
        <x:v>2023-12-05</x:v>
      </x:c>
      <x:c r="O13" s="4" t="n">
        <x:v>2.84</x:v>
      </x:c>
      <x:c r="P13" s="4" t="str">
        <x:v>No</x:v>
      </x:c>
      <x:c r="Q13" s="4" t="str">
        <x:v>No</x:v>
      </x:c>
      <x:c r="R13" s="4" t="str">
        <x:v>No</x:v>
      </x:c>
      <x:c r="S13" s="4" t="str">
        <x:v>AMERICAN NATIONAL INSURANCE COMPANY; FIDELITY &amp; GUARANTY LIFE INSURANCE COMPANY; GREAT WESTERN INSURANCE COMPANY; SILAC INSURANCE COMPANY; TRANSAMERICA LIFE INSURANCE COMPANY</x:v>
      </x:c>
      <x:c r="T13" s="4" t="n">
        <x:v>5</x:v>
      </x:c>
      <x:c r="U13" s="4" t="n">
        <x:v>5</x:v>
      </x:c>
      <x:c r="V13" s="4" t="str">
        <x:v>AMERICAN NATIONAL INSURANCE COMPANY; FIDELITY &amp; GUARANTY LIFE INSURANCE COMPANY; GREAT WESTERN INSURANCE COMPANY; SILAC INSURANCE COMPANY; TRANSAMERICA LIFE INSURANCE COMPANY</x:v>
      </x:c>
      <x:c r="W13" s="4" t="n">
        <x:v>5</x:v>
      </x:c>
      <x:c r="X13" s="4" t="str"/>
      <x:c r="Y13" s="4" t="str"/>
      <x:c r="Z13" s="4" t="str">
        <x:v>AMERICAN NATIONAL INSURANCE COMPANY — Life — 2023-12-11 | FIDELITY &amp; GUARANTY LIFE INSURANCE COMPANY — Life — 2023-12-11 | GREAT WESTERN INSURANCE COMPANY — Life — 2024-05-08 | SILAC INSURANCE COMPANY — Life — 2024-09-15 | TRANSAMERICA LIFE INSURANCE COMPANY — Life — 2026-06-26</x:v>
      </x:c>
      <x:c r="AA13" s="4" t="str"/>
      <x:c r="AB13" s="4" t="n">
        <x:v>0</x:v>
      </x:c>
      <x:c r="AC13" s="4" t="n">
        <x:v>0</x:v>
      </x:c>
      <x:c r="AD13" s="4" t="str"/>
      <x:c r="AE13" s="4" t="str"/>
      <x:c r="AF13" s="4" t="str">
        <x:v>2026-06-26</x:v>
      </x:c>
      <x:c r="AG13" s="4" t="str">
        <x:v>imo-final-approval-rules.md (2026-10-08)</x:v>
      </x:c>
    </x:row>
    <x:row r="14" ht="42" customHeight="1">
      <x:c r="A14" s="4" t="str">
        <x:v>ABRAHAM FOROUZAN</x:v>
      </x:c>
      <x:c r="B14" s="8" t="str">
        <x:v>No</x:v>
      </x:c>
      <x:c r="C14" s="4" t="str">
        <x:v>Current excluded relationship displayed: ALLSTATE INDEMNITY COMPANY; ALLSTATE INSURANCE COMPANY; ALLSTATE MOTOR CLUB, INC; ALLSTATE NORTHBROOK INDEMNITY COMPANY; ALLSTATE PROPERTY AND CASUALTY INSURANCE COMPANY.</x:v>
      </x:c>
      <x:c r="D14" s="10" t="e">
        <x:f>HYPERLINK("https://cdicloud.insurance.ca.gov/cal/LicenseDetail?SearchType=IND&amp;SearchLicNbr=0609869&amp;SearchIndvId=391517","https://cdicloud.insurance.ca.gov/cal/LicenseDetail?SearchType=IND&amp;SearchLicNbr=0609869&amp;SearchIndvId=391517")</x:f>
        <x:v>HYPERLINK is not implemented. linkLocation=https://cdicloud.insurance.ca.gov/cal/LicenseDetail?SearchType=IND&amp;SearchLicNbr=0609869&amp;SearchIndvId=391517, friendlyName=https://cdicloud.insurance.ca.gov/cal/LicenseDetail?SearchType=IND&amp;SearchLicNbr=0609869&amp;SearchIndvId=391517</x:v>
      </x:c>
      <x:c r="E14" s="9" t="str">
        <x:v>0609869</x:v>
      </x:c>
      <x:c r="F14" s="4" t="str">
        <x:v>8683 WILSHIRE BLVD STE A BEVERLY HILLS CA, 90211</x:v>
      </x:c>
      <x:c r="G14" s="4" t="str"/>
      <x:c r="H14" s="4" t="str">
        <x:v>https://www.google.com/maps/place/8683%20WILSHIRE%20BLVD%20STE%20A,%20BEVERLY%20HILLS,%20CA,%2090211</x:v>
      </x:c>
      <x:c r="I14" s="4" t="str">
        <x:v>90209</x:v>
      </x:c>
      <x:c r="J14" s="4" t="str">
        <x:v>2026-10-08</x:v>
      </x:c>
      <x:c r="K14" s="4" t="str">
        <x:v>English</x:v>
      </x:c>
      <x:c r="L14" s="4" t="str">
        <x:v>Accident &amp; Health or Sickness; Casualty; Life; Property</x:v>
      </x:c>
      <x:c r="M14" s="4" t="str">
        <x:v>Accident &amp; Health or Sickness — issued 1981-07-03 | Casualty — issued 1985-02-07 | Life — issued 1981-07-03 | Property — issued 1985-02-07</x:v>
      </x:c>
      <x:c r="N14" s="4" t="str">
        <x:v>1981-07-03</x:v>
      </x:c>
      <x:c r="O14" s="4" t="n">
        <x:v>45.27</x:v>
      </x:c>
      <x:c r="P14" s="4" t="str">
        <x:v>Yes</x:v>
      </x:c>
      <x:c r="Q14" s="4" t="str">
        <x:v>Yes</x:v>
      </x:c>
      <x:c r="R14" s="4" t="str">
        <x:v>No</x:v>
      </x:c>
      <x:c r="S14" s="4" t="str">
        <x:v>AETNA LIFE INSURANCE COMPANY; ALLSTATE INDEMNITY COMPANY; ALLSTATE INSURANCE COMPANY; ALLSTATE MOTOR CLUB, INC.; ALLSTATE NORTHBROOK INDEMNITY COMPANY; ALLSTATE PROPERTY AND CASUALTY INSURANCE COMPANY; AMERICAN GENERAL LIFE INSURANCE COMPANY; AMERICAN HERITAGE LIFE INSURANCE COMPANY; AMERITAS LIFE INSURANCE CORP.; BERKSHIRE LIFE INSURANCE COMPANY OF AMERICA; BLUE SHIELD OF CALIFORNIA LIFE &amp; HEALTH INSURANCE COMPANY; CAREAMERICA LIFE INSURANCE COMPANY; CONTINENTAL CASUALTY COMPANY; CRESTBROOK INSURANCE COMPANY; DEARBORN LIFE INSURANCE COMPANY; DRIVE INSURANCE COMPANY; EQUITABLE FINANCIAL LIFE INSURANCE COMPANY; EVERLAKE ASSURANCE COMPANY; EVERLAKE LIFE INSURANCE COMPANY; FOREMOST INSURANCE COMPANY GRAND RAPIDS, MICHIGAN; GENWORTH LIFE AND ANNUITY INSURANCE COMPANY; GUARDIAN LIFE INSURANCE COMPANY OF AMERICA (THE); HISCOX INSURANCE COMPANY INC.; INDEPENDENT ORDER OF FORESTERS (THE); INTEGON NATIONAL INSURANCE COMPANY; INTEGON PREFERRED INSURANCE COMPANY; JOHN HANCOCK LIFE INSURANCE COMPANY (U.S.A.); LINCOLN BENEFIT LIFE COMPANY; LINCOLN NATIONAL LIFE INSURANCE COMPANY (THE); METROPOLITAN LIFE INSURANCE COMPANY; NASSAU LIFE INSURANCE COMPANY; NATIONAL GENERAL ASSURANCE COMPANY; PALOMAR SPECIALTY INSURANCE COMPANY; PAN-AMERICAN LIFE INSURANCE COMPANY; PRINCIPAL LIFE INSURANCE COMPANY; PROGRESSIVE CASUALTY INSURANCE COMPANY; PROTECTIVE LIFE INSURANCE COMPANY; STANDARD INSURANCE COMPANY; UNIMERICA INSURANCE COMPANY; UNITED FINANCIAL CASUALTY COMPANY; UNITEDHEALTHCARE INSURANCE COMPANY</x:v>
      </x:c>
      <x:c r="T14" s="4" t="n">
        <x:v>82</x:v>
      </x:c>
      <x:c r="U14" s="4" t="n">
        <x:v>41</x:v>
      </x:c>
      <x:c r="V14" s="4" t="str">
        <x:v>AETNA LIFE INSURANCE COMPANY; AMERICAN GENERAL LIFE INSURANCE COMPANY; AMERICAN HERITAGE LIFE INSURANCE COMPANY; AMERITAS LIFE INSURANCE CORP.; BERKSHIRE LIFE INSURANCE COMPANY OF AMERICA; BLUE SHIELD OF CALIFORNIA LIFE &amp; HEALTH INSURANCE COMPANY; CAREAMERICA LIFE INSURANCE COMPANY; DEARBORN LIFE INSURANCE COMPANY; EQUITABLE FINANCIAL LIFE INSURANCE COMPANY; EVERLAKE ASSURANCE COMPANY; EVERLAKE LIFE INSURANCE COMPANY; GENWORTH LIFE AND ANNUITY INSURANCE COMPANY; GUARDIAN LIFE INSURANCE COMPANY OF AMERICA (THE); INDEPENDENT ORDER OF FORESTERS (THE); JOHN HANCOCK LIFE INSURANCE COMPANY (U.S.A.); LINCOLN BENEFIT LIFE COMPANY; LINCOLN NATIONAL LIFE INSURANCE COMPANY (THE); METROPOLITAN LIFE INSURANCE COMPANY; NASSAU LIFE INSURANCE COMPANY; PAN-AMERICAN LIFE INSURANCE COMPANY; PRINCIPAL LIFE INSURANCE COMPANY; PROTECTIVE LIFE INSURANCE COMPANY; STANDARD INSURANCE COMPANY; UNIMERICA INSURANCE COMPANY; UNITEDHEALTHCARE INSURANCE COMPANY</x:v>
      </x:c>
      <x:c r="W14" s="4" t="n">
        <x:v>25</x:v>
      </x:c>
      <x:c r="X14" s="4" t="str">
        <x:v>AETNA LIFE INSURANCE COMPANY; AMERICAN GENERAL LIFE INSURANCE COMPANY; AMERICAN HERITAGE LIFE INSURANCE COMPANY; AMERITAS LIFE INSURANCE CORP.; BERKSHIRE LIFE INSURANCE COMPANY OF AMERICA; BLUE SHIELD OF CALIFORNIA LIFE &amp; HEALTH INSURANCE COMPANY; CAREAMERICA LIFE INSURANCE COMPANY; CONTINENTAL CASUALTY COMPANY; CRESTBROOK INSURANCE COMPANY; DEARBORN LIFE INSURANCE COMPANY; DRIVE INSURANCE COMPANY; EQUITABLE FINANCIAL LIFE INSURANCE COMPANY; EVERLAKE LIFE INSURANCE COMPANY; GENWORTH LIFE AND ANNUITY INSURANCE COMPANY; GUARDIAN LIFE INSURANCE COMPANY OF AMERICA (THE); INDEPENDENT ORDER OF FORESTERS (THE); JOHN HANCOCK LIFE INSURANCE COMPANY (U.S.A.); LINCOLN BENEFIT LIFE COMPANY; LINCOLN NATIONAL LIFE INSURANCE COMPANY (THE); METROPOLITAN LIFE INSURANCE COMPANY; NASSAU LIFE INSURANCE COMPANY; PAN-AMERICAN LIFE INSURANCE COMPANY; PRINCIPAL LIFE INSURANCE COMPANY; PROGRESSIVE CASUALTY INSURANCE COMPANY; PROTECTIVE LIFE INSURANCE COMPANY; STANDARD INSURANCE COMPANY; UNIMERICA INSURANCE COMPANY; UNITEDHEALTHCARE INSURANCE COMPANY</x:v>
      </x:c>
      <x:c r="Y14" s="4" t="str">
        <x:v>ALLSTATE INDEMNITY COMPANY; ALLSTATE INSURANCE COMPANY; ALLSTATE NORTHBROOK INDEMNITY COMPANY; ALLSTATE PROPERTY AND CASUALTY INSURANCE COMPANY; CRESTBROOK INSURANCE COMPANY; DRIVE INSURANCE COMPANY; FOREMOST INSURANCE COMPANY GRAND RAPIDS, MICHIGAN; HISCOX INSURANCE COMPANY INC.; INTEGON NATIONAL INSURANCE COMPANY; INTEGON PREFERRED INSURANCE COMPANY; NATIONAL GENERAL ASSURANCE COMPANY; PALOMAR SPECIALTY INSURANCE COMPANY; PROGRESSIVE CASUALTY INSURANCE COMPANY; UNITED FINANCIAL CASUALTY COMPANY</x:v>
      </x:c>
      <x:c r="Z14" s="4" t="str">
        <x:v>AETNA LIFE INSURANCE COMPANY — Accident &amp; Health or Sickness — 1989-03-10 | AETNA LIFE INSURANCE COMPANY — Life — 1989-03-10 | ALLSTATE INDEMNITY COMPANY — Casualty — 1997-03-17 | ALLSTATE INDEMNITY COMPANY — Property — 1997-03-17 | ALLSTATE INSURANCE COMPANY — Casualty — 1997-03-17 | ALLSTATE INSURANCE COMPANY — Property — 1997-03-17 | ALLSTATE MOTOR CLUB, INC. — Motor Club — 2010-06-18 | ALLSTATE NORTHBROOK INDEMNITY COMPANY — Casualty — 2014-06-16 | ALLSTATE NORTHBROOK INDEMNITY COMPANY — Property — 2014-06-16 | ALLSTATE PROPERTY AND CASUALTY INSURANCE COMPANY — Casualty — 1999-05-10 | ALLSTATE PROPERTY AND CASUALTY INSURANCE COMPANY — Property — 1999-05-10 | AMERICAN GENERAL LIFE INSURANCE COMPANY — Accident &amp; Health or Sickness — 1993-12-13 | AMERICAN GENERAL LIFE INSURANCE COMPANY — Life — 1993-12-13 | AMERICAN HERITAGE LIFE INSURANCE COMPANY — Accident &amp; Health or Sickness — 2002-03-08 | AMERICAN HERITAGE LIFE INSURANCE COMPANY — Life — 2002-03-08 | AMERITAS LIFE INSURANCE CORP. — Accident &amp; Health or Sickness — 1990-03-22 | AMERITAS LIFE INSURANCE CORP. — Life — 1990-03-22 | BERKSHIRE LIFE INSURANCE COMPANY OF AMERICA — Accident &amp; Health or Sickness — 2001-06-01 | BERKSHIRE LIFE INSURANCE COMPANY OF AMERICA — Life — 2001-06-01 | BLUE SHIELD OF CALIFORNIA LIFE &amp; HEALTH INSURANCE COMPANY — Accident &amp; Health or Sickness — 1987-07-28 | BLUE SHIELD OF CALIFORNIA LIFE &amp; HEALTH INSURANCE COMPANY — Life — 1987-07-28 | CAREAMERICA LIFE INSURANCE COMPANY — Accident &amp; Health or Sickness — 1989-09-21 | CAREAMERICA LIFE INSURANCE COMPANY — Life — 1989-09-21 | CONTINENTAL CASUALTY COMPANY — Accident &amp; Health or Sickness — 1993-02-17 | CRESTBROOK INSURANCE COMPANY — Accident &amp; Health or Sickness — 1997-11-14 | CRESTBROOK INSURANCE COMPANY — Casualty — 1997-11-14 | CRESTBROOK INSURANCE COMPANY — Property — 1997-11-14 | DEARBORN LIFE INSURANCE COMPANY — Accident &amp; Health or Sickness — 1984-01-24 | DEARBORN LIFE INSURANCE COMPANY — Life — 1984-01-24 | DRIVE INSURANCE COMPANY — Accident &amp; Health or Sickness — 2006-07-07 | DRIVE INSURANCE COMPANY — Casualty — 2006-07-07 | DRIVE INSURANCE COMPANY — Property — 2006-07-07 | EQUITABLE FINANCIAL LIFE INSURANCE COMPANY — Accident &amp; Health or Sickness — 1981-07-03 | EQUITABLE FINANCIAL LIFE INSURANCE COMPANY — Life — 1981-07-03 | EVERLAKE ASSURANCE COMPANY — Life — 2015-01-29 | EVERLAKE LIFE INSURANCE COMPANY — Accident &amp; Health or Sickness — 1997-03-17 | EVERLAKE LIFE INSURANCE COMPANY — Life — 1997-03-17 | FOREMOST INSURANCE COMPANY GRAND RAPIDS, MICHIGAN — Casualty — 2025-05-20 | FOREMOST INSURANCE COMPANY GRAND RAPIDS, MICHIGAN — Property — 2025-05-20 | GENWORTH LIFE AND ANNUITY INSURANCE COMPANY — Accident &amp; Health or Sickness — 1995-12-14 | GENWORTH LIFE AND ANNUITY INSURANCE COMPANY — Life — 1995-12-14 | GUARDIAN LIFE INSURANCE COMPANY OF AMERICA (THE) — Accident &amp; Health or Sickness — 1985-01-25 | GUARDIAN LIFE INSURANCE COMPANY OF AMERICA (THE) — Life — 1985-01-25 | HISCOX INSURANCE COMPANY INC. — Casualty — 2025-07-23 | HISCOX INSURANCE COMPANY INC. — Property — 2025-07-23 | INDEPENDENT ORDER OF FORESTERS (THE) — Accident &amp; Health or Sickness — 2024-12-09 | INDEPENDENT ORDER OF FORESTERS (THE) — Life — 2024-12-09 | INTEGON NATIONAL INSURANCE COMPANY — Casualty — 2022-05-31 | INTEGON NATIONAL INSURANCE COMPANY — Property — 2022-05-31 | INTEGON PREFERRED INSURANCE COMPANY — Casualty — 2025-04-15 | INTEGON PREFERRED INSURANCE COMPANY — Property — 2025-04-15 | JOHN HANCOCK LIFE INSURANCE COMPANY (U.S.A.) — Accident &amp; Health or Sickness — 2010-01-01 | JOHN HANCOCK LIFE INSURANCE COMPANY (U.S.A.) — Life — 2026-01-24 | LINCOLN BENEFIT LIFE COMPANY — Accident &amp; Health or Sickness — 1992-11-20 | LINCOLN BENEFIT LIFE COMPANY — Life — 1992-11-20 | LINCOLN NATIONAL LIFE INSURANCE COMPANY (THE) — Accident &amp; Health or Sickness — 2024-11-07 | LINCOLN NATIONAL LIFE INSURANCE COMPANY (THE) — Life — 2024-11-07 | METROPOLITAN LIFE INSURANCE COMPANY — Accident &amp; Health or Sickness — 1995-11-08 | METROPOLITAN LIFE INSURANCE COMPANY — Life — 1995-11-08 | NASSAU LIFE INSURANCE COMPANY — Accident &amp; Health or Sickness — 1992-07-01 | NASSAU LIFE INSURANCE COMPANY — Life — 1992-07-01 | NATIONAL GENERAL ASSURANCE COMPANY — Casualty — 2022-05-31 | NATIONAL GENERAL ASSURANCE COMPANY — Property — 2022-05-31 | PALOMAR SPECIALTY INSURANCE COMPANY — Casualty — 2024-05-13 | PALOMAR SPECIALTY INSURANCE COMPANY — Property — 2024-05-13 | PAN-AMERICAN LIFE INSURANCE COMPANY — Accident &amp; Health or Sickness — 1988-06-28 | PAN-AMERICAN LIFE INSURANCE COMPANY — Life — 1988-06-28 | PRINCIPAL LIFE INSURANCE COMPANY — Accident &amp; Health or Sickness — 1989-04-17 | PRINCIPAL LIFE INSURANCE COMPANY — Life — 1989-04-17 | PROGRESSIVE CASUALTY INSURANCE COMPANY — Accident &amp; Health or Sickness — 2006-07-07 | PROGRESSIVE CASUALTY INSURANCE COMPANY — Casualty — 2006-07-07 | PROGRESSIVE CASUALTY INSURANCE COMPANY — Property — 2006-07-07 | PROTECTIVE LIFE INSURANCE COMPANY — Accident &amp; Health or Sickness — 2016-03-23 | PROTECTIVE LIFE INSURANCE COMPANY — Life — 2016-03-23 | STANDARD INSURANCE COMPANY — Accident &amp; Health or Sickness — 1995-02-27 | STANDARD INSURANCE COMPANY — Life — 1995-02-27 | UNIMERICA INSURANCE COMPANY — Accident &amp; Health or Sickness — 2007-01-30 | UNIMERICA INSURANCE COMPANY — Life — 2007-01-30 | UNITED FINANCIAL CASUALTY COMPANY — Casualty — 2006-07-07 | UNITED FINANCIAL CASUALTY COMPANY — Property — 2006-07-07 | UNITEDHEALTHCARE INSURANCE COMPANY — Accident &amp; Health or Sickness — 1984-04-24 | UNITEDHEALTHCARE INSURANCE COMPANY — Life — 1984-04-24</x:v>
      </x:c>
      <x:c r="AA14" s="4" t="str">
        <x:v>ABRAHAM D. FOROUZAN INSURANCE AND FINANCIAL SERVICES, INC.</x:v>
      </x:c>
      <x:c r="AB14" s="4" t="n">
        <x:v>1</x:v>
      </x:c>
      <x:c r="AC14" s="4" t="n">
        <x:v>4</x:v>
      </x:c>
      <x:c r="AD14" s="4" t="str">
        <x:v>ABRAHAM D. FOROUZAN INSURANCE AND FINANCIAL SERVICES, INC.</x:v>
      </x:c>
      <x:c r="AE14" s="4" t="str">
        <x:v>ABRAHAM D. FOROUZAN INSURANCE AND FINANCIAL SERVICES, INC. — Accident &amp; Health or Sickness — 1998-11-10 | ABRAHAM D. FOROUZAN INSURANCE AND FINANCIAL SERVICES, INC. — Life — 1998-11-10 | ABRAHAM D. FOROUZAN INSURANCE AND FINANCIAL SERVICES, INC. — Property — 1998-11-06 | ABRAHAM D. FOROUZAN INSURANCE AND FINANCIAL SERVICES, INC. — Casualty — 1998-11-06</x:v>
      </x:c>
      <x:c r="AF14" s="4" t="str">
        <x:v>2026-01-24</x:v>
      </x:c>
      <x:c r="AG14" s="4" t="str">
        <x:v>imo-final-approval-rules.md (2026-10-08)</x:v>
      </x:c>
    </x:row>
    <x:row r="15" ht="42" customHeight="1">
      <x:c r="A15" s="4" t="str">
        <x:v>ABRAHAM KERYAN</x:v>
      </x:c>
      <x:c r="B15" s="8" t="str">
        <x:v>Yes</x:v>
      </x:c>
      <x:c r="C15" s="4" t="str">
        <x:v>Active general Life; Life agency relationship: PRIMERICA FINANCIAL SERVICES INSURANCE MARKETING, INC.; no confirmed exclusion.</x:v>
      </x:c>
      <x:c r="D15" s="10" t="e">
        <x:f>HYPERLINK("https://cdicloud.insurance.ca.gov/cal/LicenseDetail?SearchType=IND&amp;SearchLicNbr=0D84696&amp;SearchIndvId=823148","https://cdicloud.insurance.ca.gov/cal/LicenseDetail?SearchType=IND&amp;SearchLicNbr=0D84696&amp;SearchIndvId=823148")</x:f>
        <x:v>HYPERLINK is not implemented. linkLocation=https://cdicloud.insurance.ca.gov/cal/LicenseDetail?SearchType=IND&amp;SearchLicNbr=0D84696&amp;SearchIndvId=823148, friendlyName=https://cdicloud.insurance.ca.gov/cal/LicenseDetail?SearchType=IND&amp;SearchLicNbr=0D84696&amp;SearchIndvId=823148</x:v>
      </x:c>
      <x:c r="E15" s="9" t="str">
        <x:v>0D84696</x:v>
      </x:c>
      <x:c r="F15" s="4" t="str">
        <x:v>533 N VICTORY BLVD BURBANK CA, 91502</x:v>
      </x:c>
      <x:c r="G15" s="4" t="str"/>
      <x:c r="H15" s="4" t="str">
        <x:v>https://www.google.com/maps/place/533%20N%20VICTORY%20BLVD,%20BURBANK,%20CA,%2091502</x:v>
      </x:c>
      <x:c r="I15" s="4" t="str">
        <x:v>91204</x:v>
      </x:c>
      <x:c r="J15" s="4" t="str">
        <x:v>2026-10-08</x:v>
      </x:c>
      <x:c r="K15" s="4" t="str">
        <x:v>English; Russian; Armenian</x:v>
      </x:c>
      <x:c r="L15" s="4" t="str">
        <x:v>Accident &amp; Health or Sickness; Life</x:v>
      </x:c>
      <x:c r="M15" s="4" t="str">
        <x:v>Accident &amp; Health or Sickness — issued 2002-12-20 | Life — issued 2002-12-20</x:v>
      </x:c>
      <x:c r="N15" s="4" t="str">
        <x:v>2002-12-20</x:v>
      </x:c>
      <x:c r="O15" s="4" t="n">
        <x:v>23.8</x:v>
      </x:c>
      <x:c r="P15" s="4" t="str">
        <x:v>Yes</x:v>
      </x:c>
      <x:c r="Q15" s="4" t="str">
        <x:v>No</x:v>
      </x:c>
      <x:c r="R15" s="4" t="str">
        <x:v>No</x:v>
      </x:c>
      <x:c r="S15" s="4" t="str">
        <x:v>AMERICAN FAMILY LIFE ASSURANCE COMPANY OF COLUMBUS; AMERICAN GENERAL LIFE INSURANCE COMPANY; ANTHEM BLUE CROSS LIFE AND HEALTH INSURANCE COMPANY; NATIONWIDE LIFE AND ANNUITY INSURANCE COMPANY; PRINCIPAL LIFE INSURANCE COMPANY</x:v>
      </x:c>
      <x:c r="T15" s="4" t="n">
        <x:v>10</x:v>
      </x:c>
      <x:c r="U15" s="4" t="n">
        <x:v>5</x:v>
      </x:c>
      <x:c r="V15" s="4" t="str">
        <x:v>AMERICAN FAMILY LIFE ASSURANCE COMPANY OF COLUMBUS; AMERICAN GENERAL LIFE INSURANCE COMPANY; ANTHEM BLUE CROSS LIFE AND HEALTH INSURANCE COMPANY; NATIONWIDE LIFE AND ANNUITY INSURANCE COMPANY; PRINCIPAL LIFE INSURANCE COMPANY</x:v>
      </x:c>
      <x:c r="W15" s="4" t="n">
        <x:v>5</x:v>
      </x:c>
      <x:c r="X15" s="4" t="str">
        <x:v>AMERICAN FAMILY LIFE ASSURANCE COMPANY OF COLUMBUS; AMERICAN GENERAL LIFE INSURANCE COMPANY; ANTHEM BLUE CROSS LIFE AND HEALTH INSURANCE COMPANY; NATIONWIDE LIFE AND ANNUITY INSURANCE COMPANY; PRINCIPAL LIFE INSURANCE COMPANY</x:v>
      </x:c>
      <x:c r="Y15" s="4" t="str"/>
      <x:c r="Z15" s="4" t="str">
        <x:v>AMERICAN FAMILY LIFE ASSURANCE COMPANY OF COLUMBUS — Accident &amp; Health or Sickness — 2021-02-22 | AMERICAN FAMILY LIFE ASSURANCE COMPANY OF COLUMBUS — Life — 2021-02-22 | AMERICAN GENERAL LIFE INSURANCE COMPANY — Accident &amp; Health or Sickness — 2011-06-17 | AMERICAN GENERAL LIFE INSURANCE COMPANY — Life — 2011-06-17 | ANTHEM BLUE CROSS LIFE AND HEALTH INSURANCE COMPANY — Accident &amp; Health or Sickness — 2011-06-09 | ANTHEM BLUE CROSS LIFE AND HEALTH INSURANCE COMPANY — Life — 2011-06-09 | NATIONWIDE LIFE AND ANNUITY INSURANCE COMPANY — Accident &amp; Health or Sickness — 2021-10-04 | NATIONWIDE LIFE AND ANNUITY INSURANCE COMPANY — Life — 2021-10-04 | PRINCIPAL LIFE INSURANCE COMPANY — Accident &amp; Health or Sickness — 2011-11-23 | PRINCIPAL LIFE INSURANCE COMPANY — Life — 2011-11-23</x:v>
      </x:c>
      <x:c r="AA15" s="4" t="str">
        <x:v>PRIMERICA FINANCIAL SERVICES INSURANCE MARKETING, INC.</x:v>
      </x:c>
      <x:c r="AB15" s="4" t="n">
        <x:v>1</x:v>
      </x:c>
      <x:c r="AC15" s="4" t="n">
        <x:v>2</x:v>
      </x:c>
      <x:c r="AD15" s="4" t="str">
        <x:v>PRIMERICA FINANCIAL SERVICES INSURANCE MARKETING, INC.</x:v>
      </x:c>
      <x:c r="AE15" s="4" t="str">
        <x:v>PRIMERICA FINANCIAL SERVICES INSURANCE MARKETING, INC. — Accident &amp; Health or Sickness — 2015-08-10 | PRIMERICA FINANCIAL SERVICES INSURANCE MARKETING, INC. — Life — 2015-08-10</x:v>
      </x:c>
      <x:c r="AF15" s="4" t="str">
        <x:v>2021-10-04</x:v>
      </x:c>
      <x:c r="AG15" s="4" t="str">
        <x:v>imo-final-approval-rules.md (2026-10-08)</x:v>
      </x:c>
    </x:row>
    <x:row r="16" ht="42" customHeight="1">
      <x:c r="A16" s="4" t="str">
        <x:v>ABRAHAM MENDOZA</x:v>
      </x:c>
      <x:c r="B16" s="8" t="str">
        <x:v>No</x:v>
      </x:c>
      <x:c r="C16" s="4" t="str">
        <x:v>No active general Life qualification displayed; active authority is limited funeral/burial Life only.</x:v>
      </x:c>
      <x:c r="D16" s="10" t="e">
        <x:f>HYPERLINK("https://cdicloud.insurance.ca.gov/cal/LicenseDetail?SearchType=IND&amp;SearchLicNbr=0E54766&amp;SearchIndvId=912887","https://cdicloud.insurance.ca.gov/cal/LicenseDetail?SearchType=IND&amp;SearchLicNbr=0E54766&amp;SearchIndvId=912887")</x:f>
        <x:v>HYPERLINK is not implemented. linkLocation=https://cdicloud.insurance.ca.gov/cal/LicenseDetail?SearchType=IND&amp;SearchLicNbr=0E54766&amp;SearchIndvId=912887, friendlyName=https://cdicloud.insurance.ca.gov/cal/LicenseDetail?SearchType=IND&amp;SearchLicNbr=0E54766&amp;SearchIndvId=912887</x:v>
      </x:c>
      <x:c r="E16" s="9" t="str">
        <x:v>0E54766</x:v>
      </x:c>
      <x:c r="F16" s="4" t="str">
        <x:v>3888 WORKMAN MILL RD. WHITTIER CA, 90601</x:v>
      </x:c>
      <x:c r="G16" s="4" t="str">
        <x:v>562-692-1212 Ext. 7174</x:v>
      </x:c>
      <x:c r="H16" s="4" t="str">
        <x:v>https://www.google.com/maps/place/3888%20WORKMAN%20MILL%20RD.,%20WHITTIER,%20CA,%2090601</x:v>
      </x:c>
      <x:c r="I16" s="4" t="str">
        <x:v>90042</x:v>
      </x:c>
      <x:c r="J16" s="4" t="str">
        <x:v>2026-10-08</x:v>
      </x:c>
      <x:c r="K16" s="4" t="str">
        <x:v>English</x:v>
      </x:c>
      <x:c r="L16" s="4" t="str">
        <x:v>Life Limited-Funeral &amp; Burial</x:v>
      </x:c>
      <x:c r="M16" s="4" t="str">
        <x:v>Life Limited-Funeral &amp; Burial — issued 2004-08-27</x:v>
      </x:c>
      <x:c r="N16" s="4" t="str"/>
      <x:c r="O16" s="4" t="str"/>
      <x:c r="P16" s="4" t="str">
        <x:v>No</x:v>
      </x:c>
      <x:c r="Q16" s="4" t="str">
        <x:v>No</x:v>
      </x:c>
      <x:c r="R16" s="4" t="str">
        <x:v>No</x:v>
      </x:c>
      <x:c r="S16" s="4" t="str">
        <x:v>FORETHOUGHT LIFE INSURANCE COMPANY</x:v>
      </x:c>
      <x:c r="T16" s="4" t="n">
        <x:v>1</x:v>
      </x:c>
      <x:c r="U16" s="4" t="n">
        <x:v>1</x:v>
      </x:c>
      <x:c r="V16" s="4" t="str"/>
      <x:c r="W16" s="4" t="n">
        <x:v>0</x:v>
      </x:c>
      <x:c r="X16" s="4" t="str"/>
      <x:c r="Y16" s="4" t="str"/>
      <x:c r="Z16" s="4" t="str">
        <x:v>FORETHOUGHT LIFE INSURANCE COMPANY — Life Only (Limited) — 2006-01-03</x:v>
      </x:c>
      <x:c r="AA16" s="4" t="str">
        <x:v>ROSE HILLS COMPANY</x:v>
      </x:c>
      <x:c r="AB16" s="4" t="n">
        <x:v>1</x:v>
      </x:c>
      <x:c r="AC16" s="4" t="n">
        <x:v>1</x:v>
      </x:c>
      <x:c r="AD16" s="4" t="str"/>
      <x:c r="AE16" s="4" t="str">
        <x:v>ROSE HILLS COMPANY — Life Limited-Funeral &amp; Burial — 2021-05-06</x:v>
      </x:c>
      <x:c r="AF16" s="4" t="str">
        <x:v>2021-05-06</x:v>
      </x:c>
      <x:c r="AG16" s="4" t="str">
        <x:v>imo-final-approval-rules.md (2026-10-08)</x:v>
      </x:c>
    </x:row>
    <x:row r="17" ht="42" customHeight="1">
      <x:c r="A17" s="4" t="str">
        <x:v>ABRAHAM MENDOZA</x:v>
      </x:c>
      <x:c r="B17" s="8" t="str">
        <x:v>Yes</x:v>
      </x:c>
      <x:c r="C17" s="4" t="str">
        <x:v>Active general Life; no displayed agency or insurer relationships; lower priority; no confirmed exclusion.</x:v>
      </x:c>
      <x:c r="D17" s="10" t="e">
        <x:f>HYPERLINK("https://cdicloud.insurance.ca.gov/cal/LicenseDetail?SearchType=IND&amp;SearchLicNbr=0F88104&amp;SearchIndvId=1110009","https://cdicloud.insurance.ca.gov/cal/LicenseDetail?SearchType=IND&amp;SearchLicNbr=0F88104&amp;SearchIndvId=1110009")</x:f>
        <x:v>HYPERLINK is not implemented. linkLocation=https://cdicloud.insurance.ca.gov/cal/LicenseDetail?SearchType=IND&amp;SearchLicNbr=0F88104&amp;SearchIndvId=1110009, friendlyName=https://cdicloud.insurance.ca.gov/cal/LicenseDetail?SearchType=IND&amp;SearchLicNbr=0F88104&amp;SearchIndvId=1110009</x:v>
      </x:c>
      <x:c r="E17" s="9" t="str">
        <x:v>0F88104</x:v>
      </x:c>
      <x:c r="F17" s="4" t="str">
        <x:v>17130 DEVONSHIRE ST SUITE 102 NORTHRIDGE CA, 91325</x:v>
      </x:c>
      <x:c r="G17" s="4" t="str"/>
      <x:c r="H17" s="4" t="str">
        <x:v>https://www.google.com/maps/place/17130%20DEVONSHIRE%20ST,%20NORTHRIDGE,%20CA,%2091325</x:v>
      </x:c>
      <x:c r="I17" s="4" t="str">
        <x:v>91325</x:v>
      </x:c>
      <x:c r="J17" s="4" t="str">
        <x:v>2026-10-08</x:v>
      </x:c>
      <x:c r="K17" s="4" t="str">
        <x:v>English; Spanish</x:v>
      </x:c>
      <x:c r="L17" s="4" t="str">
        <x:v>Accident &amp; Health or Sickness; Life</x:v>
      </x:c>
      <x:c r="M17" s="4" t="str">
        <x:v>Accident &amp; Health or Sickness — issued 2007-11-05 | Life — issued 2007-11-05</x:v>
      </x:c>
      <x:c r="N17" s="4" t="str">
        <x:v>2007-11-05</x:v>
      </x:c>
      <x:c r="O17" s="4" t="n">
        <x:v>18.92</x:v>
      </x:c>
      <x:c r="P17" s="4" t="str">
        <x:v>Yes</x:v>
      </x:c>
      <x:c r="Q17" s="4" t="str">
        <x:v>No</x:v>
      </x:c>
      <x:c r="R17" s="4" t="str">
        <x:v>No</x:v>
      </x:c>
      <x:c r="S17" s="4" t="str"/>
      <x:c r="T17" s="4" t="n">
        <x:v>0</x:v>
      </x:c>
      <x:c r="U17" s="4" t="n">
        <x:v>0</x:v>
      </x:c>
      <x:c r="V17" s="4" t="str"/>
      <x:c r="W17" s="4" t="n">
        <x:v>0</x:v>
      </x:c>
      <x:c r="X17" s="4" t="str"/>
      <x:c r="Y17" s="4" t="str"/>
      <x:c r="Z17" s="4" t="str"/>
      <x:c r="AA17" s="4" t="str"/>
      <x:c r="AB17" s="4" t="n">
        <x:v>0</x:v>
      </x:c>
      <x:c r="AC17" s="4" t="n">
        <x:v>0</x:v>
      </x:c>
      <x:c r="AD17" s="4" t="str"/>
      <x:c r="AE17" s="4" t="str"/>
      <x:c r="AF17" s="4" t="str"/>
      <x:c r="AG17" s="4" t="str">
        <x:v>imo-final-approval-rules.md (2026-10-08)</x:v>
      </x:c>
    </x:row>
    <x:row r="18" ht="42" customHeight="1">
      <x:c r="A18" s="4" t="str">
        <x:v>ABRAHAM MENDOZA</x:v>
      </x:c>
      <x:c r="B18" s="8" t="str">
        <x:v>No</x:v>
      </x:c>
      <x:c r="C18" s="4" t="str">
        <x:v>No active general Life qualification displayed; active authority is limited funeral/burial Life only.</x:v>
      </x:c>
      <x:c r="D18" s="10" t="e">
        <x:f>HYPERLINK("https://cdicloud.insurance.ca.gov/cal/LicenseDetail?SearchType=IND&amp;SearchLicNbr=4107497&amp;SearchIndvId=4107497","https://cdicloud.insurance.ca.gov/cal/LicenseDetail?SearchType=IND&amp;SearchLicNbr=4107497&amp;SearchIndvId=4107497")</x:f>
        <x:v>HYPERLINK is not implemented. linkLocation=https://cdicloud.insurance.ca.gov/cal/LicenseDetail?SearchType=IND&amp;SearchLicNbr=4107497&amp;SearchIndvId=4107497, friendlyName=https://cdicloud.insurance.ca.gov/cal/LicenseDetail?SearchType=IND&amp;SearchLicNbr=4107497&amp;SearchIndvId=4107497</x:v>
      </x:c>
      <x:c r="E18" s="9" t="str">
        <x:v>4107497</x:v>
      </x:c>
      <x:c r="F18" s="4" t="str">
        <x:v>3725 COLLIS AVE LOS ANGELES CA, 90032</x:v>
      </x:c>
      <x:c r="G18" s="4" t="str">
        <x:v>323-494-3055</x:v>
      </x:c>
      <x:c r="H18" s="4" t="str">
        <x:v>https://www.google.com/maps/place/3725%20COLLIS%20AVE,%20LOS%20ANGELES,%20CA,%2090032</x:v>
      </x:c>
      <x:c r="I18" s="4" t="str">
        <x:v>90042</x:v>
      </x:c>
      <x:c r="J18" s="4" t="str">
        <x:v>2026-10-08</x:v>
      </x:c>
      <x:c r="K18" s="4" t="str">
        <x:v>English</x:v>
      </x:c>
      <x:c r="L18" s="4" t="str">
        <x:v>Life Limited-Funeral &amp; Burial</x:v>
      </x:c>
      <x:c r="M18" s="4" t="str">
        <x:v>Life Limited-Funeral &amp; Burial — issued 2026-09-21</x:v>
      </x:c>
      <x:c r="N18" s="4" t="str"/>
      <x:c r="O18" s="4" t="str"/>
      <x:c r="P18" s="4" t="str">
        <x:v>No</x:v>
      </x:c>
      <x:c r="Q18" s="4" t="str">
        <x:v>No</x:v>
      </x:c>
      <x:c r="R18" s="4" t="str">
        <x:v>No</x:v>
      </x:c>
      <x:c r="S18" s="4" t="str"/>
      <x:c r="T18" s="4" t="n">
        <x:v>0</x:v>
      </x:c>
      <x:c r="U18" s="4" t="n">
        <x:v>0</x:v>
      </x:c>
      <x:c r="V18" s="4" t="str"/>
      <x:c r="W18" s="4" t="n">
        <x:v>0</x:v>
      </x:c>
      <x:c r="X18" s="4" t="str"/>
      <x:c r="Y18" s="4" t="str"/>
      <x:c r="Z18" s="4" t="str"/>
      <x:c r="AA18" s="4" t="str"/>
      <x:c r="AB18" s="4" t="n">
        <x:v>0</x:v>
      </x:c>
      <x:c r="AC18" s="4" t="n">
        <x:v>0</x:v>
      </x:c>
      <x:c r="AD18" s="4" t="str"/>
      <x:c r="AE18" s="4" t="str"/>
      <x:c r="AF18" s="4" t="str"/>
      <x:c r="AG18" s="4" t="str">
        <x:v>imo-final-approval-rules.md (2026-10-08)</x:v>
      </x:c>
    </x:row>
    <x:row r="19" ht="42" customHeight="1">
      <x:c r="A19" s="4" t="str">
        <x:v>ABRIL MORALES</x:v>
      </x:c>
      <x:c r="B19" s="8" t="str">
        <x:v>Yes</x:v>
      </x:c>
      <x:c r="C19" s="4" t="str">
        <x:v>Active general Life; only non-Life or lower-priority relationships displayed; no confirmed exclusion.</x:v>
      </x:c>
      <x:c r="D19" s="10" t="e">
        <x:f>HYPERLINK("https://cdicloud.insurance.ca.gov/cal/LicenseDetail?SearchType=IND&amp;SearchLicNbr=0K30500&amp;SearchIndvId=1762896","https://cdicloud.insurance.ca.gov/cal/LicenseDetail?SearchType=IND&amp;SearchLicNbr=0K30500&amp;SearchIndvId=1762896")</x:f>
        <x:v>HYPERLINK is not implemented. linkLocation=https://cdicloud.insurance.ca.gov/cal/LicenseDetail?SearchType=IND&amp;SearchLicNbr=0K30500&amp;SearchIndvId=1762896, friendlyName=https://cdicloud.insurance.ca.gov/cal/LicenseDetail?SearchType=IND&amp;SearchLicNbr=0K30500&amp;SearchIndvId=1762896</x:v>
      </x:c>
      <x:c r="E19" s="9" t="str">
        <x:v>0K30500</x:v>
      </x:c>
      <x:c r="F19" s="4" t="str">
        <x:v>3100 THORNTON AVENUE BURBANK CA, 91504</x:v>
      </x:c>
      <x:c r="G19" s="4" t="str"/>
      <x:c r="H19" s="4" t="str">
        <x:v>https://www.google.com/maps/place/3100%20THORNTON%20AVENUE,%20BURBANK,%20CA,%2091504</x:v>
      </x:c>
      <x:c r="I19" s="4" t="str">
        <x:v>91352 91504</x:v>
      </x:c>
      <x:c r="J19" s="4" t="str">
        <x:v>2026-10-08</x:v>
      </x:c>
      <x:c r="K19" s="4" t="str">
        <x:v>English</x:v>
      </x:c>
      <x:c r="L19" s="4" t="str">
        <x:v>Accident &amp; Health or Sickness; Life</x:v>
      </x:c>
      <x:c r="M19" s="4" t="str">
        <x:v>Accident &amp; Health or Sickness — issued 2015-06-15 | Life — issued 2015-06-15</x:v>
      </x:c>
      <x:c r="N19" s="4" t="str">
        <x:v>2015-06-15</x:v>
      </x:c>
      <x:c r="O19" s="4" t="n">
        <x:v>11.32</x:v>
      </x:c>
      <x:c r="P19" s="4" t="str">
        <x:v>Yes</x:v>
      </x:c>
      <x:c r="Q19" s="4" t="str">
        <x:v>No</x:v>
      </x:c>
      <x:c r="R19" s="4" t="str">
        <x:v>No</x:v>
      </x:c>
      <x:c r="S19" s="4" t="str">
        <x:v>KAISER PERMANENTE INSURANCE COMPANY</x:v>
      </x:c>
      <x:c r="T19" s="4" t="n">
        <x:v>1</x:v>
      </x:c>
      <x:c r="U19" s="4" t="n">
        <x:v>1</x:v>
      </x:c>
      <x:c r="V19" s="4" t="str"/>
      <x:c r="W19" s="4" t="n">
        <x:v>0</x:v>
      </x:c>
      <x:c r="X19" s="4" t="str">
        <x:v>KAISER PERMANENTE INSURANCE COMPANY</x:v>
      </x:c>
      <x:c r="Y19" s="4" t="str"/>
      <x:c r="Z19" s="4" t="str">
        <x:v>KAISER PERMANENTE INSURANCE COMPANY — Accident &amp; Health or Sickness — 2016-10-31</x:v>
      </x:c>
      <x:c r="AA19" s="4" t="str"/>
      <x:c r="AB19" s="4" t="n">
        <x:v>0</x:v>
      </x:c>
      <x:c r="AC19" s="4" t="n">
        <x:v>0</x:v>
      </x:c>
      <x:c r="AD19" s="4" t="str"/>
      <x:c r="AE19" s="4" t="str"/>
      <x:c r="AF19" s="4" t="str">
        <x:v>2016-10-31</x:v>
      </x:c>
      <x:c r="AG19" s="4" t="str">
        <x:v>imo-final-approval-rules.md (2026-10-08)</x:v>
      </x:c>
    </x:row>
    <x:row r="20" ht="42" customHeight="1">
      <x:c r="A20" s="4" t="str">
        <x:v>Ada Capilla-Slocum</x:v>
      </x:c>
      <x:c r="B20" s="8" t="str">
        <x:v>Yes</x:v>
      </x:c>
      <x:c r="C20" s="4" t="str">
        <x:v>Active general Life; no displayed agency or insurer relationships; lower priority; no confirmed exclusion.</x:v>
      </x:c>
      <x:c r="D20" s="10" t="e">
        <x:f>HYPERLINK("https://cdicloud.insurance.ca.gov/cal/LicenseDetail?SearchType=IND&amp;SearchLicNbr=4178943&amp;SearchIndvId=4178943","https://cdicloud.insurance.ca.gov/cal/LicenseDetail?SearchType=IND&amp;SearchLicNbr=4178943&amp;SearchIndvId=4178943")</x:f>
        <x:v>HYPERLINK is not implemented. linkLocation=https://cdicloud.insurance.ca.gov/cal/LicenseDetail?SearchType=IND&amp;SearchLicNbr=4178943&amp;SearchIndvId=4178943, friendlyName=https://cdicloud.insurance.ca.gov/cal/LicenseDetail?SearchType=IND&amp;SearchLicNbr=4178943&amp;SearchIndvId=4178943</x:v>
      </x:c>
      <x:c r="E20" s="9" t="str">
        <x:v>4178943</x:v>
      </x:c>
      <x:c r="F20" s="4" t="str">
        <x:v>695 SANTA BARBARA ST PASADENA CA, 91101</x:v>
      </x:c>
      <x:c r="G20" s="4" t="str"/>
      <x:c r="H20" s="4" t="str">
        <x:v>https://www.google.com/maps/place/695%20SANTA%20BARBARA%20ST,%20PASADENA,%20CA,%2091101</x:v>
      </x:c>
      <x:c r="I20" s="4" t="str">
        <x:v>91103</x:v>
      </x:c>
      <x:c r="J20" s="4" t="str">
        <x:v>2026-10-08</x:v>
      </x:c>
      <x:c r="K20" s="4" t="str">
        <x:v>English</x:v>
      </x:c>
      <x:c r="L20" s="4" t="str">
        <x:v>Life</x:v>
      </x:c>
      <x:c r="M20" s="4" t="str">
        <x:v>Life — issued 2022-10-13</x:v>
      </x:c>
      <x:c r="N20" s="4" t="str">
        <x:v>2022-10-13</x:v>
      </x:c>
      <x:c r="O20" s="4" t="n">
        <x:v>3.99</x:v>
      </x:c>
      <x:c r="P20" s="4" t="str">
        <x:v>No</x:v>
      </x:c>
      <x:c r="Q20" s="4" t="str">
        <x:v>No</x:v>
      </x:c>
      <x:c r="R20" s="4" t="str">
        <x:v>No</x:v>
      </x:c>
      <x:c r="S20" s="4" t="str"/>
      <x:c r="T20" s="4" t="n">
        <x:v>0</x:v>
      </x:c>
      <x:c r="U20" s="4" t="n">
        <x:v>0</x:v>
      </x:c>
      <x:c r="V20" s="4" t="str"/>
      <x:c r="W20" s="4" t="n">
        <x:v>0</x:v>
      </x:c>
      <x:c r="X20" s="4" t="str"/>
      <x:c r="Y20" s="4" t="str"/>
      <x:c r="Z20" s="4" t="str"/>
      <x:c r="AA20" s="4" t="str"/>
      <x:c r="AB20" s="4" t="n">
        <x:v>0</x:v>
      </x:c>
      <x:c r="AC20" s="4" t="n">
        <x:v>0</x:v>
      </x:c>
      <x:c r="AD20" s="4" t="str"/>
      <x:c r="AE20" s="4" t="str"/>
      <x:c r="AF20" s="4" t="str"/>
      <x:c r="AG20" s="4" t="str">
        <x:v>imo-final-approval-rules.md (2026-10-08)</x:v>
      </x:c>
    </x:row>
    <x:row r="21" ht="42" customHeight="1">
      <x:c r="A21" s="4" t="str">
        <x:v>ADA LOUIE</x:v>
      </x:c>
      <x:c r="B21" s="8" t="str">
        <x:v>Yes</x:v>
      </x:c>
      <x:c r="C21" s="4" t="str">
        <x:v>Active general Life; Life appointments: ANTHEM BLUE CROSS LIFE AND HEALTH INSURANCE COMPANY; GENWORTH LIFE INSURANCE COMPANY; HEALTH NET LIFE INSURANCE COMPANY; additional insurers listed; no confirmed exclusion.</x:v>
      </x:c>
      <x:c r="D21" s="10" t="e">
        <x:f>HYPERLINK("https://cdicloud.insurance.ca.gov/cal/LicenseDetail?SearchType=IND&amp;SearchLicNbr=0B61421&amp;SearchIndvId=240115","https://cdicloud.insurance.ca.gov/cal/LicenseDetail?SearchType=IND&amp;SearchLicNbr=0B61421&amp;SearchIndvId=240115")</x:f>
        <x:v>HYPERLINK is not implemented. linkLocation=https://cdicloud.insurance.ca.gov/cal/LicenseDetail?SearchType=IND&amp;SearchLicNbr=0B61421&amp;SearchIndvId=240115, friendlyName=https://cdicloud.insurance.ca.gov/cal/LicenseDetail?SearchType=IND&amp;SearchLicNbr=0B61421&amp;SearchIndvId=240115</x:v>
      </x:c>
      <x:c r="E21" s="9" t="str">
        <x:v>0B61421</x:v>
      </x:c>
      <x:c r="F21" s="4" t="str">
        <x:v>768 SIMMONS AVE MONTEBELLO CA, 90640</x:v>
      </x:c>
      <x:c r="G21" s="4" t="str">
        <x:v>626-205-8242</x:v>
      </x:c>
      <x:c r="H21" s="4" t="str">
        <x:v>https://www.google.com/maps/place/768%20SIMMONS%20AVE,%20MONTEBELLO,%20CA,%2090640</x:v>
      </x:c>
      <x:c r="I21" s="4" t="str">
        <x:v>91756</x:v>
      </x:c>
      <x:c r="J21" s="4" t="str">
        <x:v>2026-10-08</x:v>
      </x:c>
      <x:c r="K21" s="4" t="str">
        <x:v>English; Cantonese</x:v>
      </x:c>
      <x:c r="L21" s="4" t="str">
        <x:v>Accident &amp; Health or Sickness; Life; Var Life and Var Annuity</x:v>
      </x:c>
      <x:c r="M21" s="4" t="str">
        <x:v>Accident &amp; Health or Sickness — issued 1995-11-27 | Life — issued 1995-11-27 | Var Life and Var Annuity — issued 1996-10-01</x:v>
      </x:c>
      <x:c r="N21" s="4" t="str">
        <x:v>1995-11-27</x:v>
      </x:c>
      <x:c r="O21" s="4" t="n">
        <x:v>30.86</x:v>
      </x:c>
      <x:c r="P21" s="4" t="str">
        <x:v>Yes</x:v>
      </x:c>
      <x:c r="Q21" s="4" t="str">
        <x:v>No</x:v>
      </x:c>
      <x:c r="R21" s="4" t="str">
        <x:v>Yes</x:v>
      </x:c>
      <x:c r="S21" s="4" t="str">
        <x:v>ANTHEM BLUE CROSS LIFE AND HEALTH INSURANCE COMPANY; GENWORTH LIFE INSURANCE COMPANY; HEALTH NET LIFE INSURANCE COMPANY; KAISER PERMANENTE INSURANCE COMPANY; TRANSAMERICA LIFE INSURANCE COMPANY</x:v>
      </x:c>
      <x:c r="T21" s="4" t="n">
        <x:v>9</x:v>
      </x:c>
      <x:c r="U21" s="4" t="n">
        <x:v>5</x:v>
      </x:c>
      <x:c r="V21" s="4" t="str">
        <x:v>ANTHEM BLUE CROSS LIFE AND HEALTH INSURANCE COMPANY; GENWORTH LIFE INSURANCE COMPANY; HEALTH NET LIFE INSURANCE COMPANY; TRANSAMERICA LIFE INSURANCE COMPANY</x:v>
      </x:c>
      <x:c r="W21" s="4" t="n">
        <x:v>4</x:v>
      </x:c>
      <x:c r="X21" s="4" t="str">
        <x:v>ANTHEM BLUE CROSS LIFE AND HEALTH INSURANCE COMPANY; GENWORTH LIFE INSURANCE COMPANY; HEALTH NET LIFE INSURANCE COMPANY; KAISER PERMANENTE INSURANCE COMPANY; TRANSAMERICA LIFE INSURANCE COMPANY</x:v>
      </x:c>
      <x:c r="Y21" s="4" t="str"/>
      <x:c r="Z21" s="4" t="str">
        <x:v>ANTHEM BLUE CROSS LIFE AND HEALTH INSURANCE COMPANY — Accident &amp; Health or Sickness — 2012-02-23 | ANTHEM BLUE CROSS LIFE AND HEALTH INSURANCE COMPANY — Life — 2012-02-23 | GENWORTH LIFE INSURANCE COMPANY — Accident &amp; Health or Sickness — 2015-03-10 | GENWORTH LIFE INSURANCE COMPANY — Life — 2015-03-10 | HEALTH NET LIFE INSURANCE COMPANY — Accident &amp; Health or Sickness — 2014-01-01 | HEALTH NET LIFE INSURANCE COMPANY — Life — 2014-01-01 | KAISER PERMANENTE INSURANCE COMPANY — Accident &amp; Health or Sickness — 2022-03-24 | TRANSAMERICA LIFE INSURANCE COMPANY — Accident &amp; Health or Sickness — 2025-04-30 | TRANSAMERICA LIFE INSURANCE COMPANY — Life — 2025-04-30</x:v>
      </x:c>
      <x:c r="AA21" s="4" t="str"/>
      <x:c r="AB21" s="4" t="n">
        <x:v>0</x:v>
      </x:c>
      <x:c r="AC21" s="4" t="n">
        <x:v>0</x:v>
      </x:c>
      <x:c r="AD21" s="4" t="str"/>
      <x:c r="AE21" s="4" t="str"/>
      <x:c r="AF21" s="4" t="str">
        <x:v>2025-04-30</x:v>
      </x:c>
      <x:c r="AG21" s="4" t="str">
        <x:v>imo-final-approval-rules.md (2026-10-08)</x:v>
      </x:c>
    </x:row>
    <x:row r="22" ht="42" customHeight="1">
      <x:c r="A22" s="4" t="str">
        <x:v>ADA TORRES</x:v>
      </x:c>
      <x:c r="B22" s="8" t="str">
        <x:v>Yes</x:v>
      </x:c>
      <x:c r="C22" s="4" t="str">
        <x:v>Active general Life; Life appointments: INDEPENDENT ORDER OF FORESTERS (THE); no confirmed exclusion.</x:v>
      </x:c>
      <x:c r="D22" s="10" t="e">
        <x:f>HYPERLINK("https://cdicloud.insurance.ca.gov/cal/LicenseDetail?SearchType=IND&amp;SearchLicNbr=4381504&amp;SearchIndvId=4381504","https://cdicloud.insurance.ca.gov/cal/LicenseDetail?SearchType=IND&amp;SearchLicNbr=4381504&amp;SearchIndvId=4381504")</x:f>
        <x:v>HYPERLINK is not implemented. linkLocation=https://cdicloud.insurance.ca.gov/cal/LicenseDetail?SearchType=IND&amp;SearchLicNbr=4381504&amp;SearchIndvId=4381504, friendlyName=https://cdicloud.insurance.ca.gov/cal/LicenseDetail?SearchType=IND&amp;SearchLicNbr=4381504&amp;SearchIndvId=4381504</x:v>
      </x:c>
      <x:c r="E22" s="9" t="str">
        <x:v>4381504</x:v>
      </x:c>
      <x:c r="F22" s="4" t="str">
        <x:v>9062 WOODMAN AVE 9062 WOODMAN AVE ARLETA CA, 91331</x:v>
      </x:c>
      <x:c r="G22" s="4" t="str">
        <x:v>818-714-3099</x:v>
      </x:c>
      <x:c r="H22" s="4" t="str">
        <x:v>https://www.google.com/maps/place/9062%20WOODMAN%20AVE,%20ARLETA,%20CA,%2091331</x:v>
      </x:c>
      <x:c r="I22" s="4" t="str">
        <x:v>91333</x:v>
      </x:c>
      <x:c r="J22" s="4" t="str">
        <x:v>2026-10-08</x:v>
      </x:c>
      <x:c r="K22" s="4" t="str">
        <x:v>English</x:v>
      </x:c>
      <x:c r="L22" s="4" t="str">
        <x:v>Life</x:v>
      </x:c>
      <x:c r="M22" s="4" t="str">
        <x:v>Life — issued 2024-05-16</x:v>
      </x:c>
      <x:c r="N22" s="4" t="str">
        <x:v>2024-05-16</x:v>
      </x:c>
      <x:c r="O22" s="4" t="n">
        <x:v>2.4</x:v>
      </x:c>
      <x:c r="P22" s="4" t="str">
        <x:v>No</x:v>
      </x:c>
      <x:c r="Q22" s="4" t="str">
        <x:v>No</x:v>
      </x:c>
      <x:c r="R22" s="4" t="str">
        <x:v>No</x:v>
      </x:c>
      <x:c r="S22" s="4" t="str">
        <x:v>INDEPENDENT ORDER OF FORESTERS (THE)</x:v>
      </x:c>
      <x:c r="T22" s="4" t="n">
        <x:v>1</x:v>
      </x:c>
      <x:c r="U22" s="4" t="n">
        <x:v>1</x:v>
      </x:c>
      <x:c r="V22" s="4" t="str">
        <x:v>INDEPENDENT ORDER OF FORESTERS (THE)</x:v>
      </x:c>
      <x:c r="W22" s="4" t="n">
        <x:v>1</x:v>
      </x:c>
      <x:c r="X22" s="4" t="str"/>
      <x:c r="Y22" s="4" t="str"/>
      <x:c r="Z22" s="4" t="str">
        <x:v>INDEPENDENT ORDER OF FORESTERS (THE) — Life — 2024-05-20</x:v>
      </x:c>
      <x:c r="AA22" s="4" t="str"/>
      <x:c r="AB22" s="4" t="n">
        <x:v>0</x:v>
      </x:c>
      <x:c r="AC22" s="4" t="n">
        <x:v>0</x:v>
      </x:c>
      <x:c r="AD22" s="4" t="str"/>
      <x:c r="AE22" s="4" t="str"/>
      <x:c r="AF22" s="4" t="str">
        <x:v>2024-05-20</x:v>
      </x:c>
      <x:c r="AG22" s="4" t="str">
        <x:v>imo-final-approval-rules.md (2026-10-08)</x:v>
      </x:c>
    </x:row>
    <x:row r="23" ht="42" customHeight="1">
      <x:c r="A23" s="4" t="str">
        <x:v>ADAM COHEN</x:v>
      </x:c>
      <x:c r="B23" s="8" t="str">
        <x:v>No</x:v>
      </x:c>
      <x:c r="C23" s="4" t="str">
        <x:v>Current excluded relationship displayed: CETERA WEALTH SERVICES, LLC.</x:v>
      </x:c>
      <x:c r="D23" s="10" t="e">
        <x:f>HYPERLINK("https://cdicloud.insurance.ca.gov/cal/LicenseDetail?SearchType=IND&amp;SearchLicNbr=0657412&amp;SearchIndvId=403025","https://cdicloud.insurance.ca.gov/cal/LicenseDetail?SearchType=IND&amp;SearchLicNbr=0657412&amp;SearchIndvId=403025")</x:f>
        <x:v>HYPERLINK is not implemented. linkLocation=https://cdicloud.insurance.ca.gov/cal/LicenseDetail?SearchType=IND&amp;SearchLicNbr=0657412&amp;SearchIndvId=403025, friendlyName=https://cdicloud.insurance.ca.gov/cal/LicenseDetail?SearchType=IND&amp;SearchLicNbr=0657412&amp;SearchIndvId=403025</x:v>
      </x:c>
      <x:c r="E23" s="9" t="str">
        <x:v>0657412</x:v>
      </x:c>
      <x:c r="F23" s="4" t="str">
        <x:v>12520 MAGNOLIA BLVD SUITE 302 VALLEY VILLAGE CA, 91607</x:v>
      </x:c>
      <x:c r="G23" s="4" t="str"/>
      <x:c r="H23" s="4" t="str">
        <x:v>https://www.google.com/maps/place/12520%20MAGNOLIA%20BLVD,%20VALLEY%20VILLAGE,%20CA,%2091607</x:v>
      </x:c>
      <x:c r="I23" s="4" t="str">
        <x:v>91604</x:v>
      </x:c>
      <x:c r="J23" s="4" t="str">
        <x:v>2026-10-08</x:v>
      </x:c>
      <x:c r="K23" s="4" t="str">
        <x:v>English</x:v>
      </x:c>
      <x:c r="L23" s="4" t="str">
        <x:v>Accident &amp; Health or Sickness; Life; Var Life and Var Annuity</x:v>
      </x:c>
      <x:c r="M23" s="4" t="str">
        <x:v>Accident &amp; Health or Sickness — issued 1985-09-19 | Life — issued 1985-09-19 | Var Life and Var Annuity — issued 1998-05-19</x:v>
      </x:c>
      <x:c r="N23" s="4" t="str">
        <x:v>1985-09-19</x:v>
      </x:c>
      <x:c r="O23" s="4" t="n">
        <x:v>41.05</x:v>
      </x:c>
      <x:c r="P23" s="4" t="str">
        <x:v>Yes</x:v>
      </x:c>
      <x:c r="Q23" s="4" t="str">
        <x:v>No</x:v>
      </x:c>
      <x:c r="R23" s="4" t="str">
        <x:v>Yes</x:v>
      </x:c>
      <x:c r="S23" s="4" t="str">
        <x:v>AMERICAN GENERAL LIFE INSURANCE COMPANY; AMERITAS LIFE INSURANCE CORP.; BERKSHIRE LIFE INSURANCE COMPANY OF AMERICA; EQUITABLE FINANCIAL LIFE INSURANCE COMPANY; EQUITABLE FINANCIAL LIFE INSURANCE COMPANY OF AMERICA; GENWORTH LIFE AND ANNUITY INSURANCE COMPANY; GENWORTH LIFE INSURANCE COMPANY; GUARANTY INCOME LIFE INSURANCE COMPANY; GUARDIAN LIFE INSURANCE COMPANY OF AMERICA (THE); JOHN HANCOCK LIFE INSURANCE COMPANY (U.S.A.); LINCOLN BENEFIT LIFE COMPANY; METROPOLITAN LIFE INSURANCE COMPANY; MONY LIFE INSURANCE COMPANY; NATIONWIDE LIFE AND ANNUITY INSURANCE COMPANY; PACIFIC LIFE INSURANCE COMPANY; PRINCIPAL LIFE INSURANCE COMPANY; PROTECTIVE LIFE INSURANCE COMPANY; PRUCO LIFE INSURANCE COMPANY; PRUDENTIAL INSURANCE COMPANY OF AMERICA (THE); STANDARD INSURANCE COMPANY</x:v>
      </x:c>
      <x:c r="T23" s="4" t="n">
        <x:v>40</x:v>
      </x:c>
      <x:c r="U23" s="4" t="n">
        <x:v>20</x:v>
      </x:c>
      <x:c r="V23" s="4" t="str">
        <x:v>AMERICAN GENERAL LIFE INSURANCE COMPANY; AMERITAS LIFE INSURANCE CORP.; BERKSHIRE LIFE INSURANCE COMPANY OF AMERICA; EQUITABLE FINANCIAL LIFE INSURANCE COMPANY; EQUITABLE FINANCIAL LIFE INSURANCE COMPANY OF AMERICA; GENWORTH LIFE AND ANNUITY INSURANCE COMPANY; GENWORTH LIFE INSURANCE COMPANY; GUARANTY INCOME LIFE INSURANCE COMPANY; GUARDIAN LIFE INSURANCE COMPANY OF AMERICA (THE); JOHN HANCOCK LIFE INSURANCE COMPANY (U.S.A.); LINCOLN BENEFIT LIFE COMPANY; METROPOLITAN LIFE INSURANCE COMPANY; MONY LIFE INSURANCE COMPANY; NATIONWIDE LIFE AND ANNUITY INSURANCE COMPANY; PACIFIC LIFE INSURANCE COMPANY; PRINCIPAL LIFE INSURANCE COMPANY; PROTECTIVE LIFE INSURANCE COMPANY; PRUCO LIFE INSURANCE COMPANY; PRUDENTIAL INSURANCE COMPANY OF AMERICA (THE); STANDARD INSURANCE COMPANY</x:v>
      </x:c>
      <x:c r="W23" s="4" t="n">
        <x:v>20</x:v>
      </x:c>
      <x:c r="X23" s="4" t="str">
        <x:v>AMERICAN GENERAL LIFE INSURANCE COMPANY; AMERITAS LIFE INSURANCE CORP.; BERKSHIRE LIFE INSURANCE COMPANY OF AMERICA; EQUITABLE FINANCIAL LIFE INSURANCE COMPANY; EQUITABLE FINANCIAL LIFE INSURANCE COMPANY OF AMERICA; GENWORTH LIFE AND ANNUITY INSURANCE COMPANY; GENWORTH LIFE INSURANCE COMPANY; GUARANTY INCOME LIFE INSURANCE COMPANY; GUARDIAN LIFE INSURANCE COMPANY OF AMERICA (THE); JOHN HANCOCK LIFE INSURANCE COMPANY (U.S.A.); LINCOLN BENEFIT LIFE COMPANY; METROPOLITAN LIFE INSURANCE COMPANY; MONY LIFE INSURANCE COMPANY; NATIONWIDE LIFE AND ANNUITY INSURANCE COMPANY; PRINCIPAL LIFE INSURANCE COMPANY; PROTECTIVE LIFE INSURANCE COMPANY; PRUCO LIFE INSURANCE COMPANY; PRUDENTIAL INSURANCE COMPANY OF AMERICA (THE); STANDARD INSURANCE COMPANY</x:v>
      </x:c>
      <x:c r="Y23" s="4" t="str"/>
      <x:c r="Z23" s="4" t="str">
        <x:v>AMERICAN GENERAL LIFE INSURANCE COMPANY — Accident &amp; Health or Sickness — 2002-08-26 | AMERICAN GENERAL LIFE INSURANCE COMPANY — Life — 2002-08-26 | AMERITAS LIFE INSURANCE CORP. — Accident &amp; Health or Sickness — 2020-08-11 | AMERITAS LIFE INSURANCE CORP. — Life — 2020-08-11 | BERKSHIRE LIFE INSURANCE COMPANY OF AMERICA — Accident &amp; Health or Sickness — 2001-06-01 | BERKSHIRE LIFE INSURANCE COMPANY OF AMERICA — Life — 2001-06-01 | EQUITABLE FINANCIAL LIFE INSURANCE COMPANY — Accident &amp; Health or Sickness — 2002-07-31 | EQUITABLE FINANCIAL LIFE INSURANCE COMPANY — Life — 2002-07-31 | EQUITABLE FINANCIAL LIFE INSURANCE COMPANY OF AMERICA — Accident &amp; Health or Sickness — 2001-10-02 | EQUITABLE FINANCIAL LIFE INSURANCE COMPANY OF AMERICA — Life — 2001-10-02 | GENWORTH LIFE AND ANNUITY INSURANCE COMPANY — Accident &amp; Health or Sickness — 2007-01-01 | GENWORTH LIFE AND ANNUITY INSURANCE COMPANY — Life — 2007-01-01 | GENWORTH LIFE INSURANCE COMPANY — Accident &amp; Health or Sickness — 1998-05-18 | GENWORTH LIFE INSURANCE COMPANY — Life — 1998-05-18 | GUARANTY INCOME LIFE INSURANCE COMPANY — Accident &amp; Health or Sickness — 2018-04-24 | GUARANTY INCOME LIFE INSURANCE COMPANY — Life — 2018-04-24 | GUARDIAN LIFE INSURANCE COMPANY OF AMERICA (THE) — Accident &amp; Health or Sickness — 1997-12-01 | GUARDIAN LIFE INSURANCE COMPANY OF AMERICA (THE) — Life — 1997-12-01 | JOHN HANCOCK LIFE INSURANCE COMPANY (U.S.A.) — Accident &amp; Health or Sickness — 2001-01-12 | JOHN HANCOCK LIFE INSURANCE COMPANY (U.S.A.) — Life — 2001-01-12 | LINCOLN BENEFIT LIFE COMPANY — Accident &amp; Health or Sickness — 1998-12-02 | LINCOLN BENEFIT LIFE COMPANY — Life — 1998-12-02 | METROPOLITAN LIFE INSURANCE COMPANY — Accident &amp; Health or Sickness — 2007-03-06 | METROPOLITAN LIFE INSURANCE COMPANY — Life — 2007-03-06 | MONY LIFE INSURANCE COMPANY — Accident &amp; Health or Sickness — 2001-10-02 | MONY LIFE INSURANCE COMPANY — Life — 2001-10-02 | NATIONWIDE LIFE AND ANNUITY INSURANCE COMPANY — Accident &amp; Health or Sickness — 2014-02-20 | NATIONWIDE LIFE AND ANNUITY INSURANCE COMPANY — Life — 2014-02-20 | PACIFIC LIFE INSURANCE COMPANY — Life — 2018-11-09 | PRINCIPAL LIFE INSURANCE COMPANY — Accident &amp; Health or Sickness — 2003-11-07 | PRINCIPAL LIFE INSURANCE COMPANY — Life — 2003-11-07 | PROTECTIVE LIFE INSURANCE COMPANY — Accident &amp; Health or Sickness — 2012-08-09 | PROTECTIVE LIFE INSURANCE COMPANY — Life — 2012-08-09 | PRUCO LIFE INSURANCE COMPANY — Accident &amp; Health or Sickness — 2003-01-14 | PRUCO LIFE INSURANCE COMPANY — Life — 2003-01-14 | PRUCO LIFE INSURANCE COMPANY — Var Life and Var Annuity — 2003-01-14 | PRUDENTIAL INSURANCE COMPANY OF AMERICA (THE) — Accident &amp; Health or Sickness — 2006-03-08 | PRUDENTIAL INSURANCE COMPANY OF AMERICA (THE) — Life — 2006-03-08 | STANDARD INSURANCE COMPANY — Accident &amp; Health or Sickness — 1999-06-29 | STANDARD INSURANCE COMPANY — Life — 1999-06-29</x:v>
      </x:c>
      <x:c r="AA23" s="4" t="str">
        <x:v>CETERA WEALTH SERVICES, LLC</x:v>
      </x:c>
      <x:c r="AB23" s="4" t="n">
        <x:v>1</x:v>
      </x:c>
      <x:c r="AC23" s="4" t="n">
        <x:v>3</x:v>
      </x:c>
      <x:c r="AD23" s="4" t="str">
        <x:v>CETERA WEALTH SERVICES, LLC</x:v>
      </x:c>
      <x:c r="AE23" s="4" t="str">
        <x:v>CETERA WEALTH SERVICES, LLC — Life — 2006-11-23 | CETERA WEALTH SERVICES, LLC — Var Life and Var Annuity — 2006-11-23 | CETERA WEALTH SERVICES, LLC — Accident &amp; Health or Sickness — 2006-11-23</x:v>
      </x:c>
      <x:c r="AF23" s="4" t="str">
        <x:v>2020-08-11</x:v>
      </x:c>
      <x:c r="AG23" s="4" t="str">
        <x:v>imo-final-approval-rules.md (2026-10-08)</x:v>
      </x:c>
    </x:row>
    <x:row r="24" ht="42" customHeight="1">
      <x:c r="A24" s="4" t="str">
        <x:v>ADAM FABERMAN</x:v>
      </x:c>
      <x:c r="B24" s="8" t="str">
        <x:v>Yes</x:v>
      </x:c>
      <x:c r="C24" s="4" t="str">
        <x:v>Active general Life; no displayed agency or insurer relationships; lower priority; no confirmed exclusion.</x:v>
      </x:c>
      <x:c r="D24" s="10" t="e">
        <x:f>HYPERLINK("https://cdicloud.insurance.ca.gov/cal/LicenseDetail?SearchType=IND&amp;SearchLicNbr=4474765&amp;SearchIndvId=4474765","https://cdicloud.insurance.ca.gov/cal/LicenseDetail?SearchType=IND&amp;SearchLicNbr=4474765&amp;SearchIndvId=4474765")</x:f>
        <x:v>HYPERLINK is not implemented. linkLocation=https://cdicloud.insurance.ca.gov/cal/LicenseDetail?SearchType=IND&amp;SearchLicNbr=4474765&amp;SearchIndvId=4474765, friendlyName=https://cdicloud.insurance.ca.gov/cal/LicenseDetail?SearchType=IND&amp;SearchLicNbr=4474765&amp;SearchIndvId=4474765</x:v>
      </x:c>
      <x:c r="E24" s="9" t="str">
        <x:v>4474765</x:v>
      </x:c>
      <x:c r="F24" s="4" t="str">
        <x:v>12629 RIVERSIDE DR APT 519 VALLEY VILLAGE CA, 91607</x:v>
      </x:c>
      <x:c r="G24" s="4" t="str">
        <x:v>818-339-6682</x:v>
      </x:c>
      <x:c r="H24" s="4" t="str">
        <x:v>https://www.google.com/maps/place/12629%20RIVERSIDE%20DR,%20VALLEY%20VILLAGE,%20CA,%2091607</x:v>
      </x:c>
      <x:c r="I24" s="4" t="str">
        <x:v>91604</x:v>
      </x:c>
      <x:c r="J24" s="4" t="str">
        <x:v>2026-10-08</x:v>
      </x:c>
      <x:c r="K24" s="4" t="str">
        <x:v>English</x:v>
      </x:c>
      <x:c r="L24" s="4" t="str">
        <x:v>Accident &amp; Health or Sickness; Life</x:v>
      </x:c>
      <x:c r="M24" s="4" t="str">
        <x:v>Accident &amp; Health or Sickness — issued 2025-10-02 | Life — issued 2025-10-02</x:v>
      </x:c>
      <x:c r="N24" s="4" t="str">
        <x:v>2025-10-02</x:v>
      </x:c>
      <x:c r="O24" s="4" t="n">
        <x:v>1.02</x:v>
      </x:c>
      <x:c r="P24" s="4" t="str">
        <x:v>Yes</x:v>
      </x:c>
      <x:c r="Q24" s="4" t="str">
        <x:v>No</x:v>
      </x:c>
      <x:c r="R24" s="4" t="str">
        <x:v>No</x:v>
      </x:c>
      <x:c r="S24" s="4" t="str"/>
      <x:c r="T24" s="4" t="n">
        <x:v>0</x:v>
      </x:c>
      <x:c r="U24" s="4" t="n">
        <x:v>0</x:v>
      </x:c>
      <x:c r="V24" s="4" t="str"/>
      <x:c r="W24" s="4" t="n">
        <x:v>0</x:v>
      </x:c>
      <x:c r="X24" s="4" t="str"/>
      <x:c r="Y24" s="4" t="str"/>
      <x:c r="Z24" s="4" t="str"/>
      <x:c r="AA24" s="4" t="str"/>
      <x:c r="AB24" s="4" t="n">
        <x:v>0</x:v>
      </x:c>
      <x:c r="AC24" s="4" t="n">
        <x:v>0</x:v>
      </x:c>
      <x:c r="AD24" s="4" t="str"/>
      <x:c r="AE24" s="4" t="str"/>
      <x:c r="AF24" s="4" t="str"/>
      <x:c r="AG24" s="4" t="str">
        <x:v>imo-final-approval-rules.md (2026-10-08)</x:v>
      </x:c>
    </x:row>
    <x:row r="25" ht="42" customHeight="1">
      <x:c r="A25" s="4" t="str">
        <x:v>ADAM FAST</x:v>
      </x:c>
      <x:c r="B25" s="8" t="str">
        <x:v>Yes</x:v>
      </x:c>
      <x:c r="C25" s="4" t="str">
        <x:v>Active general Life; Life agency relationship: ALPHA RISK &amp; INSURANCE SERVICES, INC.; SEVEN ARTS INSURANCE SOLUTIONS, LLC; no confirmed exclusion.</x:v>
      </x:c>
      <x:c r="D25" s="10" t="e">
        <x:f>HYPERLINK("https://cdicloud.insurance.ca.gov/cal/LicenseDetail?SearchType=IND&amp;SearchLicNbr=0H90854&amp;SearchIndvId=1514708","https://cdicloud.insurance.ca.gov/cal/LicenseDetail?SearchType=IND&amp;SearchLicNbr=0H90854&amp;SearchIndvId=1514708")</x:f>
        <x:v>HYPERLINK is not implemented. linkLocation=https://cdicloud.insurance.ca.gov/cal/LicenseDetail?SearchType=IND&amp;SearchLicNbr=0H90854&amp;SearchIndvId=1514708, friendlyName=https://cdicloud.insurance.ca.gov/cal/LicenseDetail?SearchType=IND&amp;SearchLicNbr=0H90854&amp;SearchIndvId=1514708</x:v>
      </x:c>
      <x:c r="E25" s="9" t="str">
        <x:v>0H90854</x:v>
      </x:c>
      <x:c r="F25" s="4" t="str">
        <x:v>170 S BEVERLY DR STE 301 BEVERLY HILLS CA, 90212-3000</x:v>
      </x:c>
      <x:c r="G25" s="4" t="str">
        <x:v>310-277-4939 Ext. 101</x:v>
      </x:c>
      <x:c r="H25" s="4" t="str">
        <x:v>https://www.google.com/maps/place/170%20S%20BEVERLY%20DR%20STE%20301,%20BEVERLY%20HILLS,%20CA,%20902123000</x:v>
      </x:c>
      <x:c r="I25" s="4" t="str">
        <x:v>90209</x:v>
      </x:c>
      <x:c r="J25" s="4" t="str">
        <x:v>2026-10-08</x:v>
      </x:c>
      <x:c r="K25" s="4" t="str">
        <x:v>English</x:v>
      </x:c>
      <x:c r="L25" s="4" t="str">
        <x:v>Accident &amp; Health or Sickness; Casualty; Life; Property</x:v>
      </x:c>
      <x:c r="M25" s="4" t="str">
        <x:v>Accident &amp; Health or Sickness — issued 2012-07-13 | Casualty — issued 2012-06-04 | Life — issued 2012-07-13 | Property — issued 2012-06-04</x:v>
      </x:c>
      <x:c r="N25" s="4" t="str">
        <x:v>2012-07-13</x:v>
      </x:c>
      <x:c r="O25" s="4" t="n">
        <x:v>14.24</x:v>
      </x:c>
      <x:c r="P25" s="4" t="str">
        <x:v>Yes</x:v>
      </x:c>
      <x:c r="Q25" s="4" t="str">
        <x:v>Yes</x:v>
      </x:c>
      <x:c r="R25" s="4" t="str">
        <x:v>No</x:v>
      </x:c>
      <x:c r="S25" s="4" t="str">
        <x:v>ALL SAVERS LIFE INSURANCE COMPANY OF CALIFORNIA; AMERICAN CONTRACTORS INDEMNITY COMPANY; AMERICAN GENERAL LIFE INSURANCE COMPANY; AMERICAN RETIREMENT LIFE INSURANCE COMPANY; ANTHEM BLUE CROSS LIFE AND HEALTH INSURANCE COMPANY; BLUE SHIELD OF CALIFORNIA LIFE &amp; HEALTH INSURANCE COMPANY; EQUITABLE FINANCIAL LIFE INSURANCE COMPANY; FOREMOST INSURANCE COMPANY GRAND RAPIDS, MICHIGAN; GUARDIAN INSURANCE &amp; ANNUITY COMPANY, INC. (THE); GUARDIAN LIFE INSURANCE COMPANY OF AMERICA (THE); HARTFORD LIFE AND ACCIDENT INSURANCE COMPANY; INDEPENDENT ORDER OF FORESTERS (THE); LINCOLN NATIONAL LIFE INSURANCE COMPANY (THE); NATIONAL GUARDIAN LIFE INSURANCE COMPANY; NATIONAL HEALTH INSURANCE COMPANY; NATIONWIDE LIFE INSURANCE COMPANY; PRINCIPAL LIFE INSURANCE COMPANY; PRINCIPAL NATIONAL LIFE INSURANCE COMPANY; PROTECTIVE LIFE INSURANCE COMPANY; PROVIDENT LIFE AND ACCIDENT INSURANCE COMPANY; STANDARD INSURANCE COMPANY; STARMOUNT LIFE INSURANCE COMPANY; U.S. SPECIALTY INSURANCE COMPANY; UNITEDHEALTHCARE INSURANCE COMPANY; UNUM INSURANCE COMPANY; UNUM LIFE INSURANCE COMPANY OF AMERICA</x:v>
      </x:c>
      <x:c r="T25" s="4" t="n">
        <x:v>44</x:v>
      </x:c>
      <x:c r="U25" s="4" t="n">
        <x:v>26</x:v>
      </x:c>
      <x:c r="V25" s="4" t="str">
        <x:v>ALL SAVERS LIFE INSURANCE COMPANY OF CALIFORNIA; AMERICAN GENERAL LIFE INSURANCE COMPANY; ANTHEM BLUE CROSS LIFE AND HEALTH INSURANCE COMPANY; BLUE SHIELD OF CALIFORNIA LIFE &amp; HEALTH INSURANCE COMPANY; EQUITABLE FINANCIAL LIFE INSURANCE COMPANY; GUARDIAN INSURANCE &amp; ANNUITY COMPANY, INC. (THE); GUARDIAN LIFE INSURANCE COMPANY OF AMERICA (THE); HARTFORD LIFE AND ACCIDENT INSURANCE COMPANY; INDEPENDENT ORDER OF FORESTERS (THE); LINCOLN NATIONAL LIFE INSURANCE COMPANY (THE); NATIONAL HEALTH INSURANCE COMPANY; NATIONWIDE LIFE INSURANCE COMPANY; PRINCIPAL LIFE INSURANCE COMPANY; PRINCIPAL NATIONAL LIFE INSURANCE COMPANY; PROTECTIVE LIFE INSURANCE COMPANY; PROVIDENT LIFE AND ACCIDENT INSURANCE COMPANY; STANDARD INSURANCE COMPANY; UNITEDHEALTHCARE INSURANCE COMPANY; UNUM INSURANCE COMPANY; UNUM LIFE INSURANCE COMPANY OF AMERICA</x:v>
      </x:c>
      <x:c r="W25" s="4" t="n">
        <x:v>20</x:v>
      </x:c>
      <x:c r="X25" s="4" t="str">
        <x:v>ALL SAVERS LIFE INSURANCE COMPANY OF CALIFORNIA; AMERICAN GENERAL LIFE INSURANCE COMPANY; AMERICAN RETIREMENT LIFE INSURANCE COMPANY; ANTHEM BLUE CROSS LIFE AND HEALTH INSURANCE COMPANY; BLUE SHIELD OF CALIFORNIA LIFE &amp; HEALTH INSURANCE COMPANY; EQUITABLE FINANCIAL LIFE INSURANCE COMPANY; GUARDIAN LIFE INSURANCE COMPANY OF AMERICA (THE); HARTFORD LIFE AND ACCIDENT INSURANCE COMPANY; LINCOLN NATIONAL LIFE INSURANCE COMPANY (THE); NATIONAL GUARDIAN LIFE INSURANCE COMPANY; NATIONAL HEALTH INSURANCE COMPANY; NATIONWIDE LIFE INSURANCE COMPANY; PRINCIPAL LIFE INSURANCE COMPANY; PROTECTIVE LIFE INSURANCE COMPANY; PROVIDENT LIFE AND ACCIDENT INSURANCE COMPANY; STANDARD INSURANCE COMPANY; STARMOUNT LIFE INSURANCE COMPANY; UNITEDHEALTHCARE INSURANCE COMPANY; UNUM INSURANCE COMPANY; UNUM LIFE INSURANCE COMPANY OF AMERICA</x:v>
      </x:c>
      <x:c r="Y25" s="4" t="str">
        <x:v>AMERICAN CONTRACTORS INDEMNITY COMPANY; FOREMOST INSURANCE COMPANY GRAND RAPIDS, MICHIGAN; U.S. SPECIALTY INSURANCE COMPANY</x:v>
      </x:c>
      <x:c r="Z25" s="4" t="str">
        <x:v>ALL SAVERS LIFE INSURANCE COMPANY OF CALIFORNIA — Accident &amp; Health or Sickness — 2023-12-01 | ALL SAVERS LIFE INSURANCE COMPANY OF CALIFORNIA — Life — 2023-12-01 | AMERICAN CONTRACTORS INDEMNITY COMPANY — Casualty — 2013-12-11 | AMERICAN GENERAL LIFE INSURANCE COMPANY — Accident &amp; Health or Sickness — 2015-01-28 | AMERICAN GENERAL LIFE INSURANCE COMPANY — Life — 2015-01-28 | AMERICAN RETIREMENT LIFE INSURANCE COMPANY — Accident &amp; Health or Sickness — 2026-03-26 | ANTHEM BLUE CROSS LIFE AND HEALTH INSURANCE COMPANY — Accident &amp; Health or Sickness — 2012-10-23 | ANTHEM BLUE CROSS LIFE AND HEALTH INSURANCE COMPANY — Life — 2012-10-23 | BLUE SHIELD OF CALIFORNIA LIFE &amp; HEALTH INSURANCE COMPANY — Accident &amp; Health or Sickness — 2026-07-02 | BLUE SHIELD OF CALIFORNIA LIFE &amp; HEALTH INSURANCE COMPANY — Life — 2026-07-02 | EQUITABLE FINANCIAL LIFE INSURANCE COMPANY — Accident &amp; Health or Sickness — 2013-08-17 | EQUITABLE FINANCIAL LIFE INSURANCE COMPANY — Life — 2013-08-17 | FOREMOST INSURANCE COMPANY GRAND RAPIDS, MICHIGAN — Casualty — 2014-02-05 | FOREMOST INSURANCE COMPANY GRAND RAPIDS, MICHIGAN — Property — 2014-02-05 | GUARDIAN INSURANCE &amp; ANNUITY COMPANY, INC. (THE) — Life — 2025-04-14 | GUARDIAN LIFE INSURANCE COMPANY OF AMERICA (THE) — Accident &amp; Health or Sickness — 2025-04-14 | GUARDIAN LIFE INSURANCE COMPANY OF AMERICA (THE) — Life — 2025-04-14 | HARTFORD LIFE AND ACCIDENT INSURANCE COMPANY — Accident &amp; Health or Sickness — 2019-08-16 | HARTFORD LIFE AND ACCIDENT INSURANCE COMPANY — Life — 2019-08-16 | INDEPENDENT ORDER OF FORESTERS (THE) — Life — 2014-05-07 | LINCOLN NATIONAL LIFE INSURANCE COMPANY (THE) — Accident &amp; Health or Sickness — 2014-03-19 | LINCOLN NATIONAL LIFE INSURANCE COMPANY (THE) — Life — 2014-03-19 | NATIONAL GUARDIAN LIFE INSURANCE COMPANY — Accident &amp; Health or Sickness — 2024-07-26 | NATIONAL HEALTH INSURANCE COMPANY — Accident &amp; Health or Sickness — 2015-09-16 | NATIONAL HEALTH INSURANCE COMPANY — Life — 2015-09-16 | NATIONWIDE LIFE INSURANCE COMPANY — Accident &amp; Health or Sickness — 2021-03-15 | NATIONWIDE LIFE INSURANCE COMPANY — Life — 2021-03-15 | PRINCIPAL LIFE INSURANCE COMPANY — Accident &amp; Health or Sickness — 2024-02-29 | PRINCIPAL LIFE INSURANCE COMPANY — Life — 2024-02-29 | PRINCIPAL NATIONAL LIFE INSURANCE COMPANY — Life — 2014-06-29 | PROTECTIVE LIFE INSURANCE COMPANY — Accident &amp; Health or Sickness — 2017-11-03 | PROTECTIVE LIFE INSURANCE COMPANY — Life — 2017-11-03 | PROVIDENT LIFE AND ACCIDENT INSURANCE COMPANY — Accident &amp; Health or Sickness — 2022-05-19 | PROVIDENT LIFE AND ACCIDENT INSURANCE COMPANY — Life — 2022-05-19 | STANDARD INSURANCE COMPANY — Accident &amp; Health or Sickness — 2025-01-20 | STANDARD INSURANCE COMPANY — Life — 2025-01-20 | STARMOUNT LIFE INSURANCE COMPANY — Accident &amp; Health or Sickness — 2022-05-19 | U.S. SPECIALTY INSURANCE COMPANY — Casualty — 2013-12-11 | UNITEDHEALTHCARE INSURANCE COMPANY — Accident &amp; Health or Sickness — 2017-04-14 | UNITEDHEALTHCARE INSURANCE COMPANY — Life — 2017-04-14 | UNUM INSURANCE COMPANY — Accident &amp; Health or Sickness — 2022-05-19 | UNUM INSURANCE COMPANY — Life — 2022-05-19 | UNUM LIFE INSURANCE COMPANY OF AMERICA — Accident &amp; Health or Sickness — 2022-05-19 | UNUM LIFE INSURANCE COMPANY OF AMERICA — Life — 2022-05-19</x:v>
      </x:c>
      <x:c r="AA25" s="4" t="str">
        <x:v>ALPHA RISK &amp; INSURANCE SERVICES, INC.; SEVEN ARTS INSURANCE SOLUTIONS, LLC; CALIFORNIA HEALTH BENEFIT EXCHANGE</x:v>
      </x:c>
      <x:c r="AB25" s="4" t="n">
        <x:v>3</x:v>
      </x:c>
      <x:c r="AC25" s="4" t="n">
        <x:v>9</x:v>
      </x:c>
      <x:c r="AD25" s="4" t="str">
        <x:v>ALPHA RISK &amp; INSURANCE SERVICES, INC.; SEVEN ARTS INSURANCE SOLUTIONS, LLC</x:v>
      </x:c>
      <x:c r="AE25" s="4" t="str">
        <x:v>ALPHA RISK &amp; INSURANCE SERVICES, INC. — Accident &amp; Health or Sickness — 2013-10-01 | ALPHA RISK &amp; INSURANCE SERVICES, INC. — Life — 2013-10-01 | SEVEN ARTS INSURANCE SOLUTIONS, LLC — Life — 2012-08-23 | SEVEN ARTS INSURANCE SOLUTIONS, LLC — Accident &amp; Health or Sickness — 2012-08-23 | SEVEN ARTS INSURANCE SOLUTIONS, LLC — Property — 2012-08-23 | ALPHA RISK &amp; INSURANCE SERVICES, INC. — Casualty — 2013-10-01 | ALPHA RISK &amp; INSURANCE SERVICES, INC. — Property — 2013-10-01 | CALIFORNIA HEALTH BENEFIT EXCHANGE — Accident &amp; Health or Sickness — 2023-10-05 | SEVEN ARTS INSURANCE SOLUTIONS, LLC — Casualty — 2012-08-23</x:v>
      </x:c>
      <x:c r="AF25" s="4" t="str">
        <x:v>2026-07-02</x:v>
      </x:c>
      <x:c r="AG25" s="4" t="str">
        <x:v>imo-final-approval-rules.md (2026-10-08)</x:v>
      </x:c>
    </x:row>
    <x:row r="26" ht="42" customHeight="1">
      <x:c r="A26" s="4" t="str">
        <x:v>Adam Fawal</x:v>
      </x:c>
      <x:c r="B26" s="8" t="str">
        <x:v>No</x:v>
      </x:c>
      <x:c r="C26" s="4" t="str">
        <x:v>Current excluded relationship displayed: CHASE INSURANCE AGENCY, INC.</x:v>
      </x:c>
      <x:c r="D26" s="10" t="e">
        <x:f>HYPERLINK("https://cdicloud.insurance.ca.gov/cal/LicenseDetail?SearchType=IND&amp;SearchLicNbr=4198981&amp;SearchIndvId=4198981","https://cdicloud.insurance.ca.gov/cal/LicenseDetail?SearchType=IND&amp;SearchLicNbr=4198981&amp;SearchIndvId=4198981")</x:f>
        <x:v>HYPERLINK is not implemented. linkLocation=https://cdicloud.insurance.ca.gov/cal/LicenseDetail?SearchType=IND&amp;SearchLicNbr=4198981&amp;SearchIndvId=4198981, friendlyName=https://cdicloud.insurance.ca.gov/cal/LicenseDetail?SearchType=IND&amp;SearchLicNbr=4198981&amp;SearchIndvId=4198981</x:v>
      </x:c>
      <x:c r="E26" s="9" t="str">
        <x:v>4198981</x:v>
      </x:c>
      <x:c r="F26" s="4" t="str">
        <x:v>2175 COLORADO BLVD LOS ANGELES CA, 90041</x:v>
      </x:c>
      <x:c r="G26" s="4" t="str">
        <x:v>323-257-1732</x:v>
      </x:c>
      <x:c r="H26" s="4" t="str">
        <x:v>https://www.google.com/maps/place/2175%20COLORADO%20BLVD,%20LOS%20ANGELES,%20CA,%2090041</x:v>
      </x:c>
      <x:c r="I26" s="4" t="str">
        <x:v>90042</x:v>
      </x:c>
      <x:c r="J26" s="4" t="str">
        <x:v>2026-10-08</x:v>
      </x:c>
      <x:c r="K26" s="4" t="str">
        <x:v>English</x:v>
      </x:c>
      <x:c r="L26" s="4" t="str">
        <x:v>Life; Var Life and Var Annuity</x:v>
      </x:c>
      <x:c r="M26" s="4" t="str">
        <x:v>Life — issued 2022-03-28 | Var Life and Var Annuity — issued 2022-03-28</x:v>
      </x:c>
      <x:c r="N26" s="4" t="str">
        <x:v>2022-03-28</x:v>
      </x:c>
      <x:c r="O26" s="4" t="n">
        <x:v>4.53</x:v>
      </x:c>
      <x:c r="P26" s="4" t="str">
        <x:v>No</x:v>
      </x:c>
      <x:c r="Q26" s="4" t="str">
        <x:v>No</x:v>
      </x:c>
      <x:c r="R26" s="4" t="str">
        <x:v>Yes</x:v>
      </x:c>
      <x:c r="S26" s="4" t="str"/>
      <x:c r="T26" s="4" t="n">
        <x:v>0</x:v>
      </x:c>
      <x:c r="U26" s="4" t="n">
        <x:v>0</x:v>
      </x:c>
      <x:c r="V26" s="4" t="str"/>
      <x:c r="W26" s="4" t="n">
        <x:v>0</x:v>
      </x:c>
      <x:c r="X26" s="4" t="str"/>
      <x:c r="Y26" s="4" t="str"/>
      <x:c r="Z26" s="4" t="str"/>
      <x:c r="AA26" s="4" t="str">
        <x:v>CHASE INSURANCE AGENCY, INC.</x:v>
      </x:c>
      <x:c r="AB26" s="4" t="n">
        <x:v>1</x:v>
      </x:c>
      <x:c r="AC26" s="4" t="n">
        <x:v>2</x:v>
      </x:c>
      <x:c r="AD26" s="4" t="str">
        <x:v>CHASE INSURANCE AGENCY, INC.</x:v>
      </x:c>
      <x:c r="AE26" s="4" t="str">
        <x:v>CHASE INSURANCE AGENCY, INC. — Life — 2022-04-04 | CHASE INSURANCE AGENCY, INC. — Var Life and Var Annuity — 2022-04-04</x:v>
      </x:c>
      <x:c r="AF26" s="4" t="str">
        <x:v>2022-04-04</x:v>
      </x:c>
      <x:c r="AG26" s="4" t="str">
        <x:v>imo-final-approval-rules.md (2026-10-08)</x:v>
      </x:c>
    </x:row>
    <x:row r="27" ht="42" customHeight="1">
      <x:c r="A27" s="4" t="str">
        <x:v>ADAM KREUTNER</x:v>
      </x:c>
      <x:c r="B27" s="8" t="str">
        <x:v>No</x:v>
      </x:c>
      <x:c r="C27" s="4" t="str">
        <x:v>Current excluded relationship displayed: RBC CAPITAL MARKETS, LLC; UBS FINANCIAL SERVICES INSURANCE AGENCY INC.</x:v>
      </x:c>
      <x:c r="D27" s="10" t="e">
        <x:f>HYPERLINK("https://cdicloud.insurance.ca.gov/cal/LicenseDetail?SearchType=IND&amp;SearchLicNbr=0F88884&amp;SearchIndvId=1113253","https://cdicloud.insurance.ca.gov/cal/LicenseDetail?SearchType=IND&amp;SearchLicNbr=0F88884&amp;SearchIndvId=1113253")</x:f>
        <x:v>HYPERLINK is not implemented. linkLocation=https://cdicloud.insurance.ca.gov/cal/LicenseDetail?SearchType=IND&amp;SearchLicNbr=0F88884&amp;SearchIndvId=1113253, friendlyName=https://cdicloud.insurance.ca.gov/cal/LicenseDetail?SearchType=IND&amp;SearchLicNbr=0F88884&amp;SearchIndvId=1113253</x:v>
      </x:c>
      <x:c r="E27" s="9" t="str">
        <x:v>0F88884</x:v>
      </x:c>
      <x:c r="F27" s="4" t="str">
        <x:v>RBC CAPITAL MARKETS, LCC 9665 WILSHIRE BLVD FL 3 BEVERLY HILLS CA, 90212-2310</x:v>
      </x:c>
      <x:c r="G27" s="4" t="str">
        <x:v>310-281-3887</x:v>
      </x:c>
      <x:c r="H27" s="4" t="str">
        <x:v>https://www.google.com/maps/place/RBC%20CAPITAL%20MARKETS,%20LCC,%20BEVERLY%20HILLS,%20CA,%20902122310</x:v>
      </x:c>
      <x:c r="I27" s="4" t="str">
        <x:v>90209</x:v>
      </x:c>
      <x:c r="J27" s="4" t="str">
        <x:v>2026-10-08</x:v>
      </x:c>
      <x:c r="K27" s="4" t="str">
        <x:v>English</x:v>
      </x:c>
      <x:c r="L27" s="4" t="str">
        <x:v>Accident &amp; Health or Sickness; Life; Var Life and Var Annuity</x:v>
      </x:c>
      <x:c r="M27" s="4" t="str">
        <x:v>Accident &amp; Health or Sickness — issued 2007-11-29 | Life — issued 2007-11-29 | Var Life and Var Annuity — issued 2007-11-29</x:v>
      </x:c>
      <x:c r="N27" s="4" t="str">
        <x:v>2007-11-29</x:v>
      </x:c>
      <x:c r="O27" s="4" t="n">
        <x:v>18.86</x:v>
      </x:c>
      <x:c r="P27" s="4" t="str">
        <x:v>Yes</x:v>
      </x:c>
      <x:c r="Q27" s="4" t="str">
        <x:v>No</x:v>
      </x:c>
      <x:c r="R27" s="4" t="str">
        <x:v>Yes</x:v>
      </x:c>
      <x:c r="S27" s="4" t="str">
        <x:v>AMERICAN GENERAL LIFE INSURANCE COMPANY; BANNER LIFE INSURANCE COMPANY; EQUITABLE FINANCIAL LIFE INSURANCE COMPANY; EVERLAKE LIFE INSURANCE COMPANY; JOHN HANCOCK LIFE INSURANCE COMPANY (U.S.A.); LINCOLN NATIONAL LIFE INSURANCE COMPANY (THE); NATIONWIDE LIFE AND ANNUITY INSURANCE COMPANY; NATIONWIDE LIFE INSURANCE COMPANY; NEW YORK LIFE INSURANCE AND ANNUITY CORPORATION; PACIFIC LIFE INSURANCE COMPANY; PRINCIPAL LIFE INSURANCE COMPANY; PRINCIPAL NATIONAL LIFE INSURANCE COMPANY; PROTECTIVE LIFE INSURANCE COMPANY; PRUCO LIFE INSURANCE COMPANY; SUN LIFE ASSURANCE COMPANY OF CANADA</x:v>
      </x:c>
      <x:c r="T27" s="4" t="n">
        <x:v>28</x:v>
      </x:c>
      <x:c r="U27" s="4" t="n">
        <x:v>15</x:v>
      </x:c>
      <x:c r="V27" s="4" t="str">
        <x:v>AMERICAN GENERAL LIFE INSURANCE COMPANY; BANNER LIFE INSURANCE COMPANY; EQUITABLE FINANCIAL LIFE INSURANCE COMPANY; EVERLAKE LIFE INSURANCE COMPANY; JOHN HANCOCK LIFE INSURANCE COMPANY (U.S.A.); LINCOLN NATIONAL LIFE INSURANCE COMPANY (THE); NATIONWIDE LIFE AND ANNUITY INSURANCE COMPANY; NATIONWIDE LIFE INSURANCE COMPANY; NEW YORK LIFE INSURANCE AND ANNUITY CORPORATION; PACIFIC LIFE INSURANCE COMPANY; PRINCIPAL LIFE INSURANCE COMPANY; PRINCIPAL NATIONAL LIFE INSURANCE COMPANY; PROTECTIVE LIFE INSURANCE COMPANY; PRUCO LIFE INSURANCE COMPANY; SUN LIFE ASSURANCE COMPANY OF CANADA</x:v>
      </x:c>
      <x:c r="W27" s="4" t="n">
        <x:v>15</x:v>
      </x:c>
      <x:c r="X27" s="4" t="str">
        <x:v>AMERICAN GENERAL LIFE INSURANCE COMPANY; EVERLAKE LIFE INSURANCE COMPANY; JOHN HANCOCK LIFE INSURANCE COMPANY (U.S.A.); LINCOLN NATIONAL LIFE INSURANCE COMPANY (THE); NATIONWIDE LIFE AND ANNUITY INSURANCE COMPANY; NATIONWIDE LIFE INSURANCE COMPANY; PRINCIPAL LIFE INSURANCE COMPANY; PROTECTIVE LIFE INSURANCE COMPANY; PRUCO LIFE INSURANCE COMPANY</x:v>
      </x:c>
      <x:c r="Y27" s="4" t="str"/>
      <x:c r="Z27" s="4" t="str">
        <x:v>AMERICAN GENERAL LIFE INSURANCE COMPANY — Accident &amp; Health or Sickness — 2008-04-12 | AMERICAN GENERAL LIFE INSURANCE COMPANY — Life — 2008-03-27 | AMERICAN GENERAL LIFE INSURANCE COMPANY — Var Life and Var Annuity — 2015-04-30 | BANNER LIFE INSURANCE COMPANY — Life — 2017-09-23 | EQUITABLE FINANCIAL LIFE INSURANCE COMPANY — Life — 2009-01-28 | EVERLAKE LIFE INSURANCE COMPANY — Accident &amp; Health or Sickness — 2007-12-19 | EVERLAKE LIFE INSURANCE COMPANY — Life — 2007-12-19 | JOHN HANCOCK LIFE INSURANCE COMPANY (U.S.A.) — Accident &amp; Health or Sickness — 2010-03-04 | JOHN HANCOCK LIFE INSURANCE COMPANY (U.S.A.) — Life — 2010-03-04 | LINCOLN NATIONAL LIFE INSURANCE COMPANY (THE) — Accident &amp; Health or Sickness — 2015-07-21 | LINCOLN NATIONAL LIFE INSURANCE COMPANY (THE) — Life — 2015-07-21 | LINCOLN NATIONAL LIFE INSURANCE COMPANY (THE) — Var Life and Var Annuity — 2015-07-21 | NATIONWIDE LIFE AND ANNUITY INSURANCE COMPANY — Accident &amp; Health or Sickness — 2021-07-12 | NATIONWIDE LIFE AND ANNUITY INSURANCE COMPANY — Life — 2021-07-12 | NATIONWIDE LIFE INSURANCE COMPANY — Accident &amp; Health or Sickness — 2010-04-12 | NATIONWIDE LIFE INSURANCE COMPANY — Life — 2010-04-12 | NEW YORK LIFE INSURANCE AND ANNUITY CORPORATION — Life — 2010-04-28 | PACIFIC LIFE INSURANCE COMPANY — Life — 2011-03-14 | PRINCIPAL LIFE INSURANCE COMPANY — Accident &amp; Health or Sickness — 2015-12-09 | PRINCIPAL LIFE INSURANCE COMPANY — Life — 2015-12-09 | PRINCIPAL NATIONAL LIFE INSURANCE COMPANY — Life — 2018-10-18 | PROTECTIVE LIFE INSURANCE COMPANY — Accident &amp; Health or Sickness — 2021-01-19 | PROTECTIVE LIFE INSURANCE COMPANY — Life — 2021-01-19 | PROTECTIVE LIFE INSURANCE COMPANY — Var Life and Var Annuity — 2021-01-19 | PRUCO LIFE INSURANCE COMPANY — Accident &amp; Health or Sickness — 2010-09-09 | PRUCO LIFE INSURANCE COMPANY — Life — 2010-09-09 | PRUCO LIFE INSURANCE COMPANY — Var Life and Var Annuity — 2010-09-09 | SUN LIFE ASSURANCE COMPANY OF CANADA — Life — 2010-11-17</x:v>
      </x:c>
      <x:c r="AA27" s="4" t="str">
        <x:v>RBC CAPITAL MARKETS, LLC; UBS FINANCIAL SERVICES INSURANCE AGENCY INC.</x:v>
      </x:c>
      <x:c r="AB27" s="4" t="n">
        <x:v>2</x:v>
      </x:c>
      <x:c r="AC27" s="4" t="n">
        <x:v>6</x:v>
      </x:c>
      <x:c r="AD27" s="4" t="str">
        <x:v>UBS FINANCIAL SERVICES INSURANCE AGENCY INC.; RBC CAPITAL MARKETS, LLC</x:v>
      </x:c>
      <x:c r="AE27" s="4" t="str">
        <x:v>RBC CAPITAL MARKETS, LLC — Accident &amp; Health or Sickness — 2018-08-16 | UBS FINANCIAL SERVICES INSURANCE AGENCY INC. — Accident &amp; Health or Sickness — 2009-02-13 | RBC CAPITAL MARKETS, LLC — Var Life and Var Annuity — 2018-08-16 | UBS FINANCIAL SERVICES INSURANCE AGENCY INC. — Life — 2009-10-28 | UBS FINANCIAL SERVICES INSURANCE AGENCY INC. — Var Life and Var Annuity — 2009-10-28 | RBC CAPITAL MARKETS, LLC — Life — 2018-08-16</x:v>
      </x:c>
      <x:c r="AF27" s="4" t="str">
        <x:v>2021-07-12</x:v>
      </x:c>
      <x:c r="AG27" s="4" t="str">
        <x:v>imo-final-approval-rules.md (2026-10-08)</x:v>
      </x:c>
    </x:row>
    <x:row r="28" ht="42" customHeight="1">
      <x:c r="A28" s="4" t="str">
        <x:v>ADAM LIEBERTHAL</x:v>
      </x:c>
      <x:c r="B28" s="8" t="str">
        <x:v>Yes</x:v>
      </x:c>
      <x:c r="C28" s="4" t="str">
        <x:v>Active general Life; Life appointments: ALL SAVERS LIFE INSURANCE COMPANY OF CALIFORNIA; AMERICAN GENERAL LIFE INSURANCE COMPANY; ANTHEM BLUE CROSS LIFE AND HEALTH INSURANCE COMPANY; additional insurers listed; no confirmed exclusion.</x:v>
      </x:c>
      <x:c r="D28" s="10" t="e">
        <x:f>HYPERLINK("https://cdicloud.insurance.ca.gov/cal/LicenseDetail?SearchType=IND&amp;SearchLicNbr=0G76558&amp;SearchIndvId=1301291","https://cdicloud.insurance.ca.gov/cal/LicenseDetail?SearchType=IND&amp;SearchLicNbr=0G76558&amp;SearchIndvId=1301291")</x:f>
        <x:v>HYPERLINK is not implemented. linkLocation=https://cdicloud.insurance.ca.gov/cal/LicenseDetail?SearchType=IND&amp;SearchLicNbr=0G76558&amp;SearchIndvId=1301291, friendlyName=https://cdicloud.insurance.ca.gov/cal/LicenseDetail?SearchType=IND&amp;SearchLicNbr=0G76558&amp;SearchIndvId=1301291</x:v>
      </x:c>
      <x:c r="E28" s="9" t="str">
        <x:v>0G76558</x:v>
      </x:c>
      <x:c r="F28" s="4" t="str">
        <x:v>13351 RIVERSIDE DR # 661 SHERMAN OAKS CA, 91423-2542</x:v>
      </x:c>
      <x:c r="G28" s="4" t="str">
        <x:v>818-419-8031</x:v>
      </x:c>
      <x:c r="H28" s="4" t="str">
        <x:v>https://www.google.com/maps/place/13351%20RIVERSIDE%20DR%20#%20661,%20SHERMAN%20OAKS,%20CA,%20914232542</x:v>
      </x:c>
      <x:c r="I28" s="4" t="str">
        <x:v>91604</x:v>
      </x:c>
      <x:c r="J28" s="4" t="str">
        <x:v>2026-10-08</x:v>
      </x:c>
      <x:c r="K28" s="4" t="str">
        <x:v>English</x:v>
      </x:c>
      <x:c r="L28" s="4" t="str">
        <x:v>Accident &amp; Health or Sickness; Casualty; Life; Property</x:v>
      </x:c>
      <x:c r="M28" s="4" t="str">
        <x:v>Accident &amp; Health or Sickness — issued 2011-02-14 | Casualty — issued 2009-09-30 | Life — issued 2011-02-14 | Property — issued 2009-09-30</x:v>
      </x:c>
      <x:c r="N28" s="4" t="str">
        <x:v>2011-02-14</x:v>
      </x:c>
      <x:c r="O28" s="4" t="n">
        <x:v>15.65</x:v>
      </x:c>
      <x:c r="P28" s="4" t="str">
        <x:v>Yes</x:v>
      </x:c>
      <x:c r="Q28" s="4" t="str">
        <x:v>Yes</x:v>
      </x:c>
      <x:c r="R28" s="4" t="str">
        <x:v>No</x:v>
      </x:c>
      <x:c r="S28" s="4" t="str">
        <x:v>ALL SAVERS LIFE INSURANCE COMPANY OF CALIFORNIA; AMERICAN GENERAL LIFE INSURANCE COMPANY; AMERITAS LIFE INSURANCE CORP.; ANTHEM BLUE CROSS LIFE AND HEALTH INSURANCE COMPANY; ASSURITY LIFE INSURANCE COMPANY; BLUE SHIELD OF CALIFORNIA LIFE &amp; HEALTH INSURANCE COMPANY; HARTFORD CASUALTY INSURANCE COMPANY; HARTFORD UNDERWRITERS INSURANCE COMPANY; HEALTH NET LIFE INSURANCE COMPANY; KAISER PERMANENTE INSURANCE COMPANY; NATIONAL UNION FIRE INSURANCE COMPANY OF PITTSBURGH, PA; PRINCIPAL LIFE INSURANCE COMPANY; PRINCIPAL NATIONAL LIFE INSURANCE COMPANY; PROTECTIVE LIFE INSURANCE COMPANY; PRUCO LIFE INSURANCE COMPANY; SENTINEL INSURANCE COMPANY, LTD.; SYMETRA LIFE INSURANCE COMPANY; TRUMBULL INSURANCE COMPANY; UNITEDHEALTHCARE INSURANCE COMPANY</x:v>
      </x:c>
      <x:c r="T28" s="4" t="n">
        <x:v>33</x:v>
      </x:c>
      <x:c r="U28" s="4" t="n">
        <x:v>19</x:v>
      </x:c>
      <x:c r="V28" s="4" t="str">
        <x:v>ALL SAVERS LIFE INSURANCE COMPANY OF CALIFORNIA; AMERICAN GENERAL LIFE INSURANCE COMPANY; ANTHEM BLUE CROSS LIFE AND HEALTH INSURANCE COMPANY; ASSURITY LIFE INSURANCE COMPANY; BLUE SHIELD OF CALIFORNIA LIFE &amp; HEALTH INSURANCE COMPANY; HEALTH NET LIFE INSURANCE COMPANY; PRINCIPAL LIFE INSURANCE COMPANY; PRINCIPAL NATIONAL LIFE INSURANCE COMPANY; PROTECTIVE LIFE INSURANCE COMPANY; PRUCO LIFE INSURANCE COMPANY; SYMETRA LIFE INSURANCE COMPANY; UNITEDHEALTHCARE INSURANCE COMPANY</x:v>
      </x:c>
      <x:c r="W28" s="4" t="n">
        <x:v>12</x:v>
      </x:c>
      <x:c r="X28" s="4" t="str">
        <x:v>ALL SAVERS LIFE INSURANCE COMPANY OF CALIFORNIA; AMERICAN GENERAL LIFE INSURANCE COMPANY; AMERITAS LIFE INSURANCE CORP.; ANTHEM BLUE CROSS LIFE AND HEALTH INSURANCE COMPANY; ASSURITY LIFE INSURANCE COMPANY; BLUE SHIELD OF CALIFORNIA LIFE &amp; HEALTH INSURANCE COMPANY; HEALTH NET LIFE INSURANCE COMPANY; KAISER PERMANENTE INSURANCE COMPANY; PRINCIPAL LIFE INSURANCE COMPANY; PROTECTIVE LIFE INSURANCE COMPANY; SYMETRA LIFE INSURANCE COMPANY; UNITEDHEALTHCARE INSURANCE COMPANY</x:v>
      </x:c>
      <x:c r="Y28" s="4" t="str">
        <x:v>HARTFORD CASUALTY INSURANCE COMPANY; HARTFORD UNDERWRITERS INSURANCE COMPANY; SENTINEL INSURANCE COMPANY, LTD.; TRUMBULL INSURANCE COMPANY</x:v>
      </x:c>
      <x:c r="Z28" s="4" t="str">
        <x:v>ALL SAVERS LIFE INSURANCE COMPANY OF CALIFORNIA — Accident &amp; Health or Sickness — 2024-08-15 | ALL SAVERS LIFE INSURANCE COMPANY OF CALIFORNIA — Life — 2024-08-15 | AMERICAN GENERAL LIFE INSURANCE COMPANY — Accident &amp; Health or Sickness — 2016-02-17 | AMERICAN GENERAL LIFE INSURANCE COMPANY — Life — 2016-02-17 | AMERITAS LIFE INSURANCE CORP. — Accident &amp; Health or Sickness — 2023-03-01 | ANTHEM BLUE CROSS LIFE AND HEALTH INSURANCE COMPANY — Accident &amp; Health or Sickness — 2011-02-19 | ANTHEM BLUE CROSS LIFE AND HEALTH INSURANCE COMPANY — Life — 2011-02-19 | ASSURITY LIFE INSURANCE COMPANY — Accident &amp; Health or Sickness — 2025-08-05 | ASSURITY LIFE INSURANCE COMPANY — Life — 2025-08-05 | BLUE SHIELD OF CALIFORNIA LIFE &amp; HEALTH INSURANCE COMPANY — Accident &amp; Health or Sickness — 2012-03-12 | BLUE SHIELD OF CALIFORNIA LIFE &amp; HEALTH INSURANCE COMPANY — Life — 2012-03-12 | HARTFORD CASUALTY INSURANCE COMPANY — Casualty — 2014-11-18 | HARTFORD CASUALTY INSURANCE COMPANY — Property — 2014-11-18 | HARTFORD UNDERWRITERS INSURANCE COMPANY — Casualty — 2024-04-10 | HARTFORD UNDERWRITERS INSURANCE COMPANY — Property — 2024-04-10 | HEALTH NET LIFE INSURANCE COMPANY — Accident &amp; Health or Sickness — 2015-01-01 | HEALTH NET LIFE INSURANCE COMPANY — Life — 2015-01-01 | KAISER PERMANENTE INSURANCE COMPANY — Accident &amp; Health or Sickness — 2012-08-30 | NATIONAL UNION FIRE INSURANCE COMPANY OF PITTSBURGH, PA — Travel — 2012-03-23 | PRINCIPAL LIFE INSURANCE COMPANY — Accident &amp; Health or Sickness — 2015-11-17 | PRINCIPAL LIFE INSURANCE COMPANY — Life — 2015-11-17 | PRINCIPAL NATIONAL LIFE INSURANCE COMPANY — Life — 2018-03-15 | PROTECTIVE LIFE INSURANCE COMPANY — Accident &amp; Health or Sickness — 2017-09-25 | PROTECTIVE LIFE INSURANCE COMPANY — Life — 2017-09-25 | PRUCO LIFE INSURANCE COMPANY — Life — 2017-02-17 | SENTINEL INSURANCE COMPANY, LTD. — Casualty — 2014-11-18 | SENTINEL INSURANCE COMPANY, LTD. — Property — 2014-11-18 | SYMETRA LIFE INSURANCE COMPANY — Accident &amp; Health or Sickness — 2025-06-12 | SYMETRA LIFE INSURANCE COMPANY — Life — 2025-06-12 | TRUMBULL INSURANCE COMPANY — Casualty — 2013-02-24 | TRUMBULL INSURANCE COMPANY — Property — 2013-02-24 | UNITEDHEALTHCARE INSURANCE COMPANY — Accident &amp; Health or Sickness — 2024-08-15 | UNITEDHEALTHCARE INSURANCE COMPANY — Life — 2024-08-15</x:v>
      </x:c>
      <x:c r="AA28" s="4" t="str"/>
      <x:c r="AB28" s="4" t="n">
        <x:v>0</x:v>
      </x:c>
      <x:c r="AC28" s="4" t="n">
        <x:v>0</x:v>
      </x:c>
      <x:c r="AD28" s="4" t="str"/>
      <x:c r="AE28" s="4" t="str"/>
      <x:c r="AF28" s="4" t="str">
        <x:v>2025-08-05</x:v>
      </x:c>
      <x:c r="AG28" s="4" t="str">
        <x:v>imo-final-approval-rules.md (2026-10-08)</x:v>
      </x:c>
    </x:row>
    <x:row r="29" ht="42" customHeight="1">
      <x:c r="A29" s="4" t="str">
        <x:v>ADAM MAGSIG</x:v>
      </x:c>
      <x:c r="B29" s="8" t="str">
        <x:v>Yes</x:v>
      </x:c>
      <x:c r="C29" s="4" t="str">
        <x:v>Active general Life; Life appointments: EMPOWER ANNUITY INSURANCE COMPANY; no confirmed exclusion.</x:v>
      </x:c>
      <x:c r="D29" s="10" t="e">
        <x:f>HYPERLINK("https://cdicloud.insurance.ca.gov/cal/LicenseDetail?SearchType=IND&amp;SearchLicNbr=0M15574&amp;SearchIndvId=1971083","https://cdicloud.insurance.ca.gov/cal/LicenseDetail?SearchType=IND&amp;SearchLicNbr=0M15574&amp;SearchIndvId=1971083")</x:f>
        <x:v>HYPERLINK is not implemented. linkLocation=https://cdicloud.insurance.ca.gov/cal/LicenseDetail?SearchType=IND&amp;SearchLicNbr=0M15574&amp;SearchIndvId=1971083, friendlyName=https://cdicloud.insurance.ca.gov/cal/LicenseDetail?SearchType=IND&amp;SearchLicNbr=0M15574&amp;SearchIndvId=1971083</x:v>
      </x:c>
      <x:c r="E29" s="9" t="str">
        <x:v>0M15574</x:v>
      </x:c>
      <x:c r="F29" s="4" t="str">
        <x:v>4901 CARPENTER AVE VALLEY VILLAGE CA, 91607</x:v>
      </x:c>
      <x:c r="G29" s="4" t="str">
        <x:v>917-842-7947</x:v>
      </x:c>
      <x:c r="H29" s="4" t="str">
        <x:v>https://www.google.com/maps/place/4901%20CARPENTER%20AVE,%20VALLEY%20VILLAGE,%20CA,%2091607</x:v>
      </x:c>
      <x:c r="I29" s="4" t="str">
        <x:v>91603 91604</x:v>
      </x:c>
      <x:c r="J29" s="4" t="str">
        <x:v>2026-10-08</x:v>
      </x:c>
      <x:c r="K29" s="4" t="str">
        <x:v>English</x:v>
      </x:c>
      <x:c r="L29" s="4" t="str">
        <x:v>Life</x:v>
      </x:c>
      <x:c r="M29" s="4" t="str">
        <x:v>Life — issued 2018-03-30</x:v>
      </x:c>
      <x:c r="N29" s="4" t="str">
        <x:v>2018-03-30</x:v>
      </x:c>
      <x:c r="O29" s="4" t="n">
        <x:v>8.53</x:v>
      </x:c>
      <x:c r="P29" s="4" t="str">
        <x:v>No</x:v>
      </x:c>
      <x:c r="Q29" s="4" t="str">
        <x:v>No</x:v>
      </x:c>
      <x:c r="R29" s="4" t="str">
        <x:v>No</x:v>
      </x:c>
      <x:c r="S29" s="4" t="str">
        <x:v>EMPOWER ANNUITY INSURANCE COMPANY</x:v>
      </x:c>
      <x:c r="T29" s="4" t="n">
        <x:v>1</x:v>
      </x:c>
      <x:c r="U29" s="4" t="n">
        <x:v>1</x:v>
      </x:c>
      <x:c r="V29" s="4" t="str">
        <x:v>EMPOWER ANNUITY INSURANCE COMPANY</x:v>
      </x:c>
      <x:c r="W29" s="4" t="n">
        <x:v>1</x:v>
      </x:c>
      <x:c r="X29" s="4" t="str"/>
      <x:c r="Y29" s="4" t="str"/>
      <x:c r="Z29" s="4" t="str">
        <x:v>EMPOWER ANNUITY INSURANCE COMPANY — Life — 2018-04-03</x:v>
      </x:c>
      <x:c r="AA29" s="4" t="str"/>
      <x:c r="AB29" s="4" t="n">
        <x:v>0</x:v>
      </x:c>
      <x:c r="AC29" s="4" t="n">
        <x:v>0</x:v>
      </x:c>
      <x:c r="AD29" s="4" t="str"/>
      <x:c r="AE29" s="4" t="str"/>
      <x:c r="AF29" s="4" t="str">
        <x:v>2018-04-03</x:v>
      </x:c>
      <x:c r="AG29" s="4" t="str">
        <x:v>imo-final-approval-rules.md (2026-10-08)</x:v>
      </x:c>
    </x:row>
    <x:row r="30" ht="42" customHeight="1">
      <x:c r="A30" s="4" t="str">
        <x:v>ADAM MALKA</x:v>
      </x:c>
      <x:c r="B30" s="8" t="str">
        <x:v>Yes</x:v>
      </x:c>
      <x:c r="C30" s="4" t="str">
        <x:v>Active general Life; Life appointments: CMFG LIFE INSURANCE COMPANY; no confirmed exclusion.</x:v>
      </x:c>
      <x:c r="D30" s="10" t="e">
        <x:f>HYPERLINK("https://cdicloud.insurance.ca.gov/cal/LicenseDetail?SearchType=IND&amp;SearchLicNbr=0N02320&amp;SearchIndvId=2111874","https://cdicloud.insurance.ca.gov/cal/LicenseDetail?SearchType=IND&amp;SearchLicNbr=0N02320&amp;SearchIndvId=2111874")</x:f>
        <x:v>HYPERLINK is not implemented. linkLocation=https://cdicloud.insurance.ca.gov/cal/LicenseDetail?SearchType=IND&amp;SearchLicNbr=0N02320&amp;SearchIndvId=2111874, friendlyName=https://cdicloud.insurance.ca.gov/cal/LicenseDetail?SearchType=IND&amp;SearchLicNbr=0N02320&amp;SearchIndvId=2111874</x:v>
      </x:c>
      <x:c r="E30" s="9" t="str">
        <x:v>0N02320</x:v>
      </x:c>
      <x:c r="F30" s="4" t="str">
        <x:v>5252 HERMITAGE AVENUE, APT 9 VALLEY VILLAGE CA, 91607</x:v>
      </x:c>
      <x:c r="G30" s="4" t="str"/>
      <x:c r="H30" s="4" t="str">
        <x:v>https://www.google.com/maps/place/5252%20HERMITAGE%20AVENUE,%20APT%209,%20VALLEY%20VILLAGE,%20CA,%2091607</x:v>
      </x:c>
      <x:c r="I30" s="4" t="str">
        <x:v>91604</x:v>
      </x:c>
      <x:c r="J30" s="4" t="str">
        <x:v>2026-10-08</x:v>
      </x:c>
      <x:c r="K30" s="4" t="str">
        <x:v>English</x:v>
      </x:c>
      <x:c r="L30" s="4" t="str">
        <x:v>Accident &amp; Health or Sickness; Casualty; Life; Property</x:v>
      </x:c>
      <x:c r="M30" s="4" t="str">
        <x:v>Accident &amp; Health or Sickness — issued 2019-06-11 | Casualty — issued 2019-06-11 | Life — issued 2019-06-11 | Property — issued 2019-06-11</x:v>
      </x:c>
      <x:c r="N30" s="4" t="str">
        <x:v>2019-06-11</x:v>
      </x:c>
      <x:c r="O30" s="4" t="n">
        <x:v>7.33</x:v>
      </x:c>
      <x:c r="P30" s="4" t="str">
        <x:v>Yes</x:v>
      </x:c>
      <x:c r="Q30" s="4" t="str">
        <x:v>Yes</x:v>
      </x:c>
      <x:c r="R30" s="4" t="str">
        <x:v>No</x:v>
      </x:c>
      <x:c r="S30" s="4" t="str">
        <x:v>CMFG LIFE INSURANCE COMPANY; CUMIS INSURANCE SOCIETY, INC.</x:v>
      </x:c>
      <x:c r="T30" s="4" t="n">
        <x:v>4</x:v>
      </x:c>
      <x:c r="U30" s="4" t="n">
        <x:v>2</x:v>
      </x:c>
      <x:c r="V30" s="4" t="str">
        <x:v>CMFG LIFE INSURANCE COMPANY</x:v>
      </x:c>
      <x:c r="W30" s="4" t="n">
        <x:v>1</x:v>
      </x:c>
      <x:c r="X30" s="4" t="str">
        <x:v>CMFG LIFE INSURANCE COMPANY</x:v>
      </x:c>
      <x:c r="Y30" s="4" t="str">
        <x:v>CUMIS INSURANCE SOCIETY, INC.</x:v>
      </x:c>
      <x:c r="Z30" s="4" t="str">
        <x:v>CMFG LIFE INSURANCE COMPANY — Accident &amp; Health or Sickness — 2019-06-18 | CMFG LIFE INSURANCE COMPANY — Life — 2019-06-18 | CUMIS INSURANCE SOCIETY, INC. — Casualty — 2019-06-18 | CUMIS INSURANCE SOCIETY, INC. — Property — 2019-06-18</x:v>
      </x:c>
      <x:c r="AA30" s="4" t="str"/>
      <x:c r="AB30" s="4" t="n">
        <x:v>0</x:v>
      </x:c>
      <x:c r="AC30" s="4" t="n">
        <x:v>0</x:v>
      </x:c>
      <x:c r="AD30" s="4" t="str"/>
      <x:c r="AE30" s="4" t="str"/>
      <x:c r="AF30" s="4" t="str">
        <x:v>2019-06-18</x:v>
      </x:c>
      <x:c r="AG30" s="4" t="str">
        <x:v>imo-final-approval-rules.md (2026-10-08)</x:v>
      </x:c>
    </x:row>
    <x:row r="31" ht="42" customHeight="1">
      <x:c r="A31" s="4" t="str">
        <x:v>ADAM MICHAELS</x:v>
      </x:c>
      <x:c r="B31" s="8" t="str">
        <x:v>Yes</x:v>
      </x:c>
      <x:c r="C31" s="4" t="str">
        <x:v>Active general Life; Life agency relationship: AURA INSURANCE AGENCY; ENROLLIFY, INC.; no confirmed exclusion.</x:v>
      </x:c>
      <x:c r="D31" s="10" t="e">
        <x:f>HYPERLINK("https://cdicloud.insurance.ca.gov/cal/LicenseDetail?SearchType=IND&amp;SearchLicNbr=0C11891&amp;SearchIndvId=287910","https://cdicloud.insurance.ca.gov/cal/LicenseDetail?SearchType=IND&amp;SearchLicNbr=0C11891&amp;SearchIndvId=287910")</x:f>
        <x:v>HYPERLINK is not implemented. linkLocation=https://cdicloud.insurance.ca.gov/cal/LicenseDetail?SearchType=IND&amp;SearchLicNbr=0C11891&amp;SearchIndvId=287910, friendlyName=https://cdicloud.insurance.ca.gov/cal/LicenseDetail?SearchType=IND&amp;SearchLicNbr=0C11891&amp;SearchIndvId=287910</x:v>
      </x:c>
      <x:c r="E31" s="9" t="str">
        <x:v>0C11891</x:v>
      </x:c>
      <x:c r="F31" s="4" t="str">
        <x:v>2922 CORDA LANE LOS ANGELES CA, 90049</x:v>
      </x:c>
      <x:c r="G31" s="4" t="str">
        <x:v>424-433-4878</x:v>
      </x:c>
      <x:c r="H31" s="4" t="str">
        <x:v>https://www.google.com/maps/place/2922%20CORDA%20LANE,%20LOS%20ANGELES,%20CA,%2090049</x:v>
      </x:c>
      <x:c r="I31" s="4" t="str">
        <x:v>90049</x:v>
      </x:c>
      <x:c r="J31" s="4" t="str">
        <x:v>2026-10-08</x:v>
      </x:c>
      <x:c r="K31" s="4" t="str">
        <x:v>English</x:v>
      </x:c>
      <x:c r="L31" s="4" t="str">
        <x:v>Accident &amp; Health or Sickness; Casualty; Life; Property</x:v>
      </x:c>
      <x:c r="M31" s="4" t="str">
        <x:v>Accident &amp; Health or Sickness — issued 2010-02-08 | Casualty — issued 2024-05-20 | Life — issued 2010-02-08 | Property — issued 2024-05-20</x:v>
      </x:c>
      <x:c r="N31" s="4" t="str">
        <x:v>2010-02-08</x:v>
      </x:c>
      <x:c r="O31" s="4" t="n">
        <x:v>16.66</x:v>
      </x:c>
      <x:c r="P31" s="4" t="str">
        <x:v>Yes</x:v>
      </x:c>
      <x:c r="Q31" s="4" t="str">
        <x:v>Yes</x:v>
      </x:c>
      <x:c r="R31" s="4" t="str">
        <x:v>No</x:v>
      </x:c>
      <x:c r="S31" s="4" t="str">
        <x:v>COMBINED INSURANCE COMPANY OF AMERICA; CONTINENTAL AMERICAN INSURANCE COMPANY; FEDERAL LIFE INSURANCE COMPANY; FIDELITY LIFE ASSOCIATION, A LEGAL RESERVE LIFE INSURANCE COMPANY; GUARDIAN LIFE INSURANCE COMPANY OF AMERICA (THE); INDEPENDENCE AMERICAN INSURANCE COMPANY; TIER ONE INSURANCE COMPANY; TRANSAMERICA LIFE INSURANCE COMPANY</x:v>
      </x:c>
      <x:c r="T31" s="4" t="n">
        <x:v>15</x:v>
      </x:c>
      <x:c r="U31" s="4" t="n">
        <x:v>8</x:v>
      </x:c>
      <x:c r="V31" s="4" t="str">
        <x:v>COMBINED INSURANCE COMPANY OF AMERICA; CONTINENTAL AMERICAN INSURANCE COMPANY; FEDERAL LIFE INSURANCE COMPANY; FIDELITY LIFE ASSOCIATION, A LEGAL RESERVE LIFE INSURANCE COMPANY; GUARDIAN LIFE INSURANCE COMPANY OF AMERICA (THE); TRANSAMERICA LIFE INSURANCE COMPANY</x:v>
      </x:c>
      <x:c r="W31" s="4" t="n">
        <x:v>6</x:v>
      </x:c>
      <x:c r="X31" s="4" t="str">
        <x:v>COMBINED INSURANCE COMPANY OF AMERICA; CONTINENTAL AMERICAN INSURANCE COMPANY; FEDERAL LIFE INSURANCE COMPANY; GUARDIAN LIFE INSURANCE COMPANY OF AMERICA (THE); TIER ONE INSURANCE COMPANY; TRANSAMERICA LIFE INSURANCE COMPANY</x:v>
      </x:c>
      <x:c r="Y31" s="4" t="str">
        <x:v>INDEPENDENCE AMERICAN INSURANCE COMPANY</x:v>
      </x:c>
      <x:c r="Z31" s="4" t="str">
        <x:v>COMBINED INSURANCE COMPANY OF AMERICA — Accident &amp; Health or Sickness — 2018-08-08 | COMBINED INSURANCE COMPANY OF AMERICA — Life — 2018-08-08 | CONTINENTAL AMERICAN INSURANCE COMPANY — Accident &amp; Health or Sickness — 2020-12-21 | CONTINENTAL AMERICAN INSURANCE COMPANY — Disability Only — 2024-10-22 | CONTINENTAL AMERICAN INSURANCE COMPANY — Life — 2020-12-21 | FEDERAL LIFE INSURANCE COMPANY — Accident &amp; Health or Sickness — 2024-12-03 | FEDERAL LIFE INSURANCE COMPANY — Life — 2024-12-03 | FIDELITY LIFE ASSOCIATION, A LEGAL RESERVE LIFE INSURANCE COMPANY — Life — 2025-06-26 | GUARDIAN LIFE INSURANCE COMPANY OF AMERICA (THE) — Accident &amp; Health or Sickness — 2022-01-24 | GUARDIAN LIFE INSURANCE COMPANY OF AMERICA (THE) — Life — 2022-01-24 | INDEPENDENCE AMERICAN INSURANCE COMPANY — Casualty — 2024-07-10 | INDEPENDENCE AMERICAN INSURANCE COMPANY — Property — 2024-07-10 | TIER ONE INSURANCE COMPANY — Accident &amp; Health or Sickness — 2023-12-13 | TRANSAMERICA LIFE INSURANCE COMPANY — Accident &amp; Health or Sickness — 2018-07-13 | TRANSAMERICA LIFE INSURANCE COMPANY — Life — 2018-07-13</x:v>
      </x:c>
      <x:c r="AA31" s="4" t="str">
        <x:v>AURA INSURANCE AGENCY; ENROLLIFY, INC.</x:v>
      </x:c>
      <x:c r="AB31" s="4" t="n">
        <x:v>2</x:v>
      </x:c>
      <x:c r="AC31" s="4" t="n">
        <x:v>6</x:v>
      </x:c>
      <x:c r="AD31" s="4" t="str">
        <x:v>AURA INSURANCE AGENCY; ENROLLIFY, INC.</x:v>
      </x:c>
      <x:c r="AE31" s="4" t="str">
        <x:v>AURA INSURANCE AGENCY — Life — 2023-11-16 | ENROLLIFY, INC. — Accident &amp; Health or Sickness — 2021-03-04 | ENROLLIFY, INC. — Life — 2021-03-04 | AURA INSURANCE AGENCY — Casualty — 2024-06-04 | AURA INSURANCE AGENCY — Property — 2024-06-04 | AURA INSURANCE AGENCY — Accident &amp; Health or Sickness — 2023-11-16</x:v>
      </x:c>
      <x:c r="AF31" s="4" t="str">
        <x:v>2025-06-26</x:v>
      </x:c>
      <x:c r="AG31" s="4" t="str">
        <x:v>imo-final-approval-rules.md (2026-10-08)</x:v>
      </x:c>
    </x:row>
    <x:row r="32" ht="42" customHeight="1">
      <x:c r="A32" s="4" t="str">
        <x:v>ADAM PINELESS</x:v>
      </x:c>
      <x:c r="B32" s="8" t="str">
        <x:v>Yes</x:v>
      </x:c>
      <x:c r="C32" s="4" t="str">
        <x:v>Active general Life; no displayed agency or insurer relationships; lower priority; no confirmed exclusion.</x:v>
      </x:c>
      <x:c r="D32" s="10" t="e">
        <x:f>HYPERLINK("https://cdicloud.insurance.ca.gov/cal/LicenseDetail?SearchType=IND&amp;SearchLicNbr=4439782&amp;SearchIndvId=4439782","https://cdicloud.insurance.ca.gov/cal/LicenseDetail?SearchType=IND&amp;SearchLicNbr=4439782&amp;SearchIndvId=4439782")</x:f>
        <x:v>HYPERLINK is not implemented. linkLocation=https://cdicloud.insurance.ca.gov/cal/LicenseDetail?SearchType=IND&amp;SearchLicNbr=4439782&amp;SearchIndvId=4439782, friendlyName=https://cdicloud.insurance.ca.gov/cal/LicenseDetail?SearchType=IND&amp;SearchLicNbr=4439782&amp;SearchIndvId=4439782</x:v>
      </x:c>
      <x:c r="E32" s="9" t="str">
        <x:v>4439782</x:v>
      </x:c>
      <x:c r="F32" s="4" t="str">
        <x:v>5025 COLDWATER CANYON AVE #27 SHERMAN OAKS CA, 91423</x:v>
      </x:c>
      <x:c r="G32" s="4" t="str">
        <x:v>310-878-2242</x:v>
      </x:c>
      <x:c r="H32" s="4" t="str">
        <x:v>https://www.google.com/maps/place/5025%20COLDWATER%20CANYON%20AVE,%20SHERMAN%20OAKS,%20CA,%2091423</x:v>
      </x:c>
      <x:c r="I32" s="4" t="str">
        <x:v>91604</x:v>
      </x:c>
      <x:c r="J32" s="4" t="str">
        <x:v>2026-10-08</x:v>
      </x:c>
      <x:c r="K32" s="4" t="str">
        <x:v>English</x:v>
      </x:c>
      <x:c r="L32" s="4" t="str">
        <x:v>Accident &amp; Health or Sickness; Life</x:v>
      </x:c>
      <x:c r="M32" s="4" t="str">
        <x:v>Accident &amp; Health or Sickness — issued 2025-02-14 | Life — issued 2025-02-14</x:v>
      </x:c>
      <x:c r="N32" s="4" t="str">
        <x:v>2025-02-14</x:v>
      </x:c>
      <x:c r="O32" s="4" t="n">
        <x:v>1.65</x:v>
      </x:c>
      <x:c r="P32" s="4" t="str">
        <x:v>Yes</x:v>
      </x:c>
      <x:c r="Q32" s="4" t="str">
        <x:v>No</x:v>
      </x:c>
      <x:c r="R32" s="4" t="str">
        <x:v>No</x:v>
      </x:c>
      <x:c r="S32" s="4" t="str"/>
      <x:c r="T32" s="4" t="n">
        <x:v>0</x:v>
      </x:c>
      <x:c r="U32" s="4" t="n">
        <x:v>0</x:v>
      </x:c>
      <x:c r="V32" s="4" t="str"/>
      <x:c r="W32" s="4" t="n">
        <x:v>0</x:v>
      </x:c>
      <x:c r="X32" s="4" t="str"/>
      <x:c r="Y32" s="4" t="str"/>
      <x:c r="Z32" s="4" t="str"/>
      <x:c r="AA32" s="4" t="str"/>
      <x:c r="AB32" s="4" t="n">
        <x:v>0</x:v>
      </x:c>
      <x:c r="AC32" s="4" t="n">
        <x:v>0</x:v>
      </x:c>
      <x:c r="AD32" s="4" t="str"/>
      <x:c r="AE32" s="4" t="str"/>
      <x:c r="AF32" s="4" t="str"/>
      <x:c r="AG32" s="4" t="str">
        <x:v>imo-final-approval-rules.md (2026-10-08)</x:v>
      </x:c>
    </x:row>
    <x:row r="33" ht="42" customHeight="1">
      <x:c r="A33" s="4" t="str">
        <x:v>ADAM PRYOR</x:v>
      </x:c>
      <x:c r="B33" s="8" t="str">
        <x:v>Yes</x:v>
      </x:c>
      <x:c r="C33" s="4" t="str">
        <x:v>Active general Life; no displayed agency or insurer relationships; lower priority; no confirmed exclusion.</x:v>
      </x:c>
      <x:c r="D33" s="10" t="e">
        <x:f>HYPERLINK("https://cdicloud.insurance.ca.gov/cal/LicenseDetail?SearchType=IND&amp;SearchLicNbr=4514497&amp;SearchIndvId=4514497","https://cdicloud.insurance.ca.gov/cal/LicenseDetail?SearchType=IND&amp;SearchLicNbr=4514497&amp;SearchIndvId=4514497")</x:f>
        <x:v>HYPERLINK is not implemented. linkLocation=https://cdicloud.insurance.ca.gov/cal/LicenseDetail?SearchType=IND&amp;SearchLicNbr=4514497&amp;SearchIndvId=4514497, friendlyName=https://cdicloud.insurance.ca.gov/cal/LicenseDetail?SearchType=IND&amp;SearchLicNbr=4514497&amp;SearchIndvId=4514497</x:v>
      </x:c>
      <x:c r="E33" s="9" t="str">
        <x:v>4514497</x:v>
      </x:c>
      <x:c r="F33" s="4" t="str">
        <x:v>15474 LOOM PL. LOS ANGELES CA, 91403</x:v>
      </x:c>
      <x:c r="G33" s="4" t="str">
        <x:v>407-702-9390</x:v>
      </x:c>
      <x:c r="H33" s="4" t="str">
        <x:v>https://www.google.com/maps/place/15474%20LOOM%20PL.,%20LOS%20ANGELES,%20CA,%2091403</x:v>
      </x:c>
      <x:c r="I33" s="4" t="str">
        <x:v>90049</x:v>
      </x:c>
      <x:c r="J33" s="4" t="str">
        <x:v>2026-10-08</x:v>
      </x:c>
      <x:c r="K33" s="4" t="str">
        <x:v>English</x:v>
      </x:c>
      <x:c r="L33" s="4" t="str">
        <x:v>Accident &amp; Health or Sickness; Life</x:v>
      </x:c>
      <x:c r="M33" s="4" t="str">
        <x:v>Accident &amp; Health or Sickness — issued 2025-12-08 | Life — issued 2025-12-08</x:v>
      </x:c>
      <x:c r="N33" s="4" t="str">
        <x:v>2025-12-08</x:v>
      </x:c>
      <x:c r="O33" s="4" t="n">
        <x:v>0.83</x:v>
      </x:c>
      <x:c r="P33" s="4" t="str">
        <x:v>Yes</x:v>
      </x:c>
      <x:c r="Q33" s="4" t="str">
        <x:v>No</x:v>
      </x:c>
      <x:c r="R33" s="4" t="str">
        <x:v>No</x:v>
      </x:c>
      <x:c r="S33" s="4" t="str"/>
      <x:c r="T33" s="4" t="n">
        <x:v>0</x:v>
      </x:c>
      <x:c r="U33" s="4" t="n">
        <x:v>0</x:v>
      </x:c>
      <x:c r="V33" s="4" t="str"/>
      <x:c r="W33" s="4" t="n">
        <x:v>0</x:v>
      </x:c>
      <x:c r="X33" s="4" t="str"/>
      <x:c r="Y33" s="4" t="str"/>
      <x:c r="Z33" s="4" t="str"/>
      <x:c r="AA33" s="4" t="str"/>
      <x:c r="AB33" s="4" t="n">
        <x:v>0</x:v>
      </x:c>
      <x:c r="AC33" s="4" t="n">
        <x:v>0</x:v>
      </x:c>
      <x:c r="AD33" s="4" t="str"/>
      <x:c r="AE33" s="4" t="str"/>
      <x:c r="AF33" s="4" t="str"/>
      <x:c r="AG33" s="4" t="str">
        <x:v>imo-final-approval-rules.md (2026-10-08)</x:v>
      </x:c>
    </x:row>
    <x:row r="34" ht="42" customHeight="1">
      <x:c r="A34" s="4" t="str">
        <x:v>ADAM STRAUSS</x:v>
      </x:c>
      <x:c r="B34" s="8" t="str">
        <x:v>Yes</x:v>
      </x:c>
      <x:c r="C34" s="4" t="str">
        <x:v>Active general Life; Life appointments: ATHENE ANNUITY AND LIFE COMPANY; no confirmed exclusion.</x:v>
      </x:c>
      <x:c r="D34" s="10" t="e">
        <x:f>HYPERLINK("https://cdicloud.insurance.ca.gov/cal/LicenseDetail?SearchType=IND&amp;SearchLicNbr=0H84652&amp;SearchIndvId=1508957","https://cdicloud.insurance.ca.gov/cal/LicenseDetail?SearchType=IND&amp;SearchLicNbr=0H84652&amp;SearchIndvId=1508957")</x:f>
        <x:v>HYPERLINK is not implemented. linkLocation=https://cdicloud.insurance.ca.gov/cal/LicenseDetail?SearchType=IND&amp;SearchLicNbr=0H84652&amp;SearchIndvId=1508957, friendlyName=https://cdicloud.insurance.ca.gov/cal/LicenseDetail?SearchType=IND&amp;SearchLicNbr=0H84652&amp;SearchIndvId=1508957</x:v>
      </x:c>
      <x:c r="E34" s="9" t="str">
        <x:v>0H84652</x:v>
      </x:c>
      <x:c r="F34" s="4" t="str">
        <x:v>2567 HARGRAVE DR LOS ANGELES CA, 90068</x:v>
      </x:c>
      <x:c r="G34" s="4" t="str">
        <x:v>818-688-2170</x:v>
      </x:c>
      <x:c r="H34" s="4" t="str">
        <x:v>https://www.google.com/maps/place/2567%20HARGRAVE%20DR,%20LOS%20ANGELES,%20CA,%2090068</x:v>
      </x:c>
      <x:c r="I34" s="4" t="str">
        <x:v>90028</x:v>
      </x:c>
      <x:c r="J34" s="4" t="str">
        <x:v>2026-10-08</x:v>
      </x:c>
      <x:c r="K34" s="4" t="str">
        <x:v>English</x:v>
      </x:c>
      <x:c r="L34" s="4" t="str">
        <x:v>Accident &amp; Health or Sickness; Life</x:v>
      </x:c>
      <x:c r="M34" s="4" t="str">
        <x:v>Accident &amp; Health or Sickness — issued 2012-04-24 | Life — issued 2012-04-24</x:v>
      </x:c>
      <x:c r="N34" s="4" t="str">
        <x:v>2012-04-24</x:v>
      </x:c>
      <x:c r="O34" s="4" t="n">
        <x:v>14.46</x:v>
      </x:c>
      <x:c r="P34" s="4" t="str">
        <x:v>Yes</x:v>
      </x:c>
      <x:c r="Q34" s="4" t="str">
        <x:v>No</x:v>
      </x:c>
      <x:c r="R34" s="4" t="str">
        <x:v>No</x:v>
      </x:c>
      <x:c r="S34" s="4" t="str">
        <x:v>ATHENE ANNUITY AND LIFE COMPANY</x:v>
      </x:c>
      <x:c r="T34" s="4" t="n">
        <x:v>1</x:v>
      </x:c>
      <x:c r="U34" s="4" t="n">
        <x:v>1</x:v>
      </x:c>
      <x:c r="V34" s="4" t="str">
        <x:v>ATHENE ANNUITY AND LIFE COMPANY</x:v>
      </x:c>
      <x:c r="W34" s="4" t="n">
        <x:v>1</x:v>
      </x:c>
      <x:c r="X34" s="4" t="str"/>
      <x:c r="Y34" s="4" t="str"/>
      <x:c r="Z34" s="4" t="str">
        <x:v>ATHENE ANNUITY AND LIFE COMPANY — Life — 2026-07-24</x:v>
      </x:c>
      <x:c r="AA34" s="4" t="str"/>
      <x:c r="AB34" s="4" t="n">
        <x:v>0</x:v>
      </x:c>
      <x:c r="AC34" s="4" t="n">
        <x:v>0</x:v>
      </x:c>
      <x:c r="AD34" s="4" t="str"/>
      <x:c r="AE34" s="4" t="str"/>
      <x:c r="AF34" s="4" t="str">
        <x:v>2026-07-24</x:v>
      </x:c>
      <x:c r="AG34" s="4" t="str">
        <x:v>imo-final-approval-rules.md (2026-10-08)</x:v>
      </x:c>
    </x:row>
    <x:row r="35" ht="42" customHeight="1">
      <x:c r="A35" s="4" t="str">
        <x:v>ADEL SAID</x:v>
      </x:c>
      <x:c r="B35" s="8" t="str">
        <x:v>Yes</x:v>
      </x:c>
      <x:c r="C35" s="4" t="str">
        <x:v>Active general Life; no displayed agency or insurer relationships; lower priority; no confirmed exclusion.</x:v>
      </x:c>
      <x:c r="D35" s="10" t="e">
        <x:f>HYPERLINK("https://cdicloud.insurance.ca.gov/cal/LicenseDetail?SearchType=IND&amp;SearchLicNbr=0708051&amp;SearchIndvId=418619","https://cdicloud.insurance.ca.gov/cal/LicenseDetail?SearchType=IND&amp;SearchLicNbr=0708051&amp;SearchIndvId=418619")</x:f>
        <x:v>HYPERLINK is not implemented. linkLocation=https://cdicloud.insurance.ca.gov/cal/LicenseDetail?SearchType=IND&amp;SearchLicNbr=0708051&amp;SearchIndvId=418619, friendlyName=https://cdicloud.insurance.ca.gov/cal/LicenseDetail?SearchType=IND&amp;SearchLicNbr=0708051&amp;SearchIndvId=418619</x:v>
      </x:c>
      <x:c r="E35" s="9" t="str">
        <x:v>0708051</x:v>
      </x:c>
      <x:c r="F35" s="4" t="str">
        <x:v>17225 LASSEN STREET NORTHRIDGE CA, 91325</x:v>
      </x:c>
      <x:c r="G35" s="4" t="str">
        <x:v>818-425-1365</x:v>
      </x:c>
      <x:c r="H35" s="4" t="str">
        <x:v>https://www.google.com/maps/place/17225%20LASSEN%20STREET,%20NORTHRIDGE,%20CA,%2091325</x:v>
      </x:c>
      <x:c r="I35" s="4" t="str">
        <x:v>91325</x:v>
      </x:c>
      <x:c r="J35" s="4" t="str">
        <x:v>2026-10-08</x:v>
      </x:c>
      <x:c r="K35" s="4" t="str">
        <x:v>English</x:v>
      </x:c>
      <x:c r="L35" s="4" t="str">
        <x:v>Accident &amp; Health or Sickness; Casualty; Life; Property</x:v>
      </x:c>
      <x:c r="M35" s="4" t="str">
        <x:v>Accident &amp; Health or Sickness — issued 1990-10-16 | Casualty — issued 1990-10-16 | Life — issued 1990-10-16 | Property — issued 1990-10-16</x:v>
      </x:c>
      <x:c r="N35" s="4" t="str">
        <x:v>1990-10-16</x:v>
      </x:c>
      <x:c r="O35" s="4" t="n">
        <x:v>35.98</x:v>
      </x:c>
      <x:c r="P35" s="4" t="str">
        <x:v>Yes</x:v>
      </x:c>
      <x:c r="Q35" s="4" t="str">
        <x:v>Yes</x:v>
      </x:c>
      <x:c r="R35" s="4" t="str">
        <x:v>No</x:v>
      </x:c>
      <x:c r="S35" s="4" t="str"/>
      <x:c r="T35" s="4" t="n">
        <x:v>0</x:v>
      </x:c>
      <x:c r="U35" s="4" t="n">
        <x:v>0</x:v>
      </x:c>
      <x:c r="V35" s="4" t="str"/>
      <x:c r="W35" s="4" t="n">
        <x:v>0</x:v>
      </x:c>
      <x:c r="X35" s="4" t="str"/>
      <x:c r="Y35" s="4" t="str"/>
      <x:c r="Z35" s="4" t="str"/>
      <x:c r="AA35" s="4" t="str"/>
      <x:c r="AB35" s="4" t="n">
        <x:v>0</x:v>
      </x:c>
      <x:c r="AC35" s="4" t="n">
        <x:v>0</x:v>
      </x:c>
      <x:c r="AD35" s="4" t="str"/>
      <x:c r="AE35" s="4" t="str"/>
      <x:c r="AF35" s="4" t="str"/>
      <x:c r="AG35" s="4" t="str">
        <x:v>imo-final-approval-rules.md (2026-10-08)</x:v>
      </x:c>
    </x:row>
    <x:row r="36" ht="42" customHeight="1">
      <x:c r="A36" s="4" t="str">
        <x:v>ADELA CORTEZ</x:v>
      </x:c>
      <x:c r="B36" s="8" t="str">
        <x:v>Yes</x:v>
      </x:c>
      <x:c r="C36" s="4" t="str">
        <x:v>Active general Life; Life appointments: AMERICAN NATIONAL INSURANCE COMPANY; FIDELITY &amp; GUARANTY LIFE INSURANCE COMPANY; INDEPENDENT ORDER OF FORESTERS (THE); additional insurers listed; no confirmed exclusion.</x:v>
      </x:c>
      <x:c r="D36" s="10" t="e">
        <x:f>HYPERLINK("https://cdicloud.insurance.ca.gov/cal/LicenseDetail?SearchType=IND&amp;SearchLicNbr=0H24234&amp;SearchIndvId=1363878","https://cdicloud.insurance.ca.gov/cal/LicenseDetail?SearchType=IND&amp;SearchLicNbr=0H24234&amp;SearchIndvId=1363878")</x:f>
        <x:v>HYPERLINK is not implemented. linkLocation=https://cdicloud.insurance.ca.gov/cal/LicenseDetail?SearchType=IND&amp;SearchLicNbr=0H24234&amp;SearchIndvId=1363878, friendlyName=https://cdicloud.insurance.ca.gov/cal/LicenseDetail?SearchType=IND&amp;SearchLicNbr=0H24234&amp;SearchIndvId=1363878</x:v>
      </x:c>
      <x:c r="E36" s="9" t="str">
        <x:v>0H24234</x:v>
      </x:c>
      <x:c r="F36" s="4" t="str">
        <x:v>11559 SHERMAN WAY B NORTH HOLLYWOOD CA, 91605</x:v>
      </x:c>
      <x:c r="G36" s="4" t="str">
        <x:v>818-255-1449</x:v>
      </x:c>
      <x:c r="H36" s="4" t="str">
        <x:v>https://www.google.com/maps/place/11559%20SHERMAN%20WAY,%20NORTH%20HOLLYWOOD,%20CA,%2091605</x:v>
      </x:c>
      <x:c r="I36" s="4" t="str">
        <x:v>91353 91609</x:v>
      </x:c>
      <x:c r="J36" s="4" t="str">
        <x:v>2026-10-08</x:v>
      </x:c>
      <x:c r="K36" s="4" t="str">
        <x:v>English</x:v>
      </x:c>
      <x:c r="L36" s="4" t="str">
        <x:v>Life</x:v>
      </x:c>
      <x:c r="M36" s="4" t="str">
        <x:v>Life — issued 2010-11-16</x:v>
      </x:c>
      <x:c r="N36" s="4" t="str">
        <x:v>2010-11-16</x:v>
      </x:c>
      <x:c r="O36" s="4" t="n">
        <x:v>15.89</x:v>
      </x:c>
      <x:c r="P36" s="4" t="str">
        <x:v>No</x:v>
      </x:c>
      <x:c r="Q36" s="4" t="str">
        <x:v>No</x:v>
      </x:c>
      <x:c r="R36" s="4" t="str">
        <x:v>No</x:v>
      </x:c>
      <x:c r="S36" s="4" t="str">
        <x:v>AMERICAN NATIONAL INSURANCE COMPANY; FIDELITY &amp; GUARANTY LIFE INSURANCE COMPANY; INDEPENDENT ORDER OF FORESTERS (THE); LIFE INSURANCE COMPANY OF THE SOUTHWEST</x:v>
      </x:c>
      <x:c r="T36" s="4" t="n">
        <x:v>4</x:v>
      </x:c>
      <x:c r="U36" s="4" t="n">
        <x:v>4</x:v>
      </x:c>
      <x:c r="V36" s="4" t="str">
        <x:v>AMERICAN NATIONAL INSURANCE COMPANY; FIDELITY &amp; GUARANTY LIFE INSURANCE COMPANY; INDEPENDENT ORDER OF FORESTERS (THE); LIFE INSURANCE COMPANY OF THE SOUTHWEST</x:v>
      </x:c>
      <x:c r="W36" s="4" t="n">
        <x:v>4</x:v>
      </x:c>
      <x:c r="X36" s="4" t="str"/>
      <x:c r="Y36" s="4" t="str"/>
      <x:c r="Z36" s="4" t="str">
        <x:v>AMERICAN NATIONAL INSURANCE COMPANY — Life — 2025-08-13 | FIDELITY &amp; GUARANTY LIFE INSURANCE COMPANY — Life — 2026-06-02 | INDEPENDENT ORDER OF FORESTERS (THE) — Life — 2025-09-18 | LIFE INSURANCE COMPANY OF THE SOUTHWEST — Life — 2025-08-14</x:v>
      </x:c>
      <x:c r="AA36" s="4" t="str"/>
      <x:c r="AB36" s="4" t="n">
        <x:v>0</x:v>
      </x:c>
      <x:c r="AC36" s="4" t="n">
        <x:v>0</x:v>
      </x:c>
      <x:c r="AD36" s="4" t="str"/>
      <x:c r="AE36" s="4" t="str"/>
      <x:c r="AF36" s="4" t="str">
        <x:v>2026-06-02</x:v>
      </x:c>
      <x:c r="AG36" s="4" t="str">
        <x:v>imo-final-approval-rules.md (2026-10-08)</x:v>
      </x:c>
    </x:row>
    <x:row r="37" ht="42" customHeight="1">
      <x:c r="A37" s="4" t="str">
        <x:v>ADELA RAMOS GONZALEZ</x:v>
      </x:c>
      <x:c r="B37" s="8" t="str">
        <x:v>Yes</x:v>
      </x:c>
      <x:c r="C37" s="4" t="str">
        <x:v>Active general Life; Life appointments: AMERICAN NATIONAL INSURANCE COMPANY; INDEPENDENT ORDER OF FORESTERS (THE); LIFE INSURANCE COMPANY OF THE SOUTHWEST; no confirmed exclusion.</x:v>
      </x:c>
      <x:c r="D37" s="10" t="e">
        <x:f>HYPERLINK("https://cdicloud.insurance.ca.gov/cal/LicenseDetail?SearchType=IND&amp;SearchLicNbr=4418703&amp;SearchIndvId=4418703","https://cdicloud.insurance.ca.gov/cal/LicenseDetail?SearchType=IND&amp;SearchLicNbr=4418703&amp;SearchIndvId=4418703")</x:f>
        <x:v>HYPERLINK is not implemented. linkLocation=https://cdicloud.insurance.ca.gov/cal/LicenseDetail?SearchType=IND&amp;SearchLicNbr=4418703&amp;SearchIndvId=4418703, friendlyName=https://cdicloud.insurance.ca.gov/cal/LicenseDetail?SearchType=IND&amp;SearchLicNbr=4418703&amp;SearchIndvId=4418703</x:v>
      </x:c>
      <x:c r="E37" s="9" t="str">
        <x:v>4418703</x:v>
      </x:c>
      <x:c r="F37" s="4" t="str">
        <x:v>533 N VICTORY BLVD BURBANK CA, 91502</x:v>
      </x:c>
      <x:c r="G37" s="4" t="str">
        <x:v>323-742-0388</x:v>
      </x:c>
      <x:c r="H37" s="4" t="str">
        <x:v>https://www.google.com/maps/place/533%20N%20VICTORY%20BLVD,%20BURBANK,%20CA,%2091502</x:v>
      </x:c>
      <x:c r="I37" s="4" t="str">
        <x:v>91506</x:v>
      </x:c>
      <x:c r="J37" s="4" t="str">
        <x:v>2026-10-08</x:v>
      </x:c>
      <x:c r="K37" s="4" t="str">
        <x:v>English</x:v>
      </x:c>
      <x:c r="L37" s="4" t="str">
        <x:v>Life</x:v>
      </x:c>
      <x:c r="M37" s="4" t="str">
        <x:v>Life — issued 2025-04-16</x:v>
      </x:c>
      <x:c r="N37" s="4" t="str">
        <x:v>2025-04-16</x:v>
      </x:c>
      <x:c r="O37" s="4" t="n">
        <x:v>1.48</x:v>
      </x:c>
      <x:c r="P37" s="4" t="str">
        <x:v>No</x:v>
      </x:c>
      <x:c r="Q37" s="4" t="str">
        <x:v>No</x:v>
      </x:c>
      <x:c r="R37" s="4" t="str">
        <x:v>No</x:v>
      </x:c>
      <x:c r="S37" s="4" t="str">
        <x:v>AMERICAN NATIONAL INSURANCE COMPANY; INDEPENDENT ORDER OF FORESTERS (THE); LIFE INSURANCE COMPANY OF THE SOUTHWEST</x:v>
      </x:c>
      <x:c r="T37" s="4" t="n">
        <x:v>3</x:v>
      </x:c>
      <x:c r="U37" s="4" t="n">
        <x:v>3</x:v>
      </x:c>
      <x:c r="V37" s="4" t="str">
        <x:v>AMERICAN NATIONAL INSURANCE COMPANY; INDEPENDENT ORDER OF FORESTERS (THE); LIFE INSURANCE COMPANY OF THE SOUTHWEST</x:v>
      </x:c>
      <x:c r="W37" s="4" t="n">
        <x:v>3</x:v>
      </x:c>
      <x:c r="X37" s="4" t="str"/>
      <x:c r="Y37" s="4" t="str"/>
      <x:c r="Z37" s="4" t="str">
        <x:v>AMERICAN NATIONAL INSURANCE COMPANY — Life — 2025-05-20 | INDEPENDENT ORDER OF FORESTERS (THE) — Life — 2025-06-25 | LIFE INSURANCE COMPANY OF THE SOUTHWEST — Life — 2025-08-19</x:v>
      </x:c>
      <x:c r="AA37" s="4" t="str"/>
      <x:c r="AB37" s="4" t="n">
        <x:v>0</x:v>
      </x:c>
      <x:c r="AC37" s="4" t="n">
        <x:v>0</x:v>
      </x:c>
      <x:c r="AD37" s="4" t="str"/>
      <x:c r="AE37" s="4" t="str"/>
      <x:c r="AF37" s="4" t="str">
        <x:v>2025-08-19</x:v>
      </x:c>
      <x:c r="AG37" s="4" t="str">
        <x:v>imo-final-approval-rules.md (2026-10-08)</x:v>
      </x:c>
    </x:row>
    <x:row r="38" ht="42" customHeight="1">
      <x:c r="A38" s="4" t="str">
        <x:v>ADELA WONG</x:v>
      </x:c>
      <x:c r="B38" s="8" t="str">
        <x:v>Yes</x:v>
      </x:c>
      <x:c r="C38" s="4" t="str">
        <x:v>Active general Life; no displayed agency or insurer relationships; lower priority; no confirmed exclusion.</x:v>
      </x:c>
      <x:c r="D38" s="10" t="e">
        <x:f>HYPERLINK("https://cdicloud.insurance.ca.gov/cal/LicenseDetail?SearchType=IND&amp;SearchLicNbr=0B40716&amp;SearchIndvId=220587","https://cdicloud.insurance.ca.gov/cal/LicenseDetail?SearchType=IND&amp;SearchLicNbr=0B40716&amp;SearchIndvId=220587")</x:f>
        <x:v>HYPERLINK is not implemented. linkLocation=https://cdicloud.insurance.ca.gov/cal/LicenseDetail?SearchType=IND&amp;SearchLicNbr=0B40716&amp;SearchIndvId=220587, friendlyName=https://cdicloud.insurance.ca.gov/cal/LicenseDetail?SearchType=IND&amp;SearchLicNbr=0B40716&amp;SearchIndvId=220587</x:v>
      </x:c>
      <x:c r="E38" s="9" t="str">
        <x:v>0B40716</x:v>
      </x:c>
      <x:c r="F38" s="4" t="str">
        <x:v>4141 VIA MARISOL APT 218 4141 VIA MARISOL APT 218 LOS ANGELES CA, 90042</x:v>
      </x:c>
      <x:c r="G38" s="4" t="str">
        <x:v>323-804-5617</x:v>
      </x:c>
      <x:c r="H38" s="4" t="str">
        <x:v>https://www.google.com/maps/place/4141%20VIA%20MARISOL%20APT%20218,%20LOS%20ANGELES,%20CA,%2090042</x:v>
      </x:c>
      <x:c r="I38" s="4" t="str">
        <x:v>90042</x:v>
      </x:c>
      <x:c r="J38" s="4" t="str">
        <x:v>2026-10-08</x:v>
      </x:c>
      <x:c r="K38" s="4" t="str">
        <x:v>English</x:v>
      </x:c>
      <x:c r="L38" s="4" t="str">
        <x:v>Accident &amp; Health or Sickness; Life</x:v>
      </x:c>
      <x:c r="M38" s="4" t="str">
        <x:v>Accident &amp; Health or Sickness — issued 1994-06-21 | Life — issued 1994-06-21</x:v>
      </x:c>
      <x:c r="N38" s="4" t="str">
        <x:v>1994-06-21</x:v>
      </x:c>
      <x:c r="O38" s="4" t="n">
        <x:v>32.3</x:v>
      </x:c>
      <x:c r="P38" s="4" t="str">
        <x:v>Yes</x:v>
      </x:c>
      <x:c r="Q38" s="4" t="str">
        <x:v>No</x:v>
      </x:c>
      <x:c r="R38" s="4" t="str">
        <x:v>No</x:v>
      </x:c>
      <x:c r="S38" s="4" t="str"/>
      <x:c r="T38" s="4" t="n">
        <x:v>0</x:v>
      </x:c>
      <x:c r="U38" s="4" t="n">
        <x:v>0</x:v>
      </x:c>
      <x:c r="V38" s="4" t="str"/>
      <x:c r="W38" s="4" t="n">
        <x:v>0</x:v>
      </x:c>
      <x:c r="X38" s="4" t="str"/>
      <x:c r="Y38" s="4" t="str"/>
      <x:c r="Z38" s="4" t="str"/>
      <x:c r="AA38" s="4" t="str"/>
      <x:c r="AB38" s="4" t="n">
        <x:v>0</x:v>
      </x:c>
      <x:c r="AC38" s="4" t="n">
        <x:v>0</x:v>
      </x:c>
      <x:c r="AD38" s="4" t="str"/>
      <x:c r="AE38" s="4" t="str"/>
      <x:c r="AF38" s="4" t="str"/>
      <x:c r="AG38" s="4" t="str">
        <x:v>imo-final-approval-rules.md (2026-10-08)</x:v>
      </x:c>
    </x:row>
    <x:row r="39" ht="42" customHeight="1">
      <x:c r="A39" s="4" t="str">
        <x:v>ADELAIDA SIMONYAN</x:v>
      </x:c>
      <x:c r="B39" s="8" t="str">
        <x:v>Yes</x:v>
      </x:c>
      <x:c r="C39" s="4" t="str">
        <x:v>Active general Life; Life agency relationship: WORLD FINANCIAL GROUP INSURANCE AGENCY, LLC; no confirmed exclusion.</x:v>
      </x:c>
      <x:c r="D39" s="10" t="e">
        <x:f>HYPERLINK("https://cdicloud.insurance.ca.gov/cal/LicenseDetail?SearchType=IND&amp;SearchLicNbr=0H50806&amp;SearchIndvId=1464787","https://cdicloud.insurance.ca.gov/cal/LicenseDetail?SearchType=IND&amp;SearchLicNbr=0H50806&amp;SearchIndvId=1464787")</x:f>
        <x:v>HYPERLINK is not implemented. linkLocation=https://cdicloud.insurance.ca.gov/cal/LicenseDetail?SearchType=IND&amp;SearchLicNbr=0H50806&amp;SearchIndvId=1464787, friendlyName=https://cdicloud.insurance.ca.gov/cal/LicenseDetail?SearchType=IND&amp;SearchLicNbr=0H50806&amp;SearchIndvId=1464787</x:v>
      </x:c>
      <x:c r="E39" s="9" t="str">
        <x:v>0H50806</x:v>
      </x:c>
      <x:c r="F39" s="4" t="str">
        <x:v>4605 LANKERSHIM BLVD SUITE 510 NORTH HOLLYWOOD CA, 91602</x:v>
      </x:c>
      <x:c r="G39" s="4" t="str">
        <x:v>626-482-6812</x:v>
      </x:c>
      <x:c r="H39" s="4" t="str">
        <x:v>https://www.google.com/maps/place/4605%20LANKERSHIM%20BLVD%20SUITE%20510,%20NORTH%20HOLLYWOOD,%20CA,%2091602</x:v>
      </x:c>
      <x:c r="I39" s="4" t="str">
        <x:v>91608</x:v>
      </x:c>
      <x:c r="J39" s="4" t="str">
        <x:v>2026-10-08</x:v>
      </x:c>
      <x:c r="K39" s="4" t="str">
        <x:v>English</x:v>
      </x:c>
      <x:c r="L39" s="4" t="str">
        <x:v>Accident &amp; Health or Sickness; Life</x:v>
      </x:c>
      <x:c r="M39" s="4" t="str">
        <x:v>Accident &amp; Health or Sickness — issued 2011-07-28 | Life — issued 2011-07-28</x:v>
      </x:c>
      <x:c r="N39" s="4" t="str">
        <x:v>2011-07-28</x:v>
      </x:c>
      <x:c r="O39" s="4" t="n">
        <x:v>15.2</x:v>
      </x:c>
      <x:c r="P39" s="4" t="str">
        <x:v>Yes</x:v>
      </x:c>
      <x:c r="Q39" s="4" t="str">
        <x:v>No</x:v>
      </x:c>
      <x:c r="R39" s="4" t="str">
        <x:v>No</x:v>
      </x:c>
      <x:c r="S39" s="4" t="str">
        <x:v>ATHENE ANNUITY AND LIFE COMPANY; COLONIAL LIFE &amp; ACCIDENT INSURANCE COMPANY; IA AMERICAN LIFE INSURANCE COMPANY; NATIONWIDE LIFE AND ANNUITY INSURANCE COMPANY; NATIONWIDE LIFE INSURANCE COMPANY; STANDARD INSURANCE COMPANY</x:v>
      </x:c>
      <x:c r="T39" s="4" t="n">
        <x:v>9</x:v>
      </x:c>
      <x:c r="U39" s="4" t="n">
        <x:v>6</x:v>
      </x:c>
      <x:c r="V39" s="4" t="str">
        <x:v>ATHENE ANNUITY AND LIFE COMPANY; COLONIAL LIFE &amp; ACCIDENT INSURANCE COMPANY; IA AMERICAN LIFE INSURANCE COMPANY; NATIONWIDE LIFE AND ANNUITY INSURANCE COMPANY; NATIONWIDE LIFE INSURANCE COMPANY</x:v>
      </x:c>
      <x:c r="W39" s="4" t="n">
        <x:v>5</x:v>
      </x:c>
      <x:c r="X39" s="4" t="str">
        <x:v>COLONIAL LIFE &amp; ACCIDENT INSURANCE COMPANY; NATIONWIDE LIFE AND ANNUITY INSURANCE COMPANY; NATIONWIDE LIFE INSURANCE COMPANY; STANDARD INSURANCE COMPANY</x:v>
      </x:c>
      <x:c r="Y39" s="4" t="str"/>
      <x:c r="Z39" s="4" t="str">
        <x:v>ATHENE ANNUITY AND LIFE COMPANY — Life — 2021-05-27 | COLONIAL LIFE &amp; ACCIDENT INSURANCE COMPANY — Accident &amp; Health or Sickness — 2022-10-23 | COLONIAL LIFE &amp; ACCIDENT INSURANCE COMPANY — Life — 2022-10-23 | IA AMERICAN LIFE INSURANCE COMPANY — Life — 2018-06-15 | NATIONWIDE LIFE AND ANNUITY INSURANCE COMPANY — Accident &amp; Health or Sickness — 2023-01-27 | NATIONWIDE LIFE AND ANNUITY INSURANCE COMPANY — Life — 2023-01-27 | NATIONWIDE LIFE INSURANCE COMPANY — Accident &amp; Health or Sickness — 2020-09-03 | NATIONWIDE LIFE INSURANCE COMPANY — Life — 2020-09-03 | STANDARD INSURANCE COMPANY — Accident &amp; Health or Sickness — 2021-10-09</x:v>
      </x:c>
      <x:c r="AA39" s="4" t="str">
        <x:v>WORLD FINANCIAL GROUP INSURANCE AGENCY, LLC</x:v>
      </x:c>
      <x:c r="AB39" s="4" t="n">
        <x:v>1</x:v>
      </x:c>
      <x:c r="AC39" s="4" t="n">
        <x:v>2</x:v>
      </x:c>
      <x:c r="AD39" s="4" t="str">
        <x:v>WORLD FINANCIAL GROUP INSURANCE AGENCY, LLC</x:v>
      </x:c>
      <x:c r="AE39" s="4" t="str">
        <x:v>WORLD FINANCIAL GROUP INSURANCE AGENCY, LLC — Life — 2016-04-14 | WORLD FINANCIAL GROUP INSURANCE AGENCY, LLC — Accident &amp; Health or Sickness — 2016-04-14</x:v>
      </x:c>
      <x:c r="AF39" s="4" t="str">
        <x:v>2023-01-27</x:v>
      </x:c>
      <x:c r="AG39" s="4" t="str">
        <x:v>imo-final-approval-rules.md (2026-10-08)</x:v>
      </x:c>
    </x:row>
    <x:row r="40" ht="42" customHeight="1">
      <x:c r="A40" s="4" t="str">
        <x:v>ADELIENNE MAGANA</x:v>
      </x:c>
      <x:c r="B40" s="8" t="str">
        <x:v>Yes</x:v>
      </x:c>
      <x:c r="C40" s="4" t="str">
        <x:v>Active general Life; Life appointments: AMERICAN GENERAL LIFE INSURANCE COMPANY; AMERICAN NATIONAL INSURANCE COMPANY; AMERICAN-AMICABLE LIFE INSURANCE COMPANY OF TEXAS; additional insurers listed; no confirmed exclusion.</x:v>
      </x:c>
      <x:c r="D40" s="10" t="e">
        <x:f>HYPERLINK("https://cdicloud.insurance.ca.gov/cal/LicenseDetail?SearchType=IND&amp;SearchLicNbr=0M59100&amp;SearchIndvId=2059176","https://cdicloud.insurance.ca.gov/cal/LicenseDetail?SearchType=IND&amp;SearchLicNbr=0M59100&amp;SearchIndvId=2059176")</x:f>
        <x:v>HYPERLINK is not implemented. linkLocation=https://cdicloud.insurance.ca.gov/cal/LicenseDetail?SearchType=IND&amp;SearchLicNbr=0M59100&amp;SearchIndvId=2059176, friendlyName=https://cdicloud.insurance.ca.gov/cal/LicenseDetail?SearchType=IND&amp;SearchLicNbr=0M59100&amp;SearchIndvId=2059176</x:v>
      </x:c>
      <x:c r="E40" s="9" t="str">
        <x:v>0M59100</x:v>
      </x:c>
      <x:c r="F40" s="4" t="str">
        <x:v>16933 PARTHENIA ST STE 200 NORTHRIDGE CA, 91343-4564</x:v>
      </x:c>
      <x:c r="G40" s="4" t="str"/>
      <x:c r="H40" s="4" t="str">
        <x:v>https://www.google.com/maps/place/16933%20PARTHENIA%20ST%20STE%20200,%20NORTHRIDGE,%20CA,%20913434564</x:v>
      </x:c>
      <x:c r="I40" s="4" t="str">
        <x:v>91325</x:v>
      </x:c>
      <x:c r="J40" s="4" t="str">
        <x:v>2026-10-08</x:v>
      </x:c>
      <x:c r="K40" s="4" t="str">
        <x:v>English</x:v>
      </x:c>
      <x:c r="L40" s="4" t="str">
        <x:v>Life</x:v>
      </x:c>
      <x:c r="M40" s="4" t="str">
        <x:v>Life — issued 2018-09-28</x:v>
      </x:c>
      <x:c r="N40" s="4" t="str">
        <x:v>2018-09-28</x:v>
      </x:c>
      <x:c r="O40" s="4" t="n">
        <x:v>8.03</x:v>
      </x:c>
      <x:c r="P40" s="4" t="str">
        <x:v>No</x:v>
      </x:c>
      <x:c r="Q40" s="4" t="str">
        <x:v>No</x:v>
      </x:c>
      <x:c r="R40" s="4" t="str">
        <x:v>No</x:v>
      </x:c>
      <x:c r="S40" s="4" t="str">
        <x:v>AMERICAN GENERAL LIFE INSURANCE COMPANY; AMERICAN NATIONAL INSURANCE COMPANY; AMERICAN-AMICABLE LIFE INSURANCE COMPANY OF TEXAS; ATHENE ANNUITY AND LIFE COMPANY; FIDELITY &amp; GUARANTY LIFE INSURANCE COMPANY; INDEPENDENT ORDER OF FORESTERS (THE); NATIONWIDE LIFE AND ANNUITY INSURANCE COMPANY</x:v>
      </x:c>
      <x:c r="T40" s="4" t="n">
        <x:v>7</x:v>
      </x:c>
      <x:c r="U40" s="4" t="n">
        <x:v>7</x:v>
      </x:c>
      <x:c r="V40" s="4" t="str">
        <x:v>AMERICAN GENERAL LIFE INSURANCE COMPANY; AMERICAN NATIONAL INSURANCE COMPANY; AMERICAN-AMICABLE LIFE INSURANCE COMPANY OF TEXAS; ATHENE ANNUITY AND LIFE COMPANY; FIDELITY &amp; GUARANTY LIFE INSURANCE COMPANY; INDEPENDENT ORDER OF FORESTERS (THE); NATIONWIDE LIFE AND ANNUITY INSURANCE COMPANY</x:v>
      </x:c>
      <x:c r="W40" s="4" t="n">
        <x:v>7</x:v>
      </x:c>
      <x:c r="X40" s="4" t="str"/>
      <x:c r="Y40" s="4" t="str"/>
      <x:c r="Z40" s="4" t="str">
        <x:v>AMERICAN GENERAL LIFE INSURANCE COMPANY — Life — 2026-06-30 | AMERICAN NATIONAL INSURANCE COMPANY — Life — 2026-09-22 | AMERICAN-AMICABLE LIFE INSURANCE COMPANY OF TEXAS — Life — 2026-09-16 | ATHENE ANNUITY AND LIFE COMPANY — Life — 2026-05-05 | FIDELITY &amp; GUARANTY LIFE INSURANCE COMPANY — Life — 2026-02-17 | INDEPENDENT ORDER OF FORESTERS (THE) — Life — 2026-09-05 | NATIONWIDE LIFE AND ANNUITY INSURANCE COMPANY — Life — 2026-04-20</x:v>
      </x:c>
      <x:c r="AA40" s="4" t="str"/>
      <x:c r="AB40" s="4" t="n">
        <x:v>0</x:v>
      </x:c>
      <x:c r="AC40" s="4" t="n">
        <x:v>0</x:v>
      </x:c>
      <x:c r="AD40" s="4" t="str"/>
      <x:c r="AE40" s="4" t="str"/>
      <x:c r="AF40" s="4" t="str">
        <x:v>2026-09-22</x:v>
      </x:c>
      <x:c r="AG40" s="4" t="str">
        <x:v>imo-final-approval-rules.md (2026-10-08)</x:v>
      </x:c>
    </x:row>
    <x:row r="41" ht="42" customHeight="1">
      <x:c r="A41" s="4" t="str">
        <x:v>ADELINE BARNUEVO</x:v>
      </x:c>
      <x:c r="B41" s="8" t="str">
        <x:v>Yes</x:v>
      </x:c>
      <x:c r="C41" s="4" t="str">
        <x:v>Active general Life; Life appointments: FIDELITY &amp; GUARANTY LIFE INSURANCE COMPANY; no confirmed exclusion.</x:v>
      </x:c>
      <x:c r="D41" s="10" t="e">
        <x:f>HYPERLINK("https://cdicloud.insurance.ca.gov/cal/LicenseDetail?SearchType=IND&amp;SearchLicNbr=4000098&amp;SearchIndvId=4000098","https://cdicloud.insurance.ca.gov/cal/LicenseDetail?SearchType=IND&amp;SearchLicNbr=4000098&amp;SearchIndvId=4000098")</x:f>
        <x:v>HYPERLINK is not implemented. linkLocation=https://cdicloud.insurance.ca.gov/cal/LicenseDetail?SearchType=IND&amp;SearchLicNbr=4000098&amp;SearchIndvId=4000098, friendlyName=https://cdicloud.insurance.ca.gov/cal/LicenseDetail?SearchType=IND&amp;SearchLicNbr=4000098&amp;SearchIndvId=4000098</x:v>
      </x:c>
      <x:c r="E41" s="9" t="str">
        <x:v>4000098</x:v>
      </x:c>
      <x:c r="F41" s="4" t="str">
        <x:v>9036 RESEDA BLVD UNIT 103 NORTHRIDGE CA, 91324</x:v>
      </x:c>
      <x:c r="G41" s="4" t="str">
        <x:v>818-203-0144</x:v>
      </x:c>
      <x:c r="H41" s="4" t="str">
        <x:v>https://www.google.com/maps/place/9036%20RESEDA%20BLVD%20UNIT%20103,%20NORTHRIDGE,%20CA,%2091324</x:v>
      </x:c>
      <x:c r="I41" s="4" t="str">
        <x:v>91316</x:v>
      </x:c>
      <x:c r="J41" s="4" t="str">
        <x:v>2026-10-08</x:v>
      </x:c>
      <x:c r="K41" s="4" t="str">
        <x:v>English</x:v>
      </x:c>
      <x:c r="L41" s="4" t="str">
        <x:v>Life</x:v>
      </x:c>
      <x:c r="M41" s="4" t="str">
        <x:v>Life — issued 2019-10-02</x:v>
      </x:c>
      <x:c r="N41" s="4" t="str">
        <x:v>2019-10-02</x:v>
      </x:c>
      <x:c r="O41" s="4" t="n">
        <x:v>7.02</x:v>
      </x:c>
      <x:c r="P41" s="4" t="str">
        <x:v>No</x:v>
      </x:c>
      <x:c r="Q41" s="4" t="str">
        <x:v>No</x:v>
      </x:c>
      <x:c r="R41" s="4" t="str">
        <x:v>No</x:v>
      </x:c>
      <x:c r="S41" s="4" t="str">
        <x:v>FIDELITY &amp; GUARANTY LIFE INSURANCE COMPANY</x:v>
      </x:c>
      <x:c r="T41" s="4" t="n">
        <x:v>1</x:v>
      </x:c>
      <x:c r="U41" s="4" t="n">
        <x:v>1</x:v>
      </x:c>
      <x:c r="V41" s="4" t="str">
        <x:v>FIDELITY &amp; GUARANTY LIFE INSURANCE COMPANY</x:v>
      </x:c>
      <x:c r="W41" s="4" t="n">
        <x:v>1</x:v>
      </x:c>
      <x:c r="X41" s="4" t="str"/>
      <x:c r="Y41" s="4" t="str"/>
      <x:c r="Z41" s="4" t="str">
        <x:v>FIDELITY &amp; GUARANTY LIFE INSURANCE COMPANY — Life — 2025-08-19</x:v>
      </x:c>
      <x:c r="AA41" s="4" t="str"/>
      <x:c r="AB41" s="4" t="n">
        <x:v>0</x:v>
      </x:c>
      <x:c r="AC41" s="4" t="n">
        <x:v>0</x:v>
      </x:c>
      <x:c r="AD41" s="4" t="str"/>
      <x:c r="AE41" s="4" t="str"/>
      <x:c r="AF41" s="4" t="str">
        <x:v>2025-08-19</x:v>
      </x:c>
      <x:c r="AG41" s="4" t="str">
        <x:v>imo-final-approval-rules.md (2026-10-08)</x:v>
      </x:c>
    </x:row>
    <x:row r="42" ht="42" customHeight="1">
      <x:c r="A42" s="4" t="str">
        <x:v>ADELINE SALGADO</x:v>
      </x:c>
      <x:c r="B42" s="8" t="str">
        <x:v>Yes</x:v>
      </x:c>
      <x:c r="C42" s="4" t="str">
        <x:v>Active general Life; Life appointments: FIDELITY &amp; GUARANTY LIFE INSURANCE COMPANY; no confirmed exclusion.</x:v>
      </x:c>
      <x:c r="D42" s="10" t="e">
        <x:f>HYPERLINK("https://cdicloud.insurance.ca.gov/cal/LicenseDetail?SearchType=IND&amp;SearchLicNbr=4531698&amp;SearchIndvId=4531698","https://cdicloud.insurance.ca.gov/cal/LicenseDetail?SearchType=IND&amp;SearchLicNbr=4531698&amp;SearchIndvId=4531698")</x:f>
        <x:v>HYPERLINK is not implemented. linkLocation=https://cdicloud.insurance.ca.gov/cal/LicenseDetail?SearchType=IND&amp;SearchLicNbr=4531698&amp;SearchIndvId=4531698, friendlyName=https://cdicloud.insurance.ca.gov/cal/LicenseDetail?SearchType=IND&amp;SearchLicNbr=4531698&amp;SearchIndvId=4531698</x:v>
      </x:c>
      <x:c r="E42" s="9" t="str">
        <x:v>4531698</x:v>
      </x:c>
      <x:c r="F42" s="4" t="str">
        <x:v>10201 LINDLEY AVE APT 157 NORTHRIDGE CA, 91325</x:v>
      </x:c>
      <x:c r="G42" s="4" t="str">
        <x:v>747-250-0510</x:v>
      </x:c>
      <x:c r="H42" s="4" t="str">
        <x:v>https://www.google.com/maps/place/10201%20LINDLEY%20AVE,%20NORTHRIDGE,%20CA,%2091325</x:v>
      </x:c>
      <x:c r="I42" s="4" t="str">
        <x:v>91325</x:v>
      </x:c>
      <x:c r="J42" s="4" t="str">
        <x:v>2026-10-08</x:v>
      </x:c>
      <x:c r="K42" s="4" t="str">
        <x:v>English</x:v>
      </x:c>
      <x:c r="L42" s="4" t="str">
        <x:v>Life</x:v>
      </x:c>
      <x:c r="M42" s="4" t="str">
        <x:v>Life — issued 2026-03-02</x:v>
      </x:c>
      <x:c r="N42" s="4" t="str">
        <x:v>2026-03-02</x:v>
      </x:c>
      <x:c r="O42" s="4" t="n">
        <x:v>0.6</x:v>
      </x:c>
      <x:c r="P42" s="4" t="str">
        <x:v>No</x:v>
      </x:c>
      <x:c r="Q42" s="4" t="str">
        <x:v>No</x:v>
      </x:c>
      <x:c r="R42" s="4" t="str">
        <x:v>No</x:v>
      </x:c>
      <x:c r="S42" s="4" t="str">
        <x:v>FIDELITY &amp; GUARANTY LIFE INSURANCE COMPANY</x:v>
      </x:c>
      <x:c r="T42" s="4" t="n">
        <x:v>1</x:v>
      </x:c>
      <x:c r="U42" s="4" t="n">
        <x:v>1</x:v>
      </x:c>
      <x:c r="V42" s="4" t="str">
        <x:v>FIDELITY &amp; GUARANTY LIFE INSURANCE COMPANY</x:v>
      </x:c>
      <x:c r="W42" s="4" t="n">
        <x:v>1</x:v>
      </x:c>
      <x:c r="X42" s="4" t="str"/>
      <x:c r="Y42" s="4" t="str"/>
      <x:c r="Z42" s="4" t="str">
        <x:v>FIDELITY &amp; GUARANTY LIFE INSURANCE COMPANY — Life — 2026-03-06</x:v>
      </x:c>
      <x:c r="AA42" s="4" t="str"/>
      <x:c r="AB42" s="4" t="n">
        <x:v>0</x:v>
      </x:c>
      <x:c r="AC42" s="4" t="n">
        <x:v>0</x:v>
      </x:c>
      <x:c r="AD42" s="4" t="str"/>
      <x:c r="AE42" s="4" t="str"/>
      <x:c r="AF42" s="4" t="str">
        <x:v>2026-03-06</x:v>
      </x:c>
      <x:c r="AG42" s="4" t="str">
        <x:v>imo-final-approval-rules.md (2026-10-08)</x:v>
      </x:c>
    </x:row>
    <x:row r="43" ht="42" customHeight="1">
      <x:c r="A43" s="4" t="str">
        <x:v>ADMIREE FAJARDO</x:v>
      </x:c>
      <x:c r="B43" s="8" t="str">
        <x:v>Yes</x:v>
      </x:c>
      <x:c r="C43" s="4" t="str">
        <x:v>Active general Life; no displayed agency or insurer relationships; lower priority; no confirmed exclusion.</x:v>
      </x:c>
      <x:c r="D43" s="10" t="e">
        <x:f>HYPERLINK("https://cdicloud.insurance.ca.gov/cal/LicenseDetail?SearchType=IND&amp;SearchLicNbr=0J04538&amp;SearchIndvId=1697873","https://cdicloud.insurance.ca.gov/cal/LicenseDetail?SearchType=IND&amp;SearchLicNbr=0J04538&amp;SearchIndvId=1697873")</x:f>
        <x:v>HYPERLINK is not implemented. linkLocation=https://cdicloud.insurance.ca.gov/cal/LicenseDetail?SearchType=IND&amp;SearchLicNbr=0J04538&amp;SearchIndvId=1697873, friendlyName=https://cdicloud.insurance.ca.gov/cal/LicenseDetail?SearchType=IND&amp;SearchLicNbr=0J04538&amp;SearchIndvId=1697873</x:v>
      </x:c>
      <x:c r="E43" s="9" t="str">
        <x:v>0J04538</x:v>
      </x:c>
      <x:c r="F43" s="4" t="str">
        <x:v>12200 STAGG STREET NORTH HOLLYWOOD CA, 91605</x:v>
      </x:c>
      <x:c r="G43" s="4" t="str">
        <x:v>818-795-3298</x:v>
      </x:c>
      <x:c r="H43" s="4" t="str">
        <x:v>https://www.google.com/maps/place/12200%20STAGG%20STREET,%20NORTH%20HOLLYWOOD,%20CA,%2091605</x:v>
      </x:c>
      <x:c r="I43" s="4" t="str">
        <x:v>91353</x:v>
      </x:c>
      <x:c r="J43" s="4" t="str">
        <x:v>2026-10-08</x:v>
      </x:c>
      <x:c r="K43" s="4" t="str">
        <x:v>English</x:v>
      </x:c>
      <x:c r="L43" s="4" t="str">
        <x:v>Accident &amp; Health or Sickness; Life</x:v>
      </x:c>
      <x:c r="M43" s="4" t="str">
        <x:v>Accident &amp; Health or Sickness — issued 2023-11-15 | Life — issued 2023-11-15</x:v>
      </x:c>
      <x:c r="N43" s="4" t="str">
        <x:v>2023-11-15</x:v>
      </x:c>
      <x:c r="O43" s="4" t="n">
        <x:v>2.9</x:v>
      </x:c>
      <x:c r="P43" s="4" t="str">
        <x:v>Yes</x:v>
      </x:c>
      <x:c r="Q43" s="4" t="str">
        <x:v>No</x:v>
      </x:c>
      <x:c r="R43" s="4" t="str">
        <x:v>No</x:v>
      </x:c>
      <x:c r="S43" s="4" t="str"/>
      <x:c r="T43" s="4" t="n">
        <x:v>0</x:v>
      </x:c>
      <x:c r="U43" s="4" t="n">
        <x:v>0</x:v>
      </x:c>
      <x:c r="V43" s="4" t="str"/>
      <x:c r="W43" s="4" t="n">
        <x:v>0</x:v>
      </x:c>
      <x:c r="X43" s="4" t="str"/>
      <x:c r="Y43" s="4" t="str"/>
      <x:c r="Z43" s="4" t="str"/>
      <x:c r="AA43" s="4" t="str"/>
      <x:c r="AB43" s="4" t="n">
        <x:v>0</x:v>
      </x:c>
      <x:c r="AC43" s="4" t="n">
        <x:v>0</x:v>
      </x:c>
      <x:c r="AD43" s="4" t="str"/>
      <x:c r="AE43" s="4" t="str"/>
      <x:c r="AF43" s="4" t="str"/>
      <x:c r="AG43" s="4" t="str">
        <x:v>imo-final-approval-rules.md (2026-10-08)</x:v>
      </x:c>
    </x:row>
    <x:row r="44" ht="42" customHeight="1">
      <x:c r="A44" s="4" t="str">
        <x:v>ADRIAN BAKER</x:v>
      </x:c>
      <x:c r="B44" s="8" t="str">
        <x:v>Yes</x:v>
      </x:c>
      <x:c r="C44" s="4" t="str">
        <x:v>Active general Life; Life appointments: AMERICAN GENERAL LIFE INSURANCE COMPANY; FIDELITY &amp; GUARANTY LIFE INSURANCE COMPANY; LIFE INSURANCE COMPANY OF THE SOUTHWEST; additional insurers listed; no confirmed exclusion.</x:v>
      </x:c>
      <x:c r="D44" s="10" t="e">
        <x:f>HYPERLINK("https://cdicloud.insurance.ca.gov/cal/LicenseDetail?SearchType=IND&amp;SearchLicNbr=0I71794&amp;SearchIndvId=1604925","https://cdicloud.insurance.ca.gov/cal/LicenseDetail?SearchType=IND&amp;SearchLicNbr=0I71794&amp;SearchIndvId=1604925")</x:f>
        <x:v>HYPERLINK is not implemented. linkLocation=https://cdicloud.insurance.ca.gov/cal/LicenseDetail?SearchType=IND&amp;SearchLicNbr=0I71794&amp;SearchIndvId=1604925, friendlyName=https://cdicloud.insurance.ca.gov/cal/LicenseDetail?SearchType=IND&amp;SearchLicNbr=0I71794&amp;SearchIndvId=1604925</x:v>
      </x:c>
      <x:c r="E44" s="9" t="str">
        <x:v>0I71794</x:v>
      </x:c>
      <x:c r="F44" s="4" t="str">
        <x:v>415 N EL MOLINO AVENUE 14 PASADENA CA, 91101</x:v>
      </x:c>
      <x:c r="G44" s="4" t="str"/>
      <x:c r="H44" s="4" t="str">
        <x:v>https://www.google.com/maps/place/415%20N%20EL%20MOLINO%20AVENUE,%20PASADENA,%20CA,%2091101</x:v>
      </x:c>
      <x:c r="I44" s="4" t="str">
        <x:v>91103</x:v>
      </x:c>
      <x:c r="J44" s="4" t="str">
        <x:v>2026-10-08</x:v>
      </x:c>
      <x:c r="K44" s="4" t="str">
        <x:v>English</x:v>
      </x:c>
      <x:c r="L44" s="4" t="str">
        <x:v>Accident &amp; Health or Sickness; Life</x:v>
      </x:c>
      <x:c r="M44" s="4" t="str">
        <x:v>Accident &amp; Health or Sickness — issued 2014-01-16 | Life — issued 2014-01-16</x:v>
      </x:c>
      <x:c r="N44" s="4" t="str">
        <x:v>2014-01-16</x:v>
      </x:c>
      <x:c r="O44" s="4" t="n">
        <x:v>12.73</x:v>
      </x:c>
      <x:c r="P44" s="4" t="str">
        <x:v>Yes</x:v>
      </x:c>
      <x:c r="Q44" s="4" t="str">
        <x:v>No</x:v>
      </x:c>
      <x:c r="R44" s="4" t="str">
        <x:v>No</x:v>
      </x:c>
      <x:c r="S44" s="4" t="str">
        <x:v>AMERICAN GENERAL LIFE INSURANCE COMPANY; FIDELITY &amp; GUARANTY LIFE INSURANCE COMPANY; LIFE INSURANCE COMPANY OF THE SOUTHWEST; NORTH AMERICAN COMPANY FOR LIFE AND HEALTH INSURANCE; UNITED OF OMAHA LIFE INSURANCE COMPANY</x:v>
      </x:c>
      <x:c r="T44" s="4" t="n">
        <x:v>8</x:v>
      </x:c>
      <x:c r="U44" s="4" t="n">
        <x:v>5</x:v>
      </x:c>
      <x:c r="V44" s="4" t="str">
        <x:v>AMERICAN GENERAL LIFE INSURANCE COMPANY; FIDELITY &amp; GUARANTY LIFE INSURANCE COMPANY; LIFE INSURANCE COMPANY OF THE SOUTHWEST; NORTH AMERICAN COMPANY FOR LIFE AND HEALTH INSURANCE; UNITED OF OMAHA LIFE INSURANCE COMPANY</x:v>
      </x:c>
      <x:c r="W44" s="4" t="n">
        <x:v>5</x:v>
      </x:c>
      <x:c r="X44" s="4" t="str">
        <x:v>AMERICAN GENERAL LIFE INSURANCE COMPANY; LIFE INSURANCE COMPANY OF THE SOUTHWEST; UNITED OF OMAHA LIFE INSURANCE COMPANY</x:v>
      </x:c>
      <x:c r="Y44" s="4" t="str"/>
      <x:c r="Z44" s="4" t="str">
        <x:v>AMERICAN GENERAL LIFE INSURANCE COMPANY — Accident &amp; Health or Sickness — 2020-09-03 | AMERICAN GENERAL LIFE INSURANCE COMPANY — Life — 2020-09-03 | FIDELITY &amp; GUARANTY LIFE INSURANCE COMPANY — Life — 2024-08-22 | LIFE INSURANCE COMPANY OF THE SOUTHWEST — Accident &amp; Health or Sickness — 2020-02-06 | LIFE INSURANCE COMPANY OF THE SOUTHWEST — Life — 2020-02-06 | NORTH AMERICAN COMPANY FOR LIFE AND HEALTH INSURANCE — Life — 2022-11-30 | UNITED OF OMAHA LIFE INSURANCE COMPANY — Accident &amp; Health or Sickness — 2021-02-11 | UNITED OF OMAHA LIFE INSURANCE COMPANY — Life — 2021-02-11</x:v>
      </x:c>
      <x:c r="AA44" s="4" t="str"/>
      <x:c r="AB44" s="4" t="n">
        <x:v>0</x:v>
      </x:c>
      <x:c r="AC44" s="4" t="n">
        <x:v>0</x:v>
      </x:c>
      <x:c r="AD44" s="4" t="str"/>
      <x:c r="AE44" s="4" t="str"/>
      <x:c r="AF44" s="4" t="str">
        <x:v>2024-08-22</x:v>
      </x:c>
      <x:c r="AG44" s="4" t="str">
        <x:v>imo-final-approval-rules.md (2026-10-08)</x:v>
      </x:c>
    </x:row>
    <x:row r="45" ht="42" customHeight="1">
      <x:c r="A45" s="4" t="str">
        <x:v>ADRIAN CEJUDO CARRILLO</x:v>
      </x:c>
      <x:c r="B45" s="8" t="str">
        <x:v>Yes</x:v>
      </x:c>
      <x:c r="C45" s="4" t="str">
        <x:v>Active general Life; no displayed agency or insurer relationships; lower priority; no confirmed exclusion.</x:v>
      </x:c>
      <x:c r="D45" s="10" t="e">
        <x:f>HYPERLINK("https://cdicloud.insurance.ca.gov/cal/LicenseDetail?SearchType=IND&amp;SearchLicNbr=4562544&amp;SearchIndvId=4562544","https://cdicloud.insurance.ca.gov/cal/LicenseDetail?SearchType=IND&amp;SearchLicNbr=4562544&amp;SearchIndvId=4562544")</x:f>
        <x:v>HYPERLINK is not implemented. linkLocation=https://cdicloud.insurance.ca.gov/cal/LicenseDetail?SearchType=IND&amp;SearchLicNbr=4562544&amp;SearchIndvId=4562544, friendlyName=https://cdicloud.insurance.ca.gov/cal/LicenseDetail?SearchType=IND&amp;SearchLicNbr=4562544&amp;SearchIndvId=4562544</x:v>
      </x:c>
      <x:c r="E45" s="9" t="str">
        <x:v>4562544</x:v>
      </x:c>
      <x:c r="F45" s="4" t="str">
        <x:v>2108 N ST # 15494 SACRAMENTO CA, 95816-5712</x:v>
      </x:c>
      <x:c r="G45" s="4" t="str">
        <x:v>213-460-5869</x:v>
      </x:c>
      <x:c r="H45" s="4" t="str">
        <x:v>https://www.google.com/maps/place/2108%20N%20ST%20#%2015494,%20SACRAMENTO,%20CA,%20958165712</x:v>
      </x:c>
      <x:c r="I45" s="4" t="str">
        <x:v>91353 91609</x:v>
      </x:c>
      <x:c r="J45" s="4" t="str">
        <x:v>2026-10-08</x:v>
      </x:c>
      <x:c r="K45" s="4" t="str">
        <x:v>English</x:v>
      </x:c>
      <x:c r="L45" s="4" t="str">
        <x:v>Accident &amp; Health or Sickness; Life</x:v>
      </x:c>
      <x:c r="M45" s="4" t="str">
        <x:v>Accident &amp; Health or Sickness — issued 2026-07-09 | Life — issued 2026-07-09</x:v>
      </x:c>
      <x:c r="N45" s="4" t="str">
        <x:v>2026-07-09</x:v>
      </x:c>
      <x:c r="O45" s="4" t="n">
        <x:v>0.25</x:v>
      </x:c>
      <x:c r="P45" s="4" t="str">
        <x:v>Yes</x:v>
      </x:c>
      <x:c r="Q45" s="4" t="str">
        <x:v>No</x:v>
      </x:c>
      <x:c r="R45" s="4" t="str">
        <x:v>No</x:v>
      </x:c>
      <x:c r="S45" s="4" t="str"/>
      <x:c r="T45" s="4" t="n">
        <x:v>0</x:v>
      </x:c>
      <x:c r="U45" s="4" t="n">
        <x:v>0</x:v>
      </x:c>
      <x:c r="V45" s="4" t="str"/>
      <x:c r="W45" s="4" t="n">
        <x:v>0</x:v>
      </x:c>
      <x:c r="X45" s="4" t="str"/>
      <x:c r="Y45" s="4" t="str"/>
      <x:c r="Z45" s="4" t="str"/>
      <x:c r="AA45" s="4" t="str"/>
      <x:c r="AB45" s="4" t="n">
        <x:v>0</x:v>
      </x:c>
      <x:c r="AC45" s="4" t="n">
        <x:v>0</x:v>
      </x:c>
      <x:c r="AD45" s="4" t="str"/>
      <x:c r="AE45" s="4" t="str"/>
      <x:c r="AF45" s="4" t="str"/>
      <x:c r="AG45" s="4" t="str">
        <x:v>imo-final-approval-rules.md (2026-10-08)</x:v>
      </x:c>
    </x:row>
    <x:row r="46" ht="42" customHeight="1">
      <x:c r="A46" s="4" t="str">
        <x:v>Adrian Curran</x:v>
      </x:c>
      <x:c r="B46" s="8" t="str">
        <x:v>No</x:v>
      </x:c>
      <x:c r="C46" s="4" t="str">
        <x:v>Current excluded relationship displayed: CHASE INSURANCE AGENCY, INC.</x:v>
      </x:c>
      <x:c r="D46" s="10" t="e">
        <x:f>HYPERLINK("https://cdicloud.insurance.ca.gov/cal/LicenseDetail?SearchType=IND&amp;SearchLicNbr=4503239&amp;SearchIndvId=4503239","https://cdicloud.insurance.ca.gov/cal/LicenseDetail?SearchType=IND&amp;SearchLicNbr=4503239&amp;SearchIndvId=4503239")</x:f>
        <x:v>HYPERLINK is not implemented. linkLocation=https://cdicloud.insurance.ca.gov/cal/LicenseDetail?SearchType=IND&amp;SearchLicNbr=4503239&amp;SearchIndvId=4503239, friendlyName=https://cdicloud.insurance.ca.gov/cal/LicenseDetail?SearchType=IND&amp;SearchLicNbr=4503239&amp;SearchIndvId=4503239</x:v>
      </x:c>
      <x:c r="E46" s="9" t="str">
        <x:v>4503239</x:v>
      </x:c>
      <x:c r="F46" s="4" t="str">
        <x:v>201 S LAKE AVE PASADENA CA, 91101</x:v>
      </x:c>
      <x:c r="G46" s="4" t="str">
        <x:v>626-463-2300</x:v>
      </x:c>
      <x:c r="H46" s="4" t="str">
        <x:v>https://www.google.com/maps/place/201%20S%20LAKE%20AVE,%20PASADENA,%20CA,%2091101</x:v>
      </x:c>
      <x:c r="I46" s="4" t="str">
        <x:v>91108</x:v>
      </x:c>
      <x:c r="J46" s="4" t="str">
        <x:v>2026-10-08</x:v>
      </x:c>
      <x:c r="K46" s="4" t="str">
        <x:v>English</x:v>
      </x:c>
      <x:c r="L46" s="4" t="str">
        <x:v>Accident &amp; Health or Sickness; Life; Var Life and Var Annuity</x:v>
      </x:c>
      <x:c r="M46" s="4" t="str">
        <x:v>Accident &amp; Health or Sickness — issued 2025-12-19 | Life — issued 2025-12-19 | Var Life and Var Annuity — issued 2025-12-19</x:v>
      </x:c>
      <x:c r="N46" s="4" t="str">
        <x:v>2025-12-19</x:v>
      </x:c>
      <x:c r="O46" s="4" t="n">
        <x:v>0.8</x:v>
      </x:c>
      <x:c r="P46" s="4" t="str">
        <x:v>Yes</x:v>
      </x:c>
      <x:c r="Q46" s="4" t="str">
        <x:v>No</x:v>
      </x:c>
      <x:c r="R46" s="4" t="str">
        <x:v>Yes</x:v>
      </x:c>
      <x:c r="S46" s="4" t="str">
        <x:v>ATHENE ANNUITY AND LIFE COMPANY</x:v>
      </x:c>
      <x:c r="T46" s="4" t="n">
        <x:v>2</x:v>
      </x:c>
      <x:c r="U46" s="4" t="n">
        <x:v>1</x:v>
      </x:c>
      <x:c r="V46" s="4" t="str">
        <x:v>ATHENE ANNUITY AND LIFE COMPANY</x:v>
      </x:c>
      <x:c r="W46" s="4" t="n">
        <x:v>1</x:v>
      </x:c>
      <x:c r="X46" s="4" t="str"/>
      <x:c r="Y46" s="4" t="str"/>
      <x:c r="Z46" s="4" t="str">
        <x:v>ATHENE ANNUITY AND LIFE COMPANY — Life — 2026-01-08 | ATHENE ANNUITY AND LIFE COMPANY — Var Life and Var Annuity — 2026-01-08</x:v>
      </x:c>
      <x:c r="AA46" s="4" t="str">
        <x:v>CHASE INSURANCE AGENCY, INC.</x:v>
      </x:c>
      <x:c r="AB46" s="4" t="n">
        <x:v>1</x:v>
      </x:c>
      <x:c r="AC46" s="4" t="n">
        <x:v>3</x:v>
      </x:c>
      <x:c r="AD46" s="4" t="str">
        <x:v>CHASE INSURANCE AGENCY, INC.</x:v>
      </x:c>
      <x:c r="AE46" s="4" t="str">
        <x:v>CHASE INSURANCE AGENCY, INC. — Var Life and Var Annuity — 2025-12-23 | CHASE INSURANCE AGENCY, INC. — Accident &amp; Health or Sickness — 2025-12-23 | CHASE INSURANCE AGENCY, INC. — Life — 2025-12-23</x:v>
      </x:c>
      <x:c r="AF46" s="4" t="str">
        <x:v>2026-01-08</x:v>
      </x:c>
      <x:c r="AG46" s="4" t="str">
        <x:v>imo-final-approval-rules.md (2026-10-08)</x:v>
      </x:c>
    </x:row>
    <x:row r="47" ht="42" customHeight="1">
      <x:c r="A47" s="4" t="str">
        <x:v>ADRIAN ESQUIVIAS</x:v>
      </x:c>
      <x:c r="B47" s="8" t="str">
        <x:v>Yes</x:v>
      </x:c>
      <x:c r="C47" s="4" t="str">
        <x:v>Active general Life; Life agency relationship: WORLD FINANCIAL GROUP INSURANCE AGENCY, LLC; no confirmed exclusion.</x:v>
      </x:c>
      <x:c r="D47" s="10" t="e">
        <x:f>HYPERLINK("https://cdicloud.insurance.ca.gov/cal/LicenseDetail?SearchType=IND&amp;SearchLicNbr=4538207&amp;SearchIndvId=4538207","https://cdicloud.insurance.ca.gov/cal/LicenseDetail?SearchType=IND&amp;SearchLicNbr=4538207&amp;SearchIndvId=4538207")</x:f>
        <x:v>HYPERLINK is not implemented. linkLocation=https://cdicloud.insurance.ca.gov/cal/LicenseDetail?SearchType=IND&amp;SearchLicNbr=4538207&amp;SearchIndvId=4538207, friendlyName=https://cdicloud.insurance.ca.gov/cal/LicenseDetail?SearchType=IND&amp;SearchLicNbr=4538207&amp;SearchIndvId=4538207</x:v>
      </x:c>
      <x:c r="E47" s="9" t="str">
        <x:v>4538207</x:v>
      </x:c>
      <x:c r="F47" s="4" t="str">
        <x:v>179 N SUNOL DR LOS ANGELES CA, 90063</x:v>
      </x:c>
      <x:c r="G47" s="4" t="str">
        <x:v>323-719-8374</x:v>
      </x:c>
      <x:c r="H47" s="4" t="str">
        <x:v>https://www.google.com/maps/place/179%20N%20SUNOL%20DR,%20LOS%20ANGELES,%20CA,%2090063</x:v>
      </x:c>
      <x:c r="I47" s="4" t="str">
        <x:v>90023</x:v>
      </x:c>
      <x:c r="J47" s="4" t="str">
        <x:v>2026-10-08</x:v>
      </x:c>
      <x:c r="K47" s="4" t="str">
        <x:v>English</x:v>
      </x:c>
      <x:c r="L47" s="4" t="str">
        <x:v>Accident &amp; Health or Sickness; Life</x:v>
      </x:c>
      <x:c r="M47" s="4" t="str">
        <x:v>Accident &amp; Health or Sickness — issued 2026-03-30 | Life — issued 2026-03-30</x:v>
      </x:c>
      <x:c r="N47" s="4" t="str">
        <x:v>2026-03-30</x:v>
      </x:c>
      <x:c r="O47" s="4" t="n">
        <x:v>0.53</x:v>
      </x:c>
      <x:c r="P47" s="4" t="str">
        <x:v>Yes</x:v>
      </x:c>
      <x:c r="Q47" s="4" t="str">
        <x:v>No</x:v>
      </x:c>
      <x:c r="R47" s="4" t="str">
        <x:v>No</x:v>
      </x:c>
      <x:c r="S47" s="4" t="str"/>
      <x:c r="T47" s="4" t="n">
        <x:v>0</x:v>
      </x:c>
      <x:c r="U47" s="4" t="n">
        <x:v>0</x:v>
      </x:c>
      <x:c r="V47" s="4" t="str"/>
      <x:c r="W47" s="4" t="n">
        <x:v>0</x:v>
      </x:c>
      <x:c r="X47" s="4" t="str"/>
      <x:c r="Y47" s="4" t="str"/>
      <x:c r="Z47" s="4" t="str"/>
      <x:c r="AA47" s="4" t="str">
        <x:v>WORLD FINANCIAL GROUP INSURANCE AGENCY, LLC</x:v>
      </x:c>
      <x:c r="AB47" s="4" t="n">
        <x:v>1</x:v>
      </x:c>
      <x:c r="AC47" s="4" t="n">
        <x:v>2</x:v>
      </x:c>
      <x:c r="AD47" s="4" t="str">
        <x:v>WORLD FINANCIAL GROUP INSURANCE AGENCY, LLC</x:v>
      </x:c>
      <x:c r="AE47" s="4" t="str">
        <x:v>WORLD FINANCIAL GROUP INSURANCE AGENCY, LLC — Accident &amp; Health or Sickness — 2026-04-02 | WORLD FINANCIAL GROUP INSURANCE AGENCY, LLC — Life — 2026-04-02</x:v>
      </x:c>
      <x:c r="AF47" s="4" t="str">
        <x:v>2026-04-02</x:v>
      </x:c>
      <x:c r="AG47" s="4" t="str">
        <x:v>imo-final-approval-rules.md (2026-10-08)</x:v>
      </x:c>
    </x:row>
    <x:row r="48" ht="42" customHeight="1">
      <x:c r="A48" s="4" t="str">
        <x:v>ADRIAN GONZALEZ</x:v>
      </x:c>
      <x:c r="B48" s="8" t="str"/>
      <x:c r="C48" s="4" t="str">
        <x:v>Needs review: CDI displays a material licensing order; current terms and contracting impact require review.</x:v>
      </x:c>
      <x:c r="D48" s="10" t="e">
        <x:f>HYPERLINK("https://cdicloud.insurance.ca.gov/cal/LicenseDetail?SearchType=IND&amp;SearchLicNbr=0G19119&amp;SearchIndvId=1093355","https://cdicloud.insurance.ca.gov/cal/LicenseDetail?SearchType=IND&amp;SearchLicNbr=0G19119&amp;SearchIndvId=1093355")</x:f>
        <x:v>HYPERLINK is not implemented. linkLocation=https://cdicloud.insurance.ca.gov/cal/LicenseDetail?SearchType=IND&amp;SearchLicNbr=0G19119&amp;SearchIndvId=1093355, friendlyName=https://cdicloud.insurance.ca.gov/cal/LicenseDetail?SearchType=IND&amp;SearchLicNbr=0G19119&amp;SearchIndvId=1093355</x:v>
      </x:c>
      <x:c r="E48" s="9" t="str">
        <x:v>0G19119</x:v>
      </x:c>
      <x:c r="F48" s="4" t="str">
        <x:v>8150 BEVERLY BLVD LOS ANGELES CA, 90048</x:v>
      </x:c>
      <x:c r="G48" s="4" t="str">
        <x:v>818-290-7200</x:v>
      </x:c>
      <x:c r="H48" s="4" t="str">
        <x:v>https://www.google.com/maps/place/8150%20BEVERLY%20BLVD,%20LOS%20ANGELES,%20CA,%2090048</x:v>
      </x:c>
      <x:c r="I48" s="4" t="str">
        <x:v>91404</x:v>
      </x:c>
      <x:c r="J48" s="4" t="str">
        <x:v>2026-10-08</x:v>
      </x:c>
      <x:c r="K48" s="4" t="str">
        <x:v>English</x:v>
      </x:c>
      <x:c r="L48" s="4" t="str">
        <x:v>Accident &amp; Health or Sickness; Life</x:v>
      </x:c>
      <x:c r="M48" s="4" t="str">
        <x:v>Accident &amp; Health or Sickness — issued 2008-06-19 | Life — issued 2008-06-19</x:v>
      </x:c>
      <x:c r="N48" s="4" t="str">
        <x:v>2008-06-19</x:v>
      </x:c>
      <x:c r="O48" s="4" t="n">
        <x:v>18.3</x:v>
      </x:c>
      <x:c r="P48" s="4" t="str">
        <x:v>Yes</x:v>
      </x:c>
      <x:c r="Q48" s="4" t="str">
        <x:v>No</x:v>
      </x:c>
      <x:c r="R48" s="4" t="str">
        <x:v>No</x:v>
      </x:c>
      <x:c r="S48" s="4" t="str">
        <x:v>AMERICAN FAMILY LIFE INSURANCE COMPANY OF COLUMBUS; METROPOLITAN LIFE INSURANCE COMPANY; PRINCIPAL LIFE INSURANCE COMPANY; PROVIDENT LIFE AND ACCIDENT INSURANCE COMPANY; STANDARD INSURANCE COMPANY; STARMOUNT LIFE INSURANCE COMPANY; UNITED OF OMAHA LIFE INSURANCE COMPANY; UNUM INSURANCE COMPANY; UNUM LIFE INSURANCE COMPANY OF AMERICA</x:v>
      </x:c>
      <x:c r="T48" s="4" t="n">
        <x:v>17</x:v>
      </x:c>
      <x:c r="U48" s="4" t="n">
        <x:v>9</x:v>
      </x:c>
      <x:c r="V48" s="4" t="str">
        <x:v>AMERICAN FAMILY LIFE INSURANCE COMPANY OF COLUMBUS; METROPOLITAN LIFE INSURANCE COMPANY; PRINCIPAL LIFE INSURANCE COMPANY; PROVIDENT LIFE AND ACCIDENT INSURANCE COMPANY; STANDARD INSURANCE COMPANY; UNITED OF OMAHA LIFE INSURANCE COMPANY; UNUM INSURANCE COMPANY; UNUM LIFE INSURANCE COMPANY OF AMERICA</x:v>
      </x:c>
      <x:c r="W48" s="4" t="n">
        <x:v>8</x:v>
      </x:c>
      <x:c r="X48" s="4" t="str">
        <x:v>AMERICAN FAMILY LIFE INSURANCE COMPANY OF COLUMBUS; METROPOLITAN LIFE INSURANCE COMPANY; PRINCIPAL LIFE INSURANCE COMPANY; PROVIDENT LIFE AND ACCIDENT INSURANCE COMPANY; STANDARD INSURANCE COMPANY; STARMOUNT LIFE INSURANCE COMPANY; UNITED OF OMAHA LIFE INSURANCE COMPANY; UNUM INSURANCE COMPANY; UNUM LIFE INSURANCE COMPANY OF AMERICA</x:v>
      </x:c>
      <x:c r="Y48" s="4" t="str"/>
      <x:c r="Z48" s="4" t="str">
        <x:v>AMERICAN FAMILY LIFE INSURANCE COMPANY OF COLUMBUS — Accident &amp; Health or Sickness — 2025-03-06 | AMERICAN FAMILY LIFE INSURANCE COMPANY OF COLUMBUS — Life — 2025-03-06 | METROPOLITAN LIFE INSURANCE COMPANY — Accident &amp; Health or Sickness — 2025-02-13 | METROPOLITAN LIFE INSURANCE COMPANY — Life — 2025-02-13 | PRINCIPAL LIFE INSURANCE COMPANY — Accident &amp; Health or Sickness — 2025-03-19 | PRINCIPAL LIFE INSURANCE COMPANY — Life — 2025-03-19 | PROVIDENT LIFE AND ACCIDENT INSURANCE COMPANY — Accident &amp; Health or Sickness — 2022-11-02 | PROVIDENT LIFE AND ACCIDENT INSURANCE COMPANY — Life — 2022-11-02 | STANDARD INSURANCE COMPANY — Accident &amp; Health or Sickness — 2022-06-16 | STANDARD INSURANCE COMPANY — Life — 2022-06-16 | STARMOUNT LIFE INSURANCE COMPANY — Accident &amp; Health or Sickness — 2022-11-02 | UNITED OF OMAHA LIFE INSURANCE COMPANY — Accident &amp; Health or Sickness — 2026-06-26 | UNITED OF OMAHA LIFE INSURANCE COMPANY — Life — 2026-06-26 | UNUM INSURANCE COMPANY — Accident &amp; Health or Sickness — 2022-11-02 | UNUM INSURANCE COMPANY — Life — 2022-11-02 | UNUM LIFE INSURANCE COMPANY OF AMERICA — Accident &amp; Health or Sickness — 2022-11-02 | UNUM LIFE INSURANCE COMPANY OF AMERICA — Life — 2022-11-02</x:v>
      </x:c>
      <x:c r="AA48" s="4" t="str">
        <x:v>PALM ASSURANCE RESOURCES</x:v>
      </x:c>
      <x:c r="AB48" s="4" t="n">
        <x:v>1</x:v>
      </x:c>
      <x:c r="AC48" s="4" t="n">
        <x:v>2</x:v>
      </x:c>
      <x:c r="AD48" s="4" t="str">
        <x:v>PALM ASSURANCE RESOURCES</x:v>
      </x:c>
      <x:c r="AE48" s="4" t="str">
        <x:v>PALM ASSURANCE RESOURCES — Accident &amp; Health or Sickness — 2026-03-23 | PALM ASSURANCE RESOURCES — Life — 2026-03-23</x:v>
      </x:c>
      <x:c r="AF48" s="4" t="str">
        <x:v>2026-06-26</x:v>
      </x:c>
      <x:c r="AG48" s="4" t="str">
        <x:v>imo-final-approval-rules.md (2026-10-08)</x:v>
      </x:c>
    </x:row>
    <x:row r="49" ht="42" customHeight="1">
      <x:c r="A49" s="4" t="str">
        <x:v>Adrian Martinez</x:v>
      </x:c>
      <x:c r="B49" s="8" t="str">
        <x:v>Yes</x:v>
      </x:c>
      <x:c r="C49" s="4" t="str">
        <x:v>Active general Life; Life appointments: AMERICAN GENERAL LIFE INSURANCE COMPANY; no confirmed exclusion.</x:v>
      </x:c>
      <x:c r="D49" s="10" t="e">
        <x:f>HYPERLINK("https://cdicloud.insurance.ca.gov/cal/LicenseDetail?SearchType=IND&amp;SearchLicNbr=4586761&amp;SearchIndvId=4586761","https://cdicloud.insurance.ca.gov/cal/LicenseDetail?SearchType=IND&amp;SearchLicNbr=4586761&amp;SearchIndvId=4586761")</x:f>
        <x:v>HYPERLINK is not implemented. linkLocation=https://cdicloud.insurance.ca.gov/cal/LicenseDetail?SearchType=IND&amp;SearchLicNbr=4586761&amp;SearchIndvId=4586761, friendlyName=https://cdicloud.insurance.ca.gov/cal/LicenseDetail?SearchType=IND&amp;SearchLicNbr=4586761&amp;SearchIndvId=4586761</x:v>
      </x:c>
      <x:c r="E49" s="9" t="str">
        <x:v>4586761</x:v>
      </x:c>
      <x:c r="F49" s="4" t="str">
        <x:v>800 S ROWAN AVE LOS ANGELES CA, 90023</x:v>
      </x:c>
      <x:c r="G49" s="4" t="str">
        <x:v>323-517-7548</x:v>
      </x:c>
      <x:c r="H49" s="4" t="str">
        <x:v>https://www.google.com/maps/place/800%20S%20ROWAN%20AVE,%20LOS%20ANGELES,%20CA,%2090023</x:v>
      </x:c>
      <x:c r="I49" s="4" t="str">
        <x:v>90023</x:v>
      </x:c>
      <x:c r="J49" s="4" t="str">
        <x:v>2026-10-08</x:v>
      </x:c>
      <x:c r="K49" s="4" t="str">
        <x:v>English</x:v>
      </x:c>
      <x:c r="L49" s="4" t="str">
        <x:v>Life</x:v>
      </x:c>
      <x:c r="M49" s="4" t="str">
        <x:v>Life — issued 2026-09-30</x:v>
      </x:c>
      <x:c r="N49" s="4" t="str">
        <x:v>2026-09-30</x:v>
      </x:c>
      <x:c r="O49" s="4" t="n">
        <x:v>0.02</x:v>
      </x:c>
      <x:c r="P49" s="4" t="str">
        <x:v>No</x:v>
      </x:c>
      <x:c r="Q49" s="4" t="str">
        <x:v>No</x:v>
      </x:c>
      <x:c r="R49" s="4" t="str">
        <x:v>No</x:v>
      </x:c>
      <x:c r="S49" s="4" t="str">
        <x:v>AMERICAN GENERAL LIFE INSURANCE COMPANY</x:v>
      </x:c>
      <x:c r="T49" s="4" t="n">
        <x:v>1</x:v>
      </x:c>
      <x:c r="U49" s="4" t="n">
        <x:v>1</x:v>
      </x:c>
      <x:c r="V49" s="4" t="str">
        <x:v>AMERICAN GENERAL LIFE INSURANCE COMPANY</x:v>
      </x:c>
      <x:c r="W49" s="4" t="n">
        <x:v>1</x:v>
      </x:c>
      <x:c r="X49" s="4" t="str"/>
      <x:c r="Y49" s="4" t="str"/>
      <x:c r="Z49" s="4" t="str">
        <x:v>AMERICAN GENERAL LIFE INSURANCE COMPANY — Life — 2026-10-08</x:v>
      </x:c>
      <x:c r="AA49" s="4" t="str"/>
      <x:c r="AB49" s="4" t="n">
        <x:v>0</x:v>
      </x:c>
      <x:c r="AC49" s="4" t="n">
        <x:v>0</x:v>
      </x:c>
      <x:c r="AD49" s="4" t="str"/>
      <x:c r="AE49" s="4" t="str"/>
      <x:c r="AF49" s="4" t="str">
        <x:v>2026-10-08</x:v>
      </x:c>
      <x:c r="AG49" s="4" t="str">
        <x:v>imo-final-approval-rules.md (2026-10-08)</x:v>
      </x:c>
    </x:row>
    <x:row r="50" ht="42" customHeight="1">
      <x:c r="A50" s="4" t="str">
        <x:v>ADRIAN MILLANARCILA</x:v>
      </x:c>
      <x:c r="B50" s="8" t="str">
        <x:v>Yes</x:v>
      </x:c>
      <x:c r="C50" s="4" t="str">
        <x:v>Active general Life; no displayed agency or insurer relationships; lower priority; no confirmed exclusion.</x:v>
      </x:c>
      <x:c r="D50" s="10" t="e">
        <x:f>HYPERLINK("https://cdicloud.insurance.ca.gov/cal/LicenseDetail?SearchType=IND&amp;SearchLicNbr=1996241&amp;SearchIndvId=1996241","https://cdicloud.insurance.ca.gov/cal/LicenseDetail?SearchType=IND&amp;SearchLicNbr=1996241&amp;SearchIndvId=1996241")</x:f>
        <x:v>HYPERLINK is not implemented. linkLocation=https://cdicloud.insurance.ca.gov/cal/LicenseDetail?SearchType=IND&amp;SearchLicNbr=1996241&amp;SearchIndvId=1996241, friendlyName=https://cdicloud.insurance.ca.gov/cal/LicenseDetail?SearchType=IND&amp;SearchLicNbr=1996241&amp;SearchIndvId=1996241</x:v>
      </x:c>
      <x:c r="E50" s="9" t="str">
        <x:v>1996241</x:v>
      </x:c>
      <x:c r="F50" s="4" t="str">
        <x:v>7645 WYNGATE ST TUJUNGA CA, 91042</x:v>
      </x:c>
      <x:c r="G50" s="4" t="str">
        <x:v>818-317-5752</x:v>
      </x:c>
      <x:c r="H50" s="4" t="str">
        <x:v>https://www.google.com/maps/place/7645%20WYNGATE%20ST,%20TUJUNGA,%20CA,%2091042</x:v>
      </x:c>
      <x:c r="I50" s="4" t="str">
        <x:v>91043</x:v>
      </x:c>
      <x:c r="J50" s="4" t="str">
        <x:v>2026-10-08</x:v>
      </x:c>
      <x:c r="K50" s="4" t="str">
        <x:v>English</x:v>
      </x:c>
      <x:c r="L50" s="4" t="str">
        <x:v>Life</x:v>
      </x:c>
      <x:c r="M50" s="4" t="str">
        <x:v>Life — issued 2023-02-09</x:v>
      </x:c>
      <x:c r="N50" s="4" t="str">
        <x:v>2023-02-09</x:v>
      </x:c>
      <x:c r="O50" s="4" t="n">
        <x:v>3.66</x:v>
      </x:c>
      <x:c r="P50" s="4" t="str">
        <x:v>No</x:v>
      </x:c>
      <x:c r="Q50" s="4" t="str">
        <x:v>No</x:v>
      </x:c>
      <x:c r="R50" s="4" t="str">
        <x:v>No</x:v>
      </x:c>
      <x:c r="S50" s="4" t="str"/>
      <x:c r="T50" s="4" t="n">
        <x:v>0</x:v>
      </x:c>
      <x:c r="U50" s="4" t="n">
        <x:v>0</x:v>
      </x:c>
      <x:c r="V50" s="4" t="str"/>
      <x:c r="W50" s="4" t="n">
        <x:v>0</x:v>
      </x:c>
      <x:c r="X50" s="4" t="str"/>
      <x:c r="Y50" s="4" t="str"/>
      <x:c r="Z50" s="4" t="str"/>
      <x:c r="AA50" s="4" t="str"/>
      <x:c r="AB50" s="4" t="n">
        <x:v>0</x:v>
      </x:c>
      <x:c r="AC50" s="4" t="n">
        <x:v>0</x:v>
      </x:c>
      <x:c r="AD50" s="4" t="str"/>
      <x:c r="AE50" s="4" t="str"/>
      <x:c r="AF50" s="4" t="str"/>
      <x:c r="AG50" s="4" t="str">
        <x:v>imo-final-approval-rules.md (2026-10-08)</x:v>
      </x:c>
    </x:row>
    <x:row r="51" ht="42" customHeight="1">
      <x:c r="A51" s="4" t="str">
        <x:v>ADRIANA BARRAGAN</x:v>
      </x:c>
      <x:c r="B51" s="8" t="str">
        <x:v>No</x:v>
      </x:c>
      <x:c r="C51" s="4" t="str">
        <x:v>No active general Life qualification displayed; active authority is limited funeral/burial Life only.</x:v>
      </x:c>
      <x:c r="D51" s="10" t="e">
        <x:f>HYPERLINK("https://cdicloud.insurance.ca.gov/cal/LicenseDetail?SearchType=IND&amp;SearchLicNbr=4285914&amp;SearchIndvId=4285914","https://cdicloud.insurance.ca.gov/cal/LicenseDetail?SearchType=IND&amp;SearchLicNbr=4285914&amp;SearchIndvId=4285914")</x:f>
        <x:v>HYPERLINK is not implemented. linkLocation=https://cdicloud.insurance.ca.gov/cal/LicenseDetail?SearchType=IND&amp;SearchLicNbr=4285914&amp;SearchIndvId=4285914, friendlyName=https://cdicloud.insurance.ca.gov/cal/LicenseDetail?SearchType=IND&amp;SearchLicNbr=4285914&amp;SearchIndvId=4285914</x:v>
      </x:c>
      <x:c r="E51" s="9" t="str">
        <x:v>4285914</x:v>
      </x:c>
      <x:c r="F51" s="4" t="str">
        <x:v>14228 DICKENS ST APT 101 SHERMAN OAKS CA, 91423-4184</x:v>
      </x:c>
      <x:c r="G51" s="4" t="str">
        <x:v>818-943-8012</x:v>
      </x:c>
      <x:c r="H51" s="4" t="str">
        <x:v>https://www.google.com/maps/place/14228%20DICKENS%20ST%20APT%20101,%20SHERMAN%20OAKS,%20CA,%20914234184</x:v>
      </x:c>
      <x:c r="I51" s="4" t="str">
        <x:v>91333</x:v>
      </x:c>
      <x:c r="J51" s="4" t="str">
        <x:v>2026-10-08</x:v>
      </x:c>
      <x:c r="K51" s="4" t="str">
        <x:v>English</x:v>
      </x:c>
      <x:c r="L51" s="4" t="str">
        <x:v>Life Limited-Funeral &amp; Burial</x:v>
      </x:c>
      <x:c r="M51" s="4" t="str">
        <x:v>Life Limited-Funeral &amp; Burial — issued 2023-04-24</x:v>
      </x:c>
      <x:c r="N51" s="4" t="str"/>
      <x:c r="O51" s="4" t="str"/>
      <x:c r="P51" s="4" t="str">
        <x:v>No</x:v>
      </x:c>
      <x:c r="Q51" s="4" t="str">
        <x:v>No</x:v>
      </x:c>
      <x:c r="R51" s="4" t="str">
        <x:v>No</x:v>
      </x:c>
      <x:c r="S51" s="4" t="str">
        <x:v>GREAT WESTERN INSURANCE COMPANY; NATIONAL GUARDIAN LIFE INSURANCE COMPANY</x:v>
      </x:c>
      <x:c r="T51" s="4" t="n">
        <x:v>2</x:v>
      </x:c>
      <x:c r="U51" s="4" t="n">
        <x:v>2</x:v>
      </x:c>
      <x:c r="V51" s="4" t="str"/>
      <x:c r="W51" s="4" t="n">
        <x:v>0</x:v>
      </x:c>
      <x:c r="X51" s="4" t="str"/>
      <x:c r="Y51" s="4" t="str"/>
      <x:c r="Z51" s="4" t="str">
        <x:v>GREAT WESTERN INSURANCE COMPANY — Life Only (Limited) — 2026-02-13 | NATIONAL GUARDIAN LIFE INSURANCE COMPANY — Life Only (Limited) — 2025-06-27</x:v>
      </x:c>
      <x:c r="AA51" s="4" t="str"/>
      <x:c r="AB51" s="4" t="n">
        <x:v>0</x:v>
      </x:c>
      <x:c r="AC51" s="4" t="n">
        <x:v>0</x:v>
      </x:c>
      <x:c r="AD51" s="4" t="str"/>
      <x:c r="AE51" s="4" t="str"/>
      <x:c r="AF51" s="4" t="str">
        <x:v>2026-02-13</x:v>
      </x:c>
      <x:c r="AG51" s="4" t="str">
        <x:v>imo-final-approval-rules.md (2026-10-08)</x:v>
      </x:c>
    </x:row>
  </x:sheetData>
  <x:conditionalFormatting sqref="B2:B51">
    <x:cfRule type="containsText" dxfId="0" priority="1" operator="containsText" text="Yes"/>
    <x:cfRule type="containsText" dxfId="1" priority="2" operator="containsText" text="No"/>
    <x:cfRule type="containsBlanks" dxfId="2" priority="3"/>
  </x:conditionalFormatting>
  <x:pageMargins left="0.7" right="0.7" top="0.75" bottom="0.75" header="0.3" footer="0.3"/>
  <x:tableParts count="1">
    <x:tablePart xmlns:r="http://schemas.openxmlformats.org/officeDocument/2006/relationships" r:id="R0094b363d85c4f50"/>
  </x:tableParts>
</x:worksheet>
</file>

<file path=xl/worksheets/sheet2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52" hidden="0" customWidth="1"/>
    <x:col min="4" max="4" width="56" hidden="0" customWidth="1"/>
    <x:col min="5" max="5" width="17" hidden="0" customWidth="1"/>
    <x:col min="6" max="6" width="34" hidden="0" customWidth="1"/>
    <x:col min="7" max="7" width="16" hidden="0" customWidth="1"/>
    <x:col min="8" max="8" width="56" hidden="0" customWidth="1"/>
    <x:col min="9" max="9" width="13" hidden="0" customWidth="1"/>
    <x:col min="10" max="10" width="17" hidden="0" customWidth="1"/>
    <x:col min="11" max="11" width="17" hidden="0" customWidth="1"/>
    <x:col min="12" max="12" width="23" hidden="0" customWidth="1"/>
    <x:col min="13" max="13" width="52" hidden="0" customWidth="1"/>
    <x:col min="14" max="14" width="17" hidden="0" customWidth="1"/>
    <x:col min="15" max="15" width="24" hidden="0" customWidth="1"/>
    <x:col min="16" max="16" width="25" hidden="0" customWidth="1"/>
    <x:col min="17" max="17" width="21" hidden="0" customWidth="1"/>
    <x:col min="18" max="18" width="27" hidden="0" customWidth="1"/>
    <x:col min="19" max="19" width="34" hidden="0" customWidth="1"/>
    <x:col min="20" max="20" width="23" hidden="0" customWidth="1"/>
    <x:col min="21" max="21" width="22" hidden="0" customWidth="1"/>
    <x:col min="22" max="22" width="34" hidden="0" customWidth="1"/>
    <x:col min="23" max="23" width="27" hidden="0" customWidth="1"/>
    <x:col min="24" max="24" width="34" hidden="0" customWidth="1"/>
    <x:col min="25" max="25" width="34" hidden="0" customWidth="1"/>
    <x:col min="26" max="26" width="52" hidden="0" customWidth="1"/>
    <x:col min="27" max="27" width="34" hidden="0" customWidth="1"/>
    <x:col min="28" max="28" width="21" hidden="0" customWidth="1"/>
    <x:col min="29" max="29" width="27" hidden="0" customWidth="1"/>
    <x:col min="30" max="30" width="34" hidden="0" customWidth="1"/>
    <x:col min="31" max="31" width="52" hidden="0" customWidth="1"/>
    <x:col min="32" max="32" width="34" hidden="0" customWidth="1"/>
    <x:col min="33" max="33" width="52" hidden="0" customWidth="1"/>
  </x:cols>
  <x:sheetData>
    <x:row r="1" ht="32" customHeight="1">
      <x:c r="A1" s="7" t="str">
        <x:v>Name</x:v>
      </x:c>
      <x:c r="B1" s="7" t="str">
        <x:v>Passed_Test</x:v>
      </x:c>
      <x:c r="C1" s="7" t="str">
        <x:v>Assessment</x:v>
      </x:c>
      <x:c r="D1" s="7" t="str">
        <x:v>License_URL</x:v>
      </x:c>
      <x:c r="E1" s="7" t="str">
        <x:v>License_Number</x:v>
      </x:c>
      <x:c r="F1" s="7" t="str">
        <x:v>Business_Address</x:v>
      </x:c>
      <x:c r="G1" s="7" t="str">
        <x:v>Business_Phone</x:v>
      </x:c>
      <x:c r="H1" s="7" t="str">
        <x:v>Directions_URL</x:v>
      </x:c>
      <x:c r="I1" s="7" t="str">
        <x:v>Source_ZIPs</x:v>
      </x:c>
      <x:c r="J1" s="7" t="str">
        <x:v>Checked_On</x:v>
      </x:c>
      <x:c r="K1" s="7" t="str">
        <x:v>Languages</x:v>
      </x:c>
      <x:c r="L1" s="7" t="str">
        <x:v>Active_Qualifications</x:v>
      </x:c>
      <x:c r="M1" s="7" t="str">
        <x:v>Qualification_Details</x:v>
      </x:c>
      <x:c r="N1" s="7" t="str">
        <x:v>Life_Issue_Date</x:v>
      </x:c>
      <x:c r="O1" s="7" t="str">
        <x:v>Years_Since_Life_Issue</x:v>
      </x:c>
      <x:c r="P1" s="7" t="str">
        <x:v>Active_Health_Authority</x:v>
      </x:c>
      <x:c r="Q1" s="7" t="str">
        <x:v>Active_PC_Authority</x:v>
      </x:c>
      <x:c r="R1" s="7" t="str">
        <x:v>Active_Variable_Authority</x:v>
      </x:c>
      <x:c r="S1" s="7" t="str">
        <x:v>Appointed_Insurers</x:v>
      </x:c>
      <x:c r="T1" s="7" t="str">
        <x:v>Appointment_Row_Count</x:v>
      </x:c>
      <x:c r="U1" s="7" t="str">
        <x:v>Unique_Insurer_Count</x:v>
      </x:c>
      <x:c r="V1" s="7" t="str">
        <x:v>Life_Appointed_Insurers</x:v>
      </x:c>
      <x:c r="W1" s="7" t="str">
        <x:v>Unique_Life_Insurer_Count</x:v>
      </x:c>
      <x:c r="X1" s="7" t="str">
        <x:v>Health_Appointed_Insurers</x:v>
      </x:c>
      <x:c r="Y1" s="7" t="str">
        <x:v>PC_Appointed_Insurers</x:v>
      </x:c>
      <x:c r="Z1" s="7" t="str">
        <x:v>Appointment_Details</x:v>
      </x:c>
      <x:c r="AA1" s="7" t="str">
        <x:v>Agency_Organizations</x:v>
      </x:c>
      <x:c r="AB1" s="7" t="str">
        <x:v>Unique_Agency_Count</x:v>
      </x:c>
      <x:c r="AC1" s="7" t="str">
        <x:v>Agency_Relationship_Count</x:v>
      </x:c>
      <x:c r="AD1" s="7" t="str">
        <x:v>Life_Agency_Organizations</x:v>
      </x:c>
      <x:c r="AE1" s="7" t="str">
        <x:v>Agency_Relationship_Details</x:v>
      </x:c>
      <x:c r="AF1" s="7" t="str">
        <x:v>Latest_Displayed_Relationship_Date</x:v>
      </x:c>
      <x:c r="AG1" s="7" t="str">
        <x:v>Rule_Document</x:v>
      </x:c>
    </x:row>
    <x:row r="2" ht="42" customHeight="1">
      <x:c r="A2" s="4" t="str">
        <x:v>AARON BERO</x:v>
      </x:c>
      <x:c r="B2" s="8" t="str">
        <x:v>Yes</x:v>
      </x:c>
      <x:c r="C2" s="4" t="str">
        <x:v>Active general Life; only non-Life or lower-priority relationships displayed; no confirmed exclusion.</x:v>
      </x:c>
      <x:c r="D2" s="10" t="e">
        <x:f>HYPERLINK("https://cdicloud.insurance.ca.gov/cal/LicenseDetail?SearchType=IND&amp;SearchLicNbr=0F01313&amp;SearchIndvId=983009","https://cdicloud.insurance.ca.gov/cal/LicenseDetail?SearchType=IND&amp;SearchLicNbr=0F01313&amp;SearchIndvId=983009")</x:f>
        <x:v>HYPERLINK is not implemented. linkLocation=https://cdicloud.insurance.ca.gov/cal/LicenseDetail?SearchType=IND&amp;SearchLicNbr=0F01313&amp;SearchIndvId=983009, friendlyName=https://cdicloud.insurance.ca.gov/cal/LicenseDetail?SearchType=IND&amp;SearchLicNbr=0F01313&amp;SearchIndvId=983009</x:v>
      </x:c>
      <x:c r="E2" s="9" t="str">
        <x:v>0F01313</x:v>
      </x:c>
      <x:c r="F2" s="4" t="str">
        <x:v>99 S. OAKLAND AVE. PASADENA CA, 91101</x:v>
      </x:c>
      <x:c r="G2" s="4" t="str">
        <x:v>626-405-5909</x:v>
      </x:c>
      <x:c r="H2" s="4" t="str">
        <x:v>https://www.google.com/maps/place/99%20S.%20OAKLAND%20AVE.,%20PASADENA,%20CA,%2091101</x:v>
      </x:c>
      <x:c r="I2" s="4" t="str">
        <x:v>91352 91504</x:v>
      </x:c>
      <x:c r="J2" s="4" t="str">
        <x:v>2026-10-08</x:v>
      </x:c>
      <x:c r="K2" s="4" t="str">
        <x:v>English</x:v>
      </x:c>
      <x:c r="L2" s="4" t="str">
        <x:v>Accident &amp; Health or Sickness; Life</x:v>
      </x:c>
      <x:c r="M2" s="4" t="str">
        <x:v>Accident &amp; Health or Sickness — issued 2005-12-06 | Life — issued 2005-12-06</x:v>
      </x:c>
      <x:c r="N2" s="4" t="str">
        <x:v>2005-12-06</x:v>
      </x:c>
      <x:c r="O2" s="4" t="n">
        <x:v>20.84</x:v>
      </x:c>
      <x:c r="P2" s="4" t="str">
        <x:v>Yes</x:v>
      </x:c>
      <x:c r="Q2" s="4" t="str">
        <x:v>No</x:v>
      </x:c>
      <x:c r="R2" s="4" t="str">
        <x:v>No</x:v>
      </x:c>
      <x:c r="S2" s="4" t="str">
        <x:v>KAISER PERMANENTE INSURANCE COMPANY</x:v>
      </x:c>
      <x:c r="T2" s="4" t="n">
        <x:v>1</x:v>
      </x:c>
      <x:c r="U2" s="4" t="n">
        <x:v>1</x:v>
      </x:c>
      <x:c r="V2" s="4" t="str"/>
      <x:c r="W2" s="4" t="n">
        <x:v>0</x:v>
      </x:c>
      <x:c r="X2" s="4" t="str"/>
      <x:c r="Y2" s="4" t="str"/>
      <x:c r="Z2" s="4" t="str">
        <x:v>KAISER PERMANENTE INSURANCE COMPANY — Disability Only — 2007-12-26</x:v>
      </x:c>
      <x:c r="AA2" s="4" t="str"/>
      <x:c r="AB2" s="4" t="n">
        <x:v>0</x:v>
      </x:c>
      <x:c r="AC2" s="4" t="n">
        <x:v>0</x:v>
      </x:c>
      <x:c r="AD2" s="4" t="str"/>
      <x:c r="AE2" s="4" t="str"/>
      <x:c r="AF2" s="4" t="str">
        <x:v>2007-12-26</x:v>
      </x:c>
      <x:c r="AG2" s="4" t="str">
        <x:v>imo-final-approval-rules.md (2026-10-08)</x:v>
      </x:c>
    </x:row>
    <x:row r="3" ht="42" customHeight="1">
      <x:c r="A3" s="4" t="str">
        <x:v>AARON BYRD</x:v>
      </x:c>
      <x:c r="B3" s="8" t="str">
        <x:v>Yes</x:v>
      </x:c>
      <x:c r="C3" s="4" t="str">
        <x:v>Active general Life; Life agency relationship: WORLD FINANCIAL GROUP INSURANCE AGENCY, LLC; no confirmed exclusion.</x:v>
      </x:c>
      <x:c r="D3" s="10" t="e">
        <x:f>HYPERLINK("https://cdicloud.insurance.ca.gov/cal/LicenseDetail?SearchType=IND&amp;SearchLicNbr=4260816&amp;SearchIndvId=4260816","https://cdicloud.insurance.ca.gov/cal/LicenseDetail?SearchType=IND&amp;SearchLicNbr=4260816&amp;SearchIndvId=4260816")</x:f>
        <x:v>HYPERLINK is not implemented. linkLocation=https://cdicloud.insurance.ca.gov/cal/LicenseDetail?SearchType=IND&amp;SearchLicNbr=4260816&amp;SearchIndvId=4260816, friendlyName=https://cdicloud.insurance.ca.gov/cal/LicenseDetail?SearchType=IND&amp;SearchLicNbr=4260816&amp;SearchIndvId=4260816</x:v>
      </x:c>
      <x:c r="E3" s="9" t="str">
        <x:v>4260816</x:v>
      </x:c>
      <x:c r="F3" s="4" t="str">
        <x:v>4569 EDGEWOOD PLACE LOS ANGELES CA, 90019</x:v>
      </x:c>
      <x:c r="G3" s="4" t="str"/>
      <x:c r="H3" s="4" t="str">
        <x:v>https://www.google.com/maps/place/4569%20EDGEWOOD%20PLACE,%20LOS%20ANGELES,%20CA,%2090019</x:v>
      </x:c>
      <x:c r="I3" s="4" t="str">
        <x:v>90018</x:v>
      </x:c>
      <x:c r="J3" s="4" t="str">
        <x:v>2026-10-08</x:v>
      </x:c>
      <x:c r="K3" s="4" t="str">
        <x:v>English</x:v>
      </x:c>
      <x:c r="L3" s="4" t="str">
        <x:v>Accident &amp; Health or Sickness; Life</x:v>
      </x:c>
      <x:c r="M3" s="4" t="str">
        <x:v>Accident &amp; Health or Sickness — issued 2022-12-12 | Life — issued 2022-12-12</x:v>
      </x:c>
      <x:c r="N3" s="4" t="str">
        <x:v>2022-12-12</x:v>
      </x:c>
      <x:c r="O3" s="4" t="n">
        <x:v>3.82</x:v>
      </x:c>
      <x:c r="P3" s="4" t="str">
        <x:v>Yes</x:v>
      </x:c>
      <x:c r="Q3" s="4" t="str">
        <x:v>No</x:v>
      </x:c>
      <x:c r="R3" s="4" t="str">
        <x:v>No</x:v>
      </x:c>
      <x:c r="S3" s="4" t="str">
        <x:v>ASSURITY LIFE INSURANCE COMPANY; ATHENE ANNUITY AND LIFE COMPANY; FORETHOUGHT LIFE INSURANCE COMPANY; LIFE INSURANCE COMPANY OF THE SOUTHWEST; PRUCO LIFE INSURANCE COMPANY</x:v>
      </x:c>
      <x:c r="T3" s="4" t="n">
        <x:v>8</x:v>
      </x:c>
      <x:c r="U3" s="4" t="n">
        <x:v>5</x:v>
      </x:c>
      <x:c r="V3" s="4" t="str">
        <x:v>ASSURITY LIFE INSURANCE COMPANY; ATHENE ANNUITY AND LIFE COMPANY; FORETHOUGHT LIFE INSURANCE COMPANY; LIFE INSURANCE COMPANY OF THE SOUTHWEST; PRUCO LIFE INSURANCE COMPANY</x:v>
      </x:c>
      <x:c r="W3" s="4" t="n">
        <x:v>5</x:v>
      </x:c>
      <x:c r="X3" s="4" t="str">
        <x:v>ASSURITY LIFE INSURANCE COMPANY; FORETHOUGHT LIFE INSURANCE COMPANY; LIFE INSURANCE COMPANY OF THE SOUTHWEST</x:v>
      </x:c>
      <x:c r="Y3" s="4" t="str"/>
      <x:c r="Z3" s="4" t="str">
        <x:v>ASSURITY LIFE INSURANCE COMPANY — Accident &amp; Health or Sickness — 2026-05-08 | ASSURITY LIFE INSURANCE COMPANY — Life — 2026-05-08 | ATHENE ANNUITY AND LIFE COMPANY — Life — 2023-02-28 | FORETHOUGHT LIFE INSURANCE COMPANY — Accident &amp; Health or Sickness — 2025-05-15 | FORETHOUGHT LIFE INSURANCE COMPANY — Life — 2025-05-15 | LIFE INSURANCE COMPANY OF THE SOUTHWEST — Accident &amp; Health or Sickness — 2026-07-15 | LIFE INSURANCE COMPANY OF THE SOUTHWEST — Life — 2026-07-15 | PRUCO LIFE INSURANCE COMPANY — Life — 2026-05-19</x:v>
      </x:c>
      <x:c r="AA3" s="4" t="str">
        <x:v>WORLD FINANCIAL GROUP INSURANCE AGENCY, LLC</x:v>
      </x:c>
      <x:c r="AB3" s="4" t="n">
        <x:v>1</x:v>
      </x:c>
      <x:c r="AC3" s="4" t="n">
        <x:v>2</x:v>
      </x:c>
      <x:c r="AD3" s="4" t="str">
        <x:v>WORLD FINANCIAL GROUP INSURANCE AGENCY, LLC</x:v>
      </x:c>
      <x:c r="AE3" s="4" t="str">
        <x:v>WORLD FINANCIAL GROUP INSURANCE AGENCY, LLC — Life — 2022-12-16 | WORLD FINANCIAL GROUP INSURANCE AGENCY, LLC — Accident &amp; Health or Sickness — 2022-12-16</x:v>
      </x:c>
      <x:c r="AF3" s="4" t="str">
        <x:v>2026-07-15</x:v>
      </x:c>
      <x:c r="AG3" s="4" t="str">
        <x:v>imo-final-approval-rules.md (2026-10-08)</x:v>
      </x:c>
    </x:row>
    <x:row r="4" ht="42" customHeight="1">
      <x:c r="A4" s="4" t="str">
        <x:v>AARON COOK</x:v>
      </x:c>
      <x:c r="B4" s="8" t="str">
        <x:v>Yes</x:v>
      </x:c>
      <x:c r="C4" s="4" t="str">
        <x:v>Active general Life; Life appointments: SECURITY BENEFIT LIFE INSURANCE COMPANY; TRANSAMERICA LIFE INSURANCE COMPANY; no confirmed exclusion.</x:v>
      </x:c>
      <x:c r="D4" s="10" t="e">
        <x:f>HYPERLINK("https://cdicloud.insurance.ca.gov/cal/LicenseDetail?SearchType=IND&amp;SearchLicNbr=0B94305&amp;SearchIndvId=271280","https://cdicloud.insurance.ca.gov/cal/LicenseDetail?SearchType=IND&amp;SearchLicNbr=0B94305&amp;SearchIndvId=271280")</x:f>
        <x:v>HYPERLINK is not implemented. linkLocation=https://cdicloud.insurance.ca.gov/cal/LicenseDetail?SearchType=IND&amp;SearchLicNbr=0B94305&amp;SearchIndvId=271280, friendlyName=https://cdicloud.insurance.ca.gov/cal/LicenseDetail?SearchType=IND&amp;SearchLicNbr=0B94305&amp;SearchIndvId=271280</x:v>
      </x:c>
      <x:c r="E4" s="9" t="str">
        <x:v>0B94305</x:v>
      </x:c>
      <x:c r="F4" s="4" t="str">
        <x:v>12130 MILLENNIUM STE 300 LOS ANGELES CA, 90094-3156</x:v>
      </x:c>
      <x:c r="G4" s="4" t="str">
        <x:v>424-360-1133</x:v>
      </x:c>
      <x:c r="H4" s="4" t="str">
        <x:v>https://www.google.com/maps/place/12130%20MILLENNIUM%20STE%20300,%20LOS%20ANGELES,%20CA,%20900943156</x:v>
      </x:c>
      <x:c r="I4" s="4" t="str">
        <x:v>90230</x:v>
      </x:c>
      <x:c r="J4" s="4" t="str">
        <x:v>2026-10-08</x:v>
      </x:c>
      <x:c r="K4" s="4" t="str">
        <x:v>English</x:v>
      </x:c>
      <x:c r="L4" s="4" t="str">
        <x:v>Accident &amp; Health or Sickness; Life; Var Life and Var Annuity</x:v>
      </x:c>
      <x:c r="M4" s="4" t="str">
        <x:v>Accident &amp; Health or Sickness — issued 1996-11-25 | Life — issued 1996-11-25 | Var Life and Var Annuity — issued 1997-07-17</x:v>
      </x:c>
      <x:c r="N4" s="4" t="str">
        <x:v>1996-11-25</x:v>
      </x:c>
      <x:c r="O4" s="4" t="n">
        <x:v>29.87</x:v>
      </x:c>
      <x:c r="P4" s="4" t="str">
        <x:v>Yes</x:v>
      </x:c>
      <x:c r="Q4" s="4" t="str">
        <x:v>No</x:v>
      </x:c>
      <x:c r="R4" s="4" t="str">
        <x:v>Yes</x:v>
      </x:c>
      <x:c r="S4" s="4" t="str">
        <x:v>SECURITY BENEFIT LIFE INSURANCE COMPANY; TRANSAMERICA LIFE INSURANCE COMPANY</x:v>
      </x:c>
      <x:c r="T4" s="4" t="n">
        <x:v>3</x:v>
      </x:c>
      <x:c r="U4" s="4" t="n">
        <x:v>2</x:v>
      </x:c>
      <x:c r="V4" s="4" t="str">
        <x:v>SECURITY BENEFIT LIFE INSURANCE COMPANY; TRANSAMERICA LIFE INSURANCE COMPANY</x:v>
      </x:c>
      <x:c r="W4" s="4" t="n">
        <x:v>2</x:v>
      </x:c>
      <x:c r="X4" s="4" t="str">
        <x:v>SECURITY BENEFIT LIFE INSURANCE COMPANY</x:v>
      </x:c>
      <x:c r="Y4" s="4" t="str"/>
      <x:c r="Z4" s="4" t="str">
        <x:v>SECURITY BENEFIT LIFE INSURANCE COMPANY — Accident &amp; Health or Sickness — 2025-02-04 | SECURITY BENEFIT LIFE INSURANCE COMPANY — Life — 2025-02-04 | TRANSAMERICA LIFE INSURANCE COMPANY — Life — 2025-06-20</x:v>
      </x:c>
      <x:c r="AA4" s="4" t="str"/>
      <x:c r="AB4" s="4" t="n">
        <x:v>0</x:v>
      </x:c>
      <x:c r="AC4" s="4" t="n">
        <x:v>0</x:v>
      </x:c>
      <x:c r="AD4" s="4" t="str"/>
      <x:c r="AE4" s="4" t="str"/>
      <x:c r="AF4" s="4" t="str">
        <x:v>2025-06-20</x:v>
      </x:c>
      <x:c r="AG4" s="4" t="str">
        <x:v>imo-final-approval-rules.md (2026-10-08)</x:v>
      </x:c>
    </x:row>
    <x:row r="5" ht="42" customHeight="1">
      <x:c r="A5" s="4" t="str">
        <x:v>AARON MA</x:v>
      </x:c>
      <x:c r="B5" s="8" t="str">
        <x:v>Yes</x:v>
      </x:c>
      <x:c r="C5" s="4" t="str">
        <x:v>Active general Life; Life agency relationship: CARLYLE SPECIALTY INSURANCE SERVICES LLC; no confirmed exclusion.</x:v>
      </x:c>
      <x:c r="D5" s="10" t="e">
        <x:f>HYPERLINK("https://cdicloud.insurance.ca.gov/cal/LicenseDetail?SearchType=IND&amp;SearchLicNbr=0D42453&amp;SearchIndvId=586849","https://cdicloud.insurance.ca.gov/cal/LicenseDetail?SearchType=IND&amp;SearchLicNbr=0D42453&amp;SearchIndvId=586849")</x:f>
        <x:v>HYPERLINK is not implemented. linkLocation=https://cdicloud.insurance.ca.gov/cal/LicenseDetail?SearchType=IND&amp;SearchLicNbr=0D42453&amp;SearchIndvId=586849, friendlyName=https://cdicloud.insurance.ca.gov/cal/LicenseDetail?SearchType=IND&amp;SearchLicNbr=0D42453&amp;SearchIndvId=586849</x:v>
      </x:c>
      <x:c r="E5" s="9" t="str">
        <x:v>0D42453</x:v>
      </x:c>
      <x:c r="F5" s="4" t="str">
        <x:v>C/O CARLYLE SPECIALTY INSURANCE SERVICES 12100 WILSHIRE BLVD STE 800 LOS ANGELES CA, 90025-7140</x:v>
      </x:c>
      <x:c r="G5" s="4" t="str"/>
      <x:c r="H5" s="4" t="str">
        <x:v>https://www.google.com/maps/place/C/O%20CARLYLE%20SPECIALTY%20INSURANCE%20SERVICES,%20LOS%20ANGELES,%20CA,%20900257140</x:v>
      </x:c>
      <x:c r="I5" s="4" t="str">
        <x:v>90090</x:v>
      </x:c>
      <x:c r="J5" s="4" t="str">
        <x:v>2026-10-08</x:v>
      </x:c>
      <x:c r="K5" s="4" t="str">
        <x:v>English</x:v>
      </x:c>
      <x:c r="L5" s="4" t="str">
        <x:v>Accident &amp; Health or Sickness; Casualty; Life; Property; Surplus Lines Broker</x:v>
      </x:c>
      <x:c r="M5" s="4" t="str">
        <x:v>Accident &amp; Health or Sickness — issued 2010-12-01 | Casualty — issued 2001-09-26 | Life — issued 2010-12-01 | Property — issued 2001-09-26 | Surplus Lines Broker — issued 2008-01-01</x:v>
      </x:c>
      <x:c r="N5" s="4" t="str">
        <x:v>2010-12-01</x:v>
      </x:c>
      <x:c r="O5" s="4" t="n">
        <x:v>15.85</x:v>
      </x:c>
      <x:c r="P5" s="4" t="str">
        <x:v>Yes</x:v>
      </x:c>
      <x:c r="Q5" s="4" t="str">
        <x:v>Yes</x:v>
      </x:c>
      <x:c r="R5" s="4" t="str">
        <x:v>No</x:v>
      </x:c>
      <x:c r="S5" s="4" t="str">
        <x:v>ARCH INDEMNITY INSURANCE COMPANY; ARCH INSURANCE COMPANY; BERKLEY NATIONAL INSURANCE COMPANY; BERKLEY REGIONAL INSURANCE COMPANY; GREAT DIVIDE INSURANCE COMPANY; IMPERIUM INSURANCE COMPANY; NATIONAL UNION FIRE INSURANCE COMPANY OF PITTSBURGH, PA; RIVERPORT INSURANCE COMPANY; SENECA INSURANCE COMPANY, INC.; STARNET INSURANCE COMPANY; TRI-STATE INSURANCE COMPANY OF MINNESOTA</x:v>
      </x:c>
      <x:c r="T5" s="4" t="n">
        <x:v>22</x:v>
      </x:c>
      <x:c r="U5" s="4" t="n">
        <x:v>11</x:v>
      </x:c>
      <x:c r="V5" s="4" t="str"/>
      <x:c r="W5" s="4" t="n">
        <x:v>0</x:v>
      </x:c>
      <x:c r="X5" s="4" t="str">
        <x:v>ARCH INSURANCE COMPANY; NATIONAL UNION FIRE INSURANCE COMPANY OF PITTSBURGH, PA</x:v>
      </x:c>
      <x:c r="Y5" s="4" t="str">
        <x:v>ARCH INDEMNITY INSURANCE COMPANY; ARCH INSURANCE COMPANY; BERKLEY NATIONAL INSURANCE COMPANY; BERKLEY REGIONAL INSURANCE COMPANY; GREAT DIVIDE INSURANCE COMPANY; IMPERIUM INSURANCE COMPANY; RIVERPORT INSURANCE COMPANY; SENECA INSURANCE COMPANY, INC.; STARNET INSURANCE COMPANY; TRI-STATE INSURANCE COMPANY OF MINNESOTA</x:v>
      </x:c>
      <x:c r="Z5" s="4" t="str">
        <x:v>ARCH INDEMNITY INSURANCE COMPANY — Casualty — 2024-04-03 | ARCH INDEMNITY INSURANCE COMPANY — Property — 2024-04-03 | ARCH INSURANCE COMPANY — Accident &amp; Health or Sickness — 2025-06-23 | ARCH INSURANCE COMPANY — Casualty — 2024-04-03 | ARCH INSURANCE COMPANY — Disability Only — 2025-06-23 | ARCH INSURANCE COMPANY — Property — 2024-04-03 | BERKLEY NATIONAL INSURANCE COMPANY — Casualty — 2024-04-24 | BERKLEY NATIONAL INSURANCE COMPANY — Property — 2024-04-24 | BERKLEY REGIONAL INSURANCE COMPANY — Casualty — 2024-04-24 | BERKLEY REGIONAL INSURANCE COMPANY — Property — 2024-04-24 | GREAT DIVIDE INSURANCE COMPANY — Casualty — 2024-04-24 | GREAT DIVIDE INSURANCE COMPANY — Property — 2024-04-24 | IMPERIUM INSURANCE COMPANY — Casualty — 2024-07-30 | IMPERIUM INSURANCE COMPANY — Property — 2024-07-30 | NATIONAL UNION FIRE INSURANCE COMPANY OF PITTSBURGH, PA — Accident &amp; Health or Sickness — 2015-05-05 | RIVERPORT INSURANCE COMPANY — Casualty — 2024-04-24 | RIVERPORT INSURANCE COMPANY — Property — 2024-04-24 | SENECA INSURANCE COMPANY, INC. — Casualty — 2012-07-28 | SENECA INSURANCE COMPANY, INC. — Property — 2012-07-28 | STARNET INSURANCE COMPANY — Casualty — 2024-04-24 | STARNET INSURANCE COMPANY — Property — 2024-04-24 | TRI-STATE INSURANCE COMPANY OF MINNESOTA — Casualty — 2024-04-24</x:v>
      </x:c>
      <x:c r="AA5" s="4" t="str">
        <x:v>CARLYLE SPECIALTY INSURANCE SERVICES LLC</x:v>
      </x:c>
      <x:c r="AB5" s="4" t="n">
        <x:v>1</x:v>
      </x:c>
      <x:c r="AC5" s="4" t="n">
        <x:v>5</x:v>
      </x:c>
      <x:c r="AD5" s="4" t="str">
        <x:v>CARLYLE SPECIALTY INSURANCE SERVICES LLC</x:v>
      </x:c>
      <x:c r="AE5" s="4" t="str">
        <x:v>CARLYLE SPECIALTY INSURANCE SERVICES LLC — Accident &amp; Health or Sickness — 2024-01-22 | CARLYLE SPECIALTY INSURANCE SERVICES LLC — Surplus Lines Broker — 2024-01-22 | CARLYLE SPECIALTY INSURANCE SERVICES LLC — Casualty — 2024-01-22 | CARLYLE SPECIALTY INSURANCE SERVICES LLC — Life — 2024-01-22 | CARLYLE SPECIALTY INSURANCE SERVICES LLC — Property — 2024-01-22</x:v>
      </x:c>
      <x:c r="AF5" s="4" t="str">
        <x:v>2025-06-23</x:v>
      </x:c>
      <x:c r="AG5" s="4" t="str">
        <x:v>imo-final-approval-rules.md (2026-10-08)</x:v>
      </x:c>
    </x:row>
    <x:row r="6" ht="42" customHeight="1">
      <x:c r="A6" s="4" t="str">
        <x:v>AARON WILLIAMS</x:v>
      </x:c>
      <x:c r="B6" s="8" t="str">
        <x:v>Yes</x:v>
      </x:c>
      <x:c r="C6" s="4" t="str">
        <x:v>Active general Life; no displayed agency or insurer relationships; lower priority; no confirmed exclusion.</x:v>
      </x:c>
      <x:c r="D6" s="10" t="e">
        <x:f>HYPERLINK("https://cdicloud.insurance.ca.gov/cal/LicenseDetail?SearchType=IND&amp;SearchLicNbr=0L93589&amp;SearchIndvId=1963035","https://cdicloud.insurance.ca.gov/cal/LicenseDetail?SearchType=IND&amp;SearchLicNbr=0L93589&amp;SearchIndvId=1963035")</x:f>
        <x:v>HYPERLINK is not implemented. linkLocation=https://cdicloud.insurance.ca.gov/cal/LicenseDetail?SearchType=IND&amp;SearchLicNbr=0L93589&amp;SearchIndvId=1963035, friendlyName=https://cdicloud.insurance.ca.gov/cal/LicenseDetail?SearchType=IND&amp;SearchLicNbr=0L93589&amp;SearchIndvId=1963035</x:v>
      </x:c>
      <x:c r="E6" s="9" t="str">
        <x:v>0L93589</x:v>
      </x:c>
      <x:c r="F6" s="4" t="str">
        <x:v>12130 MILLENNIUM STE 300 LOS ANGELES CA, 90094-3156</x:v>
      </x:c>
      <x:c r="G6" s="4" t="str">
        <x:v>310-654-4441</x:v>
      </x:c>
      <x:c r="H6" s="4" t="str">
        <x:v>https://www.google.com/maps/place/12130%20MILLENNIUM%20STE%20300,%20LOS%20ANGELES,%20CA,%20900943156</x:v>
      </x:c>
      <x:c r="I6" s="4" t="str">
        <x:v>90090</x:v>
      </x:c>
      <x:c r="J6" s="4" t="str">
        <x:v>2026-10-08</x:v>
      </x:c>
      <x:c r="K6" s="4" t="str">
        <x:v>English</x:v>
      </x:c>
      <x:c r="L6" s="4" t="str">
        <x:v>Accident &amp; Health or Sickness; Life</x:v>
      </x:c>
      <x:c r="M6" s="4" t="str">
        <x:v>Accident &amp; Health or Sickness — issued 2023-12-01 | Life — issued 2017-09-13</x:v>
      </x:c>
      <x:c r="N6" s="4" t="str">
        <x:v>2017-09-13</x:v>
      </x:c>
      <x:c r="O6" s="4" t="n">
        <x:v>9.07</x:v>
      </x:c>
      <x:c r="P6" s="4" t="str">
        <x:v>Yes</x:v>
      </x:c>
      <x:c r="Q6" s="4" t="str">
        <x:v>No</x:v>
      </x:c>
      <x:c r="R6" s="4" t="str">
        <x:v>No</x:v>
      </x:c>
      <x:c r="S6" s="4" t="str"/>
      <x:c r="T6" s="4" t="n">
        <x:v>0</x:v>
      </x:c>
      <x:c r="U6" s="4" t="n">
        <x:v>0</x:v>
      </x:c>
      <x:c r="V6" s="4" t="str"/>
      <x:c r="W6" s="4" t="n">
        <x:v>0</x:v>
      </x:c>
      <x:c r="X6" s="4" t="str"/>
      <x:c r="Y6" s="4" t="str"/>
      <x:c r="Z6" s="4" t="str"/>
      <x:c r="AA6" s="4" t="str"/>
      <x:c r="AB6" s="4" t="n">
        <x:v>0</x:v>
      </x:c>
      <x:c r="AC6" s="4" t="n">
        <x:v>0</x:v>
      </x:c>
      <x:c r="AD6" s="4" t="str"/>
      <x:c r="AE6" s="4" t="str"/>
      <x:c r="AF6" s="4" t="str"/>
      <x:c r="AG6" s="4" t="str">
        <x:v>imo-final-approval-rules.md (2026-10-08)</x:v>
      </x:c>
    </x:row>
    <x:row r="7" ht="42" customHeight="1">
      <x:c r="A7" s="4" t="str">
        <x:v>ABEL CICCHIELLO</x:v>
      </x:c>
      <x:c r="B7" s="8" t="str">
        <x:v>Yes</x:v>
      </x:c>
      <x:c r="C7" s="4" t="str">
        <x:v>Active general Life; only non-Life or lower-priority relationships displayed; no confirmed exclusion.</x:v>
      </x:c>
      <x:c r="D7" s="10" t="e">
        <x:f>HYPERLINK("https://cdicloud.insurance.ca.gov/cal/LicenseDetail?SearchType=IND&amp;SearchLicNbr=0D52881&amp;SearchIndvId=621509","https://cdicloud.insurance.ca.gov/cal/LicenseDetail?SearchType=IND&amp;SearchLicNbr=0D52881&amp;SearchIndvId=621509")</x:f>
        <x:v>HYPERLINK is not implemented. linkLocation=https://cdicloud.insurance.ca.gov/cal/LicenseDetail?SearchType=IND&amp;SearchLicNbr=0D52881&amp;SearchIndvId=621509, friendlyName=https://cdicloud.insurance.ca.gov/cal/LicenseDetail?SearchType=IND&amp;SearchLicNbr=0D52881&amp;SearchIndvId=621509</x:v>
      </x:c>
      <x:c r="E7" s="9" t="str">
        <x:v>0D52881</x:v>
      </x:c>
      <x:c r="F7" s="4" t="str">
        <x:v>418 N MACLAY AVE SAN FERNANDO CA, 91340</x:v>
      </x:c>
      <x:c r="G7" s="4" t="str">
        <x:v>818-798-0105</x:v>
      </x:c>
      <x:c r="H7" s="4" t="str">
        <x:v>https://www.google.com/maps/place/418%20N%20MACLAY%20AVE,%20SAN%20FERNANDO,%20CA,%2091340</x:v>
      </x:c>
      <x:c r="I7" s="4" t="str">
        <x:v>91333</x:v>
      </x:c>
      <x:c r="J7" s="4" t="str">
        <x:v>2026-10-08</x:v>
      </x:c>
      <x:c r="K7" s="4" t="str">
        <x:v>English</x:v>
      </x:c>
      <x:c r="L7" s="4" t="str">
        <x:v>Accident &amp; Health or Sickness; Casualty; Life; Property</x:v>
      </x:c>
      <x:c r="M7" s="4" t="str">
        <x:v>Accident &amp; Health or Sickness — issued 2006-02-07 | Casualty — issued 2002-01-12 | Life — issued 2006-02-07 | Property — issued 2002-01-12</x:v>
      </x:c>
      <x:c r="N7" s="4" t="str">
        <x:v>2006-02-07</x:v>
      </x:c>
      <x:c r="O7" s="4" t="n">
        <x:v>20.67</x:v>
      </x:c>
      <x:c r="P7" s="4" t="str">
        <x:v>Yes</x:v>
      </x:c>
      <x:c r="Q7" s="4" t="str">
        <x:v>Yes</x:v>
      </x:c>
      <x:c r="R7" s="4" t="str">
        <x:v>No</x:v>
      </x:c>
      <x:c r="S7" s="4" t="str">
        <x:v>AMERICAN MODERN HOME INSURANCE COMPANY; AMERICAN MODERN PROPERTY AND CASUALTY INSURANCE COMPANY; FOREMOST INSURANCE COMPANY GRAND RAPIDS, MICHIGAN; INFINITY INSURANCE COMPANY</x:v>
      </x:c>
      <x:c r="T7" s="4" t="n">
        <x:v>8</x:v>
      </x:c>
      <x:c r="U7" s="4" t="n">
        <x:v>4</x:v>
      </x:c>
      <x:c r="V7" s="4" t="str"/>
      <x:c r="W7" s="4" t="n">
        <x:v>0</x:v>
      </x:c>
      <x:c r="X7" s="4" t="str"/>
      <x:c r="Y7" s="4" t="str">
        <x:v>AMERICAN MODERN HOME INSURANCE COMPANY; AMERICAN MODERN PROPERTY AND CASUALTY INSURANCE COMPANY; FOREMOST INSURANCE COMPANY GRAND RAPIDS, MICHIGAN; INFINITY INSURANCE COMPANY</x:v>
      </x:c>
      <x:c r="Z7" s="4" t="str">
        <x:v>AMERICAN MODERN HOME INSURANCE COMPANY — Casualty — 2022-01-09 | AMERICAN MODERN HOME INSURANCE COMPANY — Property — 2022-01-09 | AMERICAN MODERN PROPERTY AND CASUALTY INSURANCE COMPANY — Casualty — 2022-01-09 | AMERICAN MODERN PROPERTY AND CASUALTY INSURANCE COMPANY — Property — 2022-01-09 | FOREMOST INSURANCE COMPANY GRAND RAPIDS, MICHIGAN — Casualty — 2020-05-11 | FOREMOST INSURANCE COMPANY GRAND RAPIDS, MICHIGAN — Property — 2020-05-11 | INFINITY INSURANCE COMPANY — Casualty — 2023-10-01 | INFINITY INSURANCE COMPANY — Property — 2023-10-01</x:v>
      </x:c>
      <x:c r="AA7" s="4" t="str"/>
      <x:c r="AB7" s="4" t="n">
        <x:v>0</x:v>
      </x:c>
      <x:c r="AC7" s="4" t="n">
        <x:v>0</x:v>
      </x:c>
      <x:c r="AD7" s="4" t="str"/>
      <x:c r="AE7" s="4" t="str"/>
      <x:c r="AF7" s="4" t="str">
        <x:v>2023-10-01</x:v>
      </x:c>
      <x:c r="AG7" s="4" t="str">
        <x:v>imo-final-approval-rules.md (2026-10-08)</x:v>
      </x:c>
    </x:row>
    <x:row r="8" ht="42" customHeight="1">
      <x:c r="A8" s="4" t="str">
        <x:v>ABEL MARTINEZ</x:v>
      </x:c>
      <x:c r="B8" s="8" t="str">
        <x:v>Yes</x:v>
      </x:c>
      <x:c r="C8" s="4" t="str">
        <x:v>Active general Life; Life appointments: AMERICAN GENERAL LIFE INSURANCE COMPANY; AMERICO FINANCIAL LIFE AND ANNUITY INSURANCE COMPANY; MEMBERS LIFE INSURANCE COMPANY; additional insurers listed; no confirmed exclusion.</x:v>
      </x:c>
      <x:c r="D8" s="10" t="e">
        <x:f>HYPERLINK("https://cdicloud.insurance.ca.gov/cal/LicenseDetail?SearchType=IND&amp;SearchLicNbr=4507369&amp;SearchIndvId=4507369","https://cdicloud.insurance.ca.gov/cal/LicenseDetail?SearchType=IND&amp;SearchLicNbr=4507369&amp;SearchIndvId=4507369")</x:f>
        <x:v>HYPERLINK is not implemented. linkLocation=https://cdicloud.insurance.ca.gov/cal/LicenseDetail?SearchType=IND&amp;SearchLicNbr=4507369&amp;SearchIndvId=4507369, friendlyName=https://cdicloud.insurance.ca.gov/cal/LicenseDetail?SearchType=IND&amp;SearchLicNbr=4507369&amp;SearchIndvId=4507369</x:v>
      </x:c>
      <x:c r="E8" s="9" t="str">
        <x:v>4507369</x:v>
      </x:c>
      <x:c r="F8" s="4" t="str">
        <x:v>157 S. VANCOUVER AVE LOS ANGELES CA, 90022</x:v>
      </x:c>
      <x:c r="G8" s="4" t="str">
        <x:v>213-898-5531</x:v>
      </x:c>
      <x:c r="H8" s="4" t="str">
        <x:v>https://www.google.com/maps/place/157%20S.%20VANCOUVER%20AVE,%20LOS%20ANGELES,%20CA,%2090022</x:v>
      </x:c>
      <x:c r="I8" s="4" t="str">
        <x:v>90023 91756</x:v>
      </x:c>
      <x:c r="J8" s="4" t="str">
        <x:v>2026-10-08</x:v>
      </x:c>
      <x:c r="K8" s="4" t="str">
        <x:v>English</x:v>
      </x:c>
      <x:c r="L8" s="4" t="str">
        <x:v>Life</x:v>
      </x:c>
      <x:c r="M8" s="4" t="str">
        <x:v>Life — issued 2025-11-04</x:v>
      </x:c>
      <x:c r="N8" s="4" t="str">
        <x:v>2025-11-04</x:v>
      </x:c>
      <x:c r="O8" s="4" t="n">
        <x:v>0.93</x:v>
      </x:c>
      <x:c r="P8" s="4" t="str">
        <x:v>No</x:v>
      </x:c>
      <x:c r="Q8" s="4" t="str">
        <x:v>No</x:v>
      </x:c>
      <x:c r="R8" s="4" t="str">
        <x:v>No</x:v>
      </x:c>
      <x:c r="S8" s="4" t="str">
        <x:v>AMERICAN GENERAL LIFE INSURANCE COMPANY; AMERICO FINANCIAL LIFE AND ANNUITY INSURANCE COMPANY; MEMBERS LIFE INSURANCE COMPANY; TRANSAMERICA LIFE INSURANCE COMPANY; UNITED OF OMAHA LIFE INSURANCE COMPANY</x:v>
      </x:c>
      <x:c r="T8" s="4" t="n">
        <x:v>5</x:v>
      </x:c>
      <x:c r="U8" s="4" t="n">
        <x:v>5</x:v>
      </x:c>
      <x:c r="V8" s="4" t="str">
        <x:v>AMERICAN GENERAL LIFE INSURANCE COMPANY; AMERICO FINANCIAL LIFE AND ANNUITY INSURANCE COMPANY; MEMBERS LIFE INSURANCE COMPANY; TRANSAMERICA LIFE INSURANCE COMPANY; UNITED OF OMAHA LIFE INSURANCE COMPANY</x:v>
      </x:c>
      <x:c r="W8" s="4" t="n">
        <x:v>5</x:v>
      </x:c>
      <x:c r="X8" s="4" t="str"/>
      <x:c r="Y8" s="4" t="str"/>
      <x:c r="Z8" s="4" t="str">
        <x:v>AMERICAN GENERAL LIFE INSURANCE COMPANY — Life — 2026-01-27 | AMERICO FINANCIAL LIFE AND ANNUITY INSURANCE COMPANY — Life — 2025-11-17 | MEMBERS LIFE INSURANCE COMPANY — Life — 2026-02-04 | TRANSAMERICA LIFE INSURANCE COMPANY — Life — 2025-11-13 | UNITED OF OMAHA LIFE INSURANCE COMPANY — Life — 2025-11-04</x:v>
      </x:c>
      <x:c r="AA8" s="4" t="str"/>
      <x:c r="AB8" s="4" t="n">
        <x:v>0</x:v>
      </x:c>
      <x:c r="AC8" s="4" t="n">
        <x:v>0</x:v>
      </x:c>
      <x:c r="AD8" s="4" t="str"/>
      <x:c r="AE8" s="4" t="str"/>
      <x:c r="AF8" s="4" t="str">
        <x:v>2026-02-04</x:v>
      </x:c>
      <x:c r="AG8" s="4" t="str">
        <x:v>imo-final-approval-rules.md (2026-10-08)</x:v>
      </x:c>
    </x:row>
    <x:row r="9" ht="42" customHeight="1">
      <x:c r="A9" s="4" t="str">
        <x:v>ABELARDO DIAZ</x:v>
      </x:c>
      <x:c r="B9" s="8" t="str">
        <x:v>Yes</x:v>
      </x:c>
      <x:c r="C9" s="4" t="str">
        <x:v>Active general Life; Life appointments: NATIONWIDE LIFE AND ANNUITY INSURANCE COMPANY; NORTH AMERICAN COMPANY FOR LIFE AND HEALTH INSURANCE; no confirmed exclusion.</x:v>
      </x:c>
      <x:c r="D9" s="10" t="e">
        <x:f>HYPERLINK("https://cdicloud.insurance.ca.gov/cal/LicenseDetail?SearchType=IND&amp;SearchLicNbr=0I44731&amp;SearchIndvId=1590576","https://cdicloud.insurance.ca.gov/cal/LicenseDetail?SearchType=IND&amp;SearchLicNbr=0I44731&amp;SearchIndvId=1590576")</x:f>
        <x:v>HYPERLINK is not implemented. linkLocation=https://cdicloud.insurance.ca.gov/cal/LicenseDetail?SearchType=IND&amp;SearchLicNbr=0I44731&amp;SearchIndvId=1590576, friendlyName=https://cdicloud.insurance.ca.gov/cal/LicenseDetail?SearchType=IND&amp;SearchLicNbr=0I44731&amp;SearchIndvId=1590576</x:v>
      </x:c>
      <x:c r="E9" s="9" t="str">
        <x:v>0I44731</x:v>
      </x:c>
      <x:c r="F9" s="4" t="str">
        <x:v>9625 HAYVENHURST AVE NORTHRIDGE CA, 91343</x:v>
      </x:c>
      <x:c r="G9" s="4" t="str">
        <x:v>818-770-8849</x:v>
      </x:c>
      <x:c r="H9" s="4" t="str">
        <x:v>https://www.google.com/maps/place/9625%20HAYVENHURST%20AVE,%20NORTHRIDGE,%20CA,%2091343</x:v>
      </x:c>
      <x:c r="I9" s="4" t="str">
        <x:v>91325</x:v>
      </x:c>
      <x:c r="J9" s="4" t="str">
        <x:v>2026-10-08</x:v>
      </x:c>
      <x:c r="K9" s="4" t="str">
        <x:v>English</x:v>
      </x:c>
      <x:c r="L9" s="4" t="str">
        <x:v>Accident &amp; Health or Sickness; Life</x:v>
      </x:c>
      <x:c r="M9" s="4" t="str">
        <x:v>Accident &amp; Health or Sickness — issued 2026-07-16 | Life — issued 2026-07-16</x:v>
      </x:c>
      <x:c r="N9" s="4" t="str">
        <x:v>2026-07-16</x:v>
      </x:c>
      <x:c r="O9" s="4" t="n">
        <x:v>0.23</x:v>
      </x:c>
      <x:c r="P9" s="4" t="str">
        <x:v>Yes</x:v>
      </x:c>
      <x:c r="Q9" s="4" t="str">
        <x:v>No</x:v>
      </x:c>
      <x:c r="R9" s="4" t="str">
        <x:v>No</x:v>
      </x:c>
      <x:c r="S9" s="4" t="str">
        <x:v>NATIONWIDE LIFE AND ANNUITY INSURANCE COMPANY; NORTH AMERICAN COMPANY FOR LIFE AND HEALTH INSURANCE</x:v>
      </x:c>
      <x:c r="T9" s="4" t="n">
        <x:v>3</x:v>
      </x:c>
      <x:c r="U9" s="4" t="n">
        <x:v>2</x:v>
      </x:c>
      <x:c r="V9" s="4" t="str">
        <x:v>NATIONWIDE LIFE AND ANNUITY INSURANCE COMPANY; NORTH AMERICAN COMPANY FOR LIFE AND HEALTH INSURANCE</x:v>
      </x:c>
      <x:c r="W9" s="4" t="n">
        <x:v>2</x:v>
      </x:c>
      <x:c r="X9" s="4" t="str">
        <x:v>NATIONWIDE LIFE AND ANNUITY INSURANCE COMPANY</x:v>
      </x:c>
      <x:c r="Y9" s="4" t="str"/>
      <x:c r="Z9" s="4" t="str">
        <x:v>NATIONWIDE LIFE AND ANNUITY INSURANCE COMPANY — Accident &amp; Health or Sickness — 2026-08-04 | NATIONWIDE LIFE AND ANNUITY INSURANCE COMPANY — Life — 2026-08-04 | NORTH AMERICAN COMPANY FOR LIFE AND HEALTH INSURANCE — Life — 2026-09-10</x:v>
      </x:c>
      <x:c r="AA9" s="4" t="str"/>
      <x:c r="AB9" s="4" t="n">
        <x:v>0</x:v>
      </x:c>
      <x:c r="AC9" s="4" t="n">
        <x:v>0</x:v>
      </x:c>
      <x:c r="AD9" s="4" t="str"/>
      <x:c r="AE9" s="4" t="str"/>
      <x:c r="AF9" s="4" t="str">
        <x:v>2026-09-10</x:v>
      </x:c>
      <x:c r="AG9" s="4" t="str">
        <x:v>imo-final-approval-rules.md (2026-10-08)</x:v>
      </x:c>
    </x:row>
    <x:row r="10" ht="42" customHeight="1">
      <x:c r="A10" s="4" t="str">
        <x:v>ABIGAIL LOPEZ</x:v>
      </x:c>
      <x:c r="B10" s="8" t="str">
        <x:v>Yes</x:v>
      </x:c>
      <x:c r="C10" s="4" t="str">
        <x:v>Active general Life; no displayed agency or insurer relationships; lower priority; no confirmed exclusion.</x:v>
      </x:c>
      <x:c r="D10" s="10" t="e">
        <x:f>HYPERLINK("https://cdicloud.insurance.ca.gov/cal/LicenseDetail?SearchType=IND&amp;SearchLicNbr=4513650&amp;SearchIndvId=4513650","https://cdicloud.insurance.ca.gov/cal/LicenseDetail?SearchType=IND&amp;SearchLicNbr=4513650&amp;SearchIndvId=4513650")</x:f>
        <x:v>HYPERLINK is not implemented. linkLocation=https://cdicloud.insurance.ca.gov/cal/LicenseDetail?SearchType=IND&amp;SearchLicNbr=4513650&amp;SearchIndvId=4513650, friendlyName=https://cdicloud.insurance.ca.gov/cal/LicenseDetail?SearchType=IND&amp;SearchLicNbr=4513650&amp;SearchIndvId=4513650</x:v>
      </x:c>
      <x:c r="E10" s="9" t="str">
        <x:v>4513650</x:v>
      </x:c>
      <x:c r="F10" s="4" t="str">
        <x:v>9521 LAUREL CANYON BLVD APT 13 ARLETA CA, 91331</x:v>
      </x:c>
      <x:c r="G10" s="4" t="str">
        <x:v>213-834-1784</x:v>
      </x:c>
      <x:c r="H10" s="4" t="str">
        <x:v>https://www.google.com/maps/place/9521%20LAUREL%20CANYON%20BLVD,%20ARLETA,%20CA,%2091331</x:v>
      </x:c>
      <x:c r="I10" s="4" t="str">
        <x:v>91333</x:v>
      </x:c>
      <x:c r="J10" s="4" t="str">
        <x:v>2026-10-08</x:v>
      </x:c>
      <x:c r="K10" s="4" t="str">
        <x:v>English</x:v>
      </x:c>
      <x:c r="L10" s="4" t="str">
        <x:v>Accident &amp; Health or Sickness; Life</x:v>
      </x:c>
      <x:c r="M10" s="4" t="str">
        <x:v>Accident &amp; Health or Sickness — issued 2025-12-03 | Life — issued 2025-12-03</x:v>
      </x:c>
      <x:c r="N10" s="4" t="str">
        <x:v>2025-12-03</x:v>
      </x:c>
      <x:c r="O10" s="4" t="n">
        <x:v>0.85</x:v>
      </x:c>
      <x:c r="P10" s="4" t="str">
        <x:v>Yes</x:v>
      </x:c>
      <x:c r="Q10" s="4" t="str">
        <x:v>No</x:v>
      </x:c>
      <x:c r="R10" s="4" t="str">
        <x:v>No</x:v>
      </x:c>
      <x:c r="S10" s="4" t="str"/>
      <x:c r="T10" s="4" t="n">
        <x:v>0</x:v>
      </x:c>
      <x:c r="U10" s="4" t="n">
        <x:v>0</x:v>
      </x:c>
      <x:c r="V10" s="4" t="str"/>
      <x:c r="W10" s="4" t="n">
        <x:v>0</x:v>
      </x:c>
      <x:c r="X10" s="4" t="str"/>
      <x:c r="Y10" s="4" t="str"/>
      <x:c r="Z10" s="4" t="str"/>
      <x:c r="AA10" s="4" t="str"/>
      <x:c r="AB10" s="4" t="n">
        <x:v>0</x:v>
      </x:c>
      <x:c r="AC10" s="4" t="n">
        <x:v>0</x:v>
      </x:c>
      <x:c r="AD10" s="4" t="str"/>
      <x:c r="AE10" s="4" t="str"/>
      <x:c r="AF10" s="4" t="str"/>
      <x:c r="AG10" s="4" t="str">
        <x:v>imo-final-approval-rules.md (2026-10-08)</x:v>
      </x:c>
    </x:row>
    <x:row r="11" ht="42" customHeight="1">
      <x:c r="A11" s="4" t="str">
        <x:v>ABISHAI COX</x:v>
      </x:c>
      <x:c r="B11" s="8" t="str">
        <x:v>Yes</x:v>
      </x:c>
      <x:c r="C11" s="4" t="str">
        <x:v>Active general Life; Life appointments: AMERICAN-AMICABLE LIFE INSURANCE COMPANY OF TEXAS; INDEPENDENT ORDER OF FORESTERS (THE); no confirmed exclusion.</x:v>
      </x:c>
      <x:c r="D11" s="10" t="e">
        <x:f>HYPERLINK("https://cdicloud.insurance.ca.gov/cal/LicenseDetail?SearchType=IND&amp;SearchLicNbr=4227077&amp;SearchIndvId=4227077","https://cdicloud.insurance.ca.gov/cal/LicenseDetail?SearchType=IND&amp;SearchLicNbr=4227077&amp;SearchIndvId=4227077")</x:f>
        <x:v>HYPERLINK is not implemented. linkLocation=https://cdicloud.insurance.ca.gov/cal/LicenseDetail?SearchType=IND&amp;SearchLicNbr=4227077&amp;SearchIndvId=4227077, friendlyName=https://cdicloud.insurance.ca.gov/cal/LicenseDetail?SearchType=IND&amp;SearchLicNbr=4227077&amp;SearchIndvId=4227077</x:v>
      </x:c>
      <x:c r="E11" s="9" t="str">
        <x:v>4227077</x:v>
      </x:c>
      <x:c r="F11" s="4" t="str">
        <x:v>928 N WESTERN AVE LOS ANGELES CA, 90029-3795</x:v>
      </x:c>
      <x:c r="G11" s="4" t="str">
        <x:v>360-763-2536</x:v>
      </x:c>
      <x:c r="H11" s="4" t="str">
        <x:v>https://www.google.com/maps/place/928%20N%20WESTERN%20AVE,%20LOS%20ANGELES,%20CA,%20900293795</x:v>
      </x:c>
      <x:c r="I11" s="4" t="str">
        <x:v>90028</x:v>
      </x:c>
      <x:c r="J11" s="4" t="str">
        <x:v>2026-10-08</x:v>
      </x:c>
      <x:c r="K11" s="4" t="str">
        <x:v>English</x:v>
      </x:c>
      <x:c r="L11" s="4" t="str">
        <x:v>Accident &amp; Health or Sickness; Life</x:v>
      </x:c>
      <x:c r="M11" s="4" t="str">
        <x:v>Accident &amp; Health or Sickness — issued 2022-10-10 | Life — issued 2022-10-10</x:v>
      </x:c>
      <x:c r="N11" s="4" t="str">
        <x:v>2022-10-10</x:v>
      </x:c>
      <x:c r="O11" s="4" t="n">
        <x:v>3.99</x:v>
      </x:c>
      <x:c r="P11" s="4" t="str">
        <x:v>Yes</x:v>
      </x:c>
      <x:c r="Q11" s="4" t="str">
        <x:v>No</x:v>
      </x:c>
      <x:c r="R11" s="4" t="str">
        <x:v>No</x:v>
      </x:c>
      <x:c r="S11" s="4" t="str">
        <x:v>AMERICAN-AMICABLE LIFE INSURANCE COMPANY OF TEXAS; INDEPENDENT ORDER OF FORESTERS (THE)</x:v>
      </x:c>
      <x:c r="T11" s="4" t="n">
        <x:v>2</x:v>
      </x:c>
      <x:c r="U11" s="4" t="n">
        <x:v>2</x:v>
      </x:c>
      <x:c r="V11" s="4" t="str">
        <x:v>AMERICAN-AMICABLE LIFE INSURANCE COMPANY OF TEXAS; INDEPENDENT ORDER OF FORESTERS (THE)</x:v>
      </x:c>
      <x:c r="W11" s="4" t="n">
        <x:v>2</x:v>
      </x:c>
      <x:c r="X11" s="4" t="str"/>
      <x:c r="Y11" s="4" t="str"/>
      <x:c r="Z11" s="4" t="str">
        <x:v>AMERICAN-AMICABLE LIFE INSURANCE COMPANY OF TEXAS — Life — 2024-11-04 | INDEPENDENT ORDER OF FORESTERS (THE) — Life — 2026-03-04</x:v>
      </x:c>
      <x:c r="AA11" s="4" t="str"/>
      <x:c r="AB11" s="4" t="n">
        <x:v>0</x:v>
      </x:c>
      <x:c r="AC11" s="4" t="n">
        <x:v>0</x:v>
      </x:c>
      <x:c r="AD11" s="4" t="str"/>
      <x:c r="AE11" s="4" t="str"/>
      <x:c r="AF11" s="4" t="str">
        <x:v>2026-03-04</x:v>
      </x:c>
      <x:c r="AG11" s="4" t="str">
        <x:v>imo-final-approval-rules.md (2026-10-08)</x:v>
      </x:c>
    </x:row>
    <x:row r="12" ht="42" customHeight="1">
      <x:c r="A12" s="4" t="str">
        <x:v>ABNER CORDOVA</x:v>
      </x:c>
      <x:c r="B12" s="8" t="str">
        <x:v>Yes</x:v>
      </x:c>
      <x:c r="C12" s="4" t="str">
        <x:v>Active general Life; Life appointments: AMERICAN FAMILY LIFE INSURANCE COMPANY OF COLUMBUS; AMERICAN HERITAGE LIFE INSURANCE COMPANY; BANNER LIFE INSURANCE COMPANY; additional insurers listed; no confirmed exclusion.</x:v>
      </x:c>
      <x:c r="D12" s="10" t="e">
        <x:f>HYPERLINK("https://cdicloud.insurance.ca.gov/cal/LicenseDetail?SearchType=IND&amp;SearchLicNbr=4308584&amp;SearchIndvId=4308584","https://cdicloud.insurance.ca.gov/cal/LicenseDetail?SearchType=IND&amp;SearchLicNbr=4308584&amp;SearchIndvId=4308584")</x:f>
        <x:v>HYPERLINK is not implemented. linkLocation=https://cdicloud.insurance.ca.gov/cal/LicenseDetail?SearchType=IND&amp;SearchLicNbr=4308584&amp;SearchIndvId=4308584, friendlyName=https://cdicloud.insurance.ca.gov/cal/LicenseDetail?SearchType=IND&amp;SearchLicNbr=4308584&amp;SearchIndvId=4308584</x:v>
      </x:c>
      <x:c r="E12" s="9" t="str">
        <x:v>4308584</x:v>
      </x:c>
      <x:c r="F12" s="4" t="str">
        <x:v>6167 BRISTOL PARKWAY SUITE 390 CULVER CITY CA, 90230</x:v>
      </x:c>
      <x:c r="G12" s="4" t="str"/>
      <x:c r="H12" s="4" t="str">
        <x:v>https://www.google.com/maps/place/6167%20BRISTOL%20PARKWAY,%20CULVER%20CITY,%20CA,%2090230</x:v>
      </x:c>
      <x:c r="I12" s="4" t="str">
        <x:v>90230</x:v>
      </x:c>
      <x:c r="J12" s="4" t="str">
        <x:v>2026-10-08</x:v>
      </x:c>
      <x:c r="K12" s="4" t="str">
        <x:v>English</x:v>
      </x:c>
      <x:c r="L12" s="4" t="str">
        <x:v>Accident &amp; Health or Sickness; Life</x:v>
      </x:c>
      <x:c r="M12" s="4" t="str">
        <x:v>Accident &amp; Health or Sickness — issued 2023-08-11 | Life — issued 2023-08-11</x:v>
      </x:c>
      <x:c r="N12" s="4" t="str">
        <x:v>2023-08-11</x:v>
      </x:c>
      <x:c r="O12" s="4" t="n">
        <x:v>3.16</x:v>
      </x:c>
      <x:c r="P12" s="4" t="str">
        <x:v>Yes</x:v>
      </x:c>
      <x:c r="Q12" s="4" t="str">
        <x:v>No</x:v>
      </x:c>
      <x:c r="R12" s="4" t="str">
        <x:v>No</x:v>
      </x:c>
      <x:c r="S12" s="4" t="str">
        <x:v>AMERICAN FAMILY LIFE INSURANCE COMPANY OF COLUMBUS; AMERICAN HERITAGE LIFE INSURANCE COMPANY; BANNER LIFE INSURANCE COMPANY; COLONIAL LIFE &amp; ACCIDENT INSURANCE COMPANY; CONTINENTAL AMERICAN INSURANCE COMPANY; MANHATTANLIFE INSURANCE AND ANNUITY COMPANY</x:v>
      </x:c>
      <x:c r="T12" s="4" t="n">
        <x:v>13</x:v>
      </x:c>
      <x:c r="U12" s="4" t="n">
        <x:v>6</x:v>
      </x:c>
      <x:c r="V12" s="4" t="str">
        <x:v>AMERICAN FAMILY LIFE INSURANCE COMPANY OF COLUMBUS; AMERICAN HERITAGE LIFE INSURANCE COMPANY; BANNER LIFE INSURANCE COMPANY; COLONIAL LIFE &amp; ACCIDENT INSURANCE COMPANY; CONTINENTAL AMERICAN INSURANCE COMPANY; MANHATTANLIFE INSURANCE AND ANNUITY COMPANY</x:v>
      </x:c>
      <x:c r="W12" s="4" t="n">
        <x:v>6</x:v>
      </x:c>
      <x:c r="X12" s="4" t="str">
        <x:v>AMERICAN FAMILY LIFE INSURANCE COMPANY OF COLUMBUS; AMERICAN HERITAGE LIFE INSURANCE COMPANY; COLONIAL LIFE &amp; ACCIDENT INSURANCE COMPANY; CONTINENTAL AMERICAN INSURANCE COMPANY; MANHATTANLIFE INSURANCE AND ANNUITY COMPANY</x:v>
      </x:c>
      <x:c r="Y12" s="4" t="str"/>
      <x:c r="Z12" s="4" t="str">
        <x:v>AMERICAN FAMILY LIFE INSURANCE COMPANY OF COLUMBUS — Accident &amp; Health or Sickness — 2023-08-11 | AMERICAN FAMILY LIFE INSURANCE COMPANY OF COLUMBUS — Life — 2023-08-11 | AMERICAN HERITAGE LIFE INSURANCE COMPANY — Accident &amp; Health or Sickness — 2024-01-03 | AMERICAN HERITAGE LIFE INSURANCE COMPANY — Disability Only — 2024-01-03 | AMERICAN HERITAGE LIFE INSURANCE COMPANY — Life — 2024-01-03 | BANNER LIFE INSURANCE COMPANY — Life — 2025-04-23 | COLONIAL LIFE &amp; ACCIDENT INSURANCE COMPANY — Accident &amp; Health or Sickness — 2025-08-30 | COLONIAL LIFE &amp; ACCIDENT INSURANCE COMPANY — Life — 2025-08-30 | CONTINENTAL AMERICAN INSURANCE COMPANY — Accident &amp; Health or Sickness — 2024-04-11 | CONTINENTAL AMERICAN INSURANCE COMPANY — Disability Only — 2024-04-11 | CONTINENTAL AMERICAN INSURANCE COMPANY — Life — 2024-04-11 | MANHATTANLIFE INSURANCE AND ANNUITY COMPANY — Accident &amp; Health or Sickness — 2023-11-20 | MANHATTANLIFE INSURANCE AND ANNUITY COMPANY — Life — 2023-11-20</x:v>
      </x:c>
      <x:c r="AA12" s="4" t="str"/>
      <x:c r="AB12" s="4" t="n">
        <x:v>0</x:v>
      </x:c>
      <x:c r="AC12" s="4" t="n">
        <x:v>0</x:v>
      </x:c>
      <x:c r="AD12" s="4" t="str"/>
      <x:c r="AE12" s="4" t="str"/>
      <x:c r="AF12" s="4" t="str">
        <x:v>2025-08-30</x:v>
      </x:c>
      <x:c r="AG12" s="4" t="str">
        <x:v>imo-final-approval-rules.md (2026-10-08)</x:v>
      </x:c>
    </x:row>
    <x:row r="13" ht="42" customHeight="1">
      <x:c r="A13" s="4" t="str">
        <x:v>ABNER YANES BARILLAS</x:v>
      </x:c>
      <x:c r="B13" s="8" t="str">
        <x:v>Yes</x:v>
      </x:c>
      <x:c r="C13" s="4" t="str">
        <x:v>Active general Life; Life appointments: AMERICAN NATIONAL INSURANCE COMPANY; FIDELITY &amp; GUARANTY LIFE INSURANCE COMPANY; GREAT WESTERN INSURANCE COMPANY; additional insurers listed; no confirmed exclusion.</x:v>
      </x:c>
      <x:c r="D13" s="10" t="e">
        <x:f>HYPERLINK("https://cdicloud.insurance.ca.gov/cal/LicenseDetail?SearchType=IND&amp;SearchLicNbr=4345308&amp;SearchIndvId=4345308","https://cdicloud.insurance.ca.gov/cal/LicenseDetail?SearchType=IND&amp;SearchLicNbr=4345308&amp;SearchIndvId=4345308")</x:f>
        <x:v>HYPERLINK is not implemented. linkLocation=https://cdicloud.insurance.ca.gov/cal/LicenseDetail?SearchType=IND&amp;SearchLicNbr=4345308&amp;SearchIndvId=4345308, friendlyName=https://cdicloud.insurance.ca.gov/cal/LicenseDetail?SearchType=IND&amp;SearchLicNbr=4345308&amp;SearchIndvId=4345308</x:v>
      </x:c>
      <x:c r="E13" s="9" t="str">
        <x:v>4345308</x:v>
      </x:c>
      <x:c r="F13" s="4" t="str">
        <x:v>2031 E 65TH ST LOS ANGELES CA, 90001-2112</x:v>
      </x:c>
      <x:c r="G13" s="4" t="str">
        <x:v>323-457-9609</x:v>
      </x:c>
      <x:c r="H13" s="4" t="str">
        <x:v>https://www.google.com/maps/place/2031%20E%2065TH%20ST,%20LOS%20ANGELES,%20CA,%20900012112</x:v>
      </x:c>
      <x:c r="I13" s="4" t="str">
        <x:v>90001</x:v>
      </x:c>
      <x:c r="J13" s="4" t="str">
        <x:v>2026-10-08</x:v>
      </x:c>
      <x:c r="K13" s="4" t="str">
        <x:v>English</x:v>
      </x:c>
      <x:c r="L13" s="4" t="str">
        <x:v>Life</x:v>
      </x:c>
      <x:c r="M13" s="4" t="str">
        <x:v>Life — issued 2023-12-05</x:v>
      </x:c>
      <x:c r="N13" s="4" t="str">
        <x:v>2023-12-05</x:v>
      </x:c>
      <x:c r="O13" s="4" t="n">
        <x:v>2.84</x:v>
      </x:c>
      <x:c r="P13" s="4" t="str">
        <x:v>No</x:v>
      </x:c>
      <x:c r="Q13" s="4" t="str">
        <x:v>No</x:v>
      </x:c>
      <x:c r="R13" s="4" t="str">
        <x:v>No</x:v>
      </x:c>
      <x:c r="S13" s="4" t="str">
        <x:v>AMERICAN NATIONAL INSURANCE COMPANY; FIDELITY &amp; GUARANTY LIFE INSURANCE COMPANY; GREAT WESTERN INSURANCE COMPANY; SILAC INSURANCE COMPANY; TRANSAMERICA LIFE INSURANCE COMPANY</x:v>
      </x:c>
      <x:c r="T13" s="4" t="n">
        <x:v>5</x:v>
      </x:c>
      <x:c r="U13" s="4" t="n">
        <x:v>5</x:v>
      </x:c>
      <x:c r="V13" s="4" t="str">
        <x:v>AMERICAN NATIONAL INSURANCE COMPANY; FIDELITY &amp; GUARANTY LIFE INSURANCE COMPANY; GREAT WESTERN INSURANCE COMPANY; SILAC INSURANCE COMPANY; TRANSAMERICA LIFE INSURANCE COMPANY</x:v>
      </x:c>
      <x:c r="W13" s="4" t="n">
        <x:v>5</x:v>
      </x:c>
      <x:c r="X13" s="4" t="str"/>
      <x:c r="Y13" s="4" t="str"/>
      <x:c r="Z13" s="4" t="str">
        <x:v>AMERICAN NATIONAL INSURANCE COMPANY — Life — 2023-12-11 | FIDELITY &amp; GUARANTY LIFE INSURANCE COMPANY — Life — 2023-12-11 | GREAT WESTERN INSURANCE COMPANY — Life — 2024-05-08 | SILAC INSURANCE COMPANY — Life — 2024-09-15 | TRANSAMERICA LIFE INSURANCE COMPANY — Life — 2026-06-26</x:v>
      </x:c>
      <x:c r="AA13" s="4" t="str"/>
      <x:c r="AB13" s="4" t="n">
        <x:v>0</x:v>
      </x:c>
      <x:c r="AC13" s="4" t="n">
        <x:v>0</x:v>
      </x:c>
      <x:c r="AD13" s="4" t="str"/>
      <x:c r="AE13" s="4" t="str"/>
      <x:c r="AF13" s="4" t="str">
        <x:v>2026-06-26</x:v>
      </x:c>
      <x:c r="AG13" s="4" t="str">
        <x:v>imo-final-approval-rules.md (2026-10-08)</x:v>
      </x:c>
    </x:row>
    <x:row r="14" ht="42" customHeight="1">
      <x:c r="A14" s="4" t="str">
        <x:v>ABRAHAM KERYAN</x:v>
      </x:c>
      <x:c r="B14" s="8" t="str">
        <x:v>Yes</x:v>
      </x:c>
      <x:c r="C14" s="4" t="str">
        <x:v>Active general Life; Life agency relationship: PRIMERICA FINANCIAL SERVICES INSURANCE MARKETING, INC.; no confirmed exclusion.</x:v>
      </x:c>
      <x:c r="D14" s="10" t="e">
        <x:f>HYPERLINK("https://cdicloud.insurance.ca.gov/cal/LicenseDetail?SearchType=IND&amp;SearchLicNbr=0D84696&amp;SearchIndvId=823148","https://cdicloud.insurance.ca.gov/cal/LicenseDetail?SearchType=IND&amp;SearchLicNbr=0D84696&amp;SearchIndvId=823148")</x:f>
        <x:v>HYPERLINK is not implemented. linkLocation=https://cdicloud.insurance.ca.gov/cal/LicenseDetail?SearchType=IND&amp;SearchLicNbr=0D84696&amp;SearchIndvId=823148, friendlyName=https://cdicloud.insurance.ca.gov/cal/LicenseDetail?SearchType=IND&amp;SearchLicNbr=0D84696&amp;SearchIndvId=823148</x:v>
      </x:c>
      <x:c r="E14" s="9" t="str">
        <x:v>0D84696</x:v>
      </x:c>
      <x:c r="F14" s="4" t="str">
        <x:v>533 N VICTORY BLVD BURBANK CA, 91502</x:v>
      </x:c>
      <x:c r="G14" s="4" t="str"/>
      <x:c r="H14" s="4" t="str">
        <x:v>https://www.google.com/maps/place/533%20N%20VICTORY%20BLVD,%20BURBANK,%20CA,%2091502</x:v>
      </x:c>
      <x:c r="I14" s="4" t="str">
        <x:v>91204</x:v>
      </x:c>
      <x:c r="J14" s="4" t="str">
        <x:v>2026-10-08</x:v>
      </x:c>
      <x:c r="K14" s="4" t="str">
        <x:v>English; Russian; Armenian</x:v>
      </x:c>
      <x:c r="L14" s="4" t="str">
        <x:v>Accident &amp; Health or Sickness; Life</x:v>
      </x:c>
      <x:c r="M14" s="4" t="str">
        <x:v>Accident &amp; Health or Sickness — issued 2002-12-20 | Life — issued 2002-12-20</x:v>
      </x:c>
      <x:c r="N14" s="4" t="str">
        <x:v>2002-12-20</x:v>
      </x:c>
      <x:c r="O14" s="4" t="n">
        <x:v>23.8</x:v>
      </x:c>
      <x:c r="P14" s="4" t="str">
        <x:v>Yes</x:v>
      </x:c>
      <x:c r="Q14" s="4" t="str">
        <x:v>No</x:v>
      </x:c>
      <x:c r="R14" s="4" t="str">
        <x:v>No</x:v>
      </x:c>
      <x:c r="S14" s="4" t="str">
        <x:v>AMERICAN FAMILY LIFE ASSURANCE COMPANY OF COLUMBUS; AMERICAN GENERAL LIFE INSURANCE COMPANY; ANTHEM BLUE CROSS LIFE AND HEALTH INSURANCE COMPANY; NATIONWIDE LIFE AND ANNUITY INSURANCE COMPANY; PRINCIPAL LIFE INSURANCE COMPANY</x:v>
      </x:c>
      <x:c r="T14" s="4" t="n">
        <x:v>10</x:v>
      </x:c>
      <x:c r="U14" s="4" t="n">
        <x:v>5</x:v>
      </x:c>
      <x:c r="V14" s="4" t="str">
        <x:v>AMERICAN FAMILY LIFE ASSURANCE COMPANY OF COLUMBUS; AMERICAN GENERAL LIFE INSURANCE COMPANY; ANTHEM BLUE CROSS LIFE AND HEALTH INSURANCE COMPANY; NATIONWIDE LIFE AND ANNUITY INSURANCE COMPANY; PRINCIPAL LIFE INSURANCE COMPANY</x:v>
      </x:c>
      <x:c r="W14" s="4" t="n">
        <x:v>5</x:v>
      </x:c>
      <x:c r="X14" s="4" t="str">
        <x:v>AMERICAN FAMILY LIFE ASSURANCE COMPANY OF COLUMBUS; AMERICAN GENERAL LIFE INSURANCE COMPANY; ANTHEM BLUE CROSS LIFE AND HEALTH INSURANCE COMPANY; NATIONWIDE LIFE AND ANNUITY INSURANCE COMPANY; PRINCIPAL LIFE INSURANCE COMPANY</x:v>
      </x:c>
      <x:c r="Y14" s="4" t="str"/>
      <x:c r="Z14" s="4" t="str">
        <x:v>AMERICAN FAMILY LIFE ASSURANCE COMPANY OF COLUMBUS — Accident &amp; Health or Sickness — 2021-02-22 | AMERICAN FAMILY LIFE ASSURANCE COMPANY OF COLUMBUS — Life — 2021-02-22 | AMERICAN GENERAL LIFE INSURANCE COMPANY — Accident &amp; Health or Sickness — 2011-06-17 | AMERICAN GENERAL LIFE INSURANCE COMPANY — Life — 2011-06-17 | ANTHEM BLUE CROSS LIFE AND HEALTH INSURANCE COMPANY — Accident &amp; Health or Sickness — 2011-06-09 | ANTHEM BLUE CROSS LIFE AND HEALTH INSURANCE COMPANY — Life — 2011-06-09 | NATIONWIDE LIFE AND ANNUITY INSURANCE COMPANY — Accident &amp; Health or Sickness — 2021-10-04 | NATIONWIDE LIFE AND ANNUITY INSURANCE COMPANY — Life — 2021-10-04 | PRINCIPAL LIFE INSURANCE COMPANY — Accident &amp; Health or Sickness — 2011-11-23 | PRINCIPAL LIFE INSURANCE COMPANY — Life — 2011-11-23</x:v>
      </x:c>
      <x:c r="AA14" s="4" t="str">
        <x:v>PRIMERICA FINANCIAL SERVICES INSURANCE MARKETING, INC.</x:v>
      </x:c>
      <x:c r="AB14" s="4" t="n">
        <x:v>1</x:v>
      </x:c>
      <x:c r="AC14" s="4" t="n">
        <x:v>2</x:v>
      </x:c>
      <x:c r="AD14" s="4" t="str">
        <x:v>PRIMERICA FINANCIAL SERVICES INSURANCE MARKETING, INC.</x:v>
      </x:c>
      <x:c r="AE14" s="4" t="str">
        <x:v>PRIMERICA FINANCIAL SERVICES INSURANCE MARKETING, INC. — Accident &amp; Health or Sickness — 2015-08-10 | PRIMERICA FINANCIAL SERVICES INSURANCE MARKETING, INC. — Life — 2015-08-10</x:v>
      </x:c>
      <x:c r="AF14" s="4" t="str">
        <x:v>2021-10-04</x:v>
      </x:c>
      <x:c r="AG14" s="4" t="str">
        <x:v>imo-final-approval-rules.md (2026-10-08)</x:v>
      </x:c>
    </x:row>
    <x:row r="15" ht="42" customHeight="1">
      <x:c r="A15" s="4" t="str">
        <x:v>ABRAHAM MENDOZA</x:v>
      </x:c>
      <x:c r="B15" s="8" t="str">
        <x:v>Yes</x:v>
      </x:c>
      <x:c r="C15" s="4" t="str">
        <x:v>Active general Life; no displayed agency or insurer relationships; lower priority; no confirmed exclusion.</x:v>
      </x:c>
      <x:c r="D15" s="10" t="e">
        <x:f>HYPERLINK("https://cdicloud.insurance.ca.gov/cal/LicenseDetail?SearchType=IND&amp;SearchLicNbr=0F88104&amp;SearchIndvId=1110009","https://cdicloud.insurance.ca.gov/cal/LicenseDetail?SearchType=IND&amp;SearchLicNbr=0F88104&amp;SearchIndvId=1110009")</x:f>
        <x:v>HYPERLINK is not implemented. linkLocation=https://cdicloud.insurance.ca.gov/cal/LicenseDetail?SearchType=IND&amp;SearchLicNbr=0F88104&amp;SearchIndvId=1110009, friendlyName=https://cdicloud.insurance.ca.gov/cal/LicenseDetail?SearchType=IND&amp;SearchLicNbr=0F88104&amp;SearchIndvId=1110009</x:v>
      </x:c>
      <x:c r="E15" s="9" t="str">
        <x:v>0F88104</x:v>
      </x:c>
      <x:c r="F15" s="4" t="str">
        <x:v>17130 DEVONSHIRE ST SUITE 102 NORTHRIDGE CA, 91325</x:v>
      </x:c>
      <x:c r="G15" s="4" t="str"/>
      <x:c r="H15" s="4" t="str">
        <x:v>https://www.google.com/maps/place/17130%20DEVONSHIRE%20ST,%20NORTHRIDGE,%20CA,%2091325</x:v>
      </x:c>
      <x:c r="I15" s="4" t="str">
        <x:v>91325</x:v>
      </x:c>
      <x:c r="J15" s="4" t="str">
        <x:v>2026-10-08</x:v>
      </x:c>
      <x:c r="K15" s="4" t="str">
        <x:v>English; Spanish</x:v>
      </x:c>
      <x:c r="L15" s="4" t="str">
        <x:v>Accident &amp; Health or Sickness; Life</x:v>
      </x:c>
      <x:c r="M15" s="4" t="str">
        <x:v>Accident &amp; Health or Sickness — issued 2007-11-05 | Life — issued 2007-11-05</x:v>
      </x:c>
      <x:c r="N15" s="4" t="str">
        <x:v>2007-11-05</x:v>
      </x:c>
      <x:c r="O15" s="4" t="n">
        <x:v>18.92</x:v>
      </x:c>
      <x:c r="P15" s="4" t="str">
        <x:v>Yes</x:v>
      </x:c>
      <x:c r="Q15" s="4" t="str">
        <x:v>No</x:v>
      </x:c>
      <x:c r="R15" s="4" t="str">
        <x:v>No</x:v>
      </x:c>
      <x:c r="S15" s="4" t="str"/>
      <x:c r="T15" s="4" t="n">
        <x:v>0</x:v>
      </x:c>
      <x:c r="U15" s="4" t="n">
        <x:v>0</x:v>
      </x:c>
      <x:c r="V15" s="4" t="str"/>
      <x:c r="W15" s="4" t="n">
        <x:v>0</x:v>
      </x:c>
      <x:c r="X15" s="4" t="str"/>
      <x:c r="Y15" s="4" t="str"/>
      <x:c r="Z15" s="4" t="str"/>
      <x:c r="AA15" s="4" t="str"/>
      <x:c r="AB15" s="4" t="n">
        <x:v>0</x:v>
      </x:c>
      <x:c r="AC15" s="4" t="n">
        <x:v>0</x:v>
      </x:c>
      <x:c r="AD15" s="4" t="str"/>
      <x:c r="AE15" s="4" t="str"/>
      <x:c r="AF15" s="4" t="str"/>
      <x:c r="AG15" s="4" t="str">
        <x:v>imo-final-approval-rules.md (2026-10-08)</x:v>
      </x:c>
    </x:row>
    <x:row r="16" ht="42" customHeight="1">
      <x:c r="A16" s="4" t="str">
        <x:v>ABRIL MORALES</x:v>
      </x:c>
      <x:c r="B16" s="8" t="str">
        <x:v>Yes</x:v>
      </x:c>
      <x:c r="C16" s="4" t="str">
        <x:v>Active general Life; only non-Life or lower-priority relationships displayed; no confirmed exclusion.</x:v>
      </x:c>
      <x:c r="D16" s="10" t="e">
        <x:f>HYPERLINK("https://cdicloud.insurance.ca.gov/cal/LicenseDetail?SearchType=IND&amp;SearchLicNbr=0K30500&amp;SearchIndvId=1762896","https://cdicloud.insurance.ca.gov/cal/LicenseDetail?SearchType=IND&amp;SearchLicNbr=0K30500&amp;SearchIndvId=1762896")</x:f>
        <x:v>HYPERLINK is not implemented. linkLocation=https://cdicloud.insurance.ca.gov/cal/LicenseDetail?SearchType=IND&amp;SearchLicNbr=0K30500&amp;SearchIndvId=1762896, friendlyName=https://cdicloud.insurance.ca.gov/cal/LicenseDetail?SearchType=IND&amp;SearchLicNbr=0K30500&amp;SearchIndvId=1762896</x:v>
      </x:c>
      <x:c r="E16" s="9" t="str">
        <x:v>0K30500</x:v>
      </x:c>
      <x:c r="F16" s="4" t="str">
        <x:v>3100 THORNTON AVENUE BURBANK CA, 91504</x:v>
      </x:c>
      <x:c r="G16" s="4" t="str"/>
      <x:c r="H16" s="4" t="str">
        <x:v>https://www.google.com/maps/place/3100%20THORNTON%20AVENUE,%20BURBANK,%20CA,%2091504</x:v>
      </x:c>
      <x:c r="I16" s="4" t="str">
        <x:v>91352 91504</x:v>
      </x:c>
      <x:c r="J16" s="4" t="str">
        <x:v>2026-10-08</x:v>
      </x:c>
      <x:c r="K16" s="4" t="str">
        <x:v>English</x:v>
      </x:c>
      <x:c r="L16" s="4" t="str">
        <x:v>Accident &amp; Health or Sickness; Life</x:v>
      </x:c>
      <x:c r="M16" s="4" t="str">
        <x:v>Accident &amp; Health or Sickness — issued 2015-06-15 | Life — issued 2015-06-15</x:v>
      </x:c>
      <x:c r="N16" s="4" t="str">
        <x:v>2015-06-15</x:v>
      </x:c>
      <x:c r="O16" s="4" t="n">
        <x:v>11.32</x:v>
      </x:c>
      <x:c r="P16" s="4" t="str">
        <x:v>Yes</x:v>
      </x:c>
      <x:c r="Q16" s="4" t="str">
        <x:v>No</x:v>
      </x:c>
      <x:c r="R16" s="4" t="str">
        <x:v>No</x:v>
      </x:c>
      <x:c r="S16" s="4" t="str">
        <x:v>KAISER PERMANENTE INSURANCE COMPANY</x:v>
      </x:c>
      <x:c r="T16" s="4" t="n">
        <x:v>1</x:v>
      </x:c>
      <x:c r="U16" s="4" t="n">
        <x:v>1</x:v>
      </x:c>
      <x:c r="V16" s="4" t="str"/>
      <x:c r="W16" s="4" t="n">
        <x:v>0</x:v>
      </x:c>
      <x:c r="X16" s="4" t="str">
        <x:v>KAISER PERMANENTE INSURANCE COMPANY</x:v>
      </x:c>
      <x:c r="Y16" s="4" t="str"/>
      <x:c r="Z16" s="4" t="str">
        <x:v>KAISER PERMANENTE INSURANCE COMPANY — Accident &amp; Health or Sickness — 2016-10-31</x:v>
      </x:c>
      <x:c r="AA16" s="4" t="str"/>
      <x:c r="AB16" s="4" t="n">
        <x:v>0</x:v>
      </x:c>
      <x:c r="AC16" s="4" t="n">
        <x:v>0</x:v>
      </x:c>
      <x:c r="AD16" s="4" t="str"/>
      <x:c r="AE16" s="4" t="str"/>
      <x:c r="AF16" s="4" t="str">
        <x:v>2016-10-31</x:v>
      </x:c>
      <x:c r="AG16" s="4" t="str">
        <x:v>imo-final-approval-rules.md (2026-10-08)</x:v>
      </x:c>
    </x:row>
    <x:row r="17" ht="42" customHeight="1">
      <x:c r="A17" s="4" t="str">
        <x:v>Ada Capilla-Slocum</x:v>
      </x:c>
      <x:c r="B17" s="8" t="str">
        <x:v>Yes</x:v>
      </x:c>
      <x:c r="C17" s="4" t="str">
        <x:v>Active general Life; no displayed agency or insurer relationships; lower priority; no confirmed exclusion.</x:v>
      </x:c>
      <x:c r="D17" s="10" t="e">
        <x:f>HYPERLINK("https://cdicloud.insurance.ca.gov/cal/LicenseDetail?SearchType=IND&amp;SearchLicNbr=4178943&amp;SearchIndvId=4178943","https://cdicloud.insurance.ca.gov/cal/LicenseDetail?SearchType=IND&amp;SearchLicNbr=4178943&amp;SearchIndvId=4178943")</x:f>
        <x:v>HYPERLINK is not implemented. linkLocation=https://cdicloud.insurance.ca.gov/cal/LicenseDetail?SearchType=IND&amp;SearchLicNbr=4178943&amp;SearchIndvId=4178943, friendlyName=https://cdicloud.insurance.ca.gov/cal/LicenseDetail?SearchType=IND&amp;SearchLicNbr=4178943&amp;SearchIndvId=4178943</x:v>
      </x:c>
      <x:c r="E17" s="9" t="str">
        <x:v>4178943</x:v>
      </x:c>
      <x:c r="F17" s="4" t="str">
        <x:v>695 SANTA BARBARA ST PASADENA CA, 91101</x:v>
      </x:c>
      <x:c r="G17" s="4" t="str"/>
      <x:c r="H17" s="4" t="str">
        <x:v>https://www.google.com/maps/place/695%20SANTA%20BARBARA%20ST,%20PASADENA,%20CA,%2091101</x:v>
      </x:c>
      <x:c r="I17" s="4" t="str">
        <x:v>91103</x:v>
      </x:c>
      <x:c r="J17" s="4" t="str">
        <x:v>2026-10-08</x:v>
      </x:c>
      <x:c r="K17" s="4" t="str">
        <x:v>English</x:v>
      </x:c>
      <x:c r="L17" s="4" t="str">
        <x:v>Life</x:v>
      </x:c>
      <x:c r="M17" s="4" t="str">
        <x:v>Life — issued 2022-10-13</x:v>
      </x:c>
      <x:c r="N17" s="4" t="str">
        <x:v>2022-10-13</x:v>
      </x:c>
      <x:c r="O17" s="4" t="n">
        <x:v>3.99</x:v>
      </x:c>
      <x:c r="P17" s="4" t="str">
        <x:v>No</x:v>
      </x:c>
      <x:c r="Q17" s="4" t="str">
        <x:v>No</x:v>
      </x:c>
      <x:c r="R17" s="4" t="str">
        <x:v>No</x:v>
      </x:c>
      <x:c r="S17" s="4" t="str"/>
      <x:c r="T17" s="4" t="n">
        <x:v>0</x:v>
      </x:c>
      <x:c r="U17" s="4" t="n">
        <x:v>0</x:v>
      </x:c>
      <x:c r="V17" s="4" t="str"/>
      <x:c r="W17" s="4" t="n">
        <x:v>0</x:v>
      </x:c>
      <x:c r="X17" s="4" t="str"/>
      <x:c r="Y17" s="4" t="str"/>
      <x:c r="Z17" s="4" t="str"/>
      <x:c r="AA17" s="4" t="str"/>
      <x:c r="AB17" s="4" t="n">
        <x:v>0</x:v>
      </x:c>
      <x:c r="AC17" s="4" t="n">
        <x:v>0</x:v>
      </x:c>
      <x:c r="AD17" s="4" t="str"/>
      <x:c r="AE17" s="4" t="str"/>
      <x:c r="AF17" s="4" t="str"/>
      <x:c r="AG17" s="4" t="str">
        <x:v>imo-final-approval-rules.md (2026-10-08)</x:v>
      </x:c>
    </x:row>
    <x:row r="18" ht="42" customHeight="1">
      <x:c r="A18" s="4" t="str">
        <x:v>ADA LOUIE</x:v>
      </x:c>
      <x:c r="B18" s="8" t="str">
        <x:v>Yes</x:v>
      </x:c>
      <x:c r="C18" s="4" t="str">
        <x:v>Active general Life; Life appointments: ANTHEM BLUE CROSS LIFE AND HEALTH INSURANCE COMPANY; GENWORTH LIFE INSURANCE COMPANY; HEALTH NET LIFE INSURANCE COMPANY; additional insurers listed; no confirmed exclusion.</x:v>
      </x:c>
      <x:c r="D18" s="10" t="e">
        <x:f>HYPERLINK("https://cdicloud.insurance.ca.gov/cal/LicenseDetail?SearchType=IND&amp;SearchLicNbr=0B61421&amp;SearchIndvId=240115","https://cdicloud.insurance.ca.gov/cal/LicenseDetail?SearchType=IND&amp;SearchLicNbr=0B61421&amp;SearchIndvId=240115")</x:f>
        <x:v>HYPERLINK is not implemented. linkLocation=https://cdicloud.insurance.ca.gov/cal/LicenseDetail?SearchType=IND&amp;SearchLicNbr=0B61421&amp;SearchIndvId=240115, friendlyName=https://cdicloud.insurance.ca.gov/cal/LicenseDetail?SearchType=IND&amp;SearchLicNbr=0B61421&amp;SearchIndvId=240115</x:v>
      </x:c>
      <x:c r="E18" s="9" t="str">
        <x:v>0B61421</x:v>
      </x:c>
      <x:c r="F18" s="4" t="str">
        <x:v>768 SIMMONS AVE MONTEBELLO CA, 90640</x:v>
      </x:c>
      <x:c r="G18" s="4" t="str">
        <x:v>626-205-8242</x:v>
      </x:c>
      <x:c r="H18" s="4" t="str">
        <x:v>https://www.google.com/maps/place/768%20SIMMONS%20AVE,%20MONTEBELLO,%20CA,%2090640</x:v>
      </x:c>
      <x:c r="I18" s="4" t="str">
        <x:v>91756</x:v>
      </x:c>
      <x:c r="J18" s="4" t="str">
        <x:v>2026-10-08</x:v>
      </x:c>
      <x:c r="K18" s="4" t="str">
        <x:v>English; Cantonese</x:v>
      </x:c>
      <x:c r="L18" s="4" t="str">
        <x:v>Accident &amp; Health or Sickness; Life; Var Life and Var Annuity</x:v>
      </x:c>
      <x:c r="M18" s="4" t="str">
        <x:v>Accident &amp; Health or Sickness — issued 1995-11-27 | Life — issued 1995-11-27 | Var Life and Var Annuity — issued 1996-10-01</x:v>
      </x:c>
      <x:c r="N18" s="4" t="str">
        <x:v>1995-11-27</x:v>
      </x:c>
      <x:c r="O18" s="4" t="n">
        <x:v>30.86</x:v>
      </x:c>
      <x:c r="P18" s="4" t="str">
        <x:v>Yes</x:v>
      </x:c>
      <x:c r="Q18" s="4" t="str">
        <x:v>No</x:v>
      </x:c>
      <x:c r="R18" s="4" t="str">
        <x:v>Yes</x:v>
      </x:c>
      <x:c r="S18" s="4" t="str">
        <x:v>ANTHEM BLUE CROSS LIFE AND HEALTH INSURANCE COMPANY; GENWORTH LIFE INSURANCE COMPANY; HEALTH NET LIFE INSURANCE COMPANY; KAISER PERMANENTE INSURANCE COMPANY; TRANSAMERICA LIFE INSURANCE COMPANY</x:v>
      </x:c>
      <x:c r="T18" s="4" t="n">
        <x:v>9</x:v>
      </x:c>
      <x:c r="U18" s="4" t="n">
        <x:v>5</x:v>
      </x:c>
      <x:c r="V18" s="4" t="str">
        <x:v>ANTHEM BLUE CROSS LIFE AND HEALTH INSURANCE COMPANY; GENWORTH LIFE INSURANCE COMPANY; HEALTH NET LIFE INSURANCE COMPANY; TRANSAMERICA LIFE INSURANCE COMPANY</x:v>
      </x:c>
      <x:c r="W18" s="4" t="n">
        <x:v>4</x:v>
      </x:c>
      <x:c r="X18" s="4" t="str">
        <x:v>ANTHEM BLUE CROSS LIFE AND HEALTH INSURANCE COMPANY; GENWORTH LIFE INSURANCE COMPANY; HEALTH NET LIFE INSURANCE COMPANY; KAISER PERMANENTE INSURANCE COMPANY; TRANSAMERICA LIFE INSURANCE COMPANY</x:v>
      </x:c>
      <x:c r="Y18" s="4" t="str"/>
      <x:c r="Z18" s="4" t="str">
        <x:v>ANTHEM BLUE CROSS LIFE AND HEALTH INSURANCE COMPANY — Accident &amp; Health or Sickness — 2012-02-23 | ANTHEM BLUE CROSS LIFE AND HEALTH INSURANCE COMPANY — Life — 2012-02-23 | GENWORTH LIFE INSURANCE COMPANY — Accident &amp; Health or Sickness — 2015-03-10 | GENWORTH LIFE INSURANCE COMPANY — Life — 2015-03-10 | HEALTH NET LIFE INSURANCE COMPANY — Accident &amp; Health or Sickness — 2014-01-01 | HEALTH NET LIFE INSURANCE COMPANY — Life — 2014-01-01 | KAISER PERMANENTE INSURANCE COMPANY — Accident &amp; Health or Sickness — 2022-03-24 | TRANSAMERICA LIFE INSURANCE COMPANY — Accident &amp; Health or Sickness — 2025-04-30 | TRANSAMERICA LIFE INSURANCE COMPANY — Life — 2025-04-30</x:v>
      </x:c>
      <x:c r="AA18" s="4" t="str"/>
      <x:c r="AB18" s="4" t="n">
        <x:v>0</x:v>
      </x:c>
      <x:c r="AC18" s="4" t="n">
        <x:v>0</x:v>
      </x:c>
      <x:c r="AD18" s="4" t="str"/>
      <x:c r="AE18" s="4" t="str"/>
      <x:c r="AF18" s="4" t="str">
        <x:v>2025-04-30</x:v>
      </x:c>
      <x:c r="AG18" s="4" t="str">
        <x:v>imo-final-approval-rules.md (2026-10-08)</x:v>
      </x:c>
    </x:row>
    <x:row r="19" ht="42" customHeight="1">
      <x:c r="A19" s="4" t="str">
        <x:v>ADA TORRES</x:v>
      </x:c>
      <x:c r="B19" s="8" t="str">
        <x:v>Yes</x:v>
      </x:c>
      <x:c r="C19" s="4" t="str">
        <x:v>Active general Life; Life appointments: INDEPENDENT ORDER OF FORESTERS (THE); no confirmed exclusion.</x:v>
      </x:c>
      <x:c r="D19" s="10" t="e">
        <x:f>HYPERLINK("https://cdicloud.insurance.ca.gov/cal/LicenseDetail?SearchType=IND&amp;SearchLicNbr=4381504&amp;SearchIndvId=4381504","https://cdicloud.insurance.ca.gov/cal/LicenseDetail?SearchType=IND&amp;SearchLicNbr=4381504&amp;SearchIndvId=4381504")</x:f>
        <x:v>HYPERLINK is not implemented. linkLocation=https://cdicloud.insurance.ca.gov/cal/LicenseDetail?SearchType=IND&amp;SearchLicNbr=4381504&amp;SearchIndvId=4381504, friendlyName=https://cdicloud.insurance.ca.gov/cal/LicenseDetail?SearchType=IND&amp;SearchLicNbr=4381504&amp;SearchIndvId=4381504</x:v>
      </x:c>
      <x:c r="E19" s="9" t="str">
        <x:v>4381504</x:v>
      </x:c>
      <x:c r="F19" s="4" t="str">
        <x:v>9062 WOODMAN AVE 9062 WOODMAN AVE ARLETA CA, 91331</x:v>
      </x:c>
      <x:c r="G19" s="4" t="str">
        <x:v>818-714-3099</x:v>
      </x:c>
      <x:c r="H19" s="4" t="str">
        <x:v>https://www.google.com/maps/place/9062%20WOODMAN%20AVE,%20ARLETA,%20CA,%2091331</x:v>
      </x:c>
      <x:c r="I19" s="4" t="str">
        <x:v>91333</x:v>
      </x:c>
      <x:c r="J19" s="4" t="str">
        <x:v>2026-10-08</x:v>
      </x:c>
      <x:c r="K19" s="4" t="str">
        <x:v>English</x:v>
      </x:c>
      <x:c r="L19" s="4" t="str">
        <x:v>Life</x:v>
      </x:c>
      <x:c r="M19" s="4" t="str">
        <x:v>Life — issued 2024-05-16</x:v>
      </x:c>
      <x:c r="N19" s="4" t="str">
        <x:v>2024-05-16</x:v>
      </x:c>
      <x:c r="O19" s="4" t="n">
        <x:v>2.4</x:v>
      </x:c>
      <x:c r="P19" s="4" t="str">
        <x:v>No</x:v>
      </x:c>
      <x:c r="Q19" s="4" t="str">
        <x:v>No</x:v>
      </x:c>
      <x:c r="R19" s="4" t="str">
        <x:v>No</x:v>
      </x:c>
      <x:c r="S19" s="4" t="str">
        <x:v>INDEPENDENT ORDER OF FORESTERS (THE)</x:v>
      </x:c>
      <x:c r="T19" s="4" t="n">
        <x:v>1</x:v>
      </x:c>
      <x:c r="U19" s="4" t="n">
        <x:v>1</x:v>
      </x:c>
      <x:c r="V19" s="4" t="str">
        <x:v>INDEPENDENT ORDER OF FORESTERS (THE)</x:v>
      </x:c>
      <x:c r="W19" s="4" t="n">
        <x:v>1</x:v>
      </x:c>
      <x:c r="X19" s="4" t="str"/>
      <x:c r="Y19" s="4" t="str"/>
      <x:c r="Z19" s="4" t="str">
        <x:v>INDEPENDENT ORDER OF FORESTERS (THE) — Life — 2024-05-20</x:v>
      </x:c>
      <x:c r="AA19" s="4" t="str"/>
      <x:c r="AB19" s="4" t="n">
        <x:v>0</x:v>
      </x:c>
      <x:c r="AC19" s="4" t="n">
        <x:v>0</x:v>
      </x:c>
      <x:c r="AD19" s="4" t="str"/>
      <x:c r="AE19" s="4" t="str"/>
      <x:c r="AF19" s="4" t="str">
        <x:v>2024-05-20</x:v>
      </x:c>
      <x:c r="AG19" s="4" t="str">
        <x:v>imo-final-approval-rules.md (2026-10-08)</x:v>
      </x:c>
    </x:row>
    <x:row r="20" ht="42" customHeight="1">
      <x:c r="A20" s="4" t="str">
        <x:v>ADAM FABERMAN</x:v>
      </x:c>
      <x:c r="B20" s="8" t="str">
        <x:v>Yes</x:v>
      </x:c>
      <x:c r="C20" s="4" t="str">
        <x:v>Active general Life; no displayed agency or insurer relationships; lower priority; no confirmed exclusion.</x:v>
      </x:c>
      <x:c r="D20" s="10" t="e">
        <x:f>HYPERLINK("https://cdicloud.insurance.ca.gov/cal/LicenseDetail?SearchType=IND&amp;SearchLicNbr=4474765&amp;SearchIndvId=4474765","https://cdicloud.insurance.ca.gov/cal/LicenseDetail?SearchType=IND&amp;SearchLicNbr=4474765&amp;SearchIndvId=4474765")</x:f>
        <x:v>HYPERLINK is not implemented. linkLocation=https://cdicloud.insurance.ca.gov/cal/LicenseDetail?SearchType=IND&amp;SearchLicNbr=4474765&amp;SearchIndvId=4474765, friendlyName=https://cdicloud.insurance.ca.gov/cal/LicenseDetail?SearchType=IND&amp;SearchLicNbr=4474765&amp;SearchIndvId=4474765</x:v>
      </x:c>
      <x:c r="E20" s="9" t="str">
        <x:v>4474765</x:v>
      </x:c>
      <x:c r="F20" s="4" t="str">
        <x:v>12629 RIVERSIDE DR APT 519 VALLEY VILLAGE CA, 91607</x:v>
      </x:c>
      <x:c r="G20" s="4" t="str">
        <x:v>818-339-6682</x:v>
      </x:c>
      <x:c r="H20" s="4" t="str">
        <x:v>https://www.google.com/maps/place/12629%20RIVERSIDE%20DR,%20VALLEY%20VILLAGE,%20CA,%2091607</x:v>
      </x:c>
      <x:c r="I20" s="4" t="str">
        <x:v>91604</x:v>
      </x:c>
      <x:c r="J20" s="4" t="str">
        <x:v>2026-10-08</x:v>
      </x:c>
      <x:c r="K20" s="4" t="str">
        <x:v>English</x:v>
      </x:c>
      <x:c r="L20" s="4" t="str">
        <x:v>Accident &amp; Health or Sickness; Life</x:v>
      </x:c>
      <x:c r="M20" s="4" t="str">
        <x:v>Accident &amp; Health or Sickness — issued 2025-10-02 | Life — issued 2025-10-02</x:v>
      </x:c>
      <x:c r="N20" s="4" t="str">
        <x:v>2025-10-02</x:v>
      </x:c>
      <x:c r="O20" s="4" t="n">
        <x:v>1.02</x:v>
      </x:c>
      <x:c r="P20" s="4" t="str">
        <x:v>Yes</x:v>
      </x:c>
      <x:c r="Q20" s="4" t="str">
        <x:v>No</x:v>
      </x:c>
      <x:c r="R20" s="4" t="str">
        <x:v>No</x:v>
      </x:c>
      <x:c r="S20" s="4" t="str"/>
      <x:c r="T20" s="4" t="n">
        <x:v>0</x:v>
      </x:c>
      <x:c r="U20" s="4" t="n">
        <x:v>0</x:v>
      </x:c>
      <x:c r="V20" s="4" t="str"/>
      <x:c r="W20" s="4" t="n">
        <x:v>0</x:v>
      </x:c>
      <x:c r="X20" s="4" t="str"/>
      <x:c r="Y20" s="4" t="str"/>
      <x:c r="Z20" s="4" t="str"/>
      <x:c r="AA20" s="4" t="str"/>
      <x:c r="AB20" s="4" t="n">
        <x:v>0</x:v>
      </x:c>
      <x:c r="AC20" s="4" t="n">
        <x:v>0</x:v>
      </x:c>
      <x:c r="AD20" s="4" t="str"/>
      <x:c r="AE20" s="4" t="str"/>
      <x:c r="AF20" s="4" t="str"/>
      <x:c r="AG20" s="4" t="str">
        <x:v>imo-final-approval-rules.md (2026-10-08)</x:v>
      </x:c>
    </x:row>
    <x:row r="21" ht="42" customHeight="1">
      <x:c r="A21" s="4" t="str">
        <x:v>ADAM FAST</x:v>
      </x:c>
      <x:c r="B21" s="8" t="str">
        <x:v>Yes</x:v>
      </x:c>
      <x:c r="C21" s="4" t="str">
        <x:v>Active general Life; Life agency relationship: ALPHA RISK &amp; INSURANCE SERVICES, INC.; SEVEN ARTS INSURANCE SOLUTIONS, LLC; no confirmed exclusion.</x:v>
      </x:c>
      <x:c r="D21" s="10" t="e">
        <x:f>HYPERLINK("https://cdicloud.insurance.ca.gov/cal/LicenseDetail?SearchType=IND&amp;SearchLicNbr=0H90854&amp;SearchIndvId=1514708","https://cdicloud.insurance.ca.gov/cal/LicenseDetail?SearchType=IND&amp;SearchLicNbr=0H90854&amp;SearchIndvId=1514708")</x:f>
        <x:v>HYPERLINK is not implemented. linkLocation=https://cdicloud.insurance.ca.gov/cal/LicenseDetail?SearchType=IND&amp;SearchLicNbr=0H90854&amp;SearchIndvId=1514708, friendlyName=https://cdicloud.insurance.ca.gov/cal/LicenseDetail?SearchType=IND&amp;SearchLicNbr=0H90854&amp;SearchIndvId=1514708</x:v>
      </x:c>
      <x:c r="E21" s="9" t="str">
        <x:v>0H90854</x:v>
      </x:c>
      <x:c r="F21" s="4" t="str">
        <x:v>170 S BEVERLY DR STE 301 BEVERLY HILLS CA, 90212-3000</x:v>
      </x:c>
      <x:c r="G21" s="4" t="str">
        <x:v>310-277-4939 Ext. 101</x:v>
      </x:c>
      <x:c r="H21" s="4" t="str">
        <x:v>https://www.google.com/maps/place/170%20S%20BEVERLY%20DR%20STE%20301,%20BEVERLY%20HILLS,%20CA,%20902123000</x:v>
      </x:c>
      <x:c r="I21" s="4" t="str">
        <x:v>90209</x:v>
      </x:c>
      <x:c r="J21" s="4" t="str">
        <x:v>2026-10-08</x:v>
      </x:c>
      <x:c r="K21" s="4" t="str">
        <x:v>English</x:v>
      </x:c>
      <x:c r="L21" s="4" t="str">
        <x:v>Accident &amp; Health or Sickness; Casualty; Life; Property</x:v>
      </x:c>
      <x:c r="M21" s="4" t="str">
        <x:v>Accident &amp; Health or Sickness — issued 2012-07-13 | Casualty — issued 2012-06-04 | Life — issued 2012-07-13 | Property — issued 2012-06-04</x:v>
      </x:c>
      <x:c r="N21" s="4" t="str">
        <x:v>2012-07-13</x:v>
      </x:c>
      <x:c r="O21" s="4" t="n">
        <x:v>14.24</x:v>
      </x:c>
      <x:c r="P21" s="4" t="str">
        <x:v>Yes</x:v>
      </x:c>
      <x:c r="Q21" s="4" t="str">
        <x:v>Yes</x:v>
      </x:c>
      <x:c r="R21" s="4" t="str">
        <x:v>No</x:v>
      </x:c>
      <x:c r="S21" s="4" t="str">
        <x:v>ALL SAVERS LIFE INSURANCE COMPANY OF CALIFORNIA; AMERICAN CONTRACTORS INDEMNITY COMPANY; AMERICAN GENERAL LIFE INSURANCE COMPANY; AMERICAN RETIREMENT LIFE INSURANCE COMPANY; ANTHEM BLUE CROSS LIFE AND HEALTH INSURANCE COMPANY; BLUE SHIELD OF CALIFORNIA LIFE &amp; HEALTH INSURANCE COMPANY; EQUITABLE FINANCIAL LIFE INSURANCE COMPANY; FOREMOST INSURANCE COMPANY GRAND RAPIDS, MICHIGAN; GUARDIAN INSURANCE &amp; ANNUITY COMPANY, INC. (THE); GUARDIAN LIFE INSURANCE COMPANY OF AMERICA (THE); HARTFORD LIFE AND ACCIDENT INSURANCE COMPANY; INDEPENDENT ORDER OF FORESTERS (THE); LINCOLN NATIONAL LIFE INSURANCE COMPANY (THE); NATIONAL GUARDIAN LIFE INSURANCE COMPANY; NATIONAL HEALTH INSURANCE COMPANY; NATIONWIDE LIFE INSURANCE COMPANY; PRINCIPAL LIFE INSURANCE COMPANY; PRINCIPAL NATIONAL LIFE INSURANCE COMPANY; PROTECTIVE LIFE INSURANCE COMPANY; PROVIDENT LIFE AND ACCIDENT INSURANCE COMPANY; STANDARD INSURANCE COMPANY; STARMOUNT LIFE INSURANCE COMPANY; U.S. SPECIALTY INSURANCE COMPANY; UNITEDHEALTHCARE INSURANCE COMPANY; UNUM INSURANCE COMPANY; UNUM LIFE INSURANCE COMPANY OF AMERICA</x:v>
      </x:c>
      <x:c r="T21" s="4" t="n">
        <x:v>44</x:v>
      </x:c>
      <x:c r="U21" s="4" t="n">
        <x:v>26</x:v>
      </x:c>
      <x:c r="V21" s="4" t="str">
        <x:v>ALL SAVERS LIFE INSURANCE COMPANY OF CALIFORNIA; AMERICAN GENERAL LIFE INSURANCE COMPANY; ANTHEM BLUE CROSS LIFE AND HEALTH INSURANCE COMPANY; BLUE SHIELD OF CALIFORNIA LIFE &amp; HEALTH INSURANCE COMPANY; EQUITABLE FINANCIAL LIFE INSURANCE COMPANY; GUARDIAN INSURANCE &amp; ANNUITY COMPANY, INC. (THE); GUARDIAN LIFE INSURANCE COMPANY OF AMERICA (THE); HARTFORD LIFE AND ACCIDENT INSURANCE COMPANY; INDEPENDENT ORDER OF FORESTERS (THE); LINCOLN NATIONAL LIFE INSURANCE COMPANY (THE); NATIONAL HEALTH INSURANCE COMPANY; NATIONWIDE LIFE INSURANCE COMPANY; PRINCIPAL LIFE INSURANCE COMPANY; PRINCIPAL NATIONAL LIFE INSURANCE COMPANY; PROTECTIVE LIFE INSURANCE COMPANY; PROVIDENT LIFE AND ACCIDENT INSURANCE COMPANY; STANDARD INSURANCE COMPANY; UNITEDHEALTHCARE INSURANCE COMPANY; UNUM INSURANCE COMPANY; UNUM LIFE INSURANCE COMPANY OF AMERICA</x:v>
      </x:c>
      <x:c r="W21" s="4" t="n">
        <x:v>20</x:v>
      </x:c>
      <x:c r="X21" s="4" t="str">
        <x:v>ALL SAVERS LIFE INSURANCE COMPANY OF CALIFORNIA; AMERICAN GENERAL LIFE INSURANCE COMPANY; AMERICAN RETIREMENT LIFE INSURANCE COMPANY; ANTHEM BLUE CROSS LIFE AND HEALTH INSURANCE COMPANY; BLUE SHIELD OF CALIFORNIA LIFE &amp; HEALTH INSURANCE COMPANY; EQUITABLE FINANCIAL LIFE INSURANCE COMPANY; GUARDIAN LIFE INSURANCE COMPANY OF AMERICA (THE); HARTFORD LIFE AND ACCIDENT INSURANCE COMPANY; LINCOLN NATIONAL LIFE INSURANCE COMPANY (THE); NATIONAL GUARDIAN LIFE INSURANCE COMPANY; NATIONAL HEALTH INSURANCE COMPANY; NATIONWIDE LIFE INSURANCE COMPANY; PRINCIPAL LIFE INSURANCE COMPANY; PROTECTIVE LIFE INSURANCE COMPANY; PROVIDENT LIFE AND ACCIDENT INSURANCE COMPANY; STANDARD INSURANCE COMPANY; STARMOUNT LIFE INSURANCE COMPANY; UNITEDHEALTHCARE INSURANCE COMPANY; UNUM INSURANCE COMPANY; UNUM LIFE INSURANCE COMPANY OF AMERICA</x:v>
      </x:c>
      <x:c r="Y21" s="4" t="str">
        <x:v>AMERICAN CONTRACTORS INDEMNITY COMPANY; FOREMOST INSURANCE COMPANY GRAND RAPIDS, MICHIGAN; U.S. SPECIALTY INSURANCE COMPANY</x:v>
      </x:c>
      <x:c r="Z21" s="4" t="str">
        <x:v>ALL SAVERS LIFE INSURANCE COMPANY OF CALIFORNIA — Accident &amp; Health or Sickness — 2023-12-01 | ALL SAVERS LIFE INSURANCE COMPANY OF CALIFORNIA — Life — 2023-12-01 | AMERICAN CONTRACTORS INDEMNITY COMPANY — Casualty — 2013-12-11 | AMERICAN GENERAL LIFE INSURANCE COMPANY — Accident &amp; Health or Sickness — 2015-01-28 | AMERICAN GENERAL LIFE INSURANCE COMPANY — Life — 2015-01-28 | AMERICAN RETIREMENT LIFE INSURANCE COMPANY — Accident &amp; Health or Sickness — 2026-03-26 | ANTHEM BLUE CROSS LIFE AND HEALTH INSURANCE COMPANY — Accident &amp; Health or Sickness — 2012-10-23 | ANTHEM BLUE CROSS LIFE AND HEALTH INSURANCE COMPANY — Life — 2012-10-23 | BLUE SHIELD OF CALIFORNIA LIFE &amp; HEALTH INSURANCE COMPANY — Accident &amp; Health or Sickness — 2026-07-02 | BLUE SHIELD OF CALIFORNIA LIFE &amp; HEALTH INSURANCE COMPANY — Life — 2026-07-02 | EQUITABLE FINANCIAL LIFE INSURANCE COMPANY — Accident &amp; Health or Sickness — 2013-08-17 | EQUITABLE FINANCIAL LIFE INSURANCE COMPANY — Life — 2013-08-17 | FOREMOST INSURANCE COMPANY GRAND RAPIDS, MICHIGAN — Casualty — 2014-02-05 | FOREMOST INSURANCE COMPANY GRAND RAPIDS, MICHIGAN — Property — 2014-02-05 | GUARDIAN INSURANCE &amp; ANNUITY COMPANY, INC. (THE) — Life — 2025-04-14 | GUARDIAN LIFE INSURANCE COMPANY OF AMERICA (THE) — Accident &amp; Health or Sickness — 2025-04-14 | GUARDIAN LIFE INSURANCE COMPANY OF AMERICA (THE) — Life — 2025-04-14 | HARTFORD LIFE AND ACCIDENT INSURANCE COMPANY — Accident &amp; Health or Sickness — 2019-08-16 | HARTFORD LIFE AND ACCIDENT INSURANCE COMPANY — Life — 2019-08-16 | INDEPENDENT ORDER OF FORESTERS (THE) — Life — 2014-05-07 | LINCOLN NATIONAL LIFE INSURANCE COMPANY (THE) — Accident &amp; Health or Sickness — 2014-03-19 | LINCOLN NATIONAL LIFE INSURANCE COMPANY (THE) — Life — 2014-03-19 | NATIONAL GUARDIAN LIFE INSURANCE COMPANY — Accident &amp; Health or Sickness — 2024-07-26 | NATIONAL HEALTH INSURANCE COMPANY — Accident &amp; Health or Sickness — 2015-09-16 | NATIONAL HEALTH INSURANCE COMPANY — Life — 2015-09-16 | NATIONWIDE LIFE INSURANCE COMPANY — Accident &amp; Health or Sickness — 2021-03-15 | NATIONWIDE LIFE INSURANCE COMPANY — Life — 2021-03-15 | PRINCIPAL LIFE INSURANCE COMPANY — Accident &amp; Health or Sickness — 2024-02-29 | PRINCIPAL LIFE INSURANCE COMPANY — Life — 2024-02-29 | PRINCIPAL NATIONAL LIFE INSURANCE COMPANY — Life — 2014-06-29 | PROTECTIVE LIFE INSURANCE COMPANY — Accident &amp; Health or Sickness — 2017-11-03 | PROTECTIVE LIFE INSURANCE COMPANY — Life — 2017-11-03 | PROVIDENT LIFE AND ACCIDENT INSURANCE COMPANY — Accident &amp; Health or Sickness — 2022-05-19 | PROVIDENT LIFE AND ACCIDENT INSURANCE COMPANY — Life — 2022-05-19 | STANDARD INSURANCE COMPANY — Accident &amp; Health or Sickness — 2025-01-20 | STANDARD INSURANCE COMPANY — Life — 2025-01-20 | STARMOUNT LIFE INSURANCE COMPANY — Accident &amp; Health or Sickness — 2022-05-19 | U.S. SPECIALTY INSURANCE COMPANY — Casualty — 2013-12-11 | UNITEDHEALTHCARE INSURANCE COMPANY — Accident &amp; Health or Sickness — 2017-04-14 | UNITEDHEALTHCARE INSURANCE COMPANY — Life — 2017-04-14 | UNUM INSURANCE COMPANY — Accident &amp; Health or Sickness — 2022-05-19 | UNUM INSURANCE COMPANY — Life — 2022-05-19 | UNUM LIFE INSURANCE COMPANY OF AMERICA — Accident &amp; Health or Sickness — 2022-05-19 | UNUM LIFE INSURANCE COMPANY OF AMERICA — Life — 2022-05-19</x:v>
      </x:c>
      <x:c r="AA21" s="4" t="str">
        <x:v>ALPHA RISK &amp; INSURANCE SERVICES, INC.; SEVEN ARTS INSURANCE SOLUTIONS, LLC; CALIFORNIA HEALTH BENEFIT EXCHANGE</x:v>
      </x:c>
      <x:c r="AB21" s="4" t="n">
        <x:v>3</x:v>
      </x:c>
      <x:c r="AC21" s="4" t="n">
        <x:v>9</x:v>
      </x:c>
      <x:c r="AD21" s="4" t="str">
        <x:v>ALPHA RISK &amp; INSURANCE SERVICES, INC.; SEVEN ARTS INSURANCE SOLUTIONS, LLC</x:v>
      </x:c>
      <x:c r="AE21" s="4" t="str">
        <x:v>ALPHA RISK &amp; INSURANCE SERVICES, INC. — Accident &amp; Health or Sickness — 2013-10-01 | ALPHA RISK &amp; INSURANCE SERVICES, INC. — Life — 2013-10-01 | SEVEN ARTS INSURANCE SOLUTIONS, LLC — Life — 2012-08-23 | SEVEN ARTS INSURANCE SOLUTIONS, LLC — Accident &amp; Health or Sickness — 2012-08-23 | SEVEN ARTS INSURANCE SOLUTIONS, LLC — Property — 2012-08-23 | ALPHA RISK &amp; INSURANCE SERVICES, INC. — Casualty — 2013-10-01 | ALPHA RISK &amp; INSURANCE SERVICES, INC. — Property — 2013-10-01 | CALIFORNIA HEALTH BENEFIT EXCHANGE — Accident &amp; Health or Sickness — 2023-10-05 | SEVEN ARTS INSURANCE SOLUTIONS, LLC — Casualty — 2012-08-23</x:v>
      </x:c>
      <x:c r="AF21" s="4" t="str">
        <x:v>2026-07-02</x:v>
      </x:c>
      <x:c r="AG21" s="4" t="str">
        <x:v>imo-final-approval-rules.md (2026-10-08)</x:v>
      </x:c>
    </x:row>
    <x:row r="22" ht="42" customHeight="1">
      <x:c r="A22" s="4" t="str">
        <x:v>ADAM LIEBERTHAL</x:v>
      </x:c>
      <x:c r="B22" s="8" t="str">
        <x:v>Yes</x:v>
      </x:c>
      <x:c r="C22" s="4" t="str">
        <x:v>Active general Life; Life appointments: ALL SAVERS LIFE INSURANCE COMPANY OF CALIFORNIA; AMERICAN GENERAL LIFE INSURANCE COMPANY; ANTHEM BLUE CROSS LIFE AND HEALTH INSURANCE COMPANY; additional insurers listed; no confirmed exclusion.</x:v>
      </x:c>
      <x:c r="D22" s="10" t="e">
        <x:f>HYPERLINK("https://cdicloud.insurance.ca.gov/cal/LicenseDetail?SearchType=IND&amp;SearchLicNbr=0G76558&amp;SearchIndvId=1301291","https://cdicloud.insurance.ca.gov/cal/LicenseDetail?SearchType=IND&amp;SearchLicNbr=0G76558&amp;SearchIndvId=1301291")</x:f>
        <x:v>HYPERLINK is not implemented. linkLocation=https://cdicloud.insurance.ca.gov/cal/LicenseDetail?SearchType=IND&amp;SearchLicNbr=0G76558&amp;SearchIndvId=1301291, friendlyName=https://cdicloud.insurance.ca.gov/cal/LicenseDetail?SearchType=IND&amp;SearchLicNbr=0G76558&amp;SearchIndvId=1301291</x:v>
      </x:c>
      <x:c r="E22" s="9" t="str">
        <x:v>0G76558</x:v>
      </x:c>
      <x:c r="F22" s="4" t="str">
        <x:v>13351 RIVERSIDE DR # 661 SHERMAN OAKS CA, 91423-2542</x:v>
      </x:c>
      <x:c r="G22" s="4" t="str">
        <x:v>818-419-8031</x:v>
      </x:c>
      <x:c r="H22" s="4" t="str">
        <x:v>https://www.google.com/maps/place/13351%20RIVERSIDE%20DR%20#%20661,%20SHERMAN%20OAKS,%20CA,%20914232542</x:v>
      </x:c>
      <x:c r="I22" s="4" t="str">
        <x:v>91604</x:v>
      </x:c>
      <x:c r="J22" s="4" t="str">
        <x:v>2026-10-08</x:v>
      </x:c>
      <x:c r="K22" s="4" t="str">
        <x:v>English</x:v>
      </x:c>
      <x:c r="L22" s="4" t="str">
        <x:v>Accident &amp; Health or Sickness; Casualty; Life; Property</x:v>
      </x:c>
      <x:c r="M22" s="4" t="str">
        <x:v>Accident &amp; Health or Sickness — issued 2011-02-14 | Casualty — issued 2009-09-30 | Life — issued 2011-02-14 | Property — issued 2009-09-30</x:v>
      </x:c>
      <x:c r="N22" s="4" t="str">
        <x:v>2011-02-14</x:v>
      </x:c>
      <x:c r="O22" s="4" t="n">
        <x:v>15.65</x:v>
      </x:c>
      <x:c r="P22" s="4" t="str">
        <x:v>Yes</x:v>
      </x:c>
      <x:c r="Q22" s="4" t="str">
        <x:v>Yes</x:v>
      </x:c>
      <x:c r="R22" s="4" t="str">
        <x:v>No</x:v>
      </x:c>
      <x:c r="S22" s="4" t="str">
        <x:v>ALL SAVERS LIFE INSURANCE COMPANY OF CALIFORNIA; AMERICAN GENERAL LIFE INSURANCE COMPANY; AMERITAS LIFE INSURANCE CORP.; ANTHEM BLUE CROSS LIFE AND HEALTH INSURANCE COMPANY; ASSURITY LIFE INSURANCE COMPANY; BLUE SHIELD OF CALIFORNIA LIFE &amp; HEALTH INSURANCE COMPANY; HARTFORD CASUALTY INSURANCE COMPANY; HARTFORD UNDERWRITERS INSURANCE COMPANY; HEALTH NET LIFE INSURANCE COMPANY; KAISER PERMANENTE INSURANCE COMPANY; NATIONAL UNION FIRE INSURANCE COMPANY OF PITTSBURGH, PA; PRINCIPAL LIFE INSURANCE COMPANY; PRINCIPAL NATIONAL LIFE INSURANCE COMPANY; PROTECTIVE LIFE INSURANCE COMPANY; PRUCO LIFE INSURANCE COMPANY; SENTINEL INSURANCE COMPANY, LTD.; SYMETRA LIFE INSURANCE COMPANY; TRUMBULL INSURANCE COMPANY; UNITEDHEALTHCARE INSURANCE COMPANY</x:v>
      </x:c>
      <x:c r="T22" s="4" t="n">
        <x:v>33</x:v>
      </x:c>
      <x:c r="U22" s="4" t="n">
        <x:v>19</x:v>
      </x:c>
      <x:c r="V22" s="4" t="str">
        <x:v>ALL SAVERS LIFE INSURANCE COMPANY OF CALIFORNIA; AMERICAN GENERAL LIFE INSURANCE COMPANY; ANTHEM BLUE CROSS LIFE AND HEALTH INSURANCE COMPANY; ASSURITY LIFE INSURANCE COMPANY; BLUE SHIELD OF CALIFORNIA LIFE &amp; HEALTH INSURANCE COMPANY; HEALTH NET LIFE INSURANCE COMPANY; PRINCIPAL LIFE INSURANCE COMPANY; PRINCIPAL NATIONAL LIFE INSURANCE COMPANY; PROTECTIVE LIFE INSURANCE COMPANY; PRUCO LIFE INSURANCE COMPANY; SYMETRA LIFE INSURANCE COMPANY; UNITEDHEALTHCARE INSURANCE COMPANY</x:v>
      </x:c>
      <x:c r="W22" s="4" t="n">
        <x:v>12</x:v>
      </x:c>
      <x:c r="X22" s="4" t="str">
        <x:v>ALL SAVERS LIFE INSURANCE COMPANY OF CALIFORNIA; AMERICAN GENERAL LIFE INSURANCE COMPANY; AMERITAS LIFE INSURANCE CORP.; ANTHEM BLUE CROSS LIFE AND HEALTH INSURANCE COMPANY; ASSURITY LIFE INSURANCE COMPANY; BLUE SHIELD OF CALIFORNIA LIFE &amp; HEALTH INSURANCE COMPANY; HEALTH NET LIFE INSURANCE COMPANY; KAISER PERMANENTE INSURANCE COMPANY; PRINCIPAL LIFE INSURANCE COMPANY; PROTECTIVE LIFE INSURANCE COMPANY; SYMETRA LIFE INSURANCE COMPANY; UNITEDHEALTHCARE INSURANCE COMPANY</x:v>
      </x:c>
      <x:c r="Y22" s="4" t="str">
        <x:v>HARTFORD CASUALTY INSURANCE COMPANY; HARTFORD UNDERWRITERS INSURANCE COMPANY; SENTINEL INSURANCE COMPANY, LTD.; TRUMBULL INSURANCE COMPANY</x:v>
      </x:c>
      <x:c r="Z22" s="4" t="str">
        <x:v>ALL SAVERS LIFE INSURANCE COMPANY OF CALIFORNIA — Accident &amp; Health or Sickness — 2024-08-15 | ALL SAVERS LIFE INSURANCE COMPANY OF CALIFORNIA — Life — 2024-08-15 | AMERICAN GENERAL LIFE INSURANCE COMPANY — Accident &amp; Health or Sickness — 2016-02-17 | AMERICAN GENERAL LIFE INSURANCE COMPANY — Life — 2016-02-17 | AMERITAS LIFE INSURANCE CORP. — Accident &amp; Health or Sickness — 2023-03-01 | ANTHEM BLUE CROSS LIFE AND HEALTH INSURANCE COMPANY — Accident &amp; Health or Sickness — 2011-02-19 | ANTHEM BLUE CROSS LIFE AND HEALTH INSURANCE COMPANY — Life — 2011-02-19 | ASSURITY LIFE INSURANCE COMPANY — Accident &amp; Health or Sickness — 2025-08-05 | ASSURITY LIFE INSURANCE COMPANY — Life — 2025-08-05 | BLUE SHIELD OF CALIFORNIA LIFE &amp; HEALTH INSURANCE COMPANY — Accident &amp; Health or Sickness — 2012-03-12 | BLUE SHIELD OF CALIFORNIA LIFE &amp; HEALTH INSURANCE COMPANY — Life — 2012-03-12 | HARTFORD CASUALTY INSURANCE COMPANY — Casualty — 2014-11-18 | HARTFORD CASUALTY INSURANCE COMPANY — Property — 2014-11-18 | HARTFORD UNDERWRITERS INSURANCE COMPANY — Casualty — 2024-04-10 | HARTFORD UNDERWRITERS INSURANCE COMPANY — Property — 2024-04-10 | HEALTH NET LIFE INSURANCE COMPANY — Accident &amp; Health or Sickness — 2015-01-01 | HEALTH NET LIFE INSURANCE COMPANY — Life — 2015-01-01 | KAISER PERMANENTE INSURANCE COMPANY — Accident &amp; Health or Sickness — 2012-08-30 | NATIONAL UNION FIRE INSURANCE COMPANY OF PITTSBURGH, PA — Travel — 2012-03-23 | PRINCIPAL LIFE INSURANCE COMPANY — Accident &amp; Health or Sickness — 2015-11-17 | PRINCIPAL LIFE INSURANCE COMPANY — Life — 2015-11-17 | PRINCIPAL NATIONAL LIFE INSURANCE COMPANY — Life — 2018-03-15 | PROTECTIVE LIFE INSURANCE COMPANY — Accident &amp; Health or Sickness — 2017-09-25 | PROTECTIVE LIFE INSURANCE COMPANY — Life — 2017-09-25 | PRUCO LIFE INSURANCE COMPANY — Life — 2017-02-17 | SENTINEL INSURANCE COMPANY, LTD. — Casualty — 2014-11-18 | SENTINEL INSURANCE COMPANY, LTD. — Property — 2014-11-18 | SYMETRA LIFE INSURANCE COMPANY — Accident &amp; Health or Sickness — 2025-06-12 | SYMETRA LIFE INSURANCE COMPANY — Life — 2025-06-12 | TRUMBULL INSURANCE COMPANY — Casualty — 2013-02-24 | TRUMBULL INSURANCE COMPANY — Property — 2013-02-24 | UNITEDHEALTHCARE INSURANCE COMPANY — Accident &amp; Health or Sickness — 2024-08-15 | UNITEDHEALTHCARE INSURANCE COMPANY — Life — 2024-08-15</x:v>
      </x:c>
      <x:c r="AA22" s="4" t="str"/>
      <x:c r="AB22" s="4" t="n">
        <x:v>0</x:v>
      </x:c>
      <x:c r="AC22" s="4" t="n">
        <x:v>0</x:v>
      </x:c>
      <x:c r="AD22" s="4" t="str"/>
      <x:c r="AE22" s="4" t="str"/>
      <x:c r="AF22" s="4" t="str">
        <x:v>2025-08-05</x:v>
      </x:c>
      <x:c r="AG22" s="4" t="str">
        <x:v>imo-final-approval-rules.md (2026-10-08)</x:v>
      </x:c>
    </x:row>
    <x:row r="23" ht="42" customHeight="1">
      <x:c r="A23" s="4" t="str">
        <x:v>ADAM MAGSIG</x:v>
      </x:c>
      <x:c r="B23" s="8" t="str">
        <x:v>Yes</x:v>
      </x:c>
      <x:c r="C23" s="4" t="str">
        <x:v>Active general Life; Life appointments: EMPOWER ANNUITY INSURANCE COMPANY; no confirmed exclusion.</x:v>
      </x:c>
      <x:c r="D23" s="10" t="e">
        <x:f>HYPERLINK("https://cdicloud.insurance.ca.gov/cal/LicenseDetail?SearchType=IND&amp;SearchLicNbr=0M15574&amp;SearchIndvId=1971083","https://cdicloud.insurance.ca.gov/cal/LicenseDetail?SearchType=IND&amp;SearchLicNbr=0M15574&amp;SearchIndvId=1971083")</x:f>
        <x:v>HYPERLINK is not implemented. linkLocation=https://cdicloud.insurance.ca.gov/cal/LicenseDetail?SearchType=IND&amp;SearchLicNbr=0M15574&amp;SearchIndvId=1971083, friendlyName=https://cdicloud.insurance.ca.gov/cal/LicenseDetail?SearchType=IND&amp;SearchLicNbr=0M15574&amp;SearchIndvId=1971083</x:v>
      </x:c>
      <x:c r="E23" s="9" t="str">
        <x:v>0M15574</x:v>
      </x:c>
      <x:c r="F23" s="4" t="str">
        <x:v>4901 CARPENTER AVE VALLEY VILLAGE CA, 91607</x:v>
      </x:c>
      <x:c r="G23" s="4" t="str">
        <x:v>917-842-7947</x:v>
      </x:c>
      <x:c r="H23" s="4" t="str">
        <x:v>https://www.google.com/maps/place/4901%20CARPENTER%20AVE,%20VALLEY%20VILLAGE,%20CA,%2091607</x:v>
      </x:c>
      <x:c r="I23" s="4" t="str">
        <x:v>91603 91604</x:v>
      </x:c>
      <x:c r="J23" s="4" t="str">
        <x:v>2026-10-08</x:v>
      </x:c>
      <x:c r="K23" s="4" t="str">
        <x:v>English</x:v>
      </x:c>
      <x:c r="L23" s="4" t="str">
        <x:v>Life</x:v>
      </x:c>
      <x:c r="M23" s="4" t="str">
        <x:v>Life — issued 2018-03-30</x:v>
      </x:c>
      <x:c r="N23" s="4" t="str">
        <x:v>2018-03-30</x:v>
      </x:c>
      <x:c r="O23" s="4" t="n">
        <x:v>8.53</x:v>
      </x:c>
      <x:c r="P23" s="4" t="str">
        <x:v>No</x:v>
      </x:c>
      <x:c r="Q23" s="4" t="str">
        <x:v>No</x:v>
      </x:c>
      <x:c r="R23" s="4" t="str">
        <x:v>No</x:v>
      </x:c>
      <x:c r="S23" s="4" t="str">
        <x:v>EMPOWER ANNUITY INSURANCE COMPANY</x:v>
      </x:c>
      <x:c r="T23" s="4" t="n">
        <x:v>1</x:v>
      </x:c>
      <x:c r="U23" s="4" t="n">
        <x:v>1</x:v>
      </x:c>
      <x:c r="V23" s="4" t="str">
        <x:v>EMPOWER ANNUITY INSURANCE COMPANY</x:v>
      </x:c>
      <x:c r="W23" s="4" t="n">
        <x:v>1</x:v>
      </x:c>
      <x:c r="X23" s="4" t="str"/>
      <x:c r="Y23" s="4" t="str"/>
      <x:c r="Z23" s="4" t="str">
        <x:v>EMPOWER ANNUITY INSURANCE COMPANY — Life — 2018-04-03</x:v>
      </x:c>
      <x:c r="AA23" s="4" t="str"/>
      <x:c r="AB23" s="4" t="n">
        <x:v>0</x:v>
      </x:c>
      <x:c r="AC23" s="4" t="n">
        <x:v>0</x:v>
      </x:c>
      <x:c r="AD23" s="4" t="str"/>
      <x:c r="AE23" s="4" t="str"/>
      <x:c r="AF23" s="4" t="str">
        <x:v>2018-04-03</x:v>
      </x:c>
      <x:c r="AG23" s="4" t="str">
        <x:v>imo-final-approval-rules.md (2026-10-08)</x:v>
      </x:c>
    </x:row>
    <x:row r="24" ht="42" customHeight="1">
      <x:c r="A24" s="4" t="str">
        <x:v>ADAM MALKA</x:v>
      </x:c>
      <x:c r="B24" s="8" t="str">
        <x:v>Yes</x:v>
      </x:c>
      <x:c r="C24" s="4" t="str">
        <x:v>Active general Life; Life appointments: CMFG LIFE INSURANCE COMPANY; no confirmed exclusion.</x:v>
      </x:c>
      <x:c r="D24" s="10" t="e">
        <x:f>HYPERLINK("https://cdicloud.insurance.ca.gov/cal/LicenseDetail?SearchType=IND&amp;SearchLicNbr=0N02320&amp;SearchIndvId=2111874","https://cdicloud.insurance.ca.gov/cal/LicenseDetail?SearchType=IND&amp;SearchLicNbr=0N02320&amp;SearchIndvId=2111874")</x:f>
        <x:v>HYPERLINK is not implemented. linkLocation=https://cdicloud.insurance.ca.gov/cal/LicenseDetail?SearchType=IND&amp;SearchLicNbr=0N02320&amp;SearchIndvId=2111874, friendlyName=https://cdicloud.insurance.ca.gov/cal/LicenseDetail?SearchType=IND&amp;SearchLicNbr=0N02320&amp;SearchIndvId=2111874</x:v>
      </x:c>
      <x:c r="E24" s="9" t="str">
        <x:v>0N02320</x:v>
      </x:c>
      <x:c r="F24" s="4" t="str">
        <x:v>5252 HERMITAGE AVENUE, APT 9 VALLEY VILLAGE CA, 91607</x:v>
      </x:c>
      <x:c r="G24" s="4" t="str"/>
      <x:c r="H24" s="4" t="str">
        <x:v>https://www.google.com/maps/place/5252%20HERMITAGE%20AVENUE,%20APT%209,%20VALLEY%20VILLAGE,%20CA,%2091607</x:v>
      </x:c>
      <x:c r="I24" s="4" t="str">
        <x:v>91604</x:v>
      </x:c>
      <x:c r="J24" s="4" t="str">
        <x:v>2026-10-08</x:v>
      </x:c>
      <x:c r="K24" s="4" t="str">
        <x:v>English</x:v>
      </x:c>
      <x:c r="L24" s="4" t="str">
        <x:v>Accident &amp; Health or Sickness; Casualty; Life; Property</x:v>
      </x:c>
      <x:c r="M24" s="4" t="str">
        <x:v>Accident &amp; Health or Sickness — issued 2019-06-11 | Casualty — issued 2019-06-11 | Life — issued 2019-06-11 | Property — issued 2019-06-11</x:v>
      </x:c>
      <x:c r="N24" s="4" t="str">
        <x:v>2019-06-11</x:v>
      </x:c>
      <x:c r="O24" s="4" t="n">
        <x:v>7.33</x:v>
      </x:c>
      <x:c r="P24" s="4" t="str">
        <x:v>Yes</x:v>
      </x:c>
      <x:c r="Q24" s="4" t="str">
        <x:v>Yes</x:v>
      </x:c>
      <x:c r="R24" s="4" t="str">
        <x:v>No</x:v>
      </x:c>
      <x:c r="S24" s="4" t="str">
        <x:v>CMFG LIFE INSURANCE COMPANY; CUMIS INSURANCE SOCIETY, INC.</x:v>
      </x:c>
      <x:c r="T24" s="4" t="n">
        <x:v>4</x:v>
      </x:c>
      <x:c r="U24" s="4" t="n">
        <x:v>2</x:v>
      </x:c>
      <x:c r="V24" s="4" t="str">
        <x:v>CMFG LIFE INSURANCE COMPANY</x:v>
      </x:c>
      <x:c r="W24" s="4" t="n">
        <x:v>1</x:v>
      </x:c>
      <x:c r="X24" s="4" t="str">
        <x:v>CMFG LIFE INSURANCE COMPANY</x:v>
      </x:c>
      <x:c r="Y24" s="4" t="str">
        <x:v>CUMIS INSURANCE SOCIETY, INC.</x:v>
      </x:c>
      <x:c r="Z24" s="4" t="str">
        <x:v>CMFG LIFE INSURANCE COMPANY — Accident &amp; Health or Sickness — 2019-06-18 | CMFG LIFE INSURANCE COMPANY — Life — 2019-06-18 | CUMIS INSURANCE SOCIETY, INC. — Casualty — 2019-06-18 | CUMIS INSURANCE SOCIETY, INC. — Property — 2019-06-18</x:v>
      </x:c>
      <x:c r="AA24" s="4" t="str"/>
      <x:c r="AB24" s="4" t="n">
        <x:v>0</x:v>
      </x:c>
      <x:c r="AC24" s="4" t="n">
        <x:v>0</x:v>
      </x:c>
      <x:c r="AD24" s="4" t="str"/>
      <x:c r="AE24" s="4" t="str"/>
      <x:c r="AF24" s="4" t="str">
        <x:v>2019-06-18</x:v>
      </x:c>
      <x:c r="AG24" s="4" t="str">
        <x:v>imo-final-approval-rules.md (2026-10-08)</x:v>
      </x:c>
    </x:row>
    <x:row r="25" ht="42" customHeight="1">
      <x:c r="A25" s="4" t="str">
        <x:v>ADAM MICHAELS</x:v>
      </x:c>
      <x:c r="B25" s="8" t="str">
        <x:v>Yes</x:v>
      </x:c>
      <x:c r="C25" s="4" t="str">
        <x:v>Active general Life; Life agency relationship: AURA INSURANCE AGENCY; ENROLLIFY, INC.; no confirmed exclusion.</x:v>
      </x:c>
      <x:c r="D25" s="10" t="e">
        <x:f>HYPERLINK("https://cdicloud.insurance.ca.gov/cal/LicenseDetail?SearchType=IND&amp;SearchLicNbr=0C11891&amp;SearchIndvId=287910","https://cdicloud.insurance.ca.gov/cal/LicenseDetail?SearchType=IND&amp;SearchLicNbr=0C11891&amp;SearchIndvId=287910")</x:f>
        <x:v>HYPERLINK is not implemented. linkLocation=https://cdicloud.insurance.ca.gov/cal/LicenseDetail?SearchType=IND&amp;SearchLicNbr=0C11891&amp;SearchIndvId=287910, friendlyName=https://cdicloud.insurance.ca.gov/cal/LicenseDetail?SearchType=IND&amp;SearchLicNbr=0C11891&amp;SearchIndvId=287910</x:v>
      </x:c>
      <x:c r="E25" s="9" t="str">
        <x:v>0C11891</x:v>
      </x:c>
      <x:c r="F25" s="4" t="str">
        <x:v>2922 CORDA LANE LOS ANGELES CA, 90049</x:v>
      </x:c>
      <x:c r="G25" s="4" t="str">
        <x:v>424-433-4878</x:v>
      </x:c>
      <x:c r="H25" s="4" t="str">
        <x:v>https://www.google.com/maps/place/2922%20CORDA%20LANE,%20LOS%20ANGELES,%20CA,%2090049</x:v>
      </x:c>
      <x:c r="I25" s="4" t="str">
        <x:v>90049</x:v>
      </x:c>
      <x:c r="J25" s="4" t="str">
        <x:v>2026-10-08</x:v>
      </x:c>
      <x:c r="K25" s="4" t="str">
        <x:v>English</x:v>
      </x:c>
      <x:c r="L25" s="4" t="str">
        <x:v>Accident &amp; Health or Sickness; Casualty; Life; Property</x:v>
      </x:c>
      <x:c r="M25" s="4" t="str">
        <x:v>Accident &amp; Health or Sickness — issued 2010-02-08 | Casualty — issued 2024-05-20 | Life — issued 2010-02-08 | Property — issued 2024-05-20</x:v>
      </x:c>
      <x:c r="N25" s="4" t="str">
        <x:v>2010-02-08</x:v>
      </x:c>
      <x:c r="O25" s="4" t="n">
        <x:v>16.66</x:v>
      </x:c>
      <x:c r="P25" s="4" t="str">
        <x:v>Yes</x:v>
      </x:c>
      <x:c r="Q25" s="4" t="str">
        <x:v>Yes</x:v>
      </x:c>
      <x:c r="R25" s="4" t="str">
        <x:v>No</x:v>
      </x:c>
      <x:c r="S25" s="4" t="str">
        <x:v>COMBINED INSURANCE COMPANY OF AMERICA; CONTINENTAL AMERICAN INSURANCE COMPANY; FEDERAL LIFE INSURANCE COMPANY; FIDELITY LIFE ASSOCIATION, A LEGAL RESERVE LIFE INSURANCE COMPANY; GUARDIAN LIFE INSURANCE COMPANY OF AMERICA (THE); INDEPENDENCE AMERICAN INSURANCE COMPANY; TIER ONE INSURANCE COMPANY; TRANSAMERICA LIFE INSURANCE COMPANY</x:v>
      </x:c>
      <x:c r="T25" s="4" t="n">
        <x:v>15</x:v>
      </x:c>
      <x:c r="U25" s="4" t="n">
        <x:v>8</x:v>
      </x:c>
      <x:c r="V25" s="4" t="str">
        <x:v>COMBINED INSURANCE COMPANY OF AMERICA; CONTINENTAL AMERICAN INSURANCE COMPANY; FEDERAL LIFE INSURANCE COMPANY; FIDELITY LIFE ASSOCIATION, A LEGAL RESERVE LIFE INSURANCE COMPANY; GUARDIAN LIFE INSURANCE COMPANY OF AMERICA (THE); TRANSAMERICA LIFE INSURANCE COMPANY</x:v>
      </x:c>
      <x:c r="W25" s="4" t="n">
        <x:v>6</x:v>
      </x:c>
      <x:c r="X25" s="4" t="str">
        <x:v>COMBINED INSURANCE COMPANY OF AMERICA; CONTINENTAL AMERICAN INSURANCE COMPANY; FEDERAL LIFE INSURANCE COMPANY; GUARDIAN LIFE INSURANCE COMPANY OF AMERICA (THE); TIER ONE INSURANCE COMPANY; TRANSAMERICA LIFE INSURANCE COMPANY</x:v>
      </x:c>
      <x:c r="Y25" s="4" t="str">
        <x:v>INDEPENDENCE AMERICAN INSURANCE COMPANY</x:v>
      </x:c>
      <x:c r="Z25" s="4" t="str">
        <x:v>COMBINED INSURANCE COMPANY OF AMERICA — Accident &amp; Health or Sickness — 2018-08-08 | COMBINED INSURANCE COMPANY OF AMERICA — Life — 2018-08-08 | CONTINENTAL AMERICAN INSURANCE COMPANY — Accident &amp; Health or Sickness — 2020-12-21 | CONTINENTAL AMERICAN INSURANCE COMPANY — Disability Only — 2024-10-22 | CONTINENTAL AMERICAN INSURANCE COMPANY — Life — 2020-12-21 | FEDERAL LIFE INSURANCE COMPANY — Accident &amp; Health or Sickness — 2024-12-03 | FEDERAL LIFE INSURANCE COMPANY — Life — 2024-12-03 | FIDELITY LIFE ASSOCIATION, A LEGAL RESERVE LIFE INSURANCE COMPANY — Life — 2025-06-26 | GUARDIAN LIFE INSURANCE COMPANY OF AMERICA (THE) — Accident &amp; Health or Sickness — 2022-01-24 | GUARDIAN LIFE INSURANCE COMPANY OF AMERICA (THE) — Life — 2022-01-24 | INDEPENDENCE AMERICAN INSURANCE COMPANY — Casualty — 2024-07-10 | INDEPENDENCE AMERICAN INSURANCE COMPANY — Property — 2024-07-10 | TIER ONE INSURANCE COMPANY — Accident &amp; Health or Sickness — 2023-12-13 | TRANSAMERICA LIFE INSURANCE COMPANY — Accident &amp; Health or Sickness — 2018-07-13 | TRANSAMERICA LIFE INSURANCE COMPANY — Life — 2018-07-13</x:v>
      </x:c>
      <x:c r="AA25" s="4" t="str">
        <x:v>AURA INSURANCE AGENCY; ENROLLIFY, INC.</x:v>
      </x:c>
      <x:c r="AB25" s="4" t="n">
        <x:v>2</x:v>
      </x:c>
      <x:c r="AC25" s="4" t="n">
        <x:v>6</x:v>
      </x:c>
      <x:c r="AD25" s="4" t="str">
        <x:v>AURA INSURANCE AGENCY; ENROLLIFY, INC.</x:v>
      </x:c>
      <x:c r="AE25" s="4" t="str">
        <x:v>AURA INSURANCE AGENCY — Life — 2023-11-16 | ENROLLIFY, INC. — Accident &amp; Health or Sickness — 2021-03-04 | ENROLLIFY, INC. — Life — 2021-03-04 | AURA INSURANCE AGENCY — Casualty — 2024-06-04 | AURA INSURANCE AGENCY — Property — 2024-06-04 | AURA INSURANCE AGENCY — Accident &amp; Health or Sickness — 2023-11-16</x:v>
      </x:c>
      <x:c r="AF25" s="4" t="str">
        <x:v>2025-06-26</x:v>
      </x:c>
      <x:c r="AG25" s="4" t="str">
        <x:v>imo-final-approval-rules.md (2026-10-08)</x:v>
      </x:c>
    </x:row>
    <x:row r="26" ht="42" customHeight="1">
      <x:c r="A26" s="4" t="str">
        <x:v>ADAM PINELESS</x:v>
      </x:c>
      <x:c r="B26" s="8" t="str">
        <x:v>Yes</x:v>
      </x:c>
      <x:c r="C26" s="4" t="str">
        <x:v>Active general Life; no displayed agency or insurer relationships; lower priority; no confirmed exclusion.</x:v>
      </x:c>
      <x:c r="D26" s="10" t="e">
        <x:f>HYPERLINK("https://cdicloud.insurance.ca.gov/cal/LicenseDetail?SearchType=IND&amp;SearchLicNbr=4439782&amp;SearchIndvId=4439782","https://cdicloud.insurance.ca.gov/cal/LicenseDetail?SearchType=IND&amp;SearchLicNbr=4439782&amp;SearchIndvId=4439782")</x:f>
        <x:v>HYPERLINK is not implemented. linkLocation=https://cdicloud.insurance.ca.gov/cal/LicenseDetail?SearchType=IND&amp;SearchLicNbr=4439782&amp;SearchIndvId=4439782, friendlyName=https://cdicloud.insurance.ca.gov/cal/LicenseDetail?SearchType=IND&amp;SearchLicNbr=4439782&amp;SearchIndvId=4439782</x:v>
      </x:c>
      <x:c r="E26" s="9" t="str">
        <x:v>4439782</x:v>
      </x:c>
      <x:c r="F26" s="4" t="str">
        <x:v>5025 COLDWATER CANYON AVE #27 SHERMAN OAKS CA, 91423</x:v>
      </x:c>
      <x:c r="G26" s="4" t="str">
        <x:v>310-878-2242</x:v>
      </x:c>
      <x:c r="H26" s="4" t="str">
        <x:v>https://www.google.com/maps/place/5025%20COLDWATER%20CANYON%20AVE,%20SHERMAN%20OAKS,%20CA,%2091423</x:v>
      </x:c>
      <x:c r="I26" s="4" t="str">
        <x:v>91604</x:v>
      </x:c>
      <x:c r="J26" s="4" t="str">
        <x:v>2026-10-08</x:v>
      </x:c>
      <x:c r="K26" s="4" t="str">
        <x:v>English</x:v>
      </x:c>
      <x:c r="L26" s="4" t="str">
        <x:v>Accident &amp; Health or Sickness; Life</x:v>
      </x:c>
      <x:c r="M26" s="4" t="str">
        <x:v>Accident &amp; Health or Sickness — issued 2025-02-14 | Life — issued 2025-02-14</x:v>
      </x:c>
      <x:c r="N26" s="4" t="str">
        <x:v>2025-02-14</x:v>
      </x:c>
      <x:c r="O26" s="4" t="n">
        <x:v>1.65</x:v>
      </x:c>
      <x:c r="P26" s="4" t="str">
        <x:v>Yes</x:v>
      </x:c>
      <x:c r="Q26" s="4" t="str">
        <x:v>No</x:v>
      </x:c>
      <x:c r="R26" s="4" t="str">
        <x:v>No</x:v>
      </x:c>
      <x:c r="S26" s="4" t="str"/>
      <x:c r="T26" s="4" t="n">
        <x:v>0</x:v>
      </x:c>
      <x:c r="U26" s="4" t="n">
        <x:v>0</x:v>
      </x:c>
      <x:c r="V26" s="4" t="str"/>
      <x:c r="W26" s="4" t="n">
        <x:v>0</x:v>
      </x:c>
      <x:c r="X26" s="4" t="str"/>
      <x:c r="Y26" s="4" t="str"/>
      <x:c r="Z26" s="4" t="str"/>
      <x:c r="AA26" s="4" t="str"/>
      <x:c r="AB26" s="4" t="n">
        <x:v>0</x:v>
      </x:c>
      <x:c r="AC26" s="4" t="n">
        <x:v>0</x:v>
      </x:c>
      <x:c r="AD26" s="4" t="str"/>
      <x:c r="AE26" s="4" t="str"/>
      <x:c r="AF26" s="4" t="str"/>
      <x:c r="AG26" s="4" t="str">
        <x:v>imo-final-approval-rules.md (2026-10-08)</x:v>
      </x:c>
    </x:row>
    <x:row r="27" ht="42" customHeight="1">
      <x:c r="A27" s="4" t="str">
        <x:v>ADAM PRYOR</x:v>
      </x:c>
      <x:c r="B27" s="8" t="str">
        <x:v>Yes</x:v>
      </x:c>
      <x:c r="C27" s="4" t="str">
        <x:v>Active general Life; no displayed agency or insurer relationships; lower priority; no confirmed exclusion.</x:v>
      </x:c>
      <x:c r="D27" s="10" t="e">
        <x:f>HYPERLINK("https://cdicloud.insurance.ca.gov/cal/LicenseDetail?SearchType=IND&amp;SearchLicNbr=4514497&amp;SearchIndvId=4514497","https://cdicloud.insurance.ca.gov/cal/LicenseDetail?SearchType=IND&amp;SearchLicNbr=4514497&amp;SearchIndvId=4514497")</x:f>
        <x:v>HYPERLINK is not implemented. linkLocation=https://cdicloud.insurance.ca.gov/cal/LicenseDetail?SearchType=IND&amp;SearchLicNbr=4514497&amp;SearchIndvId=4514497, friendlyName=https://cdicloud.insurance.ca.gov/cal/LicenseDetail?SearchType=IND&amp;SearchLicNbr=4514497&amp;SearchIndvId=4514497</x:v>
      </x:c>
      <x:c r="E27" s="9" t="str">
        <x:v>4514497</x:v>
      </x:c>
      <x:c r="F27" s="4" t="str">
        <x:v>15474 LOOM PL. LOS ANGELES CA, 91403</x:v>
      </x:c>
      <x:c r="G27" s="4" t="str">
        <x:v>407-702-9390</x:v>
      </x:c>
      <x:c r="H27" s="4" t="str">
        <x:v>https://www.google.com/maps/place/15474%20LOOM%20PL.,%20LOS%20ANGELES,%20CA,%2091403</x:v>
      </x:c>
      <x:c r="I27" s="4" t="str">
        <x:v>90049</x:v>
      </x:c>
      <x:c r="J27" s="4" t="str">
        <x:v>2026-10-08</x:v>
      </x:c>
      <x:c r="K27" s="4" t="str">
        <x:v>English</x:v>
      </x:c>
      <x:c r="L27" s="4" t="str">
        <x:v>Accident &amp; Health or Sickness; Life</x:v>
      </x:c>
      <x:c r="M27" s="4" t="str">
        <x:v>Accident &amp; Health or Sickness — issued 2025-12-08 | Life — issued 2025-12-08</x:v>
      </x:c>
      <x:c r="N27" s="4" t="str">
        <x:v>2025-12-08</x:v>
      </x:c>
      <x:c r="O27" s="4" t="n">
        <x:v>0.83</x:v>
      </x:c>
      <x:c r="P27" s="4" t="str">
        <x:v>Yes</x:v>
      </x:c>
      <x:c r="Q27" s="4" t="str">
        <x:v>No</x:v>
      </x:c>
      <x:c r="R27" s="4" t="str">
        <x:v>No</x:v>
      </x:c>
      <x:c r="S27" s="4" t="str"/>
      <x:c r="T27" s="4" t="n">
        <x:v>0</x:v>
      </x:c>
      <x:c r="U27" s="4" t="n">
        <x:v>0</x:v>
      </x:c>
      <x:c r="V27" s="4" t="str"/>
      <x:c r="W27" s="4" t="n">
        <x:v>0</x:v>
      </x:c>
      <x:c r="X27" s="4" t="str"/>
      <x:c r="Y27" s="4" t="str"/>
      <x:c r="Z27" s="4" t="str"/>
      <x:c r="AA27" s="4" t="str"/>
      <x:c r="AB27" s="4" t="n">
        <x:v>0</x:v>
      </x:c>
      <x:c r="AC27" s="4" t="n">
        <x:v>0</x:v>
      </x:c>
      <x:c r="AD27" s="4" t="str"/>
      <x:c r="AE27" s="4" t="str"/>
      <x:c r="AF27" s="4" t="str"/>
      <x:c r="AG27" s="4" t="str">
        <x:v>imo-final-approval-rules.md (2026-10-08)</x:v>
      </x:c>
    </x:row>
    <x:row r="28" ht="42" customHeight="1">
      <x:c r="A28" s="4" t="str">
        <x:v>ADAM STRAUSS</x:v>
      </x:c>
      <x:c r="B28" s="8" t="str">
        <x:v>Yes</x:v>
      </x:c>
      <x:c r="C28" s="4" t="str">
        <x:v>Active general Life; Life appointments: ATHENE ANNUITY AND LIFE COMPANY; no confirmed exclusion.</x:v>
      </x:c>
      <x:c r="D28" s="10" t="e">
        <x:f>HYPERLINK("https://cdicloud.insurance.ca.gov/cal/LicenseDetail?SearchType=IND&amp;SearchLicNbr=0H84652&amp;SearchIndvId=1508957","https://cdicloud.insurance.ca.gov/cal/LicenseDetail?SearchType=IND&amp;SearchLicNbr=0H84652&amp;SearchIndvId=1508957")</x:f>
        <x:v>HYPERLINK is not implemented. linkLocation=https://cdicloud.insurance.ca.gov/cal/LicenseDetail?SearchType=IND&amp;SearchLicNbr=0H84652&amp;SearchIndvId=1508957, friendlyName=https://cdicloud.insurance.ca.gov/cal/LicenseDetail?SearchType=IND&amp;SearchLicNbr=0H84652&amp;SearchIndvId=1508957</x:v>
      </x:c>
      <x:c r="E28" s="9" t="str">
        <x:v>0H84652</x:v>
      </x:c>
      <x:c r="F28" s="4" t="str">
        <x:v>2567 HARGRAVE DR LOS ANGELES CA, 90068</x:v>
      </x:c>
      <x:c r="G28" s="4" t="str">
        <x:v>818-688-2170</x:v>
      </x:c>
      <x:c r="H28" s="4" t="str">
        <x:v>https://www.google.com/maps/place/2567%20HARGRAVE%20DR,%20LOS%20ANGELES,%20CA,%2090068</x:v>
      </x:c>
      <x:c r="I28" s="4" t="str">
        <x:v>90028</x:v>
      </x:c>
      <x:c r="J28" s="4" t="str">
        <x:v>2026-10-08</x:v>
      </x:c>
      <x:c r="K28" s="4" t="str">
        <x:v>English</x:v>
      </x:c>
      <x:c r="L28" s="4" t="str">
        <x:v>Accident &amp; Health or Sickness; Life</x:v>
      </x:c>
      <x:c r="M28" s="4" t="str">
        <x:v>Accident &amp; Health or Sickness — issued 2012-04-24 | Life — issued 2012-04-24</x:v>
      </x:c>
      <x:c r="N28" s="4" t="str">
        <x:v>2012-04-24</x:v>
      </x:c>
      <x:c r="O28" s="4" t="n">
        <x:v>14.46</x:v>
      </x:c>
      <x:c r="P28" s="4" t="str">
        <x:v>Yes</x:v>
      </x:c>
      <x:c r="Q28" s="4" t="str">
        <x:v>No</x:v>
      </x:c>
      <x:c r="R28" s="4" t="str">
        <x:v>No</x:v>
      </x:c>
      <x:c r="S28" s="4" t="str">
        <x:v>ATHENE ANNUITY AND LIFE COMPANY</x:v>
      </x:c>
      <x:c r="T28" s="4" t="n">
        <x:v>1</x:v>
      </x:c>
      <x:c r="U28" s="4" t="n">
        <x:v>1</x:v>
      </x:c>
      <x:c r="V28" s="4" t="str">
        <x:v>ATHENE ANNUITY AND LIFE COMPANY</x:v>
      </x:c>
      <x:c r="W28" s="4" t="n">
        <x:v>1</x:v>
      </x:c>
      <x:c r="X28" s="4" t="str"/>
      <x:c r="Y28" s="4" t="str"/>
      <x:c r="Z28" s="4" t="str">
        <x:v>ATHENE ANNUITY AND LIFE COMPANY — Life — 2026-07-24</x:v>
      </x:c>
      <x:c r="AA28" s="4" t="str"/>
      <x:c r="AB28" s="4" t="n">
        <x:v>0</x:v>
      </x:c>
      <x:c r="AC28" s="4" t="n">
        <x:v>0</x:v>
      </x:c>
      <x:c r="AD28" s="4" t="str"/>
      <x:c r="AE28" s="4" t="str"/>
      <x:c r="AF28" s="4" t="str">
        <x:v>2026-07-24</x:v>
      </x:c>
      <x:c r="AG28" s="4" t="str">
        <x:v>imo-final-approval-rules.md (2026-10-08)</x:v>
      </x:c>
    </x:row>
    <x:row r="29" ht="42" customHeight="1">
      <x:c r="A29" s="4" t="str">
        <x:v>ADEL SAID</x:v>
      </x:c>
      <x:c r="B29" s="8" t="str">
        <x:v>Yes</x:v>
      </x:c>
      <x:c r="C29" s="4" t="str">
        <x:v>Active general Life; no displayed agency or insurer relationships; lower priority; no confirmed exclusion.</x:v>
      </x:c>
      <x:c r="D29" s="10" t="e">
        <x:f>HYPERLINK("https://cdicloud.insurance.ca.gov/cal/LicenseDetail?SearchType=IND&amp;SearchLicNbr=0708051&amp;SearchIndvId=418619","https://cdicloud.insurance.ca.gov/cal/LicenseDetail?SearchType=IND&amp;SearchLicNbr=0708051&amp;SearchIndvId=418619")</x:f>
        <x:v>HYPERLINK is not implemented. linkLocation=https://cdicloud.insurance.ca.gov/cal/LicenseDetail?SearchType=IND&amp;SearchLicNbr=0708051&amp;SearchIndvId=418619, friendlyName=https://cdicloud.insurance.ca.gov/cal/LicenseDetail?SearchType=IND&amp;SearchLicNbr=0708051&amp;SearchIndvId=418619</x:v>
      </x:c>
      <x:c r="E29" s="9" t="str">
        <x:v>0708051</x:v>
      </x:c>
      <x:c r="F29" s="4" t="str">
        <x:v>17225 LASSEN STREET NORTHRIDGE CA, 91325</x:v>
      </x:c>
      <x:c r="G29" s="4" t="str">
        <x:v>818-425-1365</x:v>
      </x:c>
      <x:c r="H29" s="4" t="str">
        <x:v>https://www.google.com/maps/place/17225%20LASSEN%20STREET,%20NORTHRIDGE,%20CA,%2091325</x:v>
      </x:c>
      <x:c r="I29" s="4" t="str">
        <x:v>91325</x:v>
      </x:c>
      <x:c r="J29" s="4" t="str">
        <x:v>2026-10-08</x:v>
      </x:c>
      <x:c r="K29" s="4" t="str">
        <x:v>English</x:v>
      </x:c>
      <x:c r="L29" s="4" t="str">
        <x:v>Accident &amp; Health or Sickness; Casualty; Life; Property</x:v>
      </x:c>
      <x:c r="M29" s="4" t="str">
        <x:v>Accident &amp; Health or Sickness — issued 1990-10-16 | Casualty — issued 1990-10-16 | Life — issued 1990-10-16 | Property — issued 1990-10-16</x:v>
      </x:c>
      <x:c r="N29" s="4" t="str">
        <x:v>1990-10-16</x:v>
      </x:c>
      <x:c r="O29" s="4" t="n">
        <x:v>35.98</x:v>
      </x:c>
      <x:c r="P29" s="4" t="str">
        <x:v>Yes</x:v>
      </x:c>
      <x:c r="Q29" s="4" t="str">
        <x:v>Yes</x:v>
      </x:c>
      <x:c r="R29" s="4" t="str">
        <x:v>No</x:v>
      </x:c>
      <x:c r="S29" s="4" t="str"/>
      <x:c r="T29" s="4" t="n">
        <x:v>0</x:v>
      </x:c>
      <x:c r="U29" s="4" t="n">
        <x:v>0</x:v>
      </x:c>
      <x:c r="V29" s="4" t="str"/>
      <x:c r="W29" s="4" t="n">
        <x:v>0</x:v>
      </x:c>
      <x:c r="X29" s="4" t="str"/>
      <x:c r="Y29" s="4" t="str"/>
      <x:c r="Z29" s="4" t="str"/>
      <x:c r="AA29" s="4" t="str"/>
      <x:c r="AB29" s="4" t="n">
        <x:v>0</x:v>
      </x:c>
      <x:c r="AC29" s="4" t="n">
        <x:v>0</x:v>
      </x:c>
      <x:c r="AD29" s="4" t="str"/>
      <x:c r="AE29" s="4" t="str"/>
      <x:c r="AF29" s="4" t="str"/>
      <x:c r="AG29" s="4" t="str">
        <x:v>imo-final-approval-rules.md (2026-10-08)</x:v>
      </x:c>
    </x:row>
    <x:row r="30" ht="42" customHeight="1">
      <x:c r="A30" s="4" t="str">
        <x:v>ADELA CORTEZ</x:v>
      </x:c>
      <x:c r="B30" s="8" t="str">
        <x:v>Yes</x:v>
      </x:c>
      <x:c r="C30" s="4" t="str">
        <x:v>Active general Life; Life appointments: AMERICAN NATIONAL INSURANCE COMPANY; FIDELITY &amp; GUARANTY LIFE INSURANCE COMPANY; INDEPENDENT ORDER OF FORESTERS (THE); additional insurers listed; no confirmed exclusion.</x:v>
      </x:c>
      <x:c r="D30" s="10" t="e">
        <x:f>HYPERLINK("https://cdicloud.insurance.ca.gov/cal/LicenseDetail?SearchType=IND&amp;SearchLicNbr=0H24234&amp;SearchIndvId=1363878","https://cdicloud.insurance.ca.gov/cal/LicenseDetail?SearchType=IND&amp;SearchLicNbr=0H24234&amp;SearchIndvId=1363878")</x:f>
        <x:v>HYPERLINK is not implemented. linkLocation=https://cdicloud.insurance.ca.gov/cal/LicenseDetail?SearchType=IND&amp;SearchLicNbr=0H24234&amp;SearchIndvId=1363878, friendlyName=https://cdicloud.insurance.ca.gov/cal/LicenseDetail?SearchType=IND&amp;SearchLicNbr=0H24234&amp;SearchIndvId=1363878</x:v>
      </x:c>
      <x:c r="E30" s="9" t="str">
        <x:v>0H24234</x:v>
      </x:c>
      <x:c r="F30" s="4" t="str">
        <x:v>11559 SHERMAN WAY B NORTH HOLLYWOOD CA, 91605</x:v>
      </x:c>
      <x:c r="G30" s="4" t="str">
        <x:v>818-255-1449</x:v>
      </x:c>
      <x:c r="H30" s="4" t="str">
        <x:v>https://www.google.com/maps/place/11559%20SHERMAN%20WAY,%20NORTH%20HOLLYWOOD,%20CA,%2091605</x:v>
      </x:c>
      <x:c r="I30" s="4" t="str">
        <x:v>91353 91609</x:v>
      </x:c>
      <x:c r="J30" s="4" t="str">
        <x:v>2026-10-08</x:v>
      </x:c>
      <x:c r="K30" s="4" t="str">
        <x:v>English</x:v>
      </x:c>
      <x:c r="L30" s="4" t="str">
        <x:v>Life</x:v>
      </x:c>
      <x:c r="M30" s="4" t="str">
        <x:v>Life — issued 2010-11-16</x:v>
      </x:c>
      <x:c r="N30" s="4" t="str">
        <x:v>2010-11-16</x:v>
      </x:c>
      <x:c r="O30" s="4" t="n">
        <x:v>15.89</x:v>
      </x:c>
      <x:c r="P30" s="4" t="str">
        <x:v>No</x:v>
      </x:c>
      <x:c r="Q30" s="4" t="str">
        <x:v>No</x:v>
      </x:c>
      <x:c r="R30" s="4" t="str">
        <x:v>No</x:v>
      </x:c>
      <x:c r="S30" s="4" t="str">
        <x:v>AMERICAN NATIONAL INSURANCE COMPANY; FIDELITY &amp; GUARANTY LIFE INSURANCE COMPANY; INDEPENDENT ORDER OF FORESTERS (THE); LIFE INSURANCE COMPANY OF THE SOUTHWEST</x:v>
      </x:c>
      <x:c r="T30" s="4" t="n">
        <x:v>4</x:v>
      </x:c>
      <x:c r="U30" s="4" t="n">
        <x:v>4</x:v>
      </x:c>
      <x:c r="V30" s="4" t="str">
        <x:v>AMERICAN NATIONAL INSURANCE COMPANY; FIDELITY &amp; GUARANTY LIFE INSURANCE COMPANY; INDEPENDENT ORDER OF FORESTERS (THE); LIFE INSURANCE COMPANY OF THE SOUTHWEST</x:v>
      </x:c>
      <x:c r="W30" s="4" t="n">
        <x:v>4</x:v>
      </x:c>
      <x:c r="X30" s="4" t="str"/>
      <x:c r="Y30" s="4" t="str"/>
      <x:c r="Z30" s="4" t="str">
        <x:v>AMERICAN NATIONAL INSURANCE COMPANY — Life — 2025-08-13 | FIDELITY &amp; GUARANTY LIFE INSURANCE COMPANY — Life — 2026-06-02 | INDEPENDENT ORDER OF FORESTERS (THE) — Life — 2025-09-18 | LIFE INSURANCE COMPANY OF THE SOUTHWEST — Life — 2025-08-14</x:v>
      </x:c>
      <x:c r="AA30" s="4" t="str"/>
      <x:c r="AB30" s="4" t="n">
        <x:v>0</x:v>
      </x:c>
      <x:c r="AC30" s="4" t="n">
        <x:v>0</x:v>
      </x:c>
      <x:c r="AD30" s="4" t="str"/>
      <x:c r="AE30" s="4" t="str"/>
      <x:c r="AF30" s="4" t="str">
        <x:v>2026-06-02</x:v>
      </x:c>
      <x:c r="AG30" s="4" t="str">
        <x:v>imo-final-approval-rules.md (2026-10-08)</x:v>
      </x:c>
    </x:row>
    <x:row r="31" ht="42" customHeight="1">
      <x:c r="A31" s="4" t="str">
        <x:v>ADELA RAMOS GONZALEZ</x:v>
      </x:c>
      <x:c r="B31" s="8" t="str">
        <x:v>Yes</x:v>
      </x:c>
      <x:c r="C31" s="4" t="str">
        <x:v>Active general Life; Life appointments: AMERICAN NATIONAL INSURANCE COMPANY; INDEPENDENT ORDER OF FORESTERS (THE); LIFE INSURANCE COMPANY OF THE SOUTHWEST; no confirmed exclusion.</x:v>
      </x:c>
      <x:c r="D31" s="10" t="e">
        <x:f>HYPERLINK("https://cdicloud.insurance.ca.gov/cal/LicenseDetail?SearchType=IND&amp;SearchLicNbr=4418703&amp;SearchIndvId=4418703","https://cdicloud.insurance.ca.gov/cal/LicenseDetail?SearchType=IND&amp;SearchLicNbr=4418703&amp;SearchIndvId=4418703")</x:f>
        <x:v>HYPERLINK is not implemented. linkLocation=https://cdicloud.insurance.ca.gov/cal/LicenseDetail?SearchType=IND&amp;SearchLicNbr=4418703&amp;SearchIndvId=4418703, friendlyName=https://cdicloud.insurance.ca.gov/cal/LicenseDetail?SearchType=IND&amp;SearchLicNbr=4418703&amp;SearchIndvId=4418703</x:v>
      </x:c>
      <x:c r="E31" s="9" t="str">
        <x:v>4418703</x:v>
      </x:c>
      <x:c r="F31" s="4" t="str">
        <x:v>533 N VICTORY BLVD BURBANK CA, 91502</x:v>
      </x:c>
      <x:c r="G31" s="4" t="str">
        <x:v>323-742-0388</x:v>
      </x:c>
      <x:c r="H31" s="4" t="str">
        <x:v>https://www.google.com/maps/place/533%20N%20VICTORY%20BLVD,%20BURBANK,%20CA,%2091502</x:v>
      </x:c>
      <x:c r="I31" s="4" t="str">
        <x:v>91506</x:v>
      </x:c>
      <x:c r="J31" s="4" t="str">
        <x:v>2026-10-08</x:v>
      </x:c>
      <x:c r="K31" s="4" t="str">
        <x:v>English</x:v>
      </x:c>
      <x:c r="L31" s="4" t="str">
        <x:v>Life</x:v>
      </x:c>
      <x:c r="M31" s="4" t="str">
        <x:v>Life — issued 2025-04-16</x:v>
      </x:c>
      <x:c r="N31" s="4" t="str">
        <x:v>2025-04-16</x:v>
      </x:c>
      <x:c r="O31" s="4" t="n">
        <x:v>1.48</x:v>
      </x:c>
      <x:c r="P31" s="4" t="str">
        <x:v>No</x:v>
      </x:c>
      <x:c r="Q31" s="4" t="str">
        <x:v>No</x:v>
      </x:c>
      <x:c r="R31" s="4" t="str">
        <x:v>No</x:v>
      </x:c>
      <x:c r="S31" s="4" t="str">
        <x:v>AMERICAN NATIONAL INSURANCE COMPANY; INDEPENDENT ORDER OF FORESTERS (THE); LIFE INSURANCE COMPANY OF THE SOUTHWEST</x:v>
      </x:c>
      <x:c r="T31" s="4" t="n">
        <x:v>3</x:v>
      </x:c>
      <x:c r="U31" s="4" t="n">
        <x:v>3</x:v>
      </x:c>
      <x:c r="V31" s="4" t="str">
        <x:v>AMERICAN NATIONAL INSURANCE COMPANY; INDEPENDENT ORDER OF FORESTERS (THE); LIFE INSURANCE COMPANY OF THE SOUTHWEST</x:v>
      </x:c>
      <x:c r="W31" s="4" t="n">
        <x:v>3</x:v>
      </x:c>
      <x:c r="X31" s="4" t="str"/>
      <x:c r="Y31" s="4" t="str"/>
      <x:c r="Z31" s="4" t="str">
        <x:v>AMERICAN NATIONAL INSURANCE COMPANY — Life — 2025-05-20 | INDEPENDENT ORDER OF FORESTERS (THE) — Life — 2025-06-25 | LIFE INSURANCE COMPANY OF THE SOUTHWEST — Life — 2025-08-19</x:v>
      </x:c>
      <x:c r="AA31" s="4" t="str"/>
      <x:c r="AB31" s="4" t="n">
        <x:v>0</x:v>
      </x:c>
      <x:c r="AC31" s="4" t="n">
        <x:v>0</x:v>
      </x:c>
      <x:c r="AD31" s="4" t="str"/>
      <x:c r="AE31" s="4" t="str"/>
      <x:c r="AF31" s="4" t="str">
        <x:v>2025-08-19</x:v>
      </x:c>
      <x:c r="AG31" s="4" t="str">
        <x:v>imo-final-approval-rules.md (2026-10-08)</x:v>
      </x:c>
    </x:row>
    <x:row r="32" ht="42" customHeight="1">
      <x:c r="A32" s="4" t="str">
        <x:v>ADELA WONG</x:v>
      </x:c>
      <x:c r="B32" s="8" t="str">
        <x:v>Yes</x:v>
      </x:c>
      <x:c r="C32" s="4" t="str">
        <x:v>Active general Life; no displayed agency or insurer relationships; lower priority; no confirmed exclusion.</x:v>
      </x:c>
      <x:c r="D32" s="10" t="e">
        <x:f>HYPERLINK("https://cdicloud.insurance.ca.gov/cal/LicenseDetail?SearchType=IND&amp;SearchLicNbr=0B40716&amp;SearchIndvId=220587","https://cdicloud.insurance.ca.gov/cal/LicenseDetail?SearchType=IND&amp;SearchLicNbr=0B40716&amp;SearchIndvId=220587")</x:f>
        <x:v>HYPERLINK is not implemented. linkLocation=https://cdicloud.insurance.ca.gov/cal/LicenseDetail?SearchType=IND&amp;SearchLicNbr=0B40716&amp;SearchIndvId=220587, friendlyName=https://cdicloud.insurance.ca.gov/cal/LicenseDetail?SearchType=IND&amp;SearchLicNbr=0B40716&amp;SearchIndvId=220587</x:v>
      </x:c>
      <x:c r="E32" s="9" t="str">
        <x:v>0B40716</x:v>
      </x:c>
      <x:c r="F32" s="4" t="str">
        <x:v>4141 VIA MARISOL APT 218 4141 VIA MARISOL APT 218 LOS ANGELES CA, 90042</x:v>
      </x:c>
      <x:c r="G32" s="4" t="str">
        <x:v>323-804-5617</x:v>
      </x:c>
      <x:c r="H32" s="4" t="str">
        <x:v>https://www.google.com/maps/place/4141%20VIA%20MARISOL%20APT%20218,%20LOS%20ANGELES,%20CA,%2090042</x:v>
      </x:c>
      <x:c r="I32" s="4" t="str">
        <x:v>90042</x:v>
      </x:c>
      <x:c r="J32" s="4" t="str">
        <x:v>2026-10-08</x:v>
      </x:c>
      <x:c r="K32" s="4" t="str">
        <x:v>English</x:v>
      </x:c>
      <x:c r="L32" s="4" t="str">
        <x:v>Accident &amp; Health or Sickness; Life</x:v>
      </x:c>
      <x:c r="M32" s="4" t="str">
        <x:v>Accident &amp; Health or Sickness — issued 1994-06-21 | Life — issued 1994-06-21</x:v>
      </x:c>
      <x:c r="N32" s="4" t="str">
        <x:v>1994-06-21</x:v>
      </x:c>
      <x:c r="O32" s="4" t="n">
        <x:v>32.3</x:v>
      </x:c>
      <x:c r="P32" s="4" t="str">
        <x:v>Yes</x:v>
      </x:c>
      <x:c r="Q32" s="4" t="str">
        <x:v>No</x:v>
      </x:c>
      <x:c r="R32" s="4" t="str">
        <x:v>No</x:v>
      </x:c>
      <x:c r="S32" s="4" t="str"/>
      <x:c r="T32" s="4" t="n">
        <x:v>0</x:v>
      </x:c>
      <x:c r="U32" s="4" t="n">
        <x:v>0</x:v>
      </x:c>
      <x:c r="V32" s="4" t="str"/>
      <x:c r="W32" s="4" t="n">
        <x:v>0</x:v>
      </x:c>
      <x:c r="X32" s="4" t="str"/>
      <x:c r="Y32" s="4" t="str"/>
      <x:c r="Z32" s="4" t="str"/>
      <x:c r="AA32" s="4" t="str"/>
      <x:c r="AB32" s="4" t="n">
        <x:v>0</x:v>
      </x:c>
      <x:c r="AC32" s="4" t="n">
        <x:v>0</x:v>
      </x:c>
      <x:c r="AD32" s="4" t="str"/>
      <x:c r="AE32" s="4" t="str"/>
      <x:c r="AF32" s="4" t="str"/>
      <x:c r="AG32" s="4" t="str">
        <x:v>imo-final-approval-rules.md (2026-10-08)</x:v>
      </x:c>
    </x:row>
    <x:row r="33" ht="42" customHeight="1">
      <x:c r="A33" s="4" t="str">
        <x:v>ADELAIDA SIMONYAN</x:v>
      </x:c>
      <x:c r="B33" s="8" t="str">
        <x:v>Yes</x:v>
      </x:c>
      <x:c r="C33" s="4" t="str">
        <x:v>Active general Life; Life agency relationship: WORLD FINANCIAL GROUP INSURANCE AGENCY, LLC; no confirmed exclusion.</x:v>
      </x:c>
      <x:c r="D33" s="10" t="e">
        <x:f>HYPERLINK("https://cdicloud.insurance.ca.gov/cal/LicenseDetail?SearchType=IND&amp;SearchLicNbr=0H50806&amp;SearchIndvId=1464787","https://cdicloud.insurance.ca.gov/cal/LicenseDetail?SearchType=IND&amp;SearchLicNbr=0H50806&amp;SearchIndvId=1464787")</x:f>
        <x:v>HYPERLINK is not implemented. linkLocation=https://cdicloud.insurance.ca.gov/cal/LicenseDetail?SearchType=IND&amp;SearchLicNbr=0H50806&amp;SearchIndvId=1464787, friendlyName=https://cdicloud.insurance.ca.gov/cal/LicenseDetail?SearchType=IND&amp;SearchLicNbr=0H50806&amp;SearchIndvId=1464787</x:v>
      </x:c>
      <x:c r="E33" s="9" t="str">
        <x:v>0H50806</x:v>
      </x:c>
      <x:c r="F33" s="4" t="str">
        <x:v>4605 LANKERSHIM BLVD SUITE 510 NORTH HOLLYWOOD CA, 91602</x:v>
      </x:c>
      <x:c r="G33" s="4" t="str">
        <x:v>626-482-6812</x:v>
      </x:c>
      <x:c r="H33" s="4" t="str">
        <x:v>https://www.google.com/maps/place/4605%20LANKERSHIM%20BLVD%20SUITE%20510,%20NORTH%20HOLLYWOOD,%20CA,%2091602</x:v>
      </x:c>
      <x:c r="I33" s="4" t="str">
        <x:v>91608</x:v>
      </x:c>
      <x:c r="J33" s="4" t="str">
        <x:v>2026-10-08</x:v>
      </x:c>
      <x:c r="K33" s="4" t="str">
        <x:v>English</x:v>
      </x:c>
      <x:c r="L33" s="4" t="str">
        <x:v>Accident &amp; Health or Sickness; Life</x:v>
      </x:c>
      <x:c r="M33" s="4" t="str">
        <x:v>Accident &amp; Health or Sickness — issued 2011-07-28 | Life — issued 2011-07-28</x:v>
      </x:c>
      <x:c r="N33" s="4" t="str">
        <x:v>2011-07-28</x:v>
      </x:c>
      <x:c r="O33" s="4" t="n">
        <x:v>15.2</x:v>
      </x:c>
      <x:c r="P33" s="4" t="str">
        <x:v>Yes</x:v>
      </x:c>
      <x:c r="Q33" s="4" t="str">
        <x:v>No</x:v>
      </x:c>
      <x:c r="R33" s="4" t="str">
        <x:v>No</x:v>
      </x:c>
      <x:c r="S33" s="4" t="str">
        <x:v>ATHENE ANNUITY AND LIFE COMPANY; COLONIAL LIFE &amp; ACCIDENT INSURANCE COMPANY; IA AMERICAN LIFE INSURANCE COMPANY; NATIONWIDE LIFE AND ANNUITY INSURANCE COMPANY; NATIONWIDE LIFE INSURANCE COMPANY; STANDARD INSURANCE COMPANY</x:v>
      </x:c>
      <x:c r="T33" s="4" t="n">
        <x:v>9</x:v>
      </x:c>
      <x:c r="U33" s="4" t="n">
        <x:v>6</x:v>
      </x:c>
      <x:c r="V33" s="4" t="str">
        <x:v>ATHENE ANNUITY AND LIFE COMPANY; COLONIAL LIFE &amp; ACCIDENT INSURANCE COMPANY; IA AMERICAN LIFE INSURANCE COMPANY; NATIONWIDE LIFE AND ANNUITY INSURANCE COMPANY; NATIONWIDE LIFE INSURANCE COMPANY</x:v>
      </x:c>
      <x:c r="W33" s="4" t="n">
        <x:v>5</x:v>
      </x:c>
      <x:c r="X33" s="4" t="str">
        <x:v>COLONIAL LIFE &amp; ACCIDENT INSURANCE COMPANY; NATIONWIDE LIFE AND ANNUITY INSURANCE COMPANY; NATIONWIDE LIFE INSURANCE COMPANY; STANDARD INSURANCE COMPANY</x:v>
      </x:c>
      <x:c r="Y33" s="4" t="str"/>
      <x:c r="Z33" s="4" t="str">
        <x:v>ATHENE ANNUITY AND LIFE COMPANY — Life — 2021-05-27 | COLONIAL LIFE &amp; ACCIDENT INSURANCE COMPANY — Accident &amp; Health or Sickness — 2022-10-23 | COLONIAL LIFE &amp; ACCIDENT INSURANCE COMPANY — Life — 2022-10-23 | IA AMERICAN LIFE INSURANCE COMPANY — Life — 2018-06-15 | NATIONWIDE LIFE AND ANNUITY INSURANCE COMPANY — Accident &amp; Health or Sickness — 2023-01-27 | NATIONWIDE LIFE AND ANNUITY INSURANCE COMPANY — Life — 2023-01-27 | NATIONWIDE LIFE INSURANCE COMPANY — Accident &amp; Health or Sickness — 2020-09-03 | NATIONWIDE LIFE INSURANCE COMPANY — Life — 2020-09-03 | STANDARD INSURANCE COMPANY — Accident &amp; Health or Sickness — 2021-10-09</x:v>
      </x:c>
      <x:c r="AA33" s="4" t="str">
        <x:v>WORLD FINANCIAL GROUP INSURANCE AGENCY, LLC</x:v>
      </x:c>
      <x:c r="AB33" s="4" t="n">
        <x:v>1</x:v>
      </x:c>
      <x:c r="AC33" s="4" t="n">
        <x:v>2</x:v>
      </x:c>
      <x:c r="AD33" s="4" t="str">
        <x:v>WORLD FINANCIAL GROUP INSURANCE AGENCY, LLC</x:v>
      </x:c>
      <x:c r="AE33" s="4" t="str">
        <x:v>WORLD FINANCIAL GROUP INSURANCE AGENCY, LLC — Life — 2016-04-14 | WORLD FINANCIAL GROUP INSURANCE AGENCY, LLC — Accident &amp; Health or Sickness — 2016-04-14</x:v>
      </x:c>
      <x:c r="AF33" s="4" t="str">
        <x:v>2023-01-27</x:v>
      </x:c>
      <x:c r="AG33" s="4" t="str">
        <x:v>imo-final-approval-rules.md (2026-10-08)</x:v>
      </x:c>
    </x:row>
    <x:row r="34" ht="42" customHeight="1">
      <x:c r="A34" s="4" t="str">
        <x:v>ADELIENNE MAGANA</x:v>
      </x:c>
      <x:c r="B34" s="8" t="str">
        <x:v>Yes</x:v>
      </x:c>
      <x:c r="C34" s="4" t="str">
        <x:v>Active general Life; Life appointments: AMERICAN GENERAL LIFE INSURANCE COMPANY; AMERICAN NATIONAL INSURANCE COMPANY; AMERICAN-AMICABLE LIFE INSURANCE COMPANY OF TEXAS; additional insurers listed; no confirmed exclusion.</x:v>
      </x:c>
      <x:c r="D34" s="10" t="e">
        <x:f>HYPERLINK("https://cdicloud.insurance.ca.gov/cal/LicenseDetail?SearchType=IND&amp;SearchLicNbr=0M59100&amp;SearchIndvId=2059176","https://cdicloud.insurance.ca.gov/cal/LicenseDetail?SearchType=IND&amp;SearchLicNbr=0M59100&amp;SearchIndvId=2059176")</x:f>
        <x:v>HYPERLINK is not implemented. linkLocation=https://cdicloud.insurance.ca.gov/cal/LicenseDetail?SearchType=IND&amp;SearchLicNbr=0M59100&amp;SearchIndvId=2059176, friendlyName=https://cdicloud.insurance.ca.gov/cal/LicenseDetail?SearchType=IND&amp;SearchLicNbr=0M59100&amp;SearchIndvId=2059176</x:v>
      </x:c>
      <x:c r="E34" s="9" t="str">
        <x:v>0M59100</x:v>
      </x:c>
      <x:c r="F34" s="4" t="str">
        <x:v>16933 PARTHENIA ST STE 200 NORTHRIDGE CA, 91343-4564</x:v>
      </x:c>
      <x:c r="G34" s="4" t="str"/>
      <x:c r="H34" s="4" t="str">
        <x:v>https://www.google.com/maps/place/16933%20PARTHENIA%20ST%20STE%20200,%20NORTHRIDGE,%20CA,%20913434564</x:v>
      </x:c>
      <x:c r="I34" s="4" t="str">
        <x:v>91325</x:v>
      </x:c>
      <x:c r="J34" s="4" t="str">
        <x:v>2026-10-08</x:v>
      </x:c>
      <x:c r="K34" s="4" t="str">
        <x:v>English</x:v>
      </x:c>
      <x:c r="L34" s="4" t="str">
        <x:v>Life</x:v>
      </x:c>
      <x:c r="M34" s="4" t="str">
        <x:v>Life — issued 2018-09-28</x:v>
      </x:c>
      <x:c r="N34" s="4" t="str">
        <x:v>2018-09-28</x:v>
      </x:c>
      <x:c r="O34" s="4" t="n">
        <x:v>8.03</x:v>
      </x:c>
      <x:c r="P34" s="4" t="str">
        <x:v>No</x:v>
      </x:c>
      <x:c r="Q34" s="4" t="str">
        <x:v>No</x:v>
      </x:c>
      <x:c r="R34" s="4" t="str">
        <x:v>No</x:v>
      </x:c>
      <x:c r="S34" s="4" t="str">
        <x:v>AMERICAN GENERAL LIFE INSURANCE COMPANY; AMERICAN NATIONAL INSURANCE COMPANY; AMERICAN-AMICABLE LIFE INSURANCE COMPANY OF TEXAS; ATHENE ANNUITY AND LIFE COMPANY; FIDELITY &amp; GUARANTY LIFE INSURANCE COMPANY; INDEPENDENT ORDER OF FORESTERS (THE); NATIONWIDE LIFE AND ANNUITY INSURANCE COMPANY</x:v>
      </x:c>
      <x:c r="T34" s="4" t="n">
        <x:v>7</x:v>
      </x:c>
      <x:c r="U34" s="4" t="n">
        <x:v>7</x:v>
      </x:c>
      <x:c r="V34" s="4" t="str">
        <x:v>AMERICAN GENERAL LIFE INSURANCE COMPANY; AMERICAN NATIONAL INSURANCE COMPANY; AMERICAN-AMICABLE LIFE INSURANCE COMPANY OF TEXAS; ATHENE ANNUITY AND LIFE COMPANY; FIDELITY &amp; GUARANTY LIFE INSURANCE COMPANY; INDEPENDENT ORDER OF FORESTERS (THE); NATIONWIDE LIFE AND ANNUITY INSURANCE COMPANY</x:v>
      </x:c>
      <x:c r="W34" s="4" t="n">
        <x:v>7</x:v>
      </x:c>
      <x:c r="X34" s="4" t="str"/>
      <x:c r="Y34" s="4" t="str"/>
      <x:c r="Z34" s="4" t="str">
        <x:v>AMERICAN GENERAL LIFE INSURANCE COMPANY — Life — 2026-06-30 | AMERICAN NATIONAL INSURANCE COMPANY — Life — 2026-09-22 | AMERICAN-AMICABLE LIFE INSURANCE COMPANY OF TEXAS — Life — 2026-09-16 | ATHENE ANNUITY AND LIFE COMPANY — Life — 2026-05-05 | FIDELITY &amp; GUARANTY LIFE INSURANCE COMPANY — Life — 2026-02-17 | INDEPENDENT ORDER OF FORESTERS (THE) — Life — 2026-09-05 | NATIONWIDE LIFE AND ANNUITY INSURANCE COMPANY — Life — 2026-04-20</x:v>
      </x:c>
      <x:c r="AA34" s="4" t="str"/>
      <x:c r="AB34" s="4" t="n">
        <x:v>0</x:v>
      </x:c>
      <x:c r="AC34" s="4" t="n">
        <x:v>0</x:v>
      </x:c>
      <x:c r="AD34" s="4" t="str"/>
      <x:c r="AE34" s="4" t="str"/>
      <x:c r="AF34" s="4" t="str">
        <x:v>2026-09-22</x:v>
      </x:c>
      <x:c r="AG34" s="4" t="str">
        <x:v>imo-final-approval-rules.md (2026-10-08)</x:v>
      </x:c>
    </x:row>
    <x:row r="35" ht="42" customHeight="1">
      <x:c r="A35" s="4" t="str">
        <x:v>ADELINE BARNUEVO</x:v>
      </x:c>
      <x:c r="B35" s="8" t="str">
        <x:v>Yes</x:v>
      </x:c>
      <x:c r="C35" s="4" t="str">
        <x:v>Active general Life; Life appointments: FIDELITY &amp; GUARANTY LIFE INSURANCE COMPANY; no confirmed exclusion.</x:v>
      </x:c>
      <x:c r="D35" s="10" t="e">
        <x:f>HYPERLINK("https://cdicloud.insurance.ca.gov/cal/LicenseDetail?SearchType=IND&amp;SearchLicNbr=4000098&amp;SearchIndvId=4000098","https://cdicloud.insurance.ca.gov/cal/LicenseDetail?SearchType=IND&amp;SearchLicNbr=4000098&amp;SearchIndvId=4000098")</x:f>
        <x:v>HYPERLINK is not implemented. linkLocation=https://cdicloud.insurance.ca.gov/cal/LicenseDetail?SearchType=IND&amp;SearchLicNbr=4000098&amp;SearchIndvId=4000098, friendlyName=https://cdicloud.insurance.ca.gov/cal/LicenseDetail?SearchType=IND&amp;SearchLicNbr=4000098&amp;SearchIndvId=4000098</x:v>
      </x:c>
      <x:c r="E35" s="9" t="str">
        <x:v>4000098</x:v>
      </x:c>
      <x:c r="F35" s="4" t="str">
        <x:v>9036 RESEDA BLVD UNIT 103 NORTHRIDGE CA, 91324</x:v>
      </x:c>
      <x:c r="G35" s="4" t="str">
        <x:v>818-203-0144</x:v>
      </x:c>
      <x:c r="H35" s="4" t="str">
        <x:v>https://www.google.com/maps/place/9036%20RESEDA%20BLVD%20UNIT%20103,%20NORTHRIDGE,%20CA,%2091324</x:v>
      </x:c>
      <x:c r="I35" s="4" t="str">
        <x:v>91316</x:v>
      </x:c>
      <x:c r="J35" s="4" t="str">
        <x:v>2026-10-08</x:v>
      </x:c>
      <x:c r="K35" s="4" t="str">
        <x:v>English</x:v>
      </x:c>
      <x:c r="L35" s="4" t="str">
        <x:v>Life</x:v>
      </x:c>
      <x:c r="M35" s="4" t="str">
        <x:v>Life — issued 2019-10-02</x:v>
      </x:c>
      <x:c r="N35" s="4" t="str">
        <x:v>2019-10-02</x:v>
      </x:c>
      <x:c r="O35" s="4" t="n">
        <x:v>7.02</x:v>
      </x:c>
      <x:c r="P35" s="4" t="str">
        <x:v>No</x:v>
      </x:c>
      <x:c r="Q35" s="4" t="str">
        <x:v>No</x:v>
      </x:c>
      <x:c r="R35" s="4" t="str">
        <x:v>No</x:v>
      </x:c>
      <x:c r="S35" s="4" t="str">
        <x:v>FIDELITY &amp; GUARANTY LIFE INSURANCE COMPANY</x:v>
      </x:c>
      <x:c r="T35" s="4" t="n">
        <x:v>1</x:v>
      </x:c>
      <x:c r="U35" s="4" t="n">
        <x:v>1</x:v>
      </x:c>
      <x:c r="V35" s="4" t="str">
        <x:v>FIDELITY &amp; GUARANTY LIFE INSURANCE COMPANY</x:v>
      </x:c>
      <x:c r="W35" s="4" t="n">
        <x:v>1</x:v>
      </x:c>
      <x:c r="X35" s="4" t="str"/>
      <x:c r="Y35" s="4" t="str"/>
      <x:c r="Z35" s="4" t="str">
        <x:v>FIDELITY &amp; GUARANTY LIFE INSURANCE COMPANY — Life — 2025-08-19</x:v>
      </x:c>
      <x:c r="AA35" s="4" t="str"/>
      <x:c r="AB35" s="4" t="n">
        <x:v>0</x:v>
      </x:c>
      <x:c r="AC35" s="4" t="n">
        <x:v>0</x:v>
      </x:c>
      <x:c r="AD35" s="4" t="str"/>
      <x:c r="AE35" s="4" t="str"/>
      <x:c r="AF35" s="4" t="str">
        <x:v>2025-08-19</x:v>
      </x:c>
      <x:c r="AG35" s="4" t="str">
        <x:v>imo-final-approval-rules.md (2026-10-08)</x:v>
      </x:c>
    </x:row>
    <x:row r="36" ht="42" customHeight="1">
      <x:c r="A36" s="4" t="str">
        <x:v>ADELINE SALGADO</x:v>
      </x:c>
      <x:c r="B36" s="8" t="str">
        <x:v>Yes</x:v>
      </x:c>
      <x:c r="C36" s="4" t="str">
        <x:v>Active general Life; Life appointments: FIDELITY &amp; GUARANTY LIFE INSURANCE COMPANY; no confirmed exclusion.</x:v>
      </x:c>
      <x:c r="D36" s="10" t="e">
        <x:f>HYPERLINK("https://cdicloud.insurance.ca.gov/cal/LicenseDetail?SearchType=IND&amp;SearchLicNbr=4531698&amp;SearchIndvId=4531698","https://cdicloud.insurance.ca.gov/cal/LicenseDetail?SearchType=IND&amp;SearchLicNbr=4531698&amp;SearchIndvId=4531698")</x:f>
        <x:v>HYPERLINK is not implemented. linkLocation=https://cdicloud.insurance.ca.gov/cal/LicenseDetail?SearchType=IND&amp;SearchLicNbr=4531698&amp;SearchIndvId=4531698, friendlyName=https://cdicloud.insurance.ca.gov/cal/LicenseDetail?SearchType=IND&amp;SearchLicNbr=4531698&amp;SearchIndvId=4531698</x:v>
      </x:c>
      <x:c r="E36" s="9" t="str">
        <x:v>4531698</x:v>
      </x:c>
      <x:c r="F36" s="4" t="str">
        <x:v>10201 LINDLEY AVE APT 157 NORTHRIDGE CA, 91325</x:v>
      </x:c>
      <x:c r="G36" s="4" t="str">
        <x:v>747-250-0510</x:v>
      </x:c>
      <x:c r="H36" s="4" t="str">
        <x:v>https://www.google.com/maps/place/10201%20LINDLEY%20AVE,%20NORTHRIDGE,%20CA,%2091325</x:v>
      </x:c>
      <x:c r="I36" s="4" t="str">
        <x:v>91325</x:v>
      </x:c>
      <x:c r="J36" s="4" t="str">
        <x:v>2026-10-08</x:v>
      </x:c>
      <x:c r="K36" s="4" t="str">
        <x:v>English</x:v>
      </x:c>
      <x:c r="L36" s="4" t="str">
        <x:v>Life</x:v>
      </x:c>
      <x:c r="M36" s="4" t="str">
        <x:v>Life — issued 2026-03-02</x:v>
      </x:c>
      <x:c r="N36" s="4" t="str">
        <x:v>2026-03-02</x:v>
      </x:c>
      <x:c r="O36" s="4" t="n">
        <x:v>0.6</x:v>
      </x:c>
      <x:c r="P36" s="4" t="str">
        <x:v>No</x:v>
      </x:c>
      <x:c r="Q36" s="4" t="str">
        <x:v>No</x:v>
      </x:c>
      <x:c r="R36" s="4" t="str">
        <x:v>No</x:v>
      </x:c>
      <x:c r="S36" s="4" t="str">
        <x:v>FIDELITY &amp; GUARANTY LIFE INSURANCE COMPANY</x:v>
      </x:c>
      <x:c r="T36" s="4" t="n">
        <x:v>1</x:v>
      </x:c>
      <x:c r="U36" s="4" t="n">
        <x:v>1</x:v>
      </x:c>
      <x:c r="V36" s="4" t="str">
        <x:v>FIDELITY &amp; GUARANTY LIFE INSURANCE COMPANY</x:v>
      </x:c>
      <x:c r="W36" s="4" t="n">
        <x:v>1</x:v>
      </x:c>
      <x:c r="X36" s="4" t="str"/>
      <x:c r="Y36" s="4" t="str"/>
      <x:c r="Z36" s="4" t="str">
        <x:v>FIDELITY &amp; GUARANTY LIFE INSURANCE COMPANY — Life — 2026-03-06</x:v>
      </x:c>
      <x:c r="AA36" s="4" t="str"/>
      <x:c r="AB36" s="4" t="n">
        <x:v>0</x:v>
      </x:c>
      <x:c r="AC36" s="4" t="n">
        <x:v>0</x:v>
      </x:c>
      <x:c r="AD36" s="4" t="str"/>
      <x:c r="AE36" s="4" t="str"/>
      <x:c r="AF36" s="4" t="str">
        <x:v>2026-03-06</x:v>
      </x:c>
      <x:c r="AG36" s="4" t="str">
        <x:v>imo-final-approval-rules.md (2026-10-08)</x:v>
      </x:c>
    </x:row>
    <x:row r="37" ht="42" customHeight="1">
      <x:c r="A37" s="4" t="str">
        <x:v>ADMIREE FAJARDO</x:v>
      </x:c>
      <x:c r="B37" s="8" t="str">
        <x:v>Yes</x:v>
      </x:c>
      <x:c r="C37" s="4" t="str">
        <x:v>Active general Life; no displayed agency or insurer relationships; lower priority; no confirmed exclusion.</x:v>
      </x:c>
      <x:c r="D37" s="10" t="e">
        <x:f>HYPERLINK("https://cdicloud.insurance.ca.gov/cal/LicenseDetail?SearchType=IND&amp;SearchLicNbr=0J04538&amp;SearchIndvId=1697873","https://cdicloud.insurance.ca.gov/cal/LicenseDetail?SearchType=IND&amp;SearchLicNbr=0J04538&amp;SearchIndvId=1697873")</x:f>
        <x:v>HYPERLINK is not implemented. linkLocation=https://cdicloud.insurance.ca.gov/cal/LicenseDetail?SearchType=IND&amp;SearchLicNbr=0J04538&amp;SearchIndvId=1697873, friendlyName=https://cdicloud.insurance.ca.gov/cal/LicenseDetail?SearchType=IND&amp;SearchLicNbr=0J04538&amp;SearchIndvId=1697873</x:v>
      </x:c>
      <x:c r="E37" s="9" t="str">
        <x:v>0J04538</x:v>
      </x:c>
      <x:c r="F37" s="4" t="str">
        <x:v>12200 STAGG STREET NORTH HOLLYWOOD CA, 91605</x:v>
      </x:c>
      <x:c r="G37" s="4" t="str">
        <x:v>818-795-3298</x:v>
      </x:c>
      <x:c r="H37" s="4" t="str">
        <x:v>https://www.google.com/maps/place/12200%20STAGG%20STREET,%20NORTH%20HOLLYWOOD,%20CA,%2091605</x:v>
      </x:c>
      <x:c r="I37" s="4" t="str">
        <x:v>91353</x:v>
      </x:c>
      <x:c r="J37" s="4" t="str">
        <x:v>2026-10-08</x:v>
      </x:c>
      <x:c r="K37" s="4" t="str">
        <x:v>English</x:v>
      </x:c>
      <x:c r="L37" s="4" t="str">
        <x:v>Accident &amp; Health or Sickness; Life</x:v>
      </x:c>
      <x:c r="M37" s="4" t="str">
        <x:v>Accident &amp; Health or Sickness — issued 2023-11-15 | Life — issued 2023-11-15</x:v>
      </x:c>
      <x:c r="N37" s="4" t="str">
        <x:v>2023-11-15</x:v>
      </x:c>
      <x:c r="O37" s="4" t="n">
        <x:v>2.9</x:v>
      </x:c>
      <x:c r="P37" s="4" t="str">
        <x:v>Yes</x:v>
      </x:c>
      <x:c r="Q37" s="4" t="str">
        <x:v>No</x:v>
      </x:c>
      <x:c r="R37" s="4" t="str">
        <x:v>No</x:v>
      </x:c>
      <x:c r="S37" s="4" t="str"/>
      <x:c r="T37" s="4" t="n">
        <x:v>0</x:v>
      </x:c>
      <x:c r="U37" s="4" t="n">
        <x:v>0</x:v>
      </x:c>
      <x:c r="V37" s="4" t="str"/>
      <x:c r="W37" s="4" t="n">
        <x:v>0</x:v>
      </x:c>
      <x:c r="X37" s="4" t="str"/>
      <x:c r="Y37" s="4" t="str"/>
      <x:c r="Z37" s="4" t="str"/>
      <x:c r="AA37" s="4" t="str"/>
      <x:c r="AB37" s="4" t="n">
        <x:v>0</x:v>
      </x:c>
      <x:c r="AC37" s="4" t="n">
        <x:v>0</x:v>
      </x:c>
      <x:c r="AD37" s="4" t="str"/>
      <x:c r="AE37" s="4" t="str"/>
      <x:c r="AF37" s="4" t="str"/>
      <x:c r="AG37" s="4" t="str">
        <x:v>imo-final-approval-rules.md (2026-10-08)</x:v>
      </x:c>
    </x:row>
    <x:row r="38" ht="42" customHeight="1">
      <x:c r="A38" s="4" t="str">
        <x:v>ADRIAN BAKER</x:v>
      </x:c>
      <x:c r="B38" s="8" t="str">
        <x:v>Yes</x:v>
      </x:c>
      <x:c r="C38" s="4" t="str">
        <x:v>Active general Life; Life appointments: AMERICAN GENERAL LIFE INSURANCE COMPANY; FIDELITY &amp; GUARANTY LIFE INSURANCE COMPANY; LIFE INSURANCE COMPANY OF THE SOUTHWEST; additional insurers listed; no confirmed exclusion.</x:v>
      </x:c>
      <x:c r="D38" s="10" t="e">
        <x:f>HYPERLINK("https://cdicloud.insurance.ca.gov/cal/LicenseDetail?SearchType=IND&amp;SearchLicNbr=0I71794&amp;SearchIndvId=1604925","https://cdicloud.insurance.ca.gov/cal/LicenseDetail?SearchType=IND&amp;SearchLicNbr=0I71794&amp;SearchIndvId=1604925")</x:f>
        <x:v>HYPERLINK is not implemented. linkLocation=https://cdicloud.insurance.ca.gov/cal/LicenseDetail?SearchType=IND&amp;SearchLicNbr=0I71794&amp;SearchIndvId=1604925, friendlyName=https://cdicloud.insurance.ca.gov/cal/LicenseDetail?SearchType=IND&amp;SearchLicNbr=0I71794&amp;SearchIndvId=1604925</x:v>
      </x:c>
      <x:c r="E38" s="9" t="str">
        <x:v>0I71794</x:v>
      </x:c>
      <x:c r="F38" s="4" t="str">
        <x:v>415 N EL MOLINO AVENUE 14 PASADENA CA, 91101</x:v>
      </x:c>
      <x:c r="G38" s="4" t="str"/>
      <x:c r="H38" s="4" t="str">
        <x:v>https://www.google.com/maps/place/415%20N%20EL%20MOLINO%20AVENUE,%20PASADENA,%20CA,%2091101</x:v>
      </x:c>
      <x:c r="I38" s="4" t="str">
        <x:v>91103</x:v>
      </x:c>
      <x:c r="J38" s="4" t="str">
        <x:v>2026-10-08</x:v>
      </x:c>
      <x:c r="K38" s="4" t="str">
        <x:v>English</x:v>
      </x:c>
      <x:c r="L38" s="4" t="str">
        <x:v>Accident &amp; Health or Sickness; Life</x:v>
      </x:c>
      <x:c r="M38" s="4" t="str">
        <x:v>Accident &amp; Health or Sickness — issued 2014-01-16 | Life — issued 2014-01-16</x:v>
      </x:c>
      <x:c r="N38" s="4" t="str">
        <x:v>2014-01-16</x:v>
      </x:c>
      <x:c r="O38" s="4" t="n">
        <x:v>12.73</x:v>
      </x:c>
      <x:c r="P38" s="4" t="str">
        <x:v>Yes</x:v>
      </x:c>
      <x:c r="Q38" s="4" t="str">
        <x:v>No</x:v>
      </x:c>
      <x:c r="R38" s="4" t="str">
        <x:v>No</x:v>
      </x:c>
      <x:c r="S38" s="4" t="str">
        <x:v>AMERICAN GENERAL LIFE INSURANCE COMPANY; FIDELITY &amp; GUARANTY LIFE INSURANCE COMPANY; LIFE INSURANCE COMPANY OF THE SOUTHWEST; NORTH AMERICAN COMPANY FOR LIFE AND HEALTH INSURANCE; UNITED OF OMAHA LIFE INSURANCE COMPANY</x:v>
      </x:c>
      <x:c r="T38" s="4" t="n">
        <x:v>8</x:v>
      </x:c>
      <x:c r="U38" s="4" t="n">
        <x:v>5</x:v>
      </x:c>
      <x:c r="V38" s="4" t="str">
        <x:v>AMERICAN GENERAL LIFE INSURANCE COMPANY; FIDELITY &amp; GUARANTY LIFE INSURANCE COMPANY; LIFE INSURANCE COMPANY OF THE SOUTHWEST; NORTH AMERICAN COMPANY FOR LIFE AND HEALTH INSURANCE; UNITED OF OMAHA LIFE INSURANCE COMPANY</x:v>
      </x:c>
      <x:c r="W38" s="4" t="n">
        <x:v>5</x:v>
      </x:c>
      <x:c r="X38" s="4" t="str">
        <x:v>AMERICAN GENERAL LIFE INSURANCE COMPANY; LIFE INSURANCE COMPANY OF THE SOUTHWEST; UNITED OF OMAHA LIFE INSURANCE COMPANY</x:v>
      </x:c>
      <x:c r="Y38" s="4" t="str"/>
      <x:c r="Z38" s="4" t="str">
        <x:v>AMERICAN GENERAL LIFE INSURANCE COMPANY — Accident &amp; Health or Sickness — 2020-09-03 | AMERICAN GENERAL LIFE INSURANCE COMPANY — Life — 2020-09-03 | FIDELITY &amp; GUARANTY LIFE INSURANCE COMPANY — Life — 2024-08-22 | LIFE INSURANCE COMPANY OF THE SOUTHWEST — Accident &amp; Health or Sickness — 2020-02-06 | LIFE INSURANCE COMPANY OF THE SOUTHWEST — Life — 2020-02-06 | NORTH AMERICAN COMPANY FOR LIFE AND HEALTH INSURANCE — Life — 2022-11-30 | UNITED OF OMAHA LIFE INSURANCE COMPANY — Accident &amp; Health or Sickness — 2021-02-11 | UNITED OF OMAHA LIFE INSURANCE COMPANY — Life — 2021-02-11</x:v>
      </x:c>
      <x:c r="AA38" s="4" t="str"/>
      <x:c r="AB38" s="4" t="n">
        <x:v>0</x:v>
      </x:c>
      <x:c r="AC38" s="4" t="n">
        <x:v>0</x:v>
      </x:c>
      <x:c r="AD38" s="4" t="str"/>
      <x:c r="AE38" s="4" t="str"/>
      <x:c r="AF38" s="4" t="str">
        <x:v>2024-08-22</x:v>
      </x:c>
      <x:c r="AG38" s="4" t="str">
        <x:v>imo-final-approval-rules.md (2026-10-08)</x:v>
      </x:c>
    </x:row>
    <x:row r="39" ht="42" customHeight="1">
      <x:c r="A39" s="4" t="str">
        <x:v>ADRIAN CEJUDO CARRILLO</x:v>
      </x:c>
      <x:c r="B39" s="8" t="str">
        <x:v>Yes</x:v>
      </x:c>
      <x:c r="C39" s="4" t="str">
        <x:v>Active general Life; no displayed agency or insurer relationships; lower priority; no confirmed exclusion.</x:v>
      </x:c>
      <x:c r="D39" s="10" t="e">
        <x:f>HYPERLINK("https://cdicloud.insurance.ca.gov/cal/LicenseDetail?SearchType=IND&amp;SearchLicNbr=4562544&amp;SearchIndvId=4562544","https://cdicloud.insurance.ca.gov/cal/LicenseDetail?SearchType=IND&amp;SearchLicNbr=4562544&amp;SearchIndvId=4562544")</x:f>
        <x:v>HYPERLINK is not implemented. linkLocation=https://cdicloud.insurance.ca.gov/cal/LicenseDetail?SearchType=IND&amp;SearchLicNbr=4562544&amp;SearchIndvId=4562544, friendlyName=https://cdicloud.insurance.ca.gov/cal/LicenseDetail?SearchType=IND&amp;SearchLicNbr=4562544&amp;SearchIndvId=4562544</x:v>
      </x:c>
      <x:c r="E39" s="9" t="str">
        <x:v>4562544</x:v>
      </x:c>
      <x:c r="F39" s="4" t="str">
        <x:v>2108 N ST # 15494 SACRAMENTO CA, 95816-5712</x:v>
      </x:c>
      <x:c r="G39" s="4" t="str">
        <x:v>213-460-5869</x:v>
      </x:c>
      <x:c r="H39" s="4" t="str">
        <x:v>https://www.google.com/maps/place/2108%20N%20ST%20#%2015494,%20SACRAMENTO,%20CA,%20958165712</x:v>
      </x:c>
      <x:c r="I39" s="4" t="str">
        <x:v>91353 91609</x:v>
      </x:c>
      <x:c r="J39" s="4" t="str">
        <x:v>2026-10-08</x:v>
      </x:c>
      <x:c r="K39" s="4" t="str">
        <x:v>English</x:v>
      </x:c>
      <x:c r="L39" s="4" t="str">
        <x:v>Accident &amp; Health or Sickness; Life</x:v>
      </x:c>
      <x:c r="M39" s="4" t="str">
        <x:v>Accident &amp; Health or Sickness — issued 2026-07-09 | Life — issued 2026-07-09</x:v>
      </x:c>
      <x:c r="N39" s="4" t="str">
        <x:v>2026-07-09</x:v>
      </x:c>
      <x:c r="O39" s="4" t="n">
        <x:v>0.25</x:v>
      </x:c>
      <x:c r="P39" s="4" t="str">
        <x:v>Yes</x:v>
      </x:c>
      <x:c r="Q39" s="4" t="str">
        <x:v>No</x:v>
      </x:c>
      <x:c r="R39" s="4" t="str">
        <x:v>No</x:v>
      </x:c>
      <x:c r="S39" s="4" t="str"/>
      <x:c r="T39" s="4" t="n">
        <x:v>0</x:v>
      </x:c>
      <x:c r="U39" s="4" t="n">
        <x:v>0</x:v>
      </x:c>
      <x:c r="V39" s="4" t="str"/>
      <x:c r="W39" s="4" t="n">
        <x:v>0</x:v>
      </x:c>
      <x:c r="X39" s="4" t="str"/>
      <x:c r="Y39" s="4" t="str"/>
      <x:c r="Z39" s="4" t="str"/>
      <x:c r="AA39" s="4" t="str"/>
      <x:c r="AB39" s="4" t="n">
        <x:v>0</x:v>
      </x:c>
      <x:c r="AC39" s="4" t="n">
        <x:v>0</x:v>
      </x:c>
      <x:c r="AD39" s="4" t="str"/>
      <x:c r="AE39" s="4" t="str"/>
      <x:c r="AF39" s="4" t="str"/>
      <x:c r="AG39" s="4" t="str">
        <x:v>imo-final-approval-rules.md (2026-10-08)</x:v>
      </x:c>
    </x:row>
    <x:row r="40" ht="42" customHeight="1">
      <x:c r="A40" s="4" t="str">
        <x:v>ADRIAN ESQUIVIAS</x:v>
      </x:c>
      <x:c r="B40" s="8" t="str">
        <x:v>Yes</x:v>
      </x:c>
      <x:c r="C40" s="4" t="str">
        <x:v>Active general Life; Life agency relationship: WORLD FINANCIAL GROUP INSURANCE AGENCY, LLC; no confirmed exclusion.</x:v>
      </x:c>
      <x:c r="D40" s="10" t="e">
        <x:f>HYPERLINK("https://cdicloud.insurance.ca.gov/cal/LicenseDetail?SearchType=IND&amp;SearchLicNbr=4538207&amp;SearchIndvId=4538207","https://cdicloud.insurance.ca.gov/cal/LicenseDetail?SearchType=IND&amp;SearchLicNbr=4538207&amp;SearchIndvId=4538207")</x:f>
        <x:v>HYPERLINK is not implemented. linkLocation=https://cdicloud.insurance.ca.gov/cal/LicenseDetail?SearchType=IND&amp;SearchLicNbr=4538207&amp;SearchIndvId=4538207, friendlyName=https://cdicloud.insurance.ca.gov/cal/LicenseDetail?SearchType=IND&amp;SearchLicNbr=4538207&amp;SearchIndvId=4538207</x:v>
      </x:c>
      <x:c r="E40" s="9" t="str">
        <x:v>4538207</x:v>
      </x:c>
      <x:c r="F40" s="4" t="str">
        <x:v>179 N SUNOL DR LOS ANGELES CA, 90063</x:v>
      </x:c>
      <x:c r="G40" s="4" t="str">
        <x:v>323-719-8374</x:v>
      </x:c>
      <x:c r="H40" s="4" t="str">
        <x:v>https://www.google.com/maps/place/179%20N%20SUNOL%20DR,%20LOS%20ANGELES,%20CA,%2090063</x:v>
      </x:c>
      <x:c r="I40" s="4" t="str">
        <x:v>90023</x:v>
      </x:c>
      <x:c r="J40" s="4" t="str">
        <x:v>2026-10-08</x:v>
      </x:c>
      <x:c r="K40" s="4" t="str">
        <x:v>English</x:v>
      </x:c>
      <x:c r="L40" s="4" t="str">
        <x:v>Accident &amp; Health or Sickness; Life</x:v>
      </x:c>
      <x:c r="M40" s="4" t="str">
        <x:v>Accident &amp; Health or Sickness — issued 2026-03-30 | Life — issued 2026-03-30</x:v>
      </x:c>
      <x:c r="N40" s="4" t="str">
        <x:v>2026-03-30</x:v>
      </x:c>
      <x:c r="O40" s="4" t="n">
        <x:v>0.53</x:v>
      </x:c>
      <x:c r="P40" s="4" t="str">
        <x:v>Yes</x:v>
      </x:c>
      <x:c r="Q40" s="4" t="str">
        <x:v>No</x:v>
      </x:c>
      <x:c r="R40" s="4" t="str">
        <x:v>No</x:v>
      </x:c>
      <x:c r="S40" s="4" t="str"/>
      <x:c r="T40" s="4" t="n">
        <x:v>0</x:v>
      </x:c>
      <x:c r="U40" s="4" t="n">
        <x:v>0</x:v>
      </x:c>
      <x:c r="V40" s="4" t="str"/>
      <x:c r="W40" s="4" t="n">
        <x:v>0</x:v>
      </x:c>
      <x:c r="X40" s="4" t="str"/>
      <x:c r="Y40" s="4" t="str"/>
      <x:c r="Z40" s="4" t="str"/>
      <x:c r="AA40" s="4" t="str">
        <x:v>WORLD FINANCIAL GROUP INSURANCE AGENCY, LLC</x:v>
      </x:c>
      <x:c r="AB40" s="4" t="n">
        <x:v>1</x:v>
      </x:c>
      <x:c r="AC40" s="4" t="n">
        <x:v>2</x:v>
      </x:c>
      <x:c r="AD40" s="4" t="str">
        <x:v>WORLD FINANCIAL GROUP INSURANCE AGENCY, LLC</x:v>
      </x:c>
      <x:c r="AE40" s="4" t="str">
        <x:v>WORLD FINANCIAL GROUP INSURANCE AGENCY, LLC — Accident &amp; Health or Sickness — 2026-04-02 | WORLD FINANCIAL GROUP INSURANCE AGENCY, LLC — Life — 2026-04-02</x:v>
      </x:c>
      <x:c r="AF40" s="4" t="str">
        <x:v>2026-04-02</x:v>
      </x:c>
      <x:c r="AG40" s="4" t="str">
        <x:v>imo-final-approval-rules.md (2026-10-08)</x:v>
      </x:c>
    </x:row>
    <x:row r="41" ht="42" customHeight="1">
      <x:c r="A41" s="4" t="str">
        <x:v>Adrian Martinez</x:v>
      </x:c>
      <x:c r="B41" s="8" t="str">
        <x:v>Yes</x:v>
      </x:c>
      <x:c r="C41" s="4" t="str">
        <x:v>Active general Life; Life appointments: AMERICAN GENERAL LIFE INSURANCE COMPANY; no confirmed exclusion.</x:v>
      </x:c>
      <x:c r="D41" s="10" t="e">
        <x:f>HYPERLINK("https://cdicloud.insurance.ca.gov/cal/LicenseDetail?SearchType=IND&amp;SearchLicNbr=4586761&amp;SearchIndvId=4586761","https://cdicloud.insurance.ca.gov/cal/LicenseDetail?SearchType=IND&amp;SearchLicNbr=4586761&amp;SearchIndvId=4586761")</x:f>
        <x:v>HYPERLINK is not implemented. linkLocation=https://cdicloud.insurance.ca.gov/cal/LicenseDetail?SearchType=IND&amp;SearchLicNbr=4586761&amp;SearchIndvId=4586761, friendlyName=https://cdicloud.insurance.ca.gov/cal/LicenseDetail?SearchType=IND&amp;SearchLicNbr=4586761&amp;SearchIndvId=4586761</x:v>
      </x:c>
      <x:c r="E41" s="9" t="str">
        <x:v>4586761</x:v>
      </x:c>
      <x:c r="F41" s="4" t="str">
        <x:v>800 S ROWAN AVE LOS ANGELES CA, 90023</x:v>
      </x:c>
      <x:c r="G41" s="4" t="str">
        <x:v>323-517-7548</x:v>
      </x:c>
      <x:c r="H41" s="4" t="str">
        <x:v>https://www.google.com/maps/place/800%20S%20ROWAN%20AVE,%20LOS%20ANGELES,%20CA,%2090023</x:v>
      </x:c>
      <x:c r="I41" s="4" t="str">
        <x:v>90023</x:v>
      </x:c>
      <x:c r="J41" s="4" t="str">
        <x:v>2026-10-08</x:v>
      </x:c>
      <x:c r="K41" s="4" t="str">
        <x:v>English</x:v>
      </x:c>
      <x:c r="L41" s="4" t="str">
        <x:v>Life</x:v>
      </x:c>
      <x:c r="M41" s="4" t="str">
        <x:v>Life — issued 2026-09-30</x:v>
      </x:c>
      <x:c r="N41" s="4" t="str">
        <x:v>2026-09-30</x:v>
      </x:c>
      <x:c r="O41" s="4" t="n">
        <x:v>0.02</x:v>
      </x:c>
      <x:c r="P41" s="4" t="str">
        <x:v>No</x:v>
      </x:c>
      <x:c r="Q41" s="4" t="str">
        <x:v>No</x:v>
      </x:c>
      <x:c r="R41" s="4" t="str">
        <x:v>No</x:v>
      </x:c>
      <x:c r="S41" s="4" t="str">
        <x:v>AMERICAN GENERAL LIFE INSURANCE COMPANY</x:v>
      </x:c>
      <x:c r="T41" s="4" t="n">
        <x:v>1</x:v>
      </x:c>
      <x:c r="U41" s="4" t="n">
        <x:v>1</x:v>
      </x:c>
      <x:c r="V41" s="4" t="str">
        <x:v>AMERICAN GENERAL LIFE INSURANCE COMPANY</x:v>
      </x:c>
      <x:c r="W41" s="4" t="n">
        <x:v>1</x:v>
      </x:c>
      <x:c r="X41" s="4" t="str"/>
      <x:c r="Y41" s="4" t="str"/>
      <x:c r="Z41" s="4" t="str">
        <x:v>AMERICAN GENERAL LIFE INSURANCE COMPANY — Life — 2026-10-08</x:v>
      </x:c>
      <x:c r="AA41" s="4" t="str"/>
      <x:c r="AB41" s="4" t="n">
        <x:v>0</x:v>
      </x:c>
      <x:c r="AC41" s="4" t="n">
        <x:v>0</x:v>
      </x:c>
      <x:c r="AD41" s="4" t="str"/>
      <x:c r="AE41" s="4" t="str"/>
      <x:c r="AF41" s="4" t="str">
        <x:v>2026-10-08</x:v>
      </x:c>
      <x:c r="AG41" s="4" t="str">
        <x:v>imo-final-approval-rules.md (2026-10-08)</x:v>
      </x:c>
    </x:row>
    <x:row r="42" ht="42" customHeight="1">
      <x:c r="A42" s="4" t="str">
        <x:v>ADRIAN MILLANARCILA</x:v>
      </x:c>
      <x:c r="B42" s="8" t="str">
        <x:v>Yes</x:v>
      </x:c>
      <x:c r="C42" s="4" t="str">
        <x:v>Active general Life; no displayed agency or insurer relationships; lower priority; no confirmed exclusion.</x:v>
      </x:c>
      <x:c r="D42" s="10" t="e">
        <x:f>HYPERLINK("https://cdicloud.insurance.ca.gov/cal/LicenseDetail?SearchType=IND&amp;SearchLicNbr=1996241&amp;SearchIndvId=1996241","https://cdicloud.insurance.ca.gov/cal/LicenseDetail?SearchType=IND&amp;SearchLicNbr=1996241&amp;SearchIndvId=1996241")</x:f>
        <x:v>HYPERLINK is not implemented. linkLocation=https://cdicloud.insurance.ca.gov/cal/LicenseDetail?SearchType=IND&amp;SearchLicNbr=1996241&amp;SearchIndvId=1996241, friendlyName=https://cdicloud.insurance.ca.gov/cal/LicenseDetail?SearchType=IND&amp;SearchLicNbr=1996241&amp;SearchIndvId=1996241</x:v>
      </x:c>
      <x:c r="E42" s="9" t="str">
        <x:v>1996241</x:v>
      </x:c>
      <x:c r="F42" s="4" t="str">
        <x:v>7645 WYNGATE ST TUJUNGA CA, 91042</x:v>
      </x:c>
      <x:c r="G42" s="4" t="str">
        <x:v>818-317-5752</x:v>
      </x:c>
      <x:c r="H42" s="4" t="str">
        <x:v>https://www.google.com/maps/place/7645%20WYNGATE%20ST,%20TUJUNGA,%20CA,%2091042</x:v>
      </x:c>
      <x:c r="I42" s="4" t="str">
        <x:v>91043</x:v>
      </x:c>
      <x:c r="J42" s="4" t="str">
        <x:v>2026-10-08</x:v>
      </x:c>
      <x:c r="K42" s="4" t="str">
        <x:v>English</x:v>
      </x:c>
      <x:c r="L42" s="4" t="str">
        <x:v>Life</x:v>
      </x:c>
      <x:c r="M42" s="4" t="str">
        <x:v>Life — issued 2023-02-09</x:v>
      </x:c>
      <x:c r="N42" s="4" t="str">
        <x:v>2023-02-09</x:v>
      </x:c>
      <x:c r="O42" s="4" t="n">
        <x:v>3.66</x:v>
      </x:c>
      <x:c r="P42" s="4" t="str">
        <x:v>No</x:v>
      </x:c>
      <x:c r="Q42" s="4" t="str">
        <x:v>No</x:v>
      </x:c>
      <x:c r="R42" s="4" t="str">
        <x:v>No</x:v>
      </x:c>
      <x:c r="S42" s="4" t="str"/>
      <x:c r="T42" s="4" t="n">
        <x:v>0</x:v>
      </x:c>
      <x:c r="U42" s="4" t="n">
        <x:v>0</x:v>
      </x:c>
      <x:c r="V42" s="4" t="str"/>
      <x:c r="W42" s="4" t="n">
        <x:v>0</x:v>
      </x:c>
      <x:c r="X42" s="4" t="str"/>
      <x:c r="Y42" s="4" t="str"/>
      <x:c r="Z42" s="4" t="str"/>
      <x:c r="AA42" s="4" t="str"/>
      <x:c r="AB42" s="4" t="n">
        <x:v>0</x:v>
      </x:c>
      <x:c r="AC42" s="4" t="n">
        <x:v>0</x:v>
      </x:c>
      <x:c r="AD42" s="4" t="str"/>
      <x:c r="AE42" s="4" t="str"/>
      <x:c r="AF42" s="4" t="str"/>
      <x:c r="AG42" s="4" t="str">
        <x:v>imo-final-approval-rules.md (2026-10-08)</x:v>
      </x:c>
    </x:row>
  </x:sheetData>
  <x:conditionalFormatting sqref="B2:B42">
    <x:cfRule type="containsText" dxfId="3" priority="1" operator="containsText" text="Yes"/>
    <x:cfRule type="containsText" dxfId="4" priority="2" operator="containsText" text="No"/>
    <x:cfRule type="containsBlanks" dxfId="5" priority="3"/>
  </x:conditionalFormatting>
  <x:pageMargins left="0.7" right="0.7" top="0.75" bottom="0.75" header="0.3" footer="0.3"/>
  <x:tableParts count="1">
    <x:tablePart xmlns:r="http://schemas.openxmlformats.org/officeDocument/2006/relationships" r:id="Raad4c0a5031b4e87"/>
  </x:tableParts>
</x:worksheet>
</file>

<file path=xl/worksheets/sheet3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52" hidden="0" customWidth="1"/>
    <x:col min="4" max="4" width="56" hidden="0" customWidth="1"/>
    <x:col min="5" max="5" width="17" hidden="0" customWidth="1"/>
    <x:col min="6" max="6" width="34" hidden="0" customWidth="1"/>
    <x:col min="7" max="7" width="16" hidden="0" customWidth="1"/>
    <x:col min="8" max="8" width="56" hidden="0" customWidth="1"/>
    <x:col min="9" max="9" width="13" hidden="0" customWidth="1"/>
    <x:col min="10" max="10" width="17" hidden="0" customWidth="1"/>
    <x:col min="11" max="11" width="17" hidden="0" customWidth="1"/>
    <x:col min="12" max="12" width="23" hidden="0" customWidth="1"/>
    <x:col min="13" max="13" width="52" hidden="0" customWidth="1"/>
    <x:col min="14" max="14" width="17" hidden="0" customWidth="1"/>
    <x:col min="15" max="15" width="24" hidden="0" customWidth="1"/>
    <x:col min="16" max="16" width="25" hidden="0" customWidth="1"/>
    <x:col min="17" max="17" width="21" hidden="0" customWidth="1"/>
    <x:col min="18" max="18" width="27" hidden="0" customWidth="1"/>
    <x:col min="19" max="19" width="34" hidden="0" customWidth="1"/>
    <x:col min="20" max="20" width="23" hidden="0" customWidth="1"/>
    <x:col min="21" max="21" width="22" hidden="0" customWidth="1"/>
    <x:col min="22" max="22" width="34" hidden="0" customWidth="1"/>
    <x:col min="23" max="23" width="27" hidden="0" customWidth="1"/>
    <x:col min="24" max="24" width="34" hidden="0" customWidth="1"/>
    <x:col min="25" max="25" width="34" hidden="0" customWidth="1"/>
    <x:col min="26" max="26" width="52" hidden="0" customWidth="1"/>
    <x:col min="27" max="27" width="34" hidden="0" customWidth="1"/>
    <x:col min="28" max="28" width="21" hidden="0" customWidth="1"/>
    <x:col min="29" max="29" width="27" hidden="0" customWidth="1"/>
    <x:col min="30" max="30" width="34" hidden="0" customWidth="1"/>
    <x:col min="31" max="31" width="52" hidden="0" customWidth="1"/>
    <x:col min="32" max="32" width="34" hidden="0" customWidth="1"/>
    <x:col min="33" max="33" width="52" hidden="0" customWidth="1"/>
  </x:cols>
  <x:sheetData>
    <x:row r="1" ht="32" customHeight="1">
      <x:c r="A1" s="7" t="str">
        <x:v>Name</x:v>
      </x:c>
      <x:c r="B1" s="7" t="str">
        <x:v>Passed_Test</x:v>
      </x:c>
      <x:c r="C1" s="7" t="str">
        <x:v>Assessment</x:v>
      </x:c>
      <x:c r="D1" s="7" t="str">
        <x:v>License_URL</x:v>
      </x:c>
      <x:c r="E1" s="7" t="str">
        <x:v>License_Number</x:v>
      </x:c>
      <x:c r="F1" s="7" t="str">
        <x:v>Business_Address</x:v>
      </x:c>
      <x:c r="G1" s="7" t="str">
        <x:v>Business_Phone</x:v>
      </x:c>
      <x:c r="H1" s="7" t="str">
        <x:v>Directions_URL</x:v>
      </x:c>
      <x:c r="I1" s="7" t="str">
        <x:v>Source_ZIPs</x:v>
      </x:c>
      <x:c r="J1" s="7" t="str">
        <x:v>Checked_On</x:v>
      </x:c>
      <x:c r="K1" s="7" t="str">
        <x:v>Languages</x:v>
      </x:c>
      <x:c r="L1" s="7" t="str">
        <x:v>Active_Qualifications</x:v>
      </x:c>
      <x:c r="M1" s="7" t="str">
        <x:v>Qualification_Details</x:v>
      </x:c>
      <x:c r="N1" s="7" t="str">
        <x:v>Life_Issue_Date</x:v>
      </x:c>
      <x:c r="O1" s="7" t="str">
        <x:v>Years_Since_Life_Issue</x:v>
      </x:c>
      <x:c r="P1" s="7" t="str">
        <x:v>Active_Health_Authority</x:v>
      </x:c>
      <x:c r="Q1" s="7" t="str">
        <x:v>Active_PC_Authority</x:v>
      </x:c>
      <x:c r="R1" s="7" t="str">
        <x:v>Active_Variable_Authority</x:v>
      </x:c>
      <x:c r="S1" s="7" t="str">
        <x:v>Appointed_Insurers</x:v>
      </x:c>
      <x:c r="T1" s="7" t="str">
        <x:v>Appointment_Row_Count</x:v>
      </x:c>
      <x:c r="U1" s="7" t="str">
        <x:v>Unique_Insurer_Count</x:v>
      </x:c>
      <x:c r="V1" s="7" t="str">
        <x:v>Life_Appointed_Insurers</x:v>
      </x:c>
      <x:c r="W1" s="7" t="str">
        <x:v>Unique_Life_Insurer_Count</x:v>
      </x:c>
      <x:c r="X1" s="7" t="str">
        <x:v>Health_Appointed_Insurers</x:v>
      </x:c>
      <x:c r="Y1" s="7" t="str">
        <x:v>PC_Appointed_Insurers</x:v>
      </x:c>
      <x:c r="Z1" s="7" t="str">
        <x:v>Appointment_Details</x:v>
      </x:c>
      <x:c r="AA1" s="7" t="str">
        <x:v>Agency_Organizations</x:v>
      </x:c>
      <x:c r="AB1" s="7" t="str">
        <x:v>Unique_Agency_Count</x:v>
      </x:c>
      <x:c r="AC1" s="7" t="str">
        <x:v>Agency_Relationship_Count</x:v>
      </x:c>
      <x:c r="AD1" s="7" t="str">
        <x:v>Life_Agency_Organizations</x:v>
      </x:c>
      <x:c r="AE1" s="7" t="str">
        <x:v>Agency_Relationship_Details</x:v>
      </x:c>
      <x:c r="AF1" s="7" t="str">
        <x:v>Latest_Displayed_Relationship_Date</x:v>
      </x:c>
      <x:c r="AG1" s="7" t="str">
        <x:v>Rule_Document</x:v>
      </x:c>
    </x:row>
    <x:row r="2" ht="42" customHeight="1">
      <x:c r="A2" s="4" t="str">
        <x:v>ABRAHAM FOROUZAN</x:v>
      </x:c>
      <x:c r="B2" s="8" t="str">
        <x:v>No</x:v>
      </x:c>
      <x:c r="C2" s="4" t="str">
        <x:v>Current excluded relationship displayed: ALLSTATE INDEMNITY COMPANY; ALLSTATE INSURANCE COMPANY; ALLSTATE MOTOR CLUB, INC; ALLSTATE NORTHBROOK INDEMNITY COMPANY; ALLSTATE PROPERTY AND CASUALTY INSURANCE COMPANY.</x:v>
      </x:c>
      <x:c r="D2" s="10" t="e">
        <x:f>HYPERLINK("https://cdicloud.insurance.ca.gov/cal/LicenseDetail?SearchType=IND&amp;SearchLicNbr=0609869&amp;SearchIndvId=391517","https://cdicloud.insurance.ca.gov/cal/LicenseDetail?SearchType=IND&amp;SearchLicNbr=0609869&amp;SearchIndvId=391517")</x:f>
        <x:v>HYPERLINK is not implemented. linkLocation=https://cdicloud.insurance.ca.gov/cal/LicenseDetail?SearchType=IND&amp;SearchLicNbr=0609869&amp;SearchIndvId=391517, friendlyName=https://cdicloud.insurance.ca.gov/cal/LicenseDetail?SearchType=IND&amp;SearchLicNbr=0609869&amp;SearchIndvId=391517</x:v>
      </x:c>
      <x:c r="E2" s="9" t="str">
        <x:v>0609869</x:v>
      </x:c>
      <x:c r="F2" s="4" t="str">
        <x:v>8683 WILSHIRE BLVD STE A BEVERLY HILLS CA, 90211</x:v>
      </x:c>
      <x:c r="G2" s="4" t="str"/>
      <x:c r="H2" s="4" t="str">
        <x:v>https://www.google.com/maps/place/8683%20WILSHIRE%20BLVD%20STE%20A,%20BEVERLY%20HILLS,%20CA,%2090211</x:v>
      </x:c>
      <x:c r="I2" s="4" t="str">
        <x:v>90209</x:v>
      </x:c>
      <x:c r="J2" s="4" t="str">
        <x:v>2026-10-08</x:v>
      </x:c>
      <x:c r="K2" s="4" t="str">
        <x:v>English</x:v>
      </x:c>
      <x:c r="L2" s="4" t="str">
        <x:v>Accident &amp; Health or Sickness; Casualty; Life; Property</x:v>
      </x:c>
      <x:c r="M2" s="4" t="str">
        <x:v>Accident &amp; Health or Sickness — issued 1981-07-03 | Casualty — issued 1985-02-07 | Life — issued 1981-07-03 | Property — issued 1985-02-07</x:v>
      </x:c>
      <x:c r="N2" s="4" t="str">
        <x:v>1981-07-03</x:v>
      </x:c>
      <x:c r="O2" s="4" t="n">
        <x:v>45.27</x:v>
      </x:c>
      <x:c r="P2" s="4" t="str">
        <x:v>Yes</x:v>
      </x:c>
      <x:c r="Q2" s="4" t="str">
        <x:v>Yes</x:v>
      </x:c>
      <x:c r="R2" s="4" t="str">
        <x:v>No</x:v>
      </x:c>
      <x:c r="S2" s="4" t="str">
        <x:v>AETNA LIFE INSURANCE COMPANY; ALLSTATE INDEMNITY COMPANY; ALLSTATE INSURANCE COMPANY; ALLSTATE MOTOR CLUB, INC.; ALLSTATE NORTHBROOK INDEMNITY COMPANY; ALLSTATE PROPERTY AND CASUALTY INSURANCE COMPANY; AMERICAN GENERAL LIFE INSURANCE COMPANY; AMERICAN HERITAGE LIFE INSURANCE COMPANY; AMERITAS LIFE INSURANCE CORP.; BERKSHIRE LIFE INSURANCE COMPANY OF AMERICA; BLUE SHIELD OF CALIFORNIA LIFE &amp; HEALTH INSURANCE COMPANY; CAREAMERICA LIFE INSURANCE COMPANY; CONTINENTAL CASUALTY COMPANY; CRESTBROOK INSURANCE COMPANY; DEARBORN LIFE INSURANCE COMPANY; DRIVE INSURANCE COMPANY; EQUITABLE FINANCIAL LIFE INSURANCE COMPANY; EVERLAKE ASSURANCE COMPANY; EVERLAKE LIFE INSURANCE COMPANY; FOREMOST INSURANCE COMPANY GRAND RAPIDS, MICHIGAN; GENWORTH LIFE AND ANNUITY INSURANCE COMPANY; GUARDIAN LIFE INSURANCE COMPANY OF AMERICA (THE); HISCOX INSURANCE COMPANY INC.; INDEPENDENT ORDER OF FORESTERS (THE); INTEGON NATIONAL INSURANCE COMPANY; INTEGON PREFERRED INSURANCE COMPANY; JOHN HANCOCK LIFE INSURANCE COMPANY (U.S.A.); LINCOLN BENEFIT LIFE COMPANY; LINCOLN NATIONAL LIFE INSURANCE COMPANY (THE); METROPOLITAN LIFE INSURANCE COMPANY; NASSAU LIFE INSURANCE COMPANY; NATIONAL GENERAL ASSURANCE COMPANY; PALOMAR SPECIALTY INSURANCE COMPANY; PAN-AMERICAN LIFE INSURANCE COMPANY; PRINCIPAL LIFE INSURANCE COMPANY; PROGRESSIVE CASUALTY INSURANCE COMPANY; PROTECTIVE LIFE INSURANCE COMPANY; STANDARD INSURANCE COMPANY; UNIMERICA INSURANCE COMPANY; UNITED FINANCIAL CASUALTY COMPANY; UNITEDHEALTHCARE INSURANCE COMPANY</x:v>
      </x:c>
      <x:c r="T2" s="4" t="n">
        <x:v>82</x:v>
      </x:c>
      <x:c r="U2" s="4" t="n">
        <x:v>41</x:v>
      </x:c>
      <x:c r="V2" s="4" t="str">
        <x:v>AETNA LIFE INSURANCE COMPANY; AMERICAN GENERAL LIFE INSURANCE COMPANY; AMERICAN HERITAGE LIFE INSURANCE COMPANY; AMERITAS LIFE INSURANCE CORP.; BERKSHIRE LIFE INSURANCE COMPANY OF AMERICA; BLUE SHIELD OF CALIFORNIA LIFE &amp; HEALTH INSURANCE COMPANY; CAREAMERICA LIFE INSURANCE COMPANY; DEARBORN LIFE INSURANCE COMPANY; EQUITABLE FINANCIAL LIFE INSURANCE COMPANY; EVERLAKE ASSURANCE COMPANY; EVERLAKE LIFE INSURANCE COMPANY; GENWORTH LIFE AND ANNUITY INSURANCE COMPANY; GUARDIAN LIFE INSURANCE COMPANY OF AMERICA (THE); INDEPENDENT ORDER OF FORESTERS (THE); JOHN HANCOCK LIFE INSURANCE COMPANY (U.S.A.); LINCOLN BENEFIT LIFE COMPANY; LINCOLN NATIONAL LIFE INSURANCE COMPANY (THE); METROPOLITAN LIFE INSURANCE COMPANY; NASSAU LIFE INSURANCE COMPANY; PAN-AMERICAN LIFE INSURANCE COMPANY; PRINCIPAL LIFE INSURANCE COMPANY; PROTECTIVE LIFE INSURANCE COMPANY; STANDARD INSURANCE COMPANY; UNIMERICA INSURANCE COMPANY; UNITEDHEALTHCARE INSURANCE COMPANY</x:v>
      </x:c>
      <x:c r="W2" s="4" t="n">
        <x:v>25</x:v>
      </x:c>
      <x:c r="X2" s="4" t="str">
        <x:v>AETNA LIFE INSURANCE COMPANY; AMERICAN GENERAL LIFE INSURANCE COMPANY; AMERICAN HERITAGE LIFE INSURANCE COMPANY; AMERITAS LIFE INSURANCE CORP.; BERKSHIRE LIFE INSURANCE COMPANY OF AMERICA; BLUE SHIELD OF CALIFORNIA LIFE &amp; HEALTH INSURANCE COMPANY; CAREAMERICA LIFE INSURANCE COMPANY; CONTINENTAL CASUALTY COMPANY; CRESTBROOK INSURANCE COMPANY; DEARBORN LIFE INSURANCE COMPANY; DRIVE INSURANCE COMPANY; EQUITABLE FINANCIAL LIFE INSURANCE COMPANY; EVERLAKE LIFE INSURANCE COMPANY; GENWORTH LIFE AND ANNUITY INSURANCE COMPANY; GUARDIAN LIFE INSURANCE COMPANY OF AMERICA (THE); INDEPENDENT ORDER OF FORESTERS (THE); JOHN HANCOCK LIFE INSURANCE COMPANY (U.S.A.); LINCOLN BENEFIT LIFE COMPANY; LINCOLN NATIONAL LIFE INSURANCE COMPANY (THE); METROPOLITAN LIFE INSURANCE COMPANY; NASSAU LIFE INSURANCE COMPANY; PAN-AMERICAN LIFE INSURANCE COMPANY; PRINCIPAL LIFE INSURANCE COMPANY; PROGRESSIVE CASUALTY INSURANCE COMPANY; PROTECTIVE LIFE INSURANCE COMPANY; STANDARD INSURANCE COMPANY; UNIMERICA INSURANCE COMPANY; UNITEDHEALTHCARE INSURANCE COMPANY</x:v>
      </x:c>
      <x:c r="Y2" s="4" t="str">
        <x:v>ALLSTATE INDEMNITY COMPANY; ALLSTATE INSURANCE COMPANY; ALLSTATE NORTHBROOK INDEMNITY COMPANY; ALLSTATE PROPERTY AND CASUALTY INSURANCE COMPANY; CRESTBROOK INSURANCE COMPANY; DRIVE INSURANCE COMPANY; FOREMOST INSURANCE COMPANY GRAND RAPIDS, MICHIGAN; HISCOX INSURANCE COMPANY INC.; INTEGON NATIONAL INSURANCE COMPANY; INTEGON PREFERRED INSURANCE COMPANY; NATIONAL GENERAL ASSURANCE COMPANY; PALOMAR SPECIALTY INSURANCE COMPANY; PROGRESSIVE CASUALTY INSURANCE COMPANY; UNITED FINANCIAL CASUALTY COMPANY</x:v>
      </x:c>
      <x:c r="Z2" s="4" t="str">
        <x:v>AETNA LIFE INSURANCE COMPANY — Accident &amp; Health or Sickness — 1989-03-10 | AETNA LIFE INSURANCE COMPANY — Life — 1989-03-10 | ALLSTATE INDEMNITY COMPANY — Casualty — 1997-03-17 | ALLSTATE INDEMNITY COMPANY — Property — 1997-03-17 | ALLSTATE INSURANCE COMPANY — Casualty — 1997-03-17 | ALLSTATE INSURANCE COMPANY — Property — 1997-03-17 | ALLSTATE MOTOR CLUB, INC. — Motor Club — 2010-06-18 | ALLSTATE NORTHBROOK INDEMNITY COMPANY — Casualty — 2014-06-16 | ALLSTATE NORTHBROOK INDEMNITY COMPANY — Property — 2014-06-16 | ALLSTATE PROPERTY AND CASUALTY INSURANCE COMPANY — Casualty — 1999-05-10 | ALLSTATE PROPERTY AND CASUALTY INSURANCE COMPANY — Property — 1999-05-10 | AMERICAN GENERAL LIFE INSURANCE COMPANY — Accident &amp; Health or Sickness — 1993-12-13 | AMERICAN GENERAL LIFE INSURANCE COMPANY — Life — 1993-12-13 | AMERICAN HERITAGE LIFE INSURANCE COMPANY — Accident &amp; Health or Sickness — 2002-03-08 | AMERICAN HERITAGE LIFE INSURANCE COMPANY — Life — 2002-03-08 | AMERITAS LIFE INSURANCE CORP. — Accident &amp; Health or Sickness — 1990-03-22 | AMERITAS LIFE INSURANCE CORP. — Life — 1990-03-22 | BERKSHIRE LIFE INSURANCE COMPANY OF AMERICA — Accident &amp; Health or Sickness — 2001-06-01 | BERKSHIRE LIFE INSURANCE COMPANY OF AMERICA — Life — 2001-06-01 | BLUE SHIELD OF CALIFORNIA LIFE &amp; HEALTH INSURANCE COMPANY — Accident &amp; Health or Sickness — 1987-07-28 | BLUE SHIELD OF CALIFORNIA LIFE &amp; HEALTH INSURANCE COMPANY — Life — 1987-07-28 | CAREAMERICA LIFE INSURANCE COMPANY — Accident &amp; Health or Sickness — 1989-09-21 | CAREAMERICA LIFE INSURANCE COMPANY — Life — 1989-09-21 | CONTINENTAL CASUALTY COMPANY — Accident &amp; Health or Sickness — 1993-02-17 | CRESTBROOK INSURANCE COMPANY — Accident &amp; Health or Sickness — 1997-11-14 | CRESTBROOK INSURANCE COMPANY — Casualty — 1997-11-14 | CRESTBROOK INSURANCE COMPANY — Property — 1997-11-14 | DEARBORN LIFE INSURANCE COMPANY — Accident &amp; Health or Sickness — 1984-01-24 | DEARBORN LIFE INSURANCE COMPANY — Life — 1984-01-24 | DRIVE INSURANCE COMPANY — Accident &amp; Health or Sickness — 2006-07-07 | DRIVE INSURANCE COMPANY — Casualty — 2006-07-07 | DRIVE INSURANCE COMPANY — Property — 2006-07-07 | EQUITABLE FINANCIAL LIFE INSURANCE COMPANY — Accident &amp; Health or Sickness — 1981-07-03 | EQUITABLE FINANCIAL LIFE INSURANCE COMPANY — Life — 1981-07-03 | EVERLAKE ASSURANCE COMPANY — Life — 2015-01-29 | EVERLAKE LIFE INSURANCE COMPANY — Accident &amp; Health or Sickness — 1997-03-17 | EVERLAKE LIFE INSURANCE COMPANY — Life — 1997-03-17 | FOREMOST INSURANCE COMPANY GRAND RAPIDS, MICHIGAN — Casualty — 2025-05-20 | FOREMOST INSURANCE COMPANY GRAND RAPIDS, MICHIGAN — Property — 2025-05-20 | GENWORTH LIFE AND ANNUITY INSURANCE COMPANY — Accident &amp; Health or Sickness — 1995-12-14 | GENWORTH LIFE AND ANNUITY INSURANCE COMPANY — Life — 1995-12-14 | GUARDIAN LIFE INSURANCE COMPANY OF AMERICA (THE) — Accident &amp; Health or Sickness — 1985-01-25 | GUARDIAN LIFE INSURANCE COMPANY OF AMERICA (THE) — Life — 1985-01-25 | HISCOX INSURANCE COMPANY INC. — Casualty — 2025-07-23 | HISCOX INSURANCE COMPANY INC. — Property — 2025-07-23 | INDEPENDENT ORDER OF FORESTERS (THE) — Accident &amp; Health or Sickness — 2024-12-09 | INDEPENDENT ORDER OF FORESTERS (THE) — Life — 2024-12-09 | INTEGON NATIONAL INSURANCE COMPANY — Casualty — 2022-05-31 | INTEGON NATIONAL INSURANCE COMPANY — Property — 2022-05-31 | INTEGON PREFERRED INSURANCE COMPANY — Casualty — 2025-04-15 | INTEGON PREFERRED INSURANCE COMPANY — Property — 2025-04-15 | JOHN HANCOCK LIFE INSURANCE COMPANY (U.S.A.) — Accident &amp; Health or Sickness — 2010-01-01 | JOHN HANCOCK LIFE INSURANCE COMPANY (U.S.A.) — Life — 2026-01-24 | LINCOLN BENEFIT LIFE COMPANY — Accident &amp; Health or Sickness — 1992-11-20 | LINCOLN BENEFIT LIFE COMPANY — Life — 1992-11-20 | LINCOLN NATIONAL LIFE INSURANCE COMPANY (THE) — Accident &amp; Health or Sickness — 2024-11-07 | LINCOLN NATIONAL LIFE INSURANCE COMPANY (THE) — Life — 2024-11-07 | METROPOLITAN LIFE INSURANCE COMPANY — Accident &amp; Health or Sickness — 1995-11-08 | METROPOLITAN LIFE INSURANCE COMPANY — Life — 1995-11-08 | NASSAU LIFE INSURANCE COMPANY — Accident &amp; Health or Sickness — 1992-07-01 | NASSAU LIFE INSURANCE COMPANY — Life — 1992-07-01 | NATIONAL GENERAL ASSURANCE COMPANY — Casualty — 2022-05-31 | NATIONAL GENERAL ASSURANCE COMPANY — Property — 2022-05-31 | PALOMAR SPECIALTY INSURANCE COMPANY — Casualty — 2024-05-13 | PALOMAR SPECIALTY INSURANCE COMPANY — Property — 2024-05-13 | PAN-AMERICAN LIFE INSURANCE COMPANY — Accident &amp; Health or Sickness — 1988-06-28 | PAN-AMERICAN LIFE INSURANCE COMPANY — Life — 1988-06-28 | PRINCIPAL LIFE INSURANCE COMPANY — Accident &amp; Health or Sickness — 1989-04-17 | PRINCIPAL LIFE INSURANCE COMPANY — Life — 1989-04-17 | PROGRESSIVE CASUALTY INSURANCE COMPANY — Accident &amp; Health or Sickness — 2006-07-07 | PROGRESSIVE CASUALTY INSURANCE COMPANY — Casualty — 2006-07-07 | PROGRESSIVE CASUALTY INSURANCE COMPANY — Property — 2006-07-07 | PROTECTIVE LIFE INSURANCE COMPANY — Accident &amp; Health or Sickness — 2016-03-23 | PROTECTIVE LIFE INSURANCE COMPANY — Life — 2016-03-23 | STANDARD INSURANCE COMPANY — Accident &amp; Health or Sickness — 1995-02-27 | STANDARD INSURANCE COMPANY — Life — 1995-02-27 | UNIMERICA INSURANCE COMPANY — Accident &amp; Health or Sickness — 2007-01-30 | UNIMERICA INSURANCE COMPANY — Life — 2007-01-30 | UNITED FINANCIAL CASUALTY COMPANY — Casualty — 2006-07-07 | UNITED FINANCIAL CASUALTY COMPANY — Property — 2006-07-07 | UNITEDHEALTHCARE INSURANCE COMPANY — Accident &amp; Health or Sickness — 1984-04-24 | UNITEDHEALTHCARE INSURANCE COMPANY — Life — 1984-04-24</x:v>
      </x:c>
      <x:c r="AA2" s="4" t="str">
        <x:v>ABRAHAM D. FOROUZAN INSURANCE AND FINANCIAL SERVICES, INC.</x:v>
      </x:c>
      <x:c r="AB2" s="4" t="n">
        <x:v>1</x:v>
      </x:c>
      <x:c r="AC2" s="4" t="n">
        <x:v>4</x:v>
      </x:c>
      <x:c r="AD2" s="4" t="str">
        <x:v>ABRAHAM D. FOROUZAN INSURANCE AND FINANCIAL SERVICES, INC.</x:v>
      </x:c>
      <x:c r="AE2" s="4" t="str">
        <x:v>ABRAHAM D. FOROUZAN INSURANCE AND FINANCIAL SERVICES, INC. — Accident &amp; Health or Sickness — 1998-11-10 | ABRAHAM D. FOROUZAN INSURANCE AND FINANCIAL SERVICES, INC. — Life — 1998-11-10 | ABRAHAM D. FOROUZAN INSURANCE AND FINANCIAL SERVICES, INC. — Property — 1998-11-06 | ABRAHAM D. FOROUZAN INSURANCE AND FINANCIAL SERVICES, INC. — Casualty — 1998-11-06</x:v>
      </x:c>
      <x:c r="AF2" s="4" t="str">
        <x:v>2026-01-24</x:v>
      </x:c>
      <x:c r="AG2" s="4" t="str">
        <x:v>imo-final-approval-rules.md (2026-10-08)</x:v>
      </x:c>
    </x:row>
    <x:row r="3" ht="42" customHeight="1">
      <x:c r="A3" s="4" t="str">
        <x:v>ABRAHAM MENDOZA</x:v>
      </x:c>
      <x:c r="B3" s="8" t="str">
        <x:v>No</x:v>
      </x:c>
      <x:c r="C3" s="4" t="str">
        <x:v>No active general Life qualification displayed; active authority is limited funeral/burial Life only.</x:v>
      </x:c>
      <x:c r="D3" s="10" t="e">
        <x:f>HYPERLINK("https://cdicloud.insurance.ca.gov/cal/LicenseDetail?SearchType=IND&amp;SearchLicNbr=0E54766&amp;SearchIndvId=912887","https://cdicloud.insurance.ca.gov/cal/LicenseDetail?SearchType=IND&amp;SearchLicNbr=0E54766&amp;SearchIndvId=912887")</x:f>
        <x:v>HYPERLINK is not implemented. linkLocation=https://cdicloud.insurance.ca.gov/cal/LicenseDetail?SearchType=IND&amp;SearchLicNbr=0E54766&amp;SearchIndvId=912887, friendlyName=https://cdicloud.insurance.ca.gov/cal/LicenseDetail?SearchType=IND&amp;SearchLicNbr=0E54766&amp;SearchIndvId=912887</x:v>
      </x:c>
      <x:c r="E3" s="9" t="str">
        <x:v>0E54766</x:v>
      </x:c>
      <x:c r="F3" s="4" t="str">
        <x:v>3888 WORKMAN MILL RD. WHITTIER CA, 90601</x:v>
      </x:c>
      <x:c r="G3" s="4" t="str">
        <x:v>562-692-1212 Ext. 7174</x:v>
      </x:c>
      <x:c r="H3" s="4" t="str">
        <x:v>https://www.google.com/maps/place/3888%20WORKMAN%20MILL%20RD.,%20WHITTIER,%20CA,%2090601</x:v>
      </x:c>
      <x:c r="I3" s="4" t="str">
        <x:v>90042</x:v>
      </x:c>
      <x:c r="J3" s="4" t="str">
        <x:v>2026-10-08</x:v>
      </x:c>
      <x:c r="K3" s="4" t="str">
        <x:v>English</x:v>
      </x:c>
      <x:c r="L3" s="4" t="str">
        <x:v>Life Limited-Funeral &amp; Burial</x:v>
      </x:c>
      <x:c r="M3" s="4" t="str">
        <x:v>Life Limited-Funeral &amp; Burial — issued 2004-08-27</x:v>
      </x:c>
      <x:c r="N3" s="4" t="str"/>
      <x:c r="O3" s="4" t="str"/>
      <x:c r="P3" s="4" t="str">
        <x:v>No</x:v>
      </x:c>
      <x:c r="Q3" s="4" t="str">
        <x:v>No</x:v>
      </x:c>
      <x:c r="R3" s="4" t="str">
        <x:v>No</x:v>
      </x:c>
      <x:c r="S3" s="4" t="str">
        <x:v>FORETHOUGHT LIFE INSURANCE COMPANY</x:v>
      </x:c>
      <x:c r="T3" s="4" t="n">
        <x:v>1</x:v>
      </x:c>
      <x:c r="U3" s="4" t="n">
        <x:v>1</x:v>
      </x:c>
      <x:c r="V3" s="4" t="str"/>
      <x:c r="W3" s="4" t="n">
        <x:v>0</x:v>
      </x:c>
      <x:c r="X3" s="4" t="str"/>
      <x:c r="Y3" s="4" t="str"/>
      <x:c r="Z3" s="4" t="str">
        <x:v>FORETHOUGHT LIFE INSURANCE COMPANY — Life Only (Limited) — 2006-01-03</x:v>
      </x:c>
      <x:c r="AA3" s="4" t="str">
        <x:v>ROSE HILLS COMPANY</x:v>
      </x:c>
      <x:c r="AB3" s="4" t="n">
        <x:v>1</x:v>
      </x:c>
      <x:c r="AC3" s="4" t="n">
        <x:v>1</x:v>
      </x:c>
      <x:c r="AD3" s="4" t="str"/>
      <x:c r="AE3" s="4" t="str">
        <x:v>ROSE HILLS COMPANY — Life Limited-Funeral &amp; Burial — 2021-05-06</x:v>
      </x:c>
      <x:c r="AF3" s="4" t="str">
        <x:v>2021-05-06</x:v>
      </x:c>
      <x:c r="AG3" s="4" t="str">
        <x:v>imo-final-approval-rules.md (2026-10-08)</x:v>
      </x:c>
    </x:row>
    <x:row r="4" ht="42" customHeight="1">
      <x:c r="A4" s="4" t="str">
        <x:v>ABRAHAM MENDOZA</x:v>
      </x:c>
      <x:c r="B4" s="8" t="str">
        <x:v>No</x:v>
      </x:c>
      <x:c r="C4" s="4" t="str">
        <x:v>No active general Life qualification displayed; active authority is limited funeral/burial Life only.</x:v>
      </x:c>
      <x:c r="D4" s="10" t="e">
        <x:f>HYPERLINK("https://cdicloud.insurance.ca.gov/cal/LicenseDetail?SearchType=IND&amp;SearchLicNbr=4107497&amp;SearchIndvId=4107497","https://cdicloud.insurance.ca.gov/cal/LicenseDetail?SearchType=IND&amp;SearchLicNbr=4107497&amp;SearchIndvId=4107497")</x:f>
        <x:v>HYPERLINK is not implemented. linkLocation=https://cdicloud.insurance.ca.gov/cal/LicenseDetail?SearchType=IND&amp;SearchLicNbr=4107497&amp;SearchIndvId=4107497, friendlyName=https://cdicloud.insurance.ca.gov/cal/LicenseDetail?SearchType=IND&amp;SearchLicNbr=4107497&amp;SearchIndvId=4107497</x:v>
      </x:c>
      <x:c r="E4" s="9" t="str">
        <x:v>4107497</x:v>
      </x:c>
      <x:c r="F4" s="4" t="str">
        <x:v>3725 COLLIS AVE LOS ANGELES CA, 90032</x:v>
      </x:c>
      <x:c r="G4" s="4" t="str">
        <x:v>323-494-3055</x:v>
      </x:c>
      <x:c r="H4" s="4" t="str">
        <x:v>https://www.google.com/maps/place/3725%20COLLIS%20AVE,%20LOS%20ANGELES,%20CA,%2090032</x:v>
      </x:c>
      <x:c r="I4" s="4" t="str">
        <x:v>90042</x:v>
      </x:c>
      <x:c r="J4" s="4" t="str">
        <x:v>2026-10-08</x:v>
      </x:c>
      <x:c r="K4" s="4" t="str">
        <x:v>English</x:v>
      </x:c>
      <x:c r="L4" s="4" t="str">
        <x:v>Life Limited-Funeral &amp; Burial</x:v>
      </x:c>
      <x:c r="M4" s="4" t="str">
        <x:v>Life Limited-Funeral &amp; Burial — issued 2026-09-21</x:v>
      </x:c>
      <x:c r="N4" s="4" t="str"/>
      <x:c r="O4" s="4" t="str"/>
      <x:c r="P4" s="4" t="str">
        <x:v>No</x:v>
      </x:c>
      <x:c r="Q4" s="4" t="str">
        <x:v>No</x:v>
      </x:c>
      <x:c r="R4" s="4" t="str">
        <x:v>No</x:v>
      </x:c>
      <x:c r="S4" s="4" t="str"/>
      <x:c r="T4" s="4" t="n">
        <x:v>0</x:v>
      </x:c>
      <x:c r="U4" s="4" t="n">
        <x:v>0</x:v>
      </x:c>
      <x:c r="V4" s="4" t="str"/>
      <x:c r="W4" s="4" t="n">
        <x:v>0</x:v>
      </x:c>
      <x:c r="X4" s="4" t="str"/>
      <x:c r="Y4" s="4" t="str"/>
      <x:c r="Z4" s="4" t="str"/>
      <x:c r="AA4" s="4" t="str"/>
      <x:c r="AB4" s="4" t="n">
        <x:v>0</x:v>
      </x:c>
      <x:c r="AC4" s="4" t="n">
        <x:v>0</x:v>
      </x:c>
      <x:c r="AD4" s="4" t="str"/>
      <x:c r="AE4" s="4" t="str"/>
      <x:c r="AF4" s="4" t="str"/>
      <x:c r="AG4" s="4" t="str">
        <x:v>imo-final-approval-rules.md (2026-10-08)</x:v>
      </x:c>
    </x:row>
    <x:row r="5" ht="42" customHeight="1">
      <x:c r="A5" s="4" t="str">
        <x:v>ADAM COHEN</x:v>
      </x:c>
      <x:c r="B5" s="8" t="str">
        <x:v>No</x:v>
      </x:c>
      <x:c r="C5" s="4" t="str">
        <x:v>Current excluded relationship displayed: CETERA WEALTH SERVICES, LLC.</x:v>
      </x:c>
      <x:c r="D5" s="10" t="e">
        <x:f>HYPERLINK("https://cdicloud.insurance.ca.gov/cal/LicenseDetail?SearchType=IND&amp;SearchLicNbr=0657412&amp;SearchIndvId=403025","https://cdicloud.insurance.ca.gov/cal/LicenseDetail?SearchType=IND&amp;SearchLicNbr=0657412&amp;SearchIndvId=403025")</x:f>
        <x:v>HYPERLINK is not implemented. linkLocation=https://cdicloud.insurance.ca.gov/cal/LicenseDetail?SearchType=IND&amp;SearchLicNbr=0657412&amp;SearchIndvId=403025, friendlyName=https://cdicloud.insurance.ca.gov/cal/LicenseDetail?SearchType=IND&amp;SearchLicNbr=0657412&amp;SearchIndvId=403025</x:v>
      </x:c>
      <x:c r="E5" s="9" t="str">
        <x:v>0657412</x:v>
      </x:c>
      <x:c r="F5" s="4" t="str">
        <x:v>12520 MAGNOLIA BLVD SUITE 302 VALLEY VILLAGE CA, 91607</x:v>
      </x:c>
      <x:c r="G5" s="4" t="str"/>
      <x:c r="H5" s="4" t="str">
        <x:v>https://www.google.com/maps/place/12520%20MAGNOLIA%20BLVD,%20VALLEY%20VILLAGE,%20CA,%2091607</x:v>
      </x:c>
      <x:c r="I5" s="4" t="str">
        <x:v>91604</x:v>
      </x:c>
      <x:c r="J5" s="4" t="str">
        <x:v>2026-10-08</x:v>
      </x:c>
      <x:c r="K5" s="4" t="str">
        <x:v>English</x:v>
      </x:c>
      <x:c r="L5" s="4" t="str">
        <x:v>Accident &amp; Health or Sickness; Life; Var Life and Var Annuity</x:v>
      </x:c>
      <x:c r="M5" s="4" t="str">
        <x:v>Accident &amp; Health or Sickness — issued 1985-09-19 | Life — issued 1985-09-19 | Var Life and Var Annuity — issued 1998-05-19</x:v>
      </x:c>
      <x:c r="N5" s="4" t="str">
        <x:v>1985-09-19</x:v>
      </x:c>
      <x:c r="O5" s="4" t="n">
        <x:v>41.05</x:v>
      </x:c>
      <x:c r="P5" s="4" t="str">
        <x:v>Yes</x:v>
      </x:c>
      <x:c r="Q5" s="4" t="str">
        <x:v>No</x:v>
      </x:c>
      <x:c r="R5" s="4" t="str">
        <x:v>Yes</x:v>
      </x:c>
      <x:c r="S5" s="4" t="str">
        <x:v>AMERICAN GENERAL LIFE INSURANCE COMPANY; AMERITAS LIFE INSURANCE CORP.; BERKSHIRE LIFE INSURANCE COMPANY OF AMERICA; EQUITABLE FINANCIAL LIFE INSURANCE COMPANY; EQUITABLE FINANCIAL LIFE INSURANCE COMPANY OF AMERICA; GENWORTH LIFE AND ANNUITY INSURANCE COMPANY; GENWORTH LIFE INSURANCE COMPANY; GUARANTY INCOME LIFE INSURANCE COMPANY; GUARDIAN LIFE INSURANCE COMPANY OF AMERICA (THE); JOHN HANCOCK LIFE INSURANCE COMPANY (U.S.A.); LINCOLN BENEFIT LIFE COMPANY; METROPOLITAN LIFE INSURANCE COMPANY; MONY LIFE INSURANCE COMPANY; NATIONWIDE LIFE AND ANNUITY INSURANCE COMPANY; PACIFIC LIFE INSURANCE COMPANY; PRINCIPAL LIFE INSURANCE COMPANY; PROTECTIVE LIFE INSURANCE COMPANY; PRUCO LIFE INSURANCE COMPANY; PRUDENTIAL INSURANCE COMPANY OF AMERICA (THE); STANDARD INSURANCE COMPANY</x:v>
      </x:c>
      <x:c r="T5" s="4" t="n">
        <x:v>40</x:v>
      </x:c>
      <x:c r="U5" s="4" t="n">
        <x:v>20</x:v>
      </x:c>
      <x:c r="V5" s="4" t="str">
        <x:v>AMERICAN GENERAL LIFE INSURANCE COMPANY; AMERITAS LIFE INSURANCE CORP.; BERKSHIRE LIFE INSURANCE COMPANY OF AMERICA; EQUITABLE FINANCIAL LIFE INSURANCE COMPANY; EQUITABLE FINANCIAL LIFE INSURANCE COMPANY OF AMERICA; GENWORTH LIFE AND ANNUITY INSURANCE COMPANY; GENWORTH LIFE INSURANCE COMPANY; GUARANTY INCOME LIFE INSURANCE COMPANY; GUARDIAN LIFE INSURANCE COMPANY OF AMERICA (THE); JOHN HANCOCK LIFE INSURANCE COMPANY (U.S.A.); LINCOLN BENEFIT LIFE COMPANY; METROPOLITAN LIFE INSURANCE COMPANY; MONY LIFE INSURANCE COMPANY; NATIONWIDE LIFE AND ANNUITY INSURANCE COMPANY; PACIFIC LIFE INSURANCE COMPANY; PRINCIPAL LIFE INSURANCE COMPANY; PROTECTIVE LIFE INSURANCE COMPANY; PRUCO LIFE INSURANCE COMPANY; PRUDENTIAL INSURANCE COMPANY OF AMERICA (THE); STANDARD INSURANCE COMPANY</x:v>
      </x:c>
      <x:c r="W5" s="4" t="n">
        <x:v>20</x:v>
      </x:c>
      <x:c r="X5" s="4" t="str">
        <x:v>AMERICAN GENERAL LIFE INSURANCE COMPANY; AMERITAS LIFE INSURANCE CORP.; BERKSHIRE LIFE INSURANCE COMPANY OF AMERICA; EQUITABLE FINANCIAL LIFE INSURANCE COMPANY; EQUITABLE FINANCIAL LIFE INSURANCE COMPANY OF AMERICA; GENWORTH LIFE AND ANNUITY INSURANCE COMPANY; GENWORTH LIFE INSURANCE COMPANY; GUARANTY INCOME LIFE INSURANCE COMPANY; GUARDIAN LIFE INSURANCE COMPANY OF AMERICA (THE); JOHN HANCOCK LIFE INSURANCE COMPANY (U.S.A.); LINCOLN BENEFIT LIFE COMPANY; METROPOLITAN LIFE INSURANCE COMPANY; MONY LIFE INSURANCE COMPANY; NATIONWIDE LIFE AND ANNUITY INSURANCE COMPANY; PRINCIPAL LIFE INSURANCE COMPANY; PROTECTIVE LIFE INSURANCE COMPANY; PRUCO LIFE INSURANCE COMPANY; PRUDENTIAL INSURANCE COMPANY OF AMERICA (THE); STANDARD INSURANCE COMPANY</x:v>
      </x:c>
      <x:c r="Y5" s="4" t="str"/>
      <x:c r="Z5" s="4" t="str">
        <x:v>AMERICAN GENERAL LIFE INSURANCE COMPANY — Accident &amp; Health or Sickness — 2002-08-26 | AMERICAN GENERAL LIFE INSURANCE COMPANY — Life — 2002-08-26 | AMERITAS LIFE INSURANCE CORP. — Accident &amp; Health or Sickness — 2020-08-11 | AMERITAS LIFE INSURANCE CORP. — Life — 2020-08-11 | BERKSHIRE LIFE INSURANCE COMPANY OF AMERICA — Accident &amp; Health or Sickness — 2001-06-01 | BERKSHIRE LIFE INSURANCE COMPANY OF AMERICA — Life — 2001-06-01 | EQUITABLE FINANCIAL LIFE INSURANCE COMPANY — Accident &amp; Health or Sickness — 2002-07-31 | EQUITABLE FINANCIAL LIFE INSURANCE COMPANY — Life — 2002-07-31 | EQUITABLE FINANCIAL LIFE INSURANCE COMPANY OF AMERICA — Accident &amp; Health or Sickness — 2001-10-02 | EQUITABLE FINANCIAL LIFE INSURANCE COMPANY OF AMERICA — Life — 2001-10-02 | GENWORTH LIFE AND ANNUITY INSURANCE COMPANY — Accident &amp; Health or Sickness — 2007-01-01 | GENWORTH LIFE AND ANNUITY INSURANCE COMPANY — Life — 2007-01-01 | GENWORTH LIFE INSURANCE COMPANY — Accident &amp; Health or Sickness — 1998-05-18 | GENWORTH LIFE INSURANCE COMPANY — Life — 1998-05-18 | GUARANTY INCOME LIFE INSURANCE COMPANY — Accident &amp; Health or Sickness — 2018-04-24 | GUARANTY INCOME LIFE INSURANCE COMPANY — Life — 2018-04-24 | GUARDIAN LIFE INSURANCE COMPANY OF AMERICA (THE) — Accident &amp; Health or Sickness — 1997-12-01 | GUARDIAN LIFE INSURANCE COMPANY OF AMERICA (THE) — Life — 1997-12-01 | JOHN HANCOCK LIFE INSURANCE COMPANY (U.S.A.) — Accident &amp; Health or Sickness — 2001-01-12 | JOHN HANCOCK LIFE INSURANCE COMPANY (U.S.A.) — Life — 2001-01-12 | LINCOLN BENEFIT LIFE COMPANY — Accident &amp; Health or Sickness — 1998-12-02 | LINCOLN BENEFIT LIFE COMPANY — Life — 1998-12-02 | METROPOLITAN LIFE INSURANCE COMPANY — Accident &amp; Health or Sickness — 2007-03-06 | METROPOLITAN LIFE INSURANCE COMPANY — Life — 2007-03-06 | MONY LIFE INSURANCE COMPANY — Accident &amp; Health or Sickness — 2001-10-02 | MONY LIFE INSURANCE COMPANY — Life — 2001-10-02 | NATIONWIDE LIFE AND ANNUITY INSURANCE COMPANY — Accident &amp; Health or Sickness — 2014-02-20 | NATIONWIDE LIFE AND ANNUITY INSURANCE COMPANY — Life — 2014-02-20 | PACIFIC LIFE INSURANCE COMPANY — Life — 2018-11-09 | PRINCIPAL LIFE INSURANCE COMPANY — Accident &amp; Health or Sickness — 2003-11-07 | PRINCIPAL LIFE INSURANCE COMPANY — Life — 2003-11-07 | PROTECTIVE LIFE INSURANCE COMPANY — Accident &amp; Health or Sickness — 2012-08-09 | PROTECTIVE LIFE INSURANCE COMPANY — Life — 2012-08-09 | PRUCO LIFE INSURANCE COMPANY — Accident &amp; Health or Sickness — 2003-01-14 | PRUCO LIFE INSURANCE COMPANY — Life — 2003-01-14 | PRUCO LIFE INSURANCE COMPANY — Var Life and Var Annuity — 2003-01-14 | PRUDENTIAL INSURANCE COMPANY OF AMERICA (THE) — Accident &amp; Health or Sickness — 2006-03-08 | PRUDENTIAL INSURANCE COMPANY OF AMERICA (THE) — Life — 2006-03-08 | STANDARD INSURANCE COMPANY — Accident &amp; Health or Sickness — 1999-06-29 | STANDARD INSURANCE COMPANY — Life — 1999-06-29</x:v>
      </x:c>
      <x:c r="AA5" s="4" t="str">
        <x:v>CETERA WEALTH SERVICES, LLC</x:v>
      </x:c>
      <x:c r="AB5" s="4" t="n">
        <x:v>1</x:v>
      </x:c>
      <x:c r="AC5" s="4" t="n">
        <x:v>3</x:v>
      </x:c>
      <x:c r="AD5" s="4" t="str">
        <x:v>CETERA WEALTH SERVICES, LLC</x:v>
      </x:c>
      <x:c r="AE5" s="4" t="str">
        <x:v>CETERA WEALTH SERVICES, LLC — Life — 2006-11-23 | CETERA WEALTH SERVICES, LLC — Var Life and Var Annuity — 2006-11-23 | CETERA WEALTH SERVICES, LLC — Accident &amp; Health or Sickness — 2006-11-23</x:v>
      </x:c>
      <x:c r="AF5" s="4" t="str">
        <x:v>2020-08-11</x:v>
      </x:c>
      <x:c r="AG5" s="4" t="str">
        <x:v>imo-final-approval-rules.md (2026-10-08)</x:v>
      </x:c>
    </x:row>
    <x:row r="6" ht="42" customHeight="1">
      <x:c r="A6" s="4" t="str">
        <x:v>Adam Fawal</x:v>
      </x:c>
      <x:c r="B6" s="8" t="str">
        <x:v>No</x:v>
      </x:c>
      <x:c r="C6" s="4" t="str">
        <x:v>Current excluded relationship displayed: CHASE INSURANCE AGENCY, INC.</x:v>
      </x:c>
      <x:c r="D6" s="10" t="e">
        <x:f>HYPERLINK("https://cdicloud.insurance.ca.gov/cal/LicenseDetail?SearchType=IND&amp;SearchLicNbr=4198981&amp;SearchIndvId=4198981","https://cdicloud.insurance.ca.gov/cal/LicenseDetail?SearchType=IND&amp;SearchLicNbr=4198981&amp;SearchIndvId=4198981")</x:f>
        <x:v>HYPERLINK is not implemented. linkLocation=https://cdicloud.insurance.ca.gov/cal/LicenseDetail?SearchType=IND&amp;SearchLicNbr=4198981&amp;SearchIndvId=4198981, friendlyName=https://cdicloud.insurance.ca.gov/cal/LicenseDetail?SearchType=IND&amp;SearchLicNbr=4198981&amp;SearchIndvId=4198981</x:v>
      </x:c>
      <x:c r="E6" s="9" t="str">
        <x:v>4198981</x:v>
      </x:c>
      <x:c r="F6" s="4" t="str">
        <x:v>2175 COLORADO BLVD LOS ANGELES CA, 90041</x:v>
      </x:c>
      <x:c r="G6" s="4" t="str">
        <x:v>323-257-1732</x:v>
      </x:c>
      <x:c r="H6" s="4" t="str">
        <x:v>https://www.google.com/maps/place/2175%20COLORADO%20BLVD,%20LOS%20ANGELES,%20CA,%2090041</x:v>
      </x:c>
      <x:c r="I6" s="4" t="str">
        <x:v>90042</x:v>
      </x:c>
      <x:c r="J6" s="4" t="str">
        <x:v>2026-10-08</x:v>
      </x:c>
      <x:c r="K6" s="4" t="str">
        <x:v>English</x:v>
      </x:c>
      <x:c r="L6" s="4" t="str">
        <x:v>Life; Var Life and Var Annuity</x:v>
      </x:c>
      <x:c r="M6" s="4" t="str">
        <x:v>Life — issued 2022-03-28 | Var Life and Var Annuity — issued 2022-03-28</x:v>
      </x:c>
      <x:c r="N6" s="4" t="str">
        <x:v>2022-03-28</x:v>
      </x:c>
      <x:c r="O6" s="4" t="n">
        <x:v>4.53</x:v>
      </x:c>
      <x:c r="P6" s="4" t="str">
        <x:v>No</x:v>
      </x:c>
      <x:c r="Q6" s="4" t="str">
        <x:v>No</x:v>
      </x:c>
      <x:c r="R6" s="4" t="str">
        <x:v>Yes</x:v>
      </x:c>
      <x:c r="S6" s="4" t="str"/>
      <x:c r="T6" s="4" t="n">
        <x:v>0</x:v>
      </x:c>
      <x:c r="U6" s="4" t="n">
        <x:v>0</x:v>
      </x:c>
      <x:c r="V6" s="4" t="str"/>
      <x:c r="W6" s="4" t="n">
        <x:v>0</x:v>
      </x:c>
      <x:c r="X6" s="4" t="str"/>
      <x:c r="Y6" s="4" t="str"/>
      <x:c r="Z6" s="4" t="str"/>
      <x:c r="AA6" s="4" t="str">
        <x:v>CHASE INSURANCE AGENCY, INC.</x:v>
      </x:c>
      <x:c r="AB6" s="4" t="n">
        <x:v>1</x:v>
      </x:c>
      <x:c r="AC6" s="4" t="n">
        <x:v>2</x:v>
      </x:c>
      <x:c r="AD6" s="4" t="str">
        <x:v>CHASE INSURANCE AGENCY, INC.</x:v>
      </x:c>
      <x:c r="AE6" s="4" t="str">
        <x:v>CHASE INSURANCE AGENCY, INC. — Life — 2022-04-04 | CHASE INSURANCE AGENCY, INC. — Var Life and Var Annuity — 2022-04-04</x:v>
      </x:c>
      <x:c r="AF6" s="4" t="str">
        <x:v>2022-04-04</x:v>
      </x:c>
      <x:c r="AG6" s="4" t="str">
        <x:v>imo-final-approval-rules.md (2026-10-08)</x:v>
      </x:c>
    </x:row>
    <x:row r="7" ht="42" customHeight="1">
      <x:c r="A7" s="4" t="str">
        <x:v>ADAM KREUTNER</x:v>
      </x:c>
      <x:c r="B7" s="8" t="str">
        <x:v>No</x:v>
      </x:c>
      <x:c r="C7" s="4" t="str">
        <x:v>Current excluded relationship displayed: RBC CAPITAL MARKETS, LLC; UBS FINANCIAL SERVICES INSURANCE AGENCY INC.</x:v>
      </x:c>
      <x:c r="D7" s="10" t="e">
        <x:f>HYPERLINK("https://cdicloud.insurance.ca.gov/cal/LicenseDetail?SearchType=IND&amp;SearchLicNbr=0F88884&amp;SearchIndvId=1113253","https://cdicloud.insurance.ca.gov/cal/LicenseDetail?SearchType=IND&amp;SearchLicNbr=0F88884&amp;SearchIndvId=1113253")</x:f>
        <x:v>HYPERLINK is not implemented. linkLocation=https://cdicloud.insurance.ca.gov/cal/LicenseDetail?SearchType=IND&amp;SearchLicNbr=0F88884&amp;SearchIndvId=1113253, friendlyName=https://cdicloud.insurance.ca.gov/cal/LicenseDetail?SearchType=IND&amp;SearchLicNbr=0F88884&amp;SearchIndvId=1113253</x:v>
      </x:c>
      <x:c r="E7" s="9" t="str">
        <x:v>0F88884</x:v>
      </x:c>
      <x:c r="F7" s="4" t="str">
        <x:v>RBC CAPITAL MARKETS, LCC 9665 WILSHIRE BLVD FL 3 BEVERLY HILLS CA, 90212-2310</x:v>
      </x:c>
      <x:c r="G7" s="4" t="str">
        <x:v>310-281-3887</x:v>
      </x:c>
      <x:c r="H7" s="4" t="str">
        <x:v>https://www.google.com/maps/place/RBC%20CAPITAL%20MARKETS,%20LCC,%20BEVERLY%20HILLS,%20CA,%20902122310</x:v>
      </x:c>
      <x:c r="I7" s="4" t="str">
        <x:v>90209</x:v>
      </x:c>
      <x:c r="J7" s="4" t="str">
        <x:v>2026-10-08</x:v>
      </x:c>
      <x:c r="K7" s="4" t="str">
        <x:v>English</x:v>
      </x:c>
      <x:c r="L7" s="4" t="str">
        <x:v>Accident &amp; Health or Sickness; Life; Var Life and Var Annuity</x:v>
      </x:c>
      <x:c r="M7" s="4" t="str">
        <x:v>Accident &amp; Health or Sickness — issued 2007-11-29 | Life — issued 2007-11-29 | Var Life and Var Annuity — issued 2007-11-29</x:v>
      </x:c>
      <x:c r="N7" s="4" t="str">
        <x:v>2007-11-29</x:v>
      </x:c>
      <x:c r="O7" s="4" t="n">
        <x:v>18.86</x:v>
      </x:c>
      <x:c r="P7" s="4" t="str">
        <x:v>Yes</x:v>
      </x:c>
      <x:c r="Q7" s="4" t="str">
        <x:v>No</x:v>
      </x:c>
      <x:c r="R7" s="4" t="str">
        <x:v>Yes</x:v>
      </x:c>
      <x:c r="S7" s="4" t="str">
        <x:v>AMERICAN GENERAL LIFE INSURANCE COMPANY; BANNER LIFE INSURANCE COMPANY; EQUITABLE FINANCIAL LIFE INSURANCE COMPANY; EVERLAKE LIFE INSURANCE COMPANY; JOHN HANCOCK LIFE INSURANCE COMPANY (U.S.A.); LINCOLN NATIONAL LIFE INSURANCE COMPANY (THE); NATIONWIDE LIFE AND ANNUITY INSURANCE COMPANY; NATIONWIDE LIFE INSURANCE COMPANY; NEW YORK LIFE INSURANCE AND ANNUITY CORPORATION; PACIFIC LIFE INSURANCE COMPANY; PRINCIPAL LIFE INSURANCE COMPANY; PRINCIPAL NATIONAL LIFE INSURANCE COMPANY; PROTECTIVE LIFE INSURANCE COMPANY; PRUCO LIFE INSURANCE COMPANY; SUN LIFE ASSURANCE COMPANY OF CANADA</x:v>
      </x:c>
      <x:c r="T7" s="4" t="n">
        <x:v>28</x:v>
      </x:c>
      <x:c r="U7" s="4" t="n">
        <x:v>15</x:v>
      </x:c>
      <x:c r="V7" s="4" t="str">
        <x:v>AMERICAN GENERAL LIFE INSURANCE COMPANY; BANNER LIFE INSURANCE COMPANY; EQUITABLE FINANCIAL LIFE INSURANCE COMPANY; EVERLAKE LIFE INSURANCE COMPANY; JOHN HANCOCK LIFE INSURANCE COMPANY (U.S.A.); LINCOLN NATIONAL LIFE INSURANCE COMPANY (THE); NATIONWIDE LIFE AND ANNUITY INSURANCE COMPANY; NATIONWIDE LIFE INSURANCE COMPANY; NEW YORK LIFE INSURANCE AND ANNUITY CORPORATION; PACIFIC LIFE INSURANCE COMPANY; PRINCIPAL LIFE INSURANCE COMPANY; PRINCIPAL NATIONAL LIFE INSURANCE COMPANY; PROTECTIVE LIFE INSURANCE COMPANY; PRUCO LIFE INSURANCE COMPANY; SUN LIFE ASSURANCE COMPANY OF CANADA</x:v>
      </x:c>
      <x:c r="W7" s="4" t="n">
        <x:v>15</x:v>
      </x:c>
      <x:c r="X7" s="4" t="str">
        <x:v>AMERICAN GENERAL LIFE INSURANCE COMPANY; EVERLAKE LIFE INSURANCE COMPANY; JOHN HANCOCK LIFE INSURANCE COMPANY (U.S.A.); LINCOLN NATIONAL LIFE INSURANCE COMPANY (THE); NATIONWIDE LIFE AND ANNUITY INSURANCE COMPANY; NATIONWIDE LIFE INSURANCE COMPANY; PRINCIPAL LIFE INSURANCE COMPANY; PROTECTIVE LIFE INSURANCE COMPANY; PRUCO LIFE INSURANCE COMPANY</x:v>
      </x:c>
      <x:c r="Y7" s="4" t="str"/>
      <x:c r="Z7" s="4" t="str">
        <x:v>AMERICAN GENERAL LIFE INSURANCE COMPANY — Accident &amp; Health or Sickness — 2008-04-12 | AMERICAN GENERAL LIFE INSURANCE COMPANY — Life — 2008-03-27 | AMERICAN GENERAL LIFE INSURANCE COMPANY — Var Life and Var Annuity — 2015-04-30 | BANNER LIFE INSURANCE COMPANY — Life — 2017-09-23 | EQUITABLE FINANCIAL LIFE INSURANCE COMPANY — Life — 2009-01-28 | EVERLAKE LIFE INSURANCE COMPANY — Accident &amp; Health or Sickness — 2007-12-19 | EVERLAKE LIFE INSURANCE COMPANY — Life — 2007-12-19 | JOHN HANCOCK LIFE INSURANCE COMPANY (U.S.A.) — Accident &amp; Health or Sickness — 2010-03-04 | JOHN HANCOCK LIFE INSURANCE COMPANY (U.S.A.) — Life — 2010-03-04 | LINCOLN NATIONAL LIFE INSURANCE COMPANY (THE) — Accident &amp; Health or Sickness — 2015-07-21 | LINCOLN NATIONAL LIFE INSURANCE COMPANY (THE) — Life — 2015-07-21 | LINCOLN NATIONAL LIFE INSURANCE COMPANY (THE) — Var Life and Var Annuity — 2015-07-21 | NATIONWIDE LIFE AND ANNUITY INSURANCE COMPANY — Accident &amp; Health or Sickness — 2021-07-12 | NATIONWIDE LIFE AND ANNUITY INSURANCE COMPANY — Life — 2021-07-12 | NATIONWIDE LIFE INSURANCE COMPANY — Accident &amp; Health or Sickness — 2010-04-12 | NATIONWIDE LIFE INSURANCE COMPANY — Life — 2010-04-12 | NEW YORK LIFE INSURANCE AND ANNUITY CORPORATION — Life — 2010-04-28 | PACIFIC LIFE INSURANCE COMPANY — Life — 2011-03-14 | PRINCIPAL LIFE INSURANCE COMPANY — Accident &amp; Health or Sickness — 2015-12-09 | PRINCIPAL LIFE INSURANCE COMPANY — Life — 2015-12-09 | PRINCIPAL NATIONAL LIFE INSURANCE COMPANY — Life — 2018-10-18 | PROTECTIVE LIFE INSURANCE COMPANY — Accident &amp; Health or Sickness — 2021-01-19 | PROTECTIVE LIFE INSURANCE COMPANY — Life — 2021-01-19 | PROTECTIVE LIFE INSURANCE COMPANY — Var Life and Var Annuity — 2021-01-19 | PRUCO LIFE INSURANCE COMPANY — Accident &amp; Health or Sickness — 2010-09-09 | PRUCO LIFE INSURANCE COMPANY — Life — 2010-09-09 | PRUCO LIFE INSURANCE COMPANY — Var Life and Var Annuity — 2010-09-09 | SUN LIFE ASSURANCE COMPANY OF CANADA — Life — 2010-11-17</x:v>
      </x:c>
      <x:c r="AA7" s="4" t="str">
        <x:v>RBC CAPITAL MARKETS, LLC; UBS FINANCIAL SERVICES INSURANCE AGENCY INC.</x:v>
      </x:c>
      <x:c r="AB7" s="4" t="n">
        <x:v>2</x:v>
      </x:c>
      <x:c r="AC7" s="4" t="n">
        <x:v>6</x:v>
      </x:c>
      <x:c r="AD7" s="4" t="str">
        <x:v>UBS FINANCIAL SERVICES INSURANCE AGENCY INC.; RBC CAPITAL MARKETS, LLC</x:v>
      </x:c>
      <x:c r="AE7" s="4" t="str">
        <x:v>RBC CAPITAL MARKETS, LLC — Accident &amp; Health or Sickness — 2018-08-16 | UBS FINANCIAL SERVICES INSURANCE AGENCY INC. — Accident &amp; Health or Sickness — 2009-02-13 | RBC CAPITAL MARKETS, LLC — Var Life and Var Annuity — 2018-08-16 | UBS FINANCIAL SERVICES INSURANCE AGENCY INC. — Life — 2009-10-28 | UBS FINANCIAL SERVICES INSURANCE AGENCY INC. — Var Life and Var Annuity — 2009-10-28 | RBC CAPITAL MARKETS, LLC — Life — 2018-08-16</x:v>
      </x:c>
      <x:c r="AF7" s="4" t="str">
        <x:v>2021-07-12</x:v>
      </x:c>
      <x:c r="AG7" s="4" t="str">
        <x:v>imo-final-approval-rules.md (2026-10-08)</x:v>
      </x:c>
    </x:row>
    <x:row r="8" ht="42" customHeight="1">
      <x:c r="A8" s="4" t="str">
        <x:v>Adrian Curran</x:v>
      </x:c>
      <x:c r="B8" s="8" t="str">
        <x:v>No</x:v>
      </x:c>
      <x:c r="C8" s="4" t="str">
        <x:v>Current excluded relationship displayed: CHASE INSURANCE AGENCY, INC.</x:v>
      </x:c>
      <x:c r="D8" s="10" t="e">
        <x:f>HYPERLINK("https://cdicloud.insurance.ca.gov/cal/LicenseDetail?SearchType=IND&amp;SearchLicNbr=4503239&amp;SearchIndvId=4503239","https://cdicloud.insurance.ca.gov/cal/LicenseDetail?SearchType=IND&amp;SearchLicNbr=4503239&amp;SearchIndvId=4503239")</x:f>
        <x:v>HYPERLINK is not implemented. linkLocation=https://cdicloud.insurance.ca.gov/cal/LicenseDetail?SearchType=IND&amp;SearchLicNbr=4503239&amp;SearchIndvId=4503239, friendlyName=https://cdicloud.insurance.ca.gov/cal/LicenseDetail?SearchType=IND&amp;SearchLicNbr=4503239&amp;SearchIndvId=4503239</x:v>
      </x:c>
      <x:c r="E8" s="9" t="str">
        <x:v>4503239</x:v>
      </x:c>
      <x:c r="F8" s="4" t="str">
        <x:v>201 S LAKE AVE PASADENA CA, 91101</x:v>
      </x:c>
      <x:c r="G8" s="4" t="str">
        <x:v>626-463-2300</x:v>
      </x:c>
      <x:c r="H8" s="4" t="str">
        <x:v>https://www.google.com/maps/place/201%20S%20LAKE%20AVE,%20PASADENA,%20CA,%2091101</x:v>
      </x:c>
      <x:c r="I8" s="4" t="str">
        <x:v>91108</x:v>
      </x:c>
      <x:c r="J8" s="4" t="str">
        <x:v>2026-10-08</x:v>
      </x:c>
      <x:c r="K8" s="4" t="str">
        <x:v>English</x:v>
      </x:c>
      <x:c r="L8" s="4" t="str">
        <x:v>Accident &amp; Health or Sickness; Life; Var Life and Var Annuity</x:v>
      </x:c>
      <x:c r="M8" s="4" t="str">
        <x:v>Accident &amp; Health or Sickness — issued 2025-12-19 | Life — issued 2025-12-19 | Var Life and Var Annuity — issued 2025-12-19</x:v>
      </x:c>
      <x:c r="N8" s="4" t="str">
        <x:v>2025-12-19</x:v>
      </x:c>
      <x:c r="O8" s="4" t="n">
        <x:v>0.8</x:v>
      </x:c>
      <x:c r="P8" s="4" t="str">
        <x:v>Yes</x:v>
      </x:c>
      <x:c r="Q8" s="4" t="str">
        <x:v>No</x:v>
      </x:c>
      <x:c r="R8" s="4" t="str">
        <x:v>Yes</x:v>
      </x:c>
      <x:c r="S8" s="4" t="str">
        <x:v>ATHENE ANNUITY AND LIFE COMPANY</x:v>
      </x:c>
      <x:c r="T8" s="4" t="n">
        <x:v>2</x:v>
      </x:c>
      <x:c r="U8" s="4" t="n">
        <x:v>1</x:v>
      </x:c>
      <x:c r="V8" s="4" t="str">
        <x:v>ATHENE ANNUITY AND LIFE COMPANY</x:v>
      </x:c>
      <x:c r="W8" s="4" t="n">
        <x:v>1</x:v>
      </x:c>
      <x:c r="X8" s="4" t="str"/>
      <x:c r="Y8" s="4" t="str"/>
      <x:c r="Z8" s="4" t="str">
        <x:v>ATHENE ANNUITY AND LIFE COMPANY — Life — 2026-01-08 | ATHENE ANNUITY AND LIFE COMPANY — Var Life and Var Annuity — 2026-01-08</x:v>
      </x:c>
      <x:c r="AA8" s="4" t="str">
        <x:v>CHASE INSURANCE AGENCY, INC.</x:v>
      </x:c>
      <x:c r="AB8" s="4" t="n">
        <x:v>1</x:v>
      </x:c>
      <x:c r="AC8" s="4" t="n">
        <x:v>3</x:v>
      </x:c>
      <x:c r="AD8" s="4" t="str">
        <x:v>CHASE INSURANCE AGENCY, INC.</x:v>
      </x:c>
      <x:c r="AE8" s="4" t="str">
        <x:v>CHASE INSURANCE AGENCY, INC. — Var Life and Var Annuity — 2025-12-23 | CHASE INSURANCE AGENCY, INC. — Accident &amp; Health or Sickness — 2025-12-23 | CHASE INSURANCE AGENCY, INC. — Life — 2025-12-23</x:v>
      </x:c>
      <x:c r="AF8" s="4" t="str">
        <x:v>2026-01-08</x:v>
      </x:c>
      <x:c r="AG8" s="4" t="str">
        <x:v>imo-final-approval-rules.md (2026-10-08)</x:v>
      </x:c>
    </x:row>
    <x:row r="9" ht="42" customHeight="1">
      <x:c r="A9" s="4" t="str">
        <x:v>ADRIANA BARRAGAN</x:v>
      </x:c>
      <x:c r="B9" s="8" t="str">
        <x:v>No</x:v>
      </x:c>
      <x:c r="C9" s="4" t="str">
        <x:v>No active general Life qualification displayed; active authority is limited funeral/burial Life only.</x:v>
      </x:c>
      <x:c r="D9" s="10" t="e">
        <x:f>HYPERLINK("https://cdicloud.insurance.ca.gov/cal/LicenseDetail?SearchType=IND&amp;SearchLicNbr=4285914&amp;SearchIndvId=4285914","https://cdicloud.insurance.ca.gov/cal/LicenseDetail?SearchType=IND&amp;SearchLicNbr=4285914&amp;SearchIndvId=4285914")</x:f>
        <x:v>HYPERLINK is not implemented. linkLocation=https://cdicloud.insurance.ca.gov/cal/LicenseDetail?SearchType=IND&amp;SearchLicNbr=4285914&amp;SearchIndvId=4285914, friendlyName=https://cdicloud.insurance.ca.gov/cal/LicenseDetail?SearchType=IND&amp;SearchLicNbr=4285914&amp;SearchIndvId=4285914</x:v>
      </x:c>
      <x:c r="E9" s="9" t="str">
        <x:v>4285914</x:v>
      </x:c>
      <x:c r="F9" s="4" t="str">
        <x:v>14228 DICKENS ST APT 101 SHERMAN OAKS CA, 91423-4184</x:v>
      </x:c>
      <x:c r="G9" s="4" t="str">
        <x:v>818-943-8012</x:v>
      </x:c>
      <x:c r="H9" s="4" t="str">
        <x:v>https://www.google.com/maps/place/14228%20DICKENS%20ST%20APT%20101,%20SHERMAN%20OAKS,%20CA,%20914234184</x:v>
      </x:c>
      <x:c r="I9" s="4" t="str">
        <x:v>91333</x:v>
      </x:c>
      <x:c r="J9" s="4" t="str">
        <x:v>2026-10-08</x:v>
      </x:c>
      <x:c r="K9" s="4" t="str">
        <x:v>English</x:v>
      </x:c>
      <x:c r="L9" s="4" t="str">
        <x:v>Life Limited-Funeral &amp; Burial</x:v>
      </x:c>
      <x:c r="M9" s="4" t="str">
        <x:v>Life Limited-Funeral &amp; Burial — issued 2023-04-24</x:v>
      </x:c>
      <x:c r="N9" s="4" t="str"/>
      <x:c r="O9" s="4" t="str"/>
      <x:c r="P9" s="4" t="str">
        <x:v>No</x:v>
      </x:c>
      <x:c r="Q9" s="4" t="str">
        <x:v>No</x:v>
      </x:c>
      <x:c r="R9" s="4" t="str">
        <x:v>No</x:v>
      </x:c>
      <x:c r="S9" s="4" t="str">
        <x:v>GREAT WESTERN INSURANCE COMPANY; NATIONAL GUARDIAN LIFE INSURANCE COMPANY</x:v>
      </x:c>
      <x:c r="T9" s="4" t="n">
        <x:v>2</x:v>
      </x:c>
      <x:c r="U9" s="4" t="n">
        <x:v>2</x:v>
      </x:c>
      <x:c r="V9" s="4" t="str"/>
      <x:c r="W9" s="4" t="n">
        <x:v>0</x:v>
      </x:c>
      <x:c r="X9" s="4" t="str"/>
      <x:c r="Y9" s="4" t="str"/>
      <x:c r="Z9" s="4" t="str">
        <x:v>GREAT WESTERN INSURANCE COMPANY — Life Only (Limited) — 2026-02-13 | NATIONAL GUARDIAN LIFE INSURANCE COMPANY — Life Only (Limited) — 2025-06-27</x:v>
      </x:c>
      <x:c r="AA9" s="4" t="str"/>
      <x:c r="AB9" s="4" t="n">
        <x:v>0</x:v>
      </x:c>
      <x:c r="AC9" s="4" t="n">
        <x:v>0</x:v>
      </x:c>
      <x:c r="AD9" s="4" t="str"/>
      <x:c r="AE9" s="4" t="str"/>
      <x:c r="AF9" s="4" t="str">
        <x:v>2026-02-13</x:v>
      </x:c>
      <x:c r="AG9" s="4" t="str">
        <x:v>imo-final-approval-rules.md (2026-10-08)</x:v>
      </x:c>
    </x:row>
  </x:sheetData>
  <x:conditionalFormatting sqref="B2:B9">
    <x:cfRule type="containsText" dxfId="6" priority="1" operator="containsText" text="Yes"/>
    <x:cfRule type="containsText" dxfId="7" priority="2" operator="containsText" text="No"/>
    <x:cfRule type="containsBlanks" dxfId="8" priority="3"/>
  </x:conditionalFormatting>
  <x:pageMargins left="0.7" right="0.7" top="0.75" bottom="0.75" header="0.3" footer="0.3"/>
  <x:tableParts count="1">
    <x:tablePart xmlns:r="http://schemas.openxmlformats.org/officeDocument/2006/relationships" r:id="R562d2126e2fb468a"/>
  </x:tableParts>
</x:worksheet>
</file>

<file path=xl/worksheets/sheet4.xml><?xml version="1.0" encoding="utf-8"?>
<x:worksheet xmlns:x="http://schemas.openxmlformats.org/spreadsheetml/2006/main">
  <x:sheetPr>
    <x:tabColor rgb="FFBF9000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52" hidden="0" customWidth="1"/>
    <x:col min="4" max="4" width="56" hidden="0" customWidth="1"/>
    <x:col min="5" max="5" width="17" hidden="0" customWidth="1"/>
    <x:col min="6" max="6" width="34" hidden="0" customWidth="1"/>
    <x:col min="7" max="7" width="16" hidden="0" customWidth="1"/>
    <x:col min="8" max="8" width="56" hidden="0" customWidth="1"/>
    <x:col min="9" max="9" width="13" hidden="0" customWidth="1"/>
    <x:col min="10" max="10" width="17" hidden="0" customWidth="1"/>
    <x:col min="11" max="11" width="17" hidden="0" customWidth="1"/>
    <x:col min="12" max="12" width="23" hidden="0" customWidth="1"/>
    <x:col min="13" max="13" width="52" hidden="0" customWidth="1"/>
    <x:col min="14" max="14" width="17" hidden="0" customWidth="1"/>
    <x:col min="15" max="15" width="24" hidden="0" customWidth="1"/>
    <x:col min="16" max="16" width="25" hidden="0" customWidth="1"/>
    <x:col min="17" max="17" width="21" hidden="0" customWidth="1"/>
    <x:col min="18" max="18" width="27" hidden="0" customWidth="1"/>
    <x:col min="19" max="19" width="34" hidden="0" customWidth="1"/>
    <x:col min="20" max="20" width="23" hidden="0" customWidth="1"/>
    <x:col min="21" max="21" width="22" hidden="0" customWidth="1"/>
    <x:col min="22" max="22" width="34" hidden="0" customWidth="1"/>
    <x:col min="23" max="23" width="27" hidden="0" customWidth="1"/>
    <x:col min="24" max="24" width="34" hidden="0" customWidth="1"/>
    <x:col min="25" max="25" width="34" hidden="0" customWidth="1"/>
    <x:col min="26" max="26" width="52" hidden="0" customWidth="1"/>
    <x:col min="27" max="27" width="34" hidden="0" customWidth="1"/>
    <x:col min="28" max="28" width="21" hidden="0" customWidth="1"/>
    <x:col min="29" max="29" width="27" hidden="0" customWidth="1"/>
    <x:col min="30" max="30" width="34" hidden="0" customWidth="1"/>
    <x:col min="31" max="31" width="52" hidden="0" customWidth="1"/>
    <x:col min="32" max="32" width="34" hidden="0" customWidth="1"/>
    <x:col min="33" max="33" width="52" hidden="0" customWidth="1"/>
  </x:cols>
  <x:sheetData>
    <x:row r="1" ht="32" customHeight="1">
      <x:c r="A1" s="7" t="str">
        <x:v>Name</x:v>
      </x:c>
      <x:c r="B1" s="7" t="str">
        <x:v>Passed_Test</x:v>
      </x:c>
      <x:c r="C1" s="7" t="str">
        <x:v>Assessment</x:v>
      </x:c>
      <x:c r="D1" s="7" t="str">
        <x:v>License_URL</x:v>
      </x:c>
      <x:c r="E1" s="7" t="str">
        <x:v>License_Number</x:v>
      </x:c>
      <x:c r="F1" s="7" t="str">
        <x:v>Business_Address</x:v>
      </x:c>
      <x:c r="G1" s="7" t="str">
        <x:v>Business_Phone</x:v>
      </x:c>
      <x:c r="H1" s="7" t="str">
        <x:v>Directions_URL</x:v>
      </x:c>
      <x:c r="I1" s="7" t="str">
        <x:v>Source_ZIPs</x:v>
      </x:c>
      <x:c r="J1" s="7" t="str">
        <x:v>Checked_On</x:v>
      </x:c>
      <x:c r="K1" s="7" t="str">
        <x:v>Languages</x:v>
      </x:c>
      <x:c r="L1" s="7" t="str">
        <x:v>Active_Qualifications</x:v>
      </x:c>
      <x:c r="M1" s="7" t="str">
        <x:v>Qualification_Details</x:v>
      </x:c>
      <x:c r="N1" s="7" t="str">
        <x:v>Life_Issue_Date</x:v>
      </x:c>
      <x:c r="O1" s="7" t="str">
        <x:v>Years_Since_Life_Issue</x:v>
      </x:c>
      <x:c r="P1" s="7" t="str">
        <x:v>Active_Health_Authority</x:v>
      </x:c>
      <x:c r="Q1" s="7" t="str">
        <x:v>Active_PC_Authority</x:v>
      </x:c>
      <x:c r="R1" s="7" t="str">
        <x:v>Active_Variable_Authority</x:v>
      </x:c>
      <x:c r="S1" s="7" t="str">
        <x:v>Appointed_Insurers</x:v>
      </x:c>
      <x:c r="T1" s="7" t="str">
        <x:v>Appointment_Row_Count</x:v>
      </x:c>
      <x:c r="U1" s="7" t="str">
        <x:v>Unique_Insurer_Count</x:v>
      </x:c>
      <x:c r="V1" s="7" t="str">
        <x:v>Life_Appointed_Insurers</x:v>
      </x:c>
      <x:c r="W1" s="7" t="str">
        <x:v>Unique_Life_Insurer_Count</x:v>
      </x:c>
      <x:c r="X1" s="7" t="str">
        <x:v>Health_Appointed_Insurers</x:v>
      </x:c>
      <x:c r="Y1" s="7" t="str">
        <x:v>PC_Appointed_Insurers</x:v>
      </x:c>
      <x:c r="Z1" s="7" t="str">
        <x:v>Appointment_Details</x:v>
      </x:c>
      <x:c r="AA1" s="7" t="str">
        <x:v>Agency_Organizations</x:v>
      </x:c>
      <x:c r="AB1" s="7" t="str">
        <x:v>Unique_Agency_Count</x:v>
      </x:c>
      <x:c r="AC1" s="7" t="str">
        <x:v>Agency_Relationship_Count</x:v>
      </x:c>
      <x:c r="AD1" s="7" t="str">
        <x:v>Life_Agency_Organizations</x:v>
      </x:c>
      <x:c r="AE1" s="7" t="str">
        <x:v>Agency_Relationship_Details</x:v>
      </x:c>
      <x:c r="AF1" s="7" t="str">
        <x:v>Latest_Displayed_Relationship_Date</x:v>
      </x:c>
      <x:c r="AG1" s="7" t="str">
        <x:v>Rule_Document</x:v>
      </x:c>
    </x:row>
    <x:row r="2" ht="42" customHeight="1">
      <x:c r="A2" s="4" t="str">
        <x:v>ADRIAN GONZALEZ</x:v>
      </x:c>
      <x:c r="B2" s="8" t="str"/>
      <x:c r="C2" s="4" t="str">
        <x:v>Needs review: CDI displays a material licensing order; current terms and contracting impact require review.</x:v>
      </x:c>
      <x:c r="D2" s="10" t="e">
        <x:f>HYPERLINK("https://cdicloud.insurance.ca.gov/cal/LicenseDetail?SearchType=IND&amp;SearchLicNbr=0G19119&amp;SearchIndvId=1093355","https://cdicloud.insurance.ca.gov/cal/LicenseDetail?SearchType=IND&amp;SearchLicNbr=0G19119&amp;SearchIndvId=1093355")</x:f>
        <x:v>HYPERLINK is not implemented. linkLocation=https://cdicloud.insurance.ca.gov/cal/LicenseDetail?SearchType=IND&amp;SearchLicNbr=0G19119&amp;SearchIndvId=1093355, friendlyName=https://cdicloud.insurance.ca.gov/cal/LicenseDetail?SearchType=IND&amp;SearchLicNbr=0G19119&amp;SearchIndvId=1093355</x:v>
      </x:c>
      <x:c r="E2" s="9" t="str">
        <x:v>0G19119</x:v>
      </x:c>
      <x:c r="F2" s="4" t="str">
        <x:v>8150 BEVERLY BLVD LOS ANGELES CA, 90048</x:v>
      </x:c>
      <x:c r="G2" s="4" t="str">
        <x:v>818-290-7200</x:v>
      </x:c>
      <x:c r="H2" s="4" t="str">
        <x:v>https://www.google.com/maps/place/8150%20BEVERLY%20BLVD,%20LOS%20ANGELES,%20CA,%2090048</x:v>
      </x:c>
      <x:c r="I2" s="4" t="str">
        <x:v>91404</x:v>
      </x:c>
      <x:c r="J2" s="4" t="str">
        <x:v>2026-10-08</x:v>
      </x:c>
      <x:c r="K2" s="4" t="str">
        <x:v>English</x:v>
      </x:c>
      <x:c r="L2" s="4" t="str">
        <x:v>Accident &amp; Health or Sickness; Life</x:v>
      </x:c>
      <x:c r="M2" s="4" t="str">
        <x:v>Accident &amp; Health or Sickness — issued 2008-06-19 | Life — issued 2008-06-19</x:v>
      </x:c>
      <x:c r="N2" s="4" t="str">
        <x:v>2008-06-19</x:v>
      </x:c>
      <x:c r="O2" s="4" t="n">
        <x:v>18.3</x:v>
      </x:c>
      <x:c r="P2" s="4" t="str">
        <x:v>Yes</x:v>
      </x:c>
      <x:c r="Q2" s="4" t="str">
        <x:v>No</x:v>
      </x:c>
      <x:c r="R2" s="4" t="str">
        <x:v>No</x:v>
      </x:c>
      <x:c r="S2" s="4" t="str">
        <x:v>AMERICAN FAMILY LIFE INSURANCE COMPANY OF COLUMBUS; METROPOLITAN LIFE INSURANCE COMPANY; PRINCIPAL LIFE INSURANCE COMPANY; PROVIDENT LIFE AND ACCIDENT INSURANCE COMPANY; STANDARD INSURANCE COMPANY; STARMOUNT LIFE INSURANCE COMPANY; UNITED OF OMAHA LIFE INSURANCE COMPANY; UNUM INSURANCE COMPANY; UNUM LIFE INSURANCE COMPANY OF AMERICA</x:v>
      </x:c>
      <x:c r="T2" s="4" t="n">
        <x:v>17</x:v>
      </x:c>
      <x:c r="U2" s="4" t="n">
        <x:v>9</x:v>
      </x:c>
      <x:c r="V2" s="4" t="str">
        <x:v>AMERICAN FAMILY LIFE INSURANCE COMPANY OF COLUMBUS; METROPOLITAN LIFE INSURANCE COMPANY; PRINCIPAL LIFE INSURANCE COMPANY; PROVIDENT LIFE AND ACCIDENT INSURANCE COMPANY; STANDARD INSURANCE COMPANY; UNITED OF OMAHA LIFE INSURANCE COMPANY; UNUM INSURANCE COMPANY; UNUM LIFE INSURANCE COMPANY OF AMERICA</x:v>
      </x:c>
      <x:c r="W2" s="4" t="n">
        <x:v>8</x:v>
      </x:c>
      <x:c r="X2" s="4" t="str">
        <x:v>AMERICAN FAMILY LIFE INSURANCE COMPANY OF COLUMBUS; METROPOLITAN LIFE INSURANCE COMPANY; PRINCIPAL LIFE INSURANCE COMPANY; PROVIDENT LIFE AND ACCIDENT INSURANCE COMPANY; STANDARD INSURANCE COMPANY; STARMOUNT LIFE INSURANCE COMPANY; UNITED OF OMAHA LIFE INSURANCE COMPANY; UNUM INSURANCE COMPANY; UNUM LIFE INSURANCE COMPANY OF AMERICA</x:v>
      </x:c>
      <x:c r="Y2" s="4" t="str"/>
      <x:c r="Z2" s="4" t="str">
        <x:v>AMERICAN FAMILY LIFE INSURANCE COMPANY OF COLUMBUS — Accident &amp; Health or Sickness — 2025-03-06 | AMERICAN FAMILY LIFE INSURANCE COMPANY OF COLUMBUS — Life — 2025-03-06 | METROPOLITAN LIFE INSURANCE COMPANY — Accident &amp; Health or Sickness — 2025-02-13 | METROPOLITAN LIFE INSURANCE COMPANY — Life — 2025-02-13 | PRINCIPAL LIFE INSURANCE COMPANY — Accident &amp; Health or Sickness — 2025-03-19 | PRINCIPAL LIFE INSURANCE COMPANY — Life — 2025-03-19 | PROVIDENT LIFE AND ACCIDENT INSURANCE COMPANY — Accident &amp; Health or Sickness — 2022-11-02 | PROVIDENT LIFE AND ACCIDENT INSURANCE COMPANY — Life — 2022-11-02 | STANDARD INSURANCE COMPANY — Accident &amp; Health or Sickness — 2022-06-16 | STANDARD INSURANCE COMPANY — Life — 2022-06-16 | STARMOUNT LIFE INSURANCE COMPANY — Accident &amp; Health or Sickness — 2022-11-02 | UNITED OF OMAHA LIFE INSURANCE COMPANY — Accident &amp; Health or Sickness — 2026-06-26 | UNITED OF OMAHA LIFE INSURANCE COMPANY — Life — 2026-06-26 | UNUM INSURANCE COMPANY — Accident &amp; Health or Sickness — 2022-11-02 | UNUM INSURANCE COMPANY — Life — 2022-11-02 | UNUM LIFE INSURANCE COMPANY OF AMERICA — Accident &amp; Health or Sickness — 2022-11-02 | UNUM LIFE INSURANCE COMPANY OF AMERICA — Life — 2022-11-02</x:v>
      </x:c>
      <x:c r="AA2" s="4" t="str">
        <x:v>PALM ASSURANCE RESOURCES</x:v>
      </x:c>
      <x:c r="AB2" s="4" t="n">
        <x:v>1</x:v>
      </x:c>
      <x:c r="AC2" s="4" t="n">
        <x:v>2</x:v>
      </x:c>
      <x:c r="AD2" s="4" t="str">
        <x:v>PALM ASSURANCE RESOURCES</x:v>
      </x:c>
      <x:c r="AE2" s="4" t="str">
        <x:v>PALM ASSURANCE RESOURCES — Accident &amp; Health or Sickness — 2026-03-23 | PALM ASSURANCE RESOURCES — Life — 2026-03-23</x:v>
      </x:c>
      <x:c r="AF2" s="4" t="str">
        <x:v>2026-06-26</x:v>
      </x:c>
      <x:c r="AG2" s="4" t="str">
        <x:v>imo-final-approval-rules.md (2026-10-08)</x:v>
      </x:c>
    </x:row>
  </x:sheetData>
  <x:conditionalFormatting sqref="B2:B2">
    <x:cfRule type="containsText" dxfId="9" priority="1" operator="containsText" text="Yes"/>
    <x:cfRule type="containsText" dxfId="10" priority="2" operator="containsText" text="No"/>
    <x:cfRule type="containsBlanks" dxfId="11" priority="3"/>
  </x:conditionalFormatting>
  <x:pageMargins left="0.7" right="0.7" top="0.75" bottom="0.75" header="0.3" footer="0.3"/>
  <x:tableParts count="1">
    <x:tablePart xmlns:r="http://schemas.openxmlformats.org/officeDocument/2006/relationships" r:id="R3e713cc307ac4b7f"/>
  </x:tableParts>
</x:worksheet>
</file>

<file path=xl/worksheets/sheet5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52" hidden="0" customWidth="1"/>
    <x:col min="4" max="4" width="56" hidden="0" customWidth="1"/>
    <x:col min="5" max="5" width="17" hidden="0" customWidth="1"/>
    <x:col min="6" max="6" width="34" hidden="0" customWidth="1"/>
    <x:col min="7" max="7" width="16" hidden="0" customWidth="1"/>
    <x:col min="8" max="8" width="56" hidden="0" customWidth="1"/>
    <x:col min="9" max="9" width="13" hidden="0" customWidth="1"/>
    <x:col min="10" max="10" width="17" hidden="0" customWidth="1"/>
    <x:col min="11" max="11" width="17" hidden="0" customWidth="1"/>
    <x:col min="12" max="12" width="23" hidden="0" customWidth="1"/>
    <x:col min="13" max="13" width="52" hidden="0" customWidth="1"/>
    <x:col min="14" max="14" width="17" hidden="0" customWidth="1"/>
    <x:col min="15" max="15" width="24" hidden="0" customWidth="1"/>
    <x:col min="16" max="16" width="25" hidden="0" customWidth="1"/>
    <x:col min="17" max="17" width="21" hidden="0" customWidth="1"/>
    <x:col min="18" max="18" width="27" hidden="0" customWidth="1"/>
    <x:col min="19" max="19" width="34" hidden="0" customWidth="1"/>
    <x:col min="20" max="20" width="23" hidden="0" customWidth="1"/>
    <x:col min="21" max="21" width="22" hidden="0" customWidth="1"/>
    <x:col min="22" max="22" width="34" hidden="0" customWidth="1"/>
    <x:col min="23" max="23" width="27" hidden="0" customWidth="1"/>
    <x:col min="24" max="24" width="34" hidden="0" customWidth="1"/>
    <x:col min="25" max="25" width="34" hidden="0" customWidth="1"/>
    <x:col min="26" max="26" width="52" hidden="0" customWidth="1"/>
    <x:col min="27" max="27" width="34" hidden="0" customWidth="1"/>
    <x:col min="28" max="28" width="21" hidden="0" customWidth="1"/>
    <x:col min="29" max="29" width="27" hidden="0" customWidth="1"/>
    <x:col min="30" max="30" width="34" hidden="0" customWidth="1"/>
    <x:col min="31" max="31" width="52" hidden="0" customWidth="1"/>
    <x:col min="32" max="32" width="34" hidden="0" customWidth="1"/>
    <x:col min="33" max="33" width="52" hidden="0" customWidth="1"/>
  </x:cols>
  <x:sheetData>
    <x:row r="1" ht="32" customHeight="1">
      <x:c r="A1" s="7" t="str">
        <x:v>Name</x:v>
      </x:c>
      <x:c r="B1" s="7" t="str">
        <x:v>Passed_Test</x:v>
      </x:c>
      <x:c r="C1" s="7" t="str">
        <x:v>Assessment</x:v>
      </x:c>
      <x:c r="D1" s="7" t="str">
        <x:v>License_URL</x:v>
      </x:c>
      <x:c r="E1" s="7" t="str">
        <x:v>License_Number</x:v>
      </x:c>
      <x:c r="F1" s="7" t="str">
        <x:v>Business_Address</x:v>
      </x:c>
      <x:c r="G1" s="7" t="str">
        <x:v>Business_Phone</x:v>
      </x:c>
      <x:c r="H1" s="7" t="str">
        <x:v>Directions_URL</x:v>
      </x:c>
      <x:c r="I1" s="7" t="str">
        <x:v>Source_ZIPs</x:v>
      </x:c>
      <x:c r="J1" s="7" t="str">
        <x:v>Checked_On</x:v>
      </x:c>
      <x:c r="K1" s="7" t="str">
        <x:v>Languages</x:v>
      </x:c>
      <x:c r="L1" s="7" t="str">
        <x:v>Active_Qualifications</x:v>
      </x:c>
      <x:c r="M1" s="7" t="str">
        <x:v>Qualification_Details</x:v>
      </x:c>
      <x:c r="N1" s="7" t="str">
        <x:v>Life_Issue_Date</x:v>
      </x:c>
      <x:c r="O1" s="7" t="str">
        <x:v>Years_Since_Life_Issue</x:v>
      </x:c>
      <x:c r="P1" s="7" t="str">
        <x:v>Active_Health_Authority</x:v>
      </x:c>
      <x:c r="Q1" s="7" t="str">
        <x:v>Active_PC_Authority</x:v>
      </x:c>
      <x:c r="R1" s="7" t="str">
        <x:v>Active_Variable_Authority</x:v>
      </x:c>
      <x:c r="S1" s="7" t="str">
        <x:v>Appointed_Insurers</x:v>
      </x:c>
      <x:c r="T1" s="7" t="str">
        <x:v>Appointment_Row_Count</x:v>
      </x:c>
      <x:c r="U1" s="7" t="str">
        <x:v>Unique_Insurer_Count</x:v>
      </x:c>
      <x:c r="V1" s="7" t="str">
        <x:v>Life_Appointed_Insurers</x:v>
      </x:c>
      <x:c r="W1" s="7" t="str">
        <x:v>Unique_Life_Insurer_Count</x:v>
      </x:c>
      <x:c r="X1" s="7" t="str">
        <x:v>Health_Appointed_Insurers</x:v>
      </x:c>
      <x:c r="Y1" s="7" t="str">
        <x:v>PC_Appointed_Insurers</x:v>
      </x:c>
      <x:c r="Z1" s="7" t="str">
        <x:v>Appointment_Details</x:v>
      </x:c>
      <x:c r="AA1" s="7" t="str">
        <x:v>Agency_Organizations</x:v>
      </x:c>
      <x:c r="AB1" s="7" t="str">
        <x:v>Unique_Agency_Count</x:v>
      </x:c>
      <x:c r="AC1" s="7" t="str">
        <x:v>Agency_Relationship_Count</x:v>
      </x:c>
      <x:c r="AD1" s="7" t="str">
        <x:v>Life_Agency_Organizations</x:v>
      </x:c>
      <x:c r="AE1" s="7" t="str">
        <x:v>Agency_Relationship_Details</x:v>
      </x:c>
      <x:c r="AF1" s="7" t="str">
        <x:v>Latest_Displayed_Relationship_Date</x:v>
      </x:c>
      <x:c r="AG1" s="7" t="str">
        <x:v>Rule_Document</x:v>
      </x:c>
    </x:row>
    <x:row r="2" ht="42" customHeight="1">
      <x:c r="A2" s="4" t="str">
        <x:v>ABRAHAM KERYAN</x:v>
      </x:c>
      <x:c r="B2" s="8" t="str">
        <x:v>Yes</x:v>
      </x:c>
      <x:c r="C2" s="4" t="str">
        <x:v>Active general Life; Life agency relationship: PRIMERICA FINANCIAL SERVICES INSURANCE MARKETING, INC.; no confirmed exclusion.</x:v>
      </x:c>
      <x:c r="D2" s="10" t="e">
        <x:f>HYPERLINK("https://cdicloud.insurance.ca.gov/cal/LicenseDetail?SearchType=IND&amp;SearchLicNbr=0D84696&amp;SearchIndvId=823148","https://cdicloud.insurance.ca.gov/cal/LicenseDetail?SearchType=IND&amp;SearchLicNbr=0D84696&amp;SearchIndvId=823148")</x:f>
        <x:v>HYPERLINK is not implemented. linkLocation=https://cdicloud.insurance.ca.gov/cal/LicenseDetail?SearchType=IND&amp;SearchLicNbr=0D84696&amp;SearchIndvId=823148, friendlyName=https://cdicloud.insurance.ca.gov/cal/LicenseDetail?SearchType=IND&amp;SearchLicNbr=0D84696&amp;SearchIndvId=823148</x:v>
      </x:c>
      <x:c r="E2" s="9" t="str">
        <x:v>0D84696</x:v>
      </x:c>
      <x:c r="F2" s="4" t="str">
        <x:v>533 N VICTORY BLVD BURBANK CA, 91502</x:v>
      </x:c>
      <x:c r="G2" s="4" t="str"/>
      <x:c r="H2" s="4" t="str">
        <x:v>https://www.google.com/maps/place/533%20N%20VICTORY%20BLVD,%20BURBANK,%20CA,%2091502</x:v>
      </x:c>
      <x:c r="I2" s="4" t="str">
        <x:v>91204</x:v>
      </x:c>
      <x:c r="J2" s="4" t="str">
        <x:v>2026-10-08</x:v>
      </x:c>
      <x:c r="K2" s="4" t="str">
        <x:v>English; Russian; Armenian</x:v>
      </x:c>
      <x:c r="L2" s="4" t="str">
        <x:v>Accident &amp; Health or Sickness; Life</x:v>
      </x:c>
      <x:c r="M2" s="4" t="str">
        <x:v>Accident &amp; Health or Sickness — issued 2002-12-20 | Life — issued 2002-12-20</x:v>
      </x:c>
      <x:c r="N2" s="4" t="str">
        <x:v>2002-12-20</x:v>
      </x:c>
      <x:c r="O2" s="4" t="n">
        <x:v>23.8</x:v>
      </x:c>
      <x:c r="P2" s="4" t="str">
        <x:v>Yes</x:v>
      </x:c>
      <x:c r="Q2" s="4" t="str">
        <x:v>No</x:v>
      </x:c>
      <x:c r="R2" s="4" t="str">
        <x:v>No</x:v>
      </x:c>
      <x:c r="S2" s="4" t="str">
        <x:v>AMERICAN FAMILY LIFE ASSURANCE COMPANY OF COLUMBUS; AMERICAN GENERAL LIFE INSURANCE COMPANY; ANTHEM BLUE CROSS LIFE AND HEALTH INSURANCE COMPANY; NATIONWIDE LIFE AND ANNUITY INSURANCE COMPANY; PRINCIPAL LIFE INSURANCE COMPANY</x:v>
      </x:c>
      <x:c r="T2" s="4" t="n">
        <x:v>10</x:v>
      </x:c>
      <x:c r="U2" s="4" t="n">
        <x:v>5</x:v>
      </x:c>
      <x:c r="V2" s="4" t="str">
        <x:v>AMERICAN FAMILY LIFE ASSURANCE COMPANY OF COLUMBUS; AMERICAN GENERAL LIFE INSURANCE COMPANY; ANTHEM BLUE CROSS LIFE AND HEALTH INSURANCE COMPANY; NATIONWIDE LIFE AND ANNUITY INSURANCE COMPANY; PRINCIPAL LIFE INSURANCE COMPANY</x:v>
      </x:c>
      <x:c r="W2" s="4" t="n">
        <x:v>5</x:v>
      </x:c>
      <x:c r="X2" s="4" t="str">
        <x:v>AMERICAN FAMILY LIFE ASSURANCE COMPANY OF COLUMBUS; AMERICAN GENERAL LIFE INSURANCE COMPANY; ANTHEM BLUE CROSS LIFE AND HEALTH INSURANCE COMPANY; NATIONWIDE LIFE AND ANNUITY INSURANCE COMPANY; PRINCIPAL LIFE INSURANCE COMPANY</x:v>
      </x:c>
      <x:c r="Y2" s="4" t="str"/>
      <x:c r="Z2" s="4" t="str">
        <x:v>AMERICAN FAMILY LIFE ASSURANCE COMPANY OF COLUMBUS — Accident &amp; Health or Sickness — 2021-02-22 | AMERICAN FAMILY LIFE ASSURANCE COMPANY OF COLUMBUS — Life — 2021-02-22 | AMERICAN GENERAL LIFE INSURANCE COMPANY — Accident &amp; Health or Sickness — 2011-06-17 | AMERICAN GENERAL LIFE INSURANCE COMPANY — Life — 2011-06-17 | ANTHEM BLUE CROSS LIFE AND HEALTH INSURANCE COMPANY — Accident &amp; Health or Sickness — 2011-06-09 | ANTHEM BLUE CROSS LIFE AND HEALTH INSURANCE COMPANY — Life — 2011-06-09 | NATIONWIDE LIFE AND ANNUITY INSURANCE COMPANY — Accident &amp; Health or Sickness — 2021-10-04 | NATIONWIDE LIFE AND ANNUITY INSURANCE COMPANY — Life — 2021-10-04 | PRINCIPAL LIFE INSURANCE COMPANY — Accident &amp; Health or Sickness — 2011-11-23 | PRINCIPAL LIFE INSURANCE COMPANY — Life — 2011-11-23</x:v>
      </x:c>
      <x:c r="AA2" s="4" t="str">
        <x:v>PRIMERICA FINANCIAL SERVICES INSURANCE MARKETING, INC.</x:v>
      </x:c>
      <x:c r="AB2" s="4" t="n">
        <x:v>1</x:v>
      </x:c>
      <x:c r="AC2" s="4" t="n">
        <x:v>2</x:v>
      </x:c>
      <x:c r="AD2" s="4" t="str">
        <x:v>PRIMERICA FINANCIAL SERVICES INSURANCE MARKETING, INC.</x:v>
      </x:c>
      <x:c r="AE2" s="4" t="str">
        <x:v>PRIMERICA FINANCIAL SERVICES INSURANCE MARKETING, INC. — Accident &amp; Health or Sickness — 2015-08-10 | PRIMERICA FINANCIAL SERVICES INSURANCE MARKETING, INC. — Life — 2015-08-10</x:v>
      </x:c>
      <x:c r="AF2" s="4" t="str">
        <x:v>2021-10-04</x:v>
      </x:c>
      <x:c r="AG2" s="4" t="str">
        <x:v>imo-final-approval-rules.md (2026-10-08)</x:v>
      </x:c>
    </x:row>
  </x:sheetData>
  <x:conditionalFormatting sqref="B2:B2">
    <x:cfRule type="containsText" dxfId="12" priority="1" operator="containsText" text="Yes"/>
    <x:cfRule type="containsText" dxfId="13" priority="2" operator="containsText" text="No"/>
    <x:cfRule type="containsBlanks" dxfId="14" priority="3"/>
  </x:conditionalFormatting>
  <x:pageMargins left="0.7" right="0.7" top="0.75" bottom="0.75" header="0.3" footer="0.3"/>
  <x:tableParts count="1">
    <x:tablePart xmlns:r="http://schemas.openxmlformats.org/officeDocument/2006/relationships" r:id="Rd707b6c0ee344430"/>
  </x:tableParts>
</x:worksheet>
</file>

<file path=xl/worksheets/sheet6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52" hidden="0" customWidth="1"/>
    <x:col min="4" max="4" width="56" hidden="0" customWidth="1"/>
    <x:col min="5" max="5" width="17" hidden="0" customWidth="1"/>
    <x:col min="6" max="6" width="34" hidden="0" customWidth="1"/>
    <x:col min="7" max="7" width="16" hidden="0" customWidth="1"/>
    <x:col min="8" max="8" width="56" hidden="0" customWidth="1"/>
    <x:col min="9" max="9" width="13" hidden="0" customWidth="1"/>
    <x:col min="10" max="10" width="17" hidden="0" customWidth="1"/>
    <x:col min="11" max="11" width="17" hidden="0" customWidth="1"/>
    <x:col min="12" max="12" width="23" hidden="0" customWidth="1"/>
    <x:col min="13" max="13" width="52" hidden="0" customWidth="1"/>
    <x:col min="14" max="14" width="17" hidden="0" customWidth="1"/>
    <x:col min="15" max="15" width="24" hidden="0" customWidth="1"/>
    <x:col min="16" max="16" width="25" hidden="0" customWidth="1"/>
    <x:col min="17" max="17" width="21" hidden="0" customWidth="1"/>
    <x:col min="18" max="18" width="27" hidden="0" customWidth="1"/>
    <x:col min="19" max="19" width="34" hidden="0" customWidth="1"/>
    <x:col min="20" max="20" width="23" hidden="0" customWidth="1"/>
    <x:col min="21" max="21" width="22" hidden="0" customWidth="1"/>
    <x:col min="22" max="22" width="34" hidden="0" customWidth="1"/>
    <x:col min="23" max="23" width="27" hidden="0" customWidth="1"/>
    <x:col min="24" max="24" width="34" hidden="0" customWidth="1"/>
    <x:col min="25" max="25" width="34" hidden="0" customWidth="1"/>
    <x:col min="26" max="26" width="52" hidden="0" customWidth="1"/>
    <x:col min="27" max="27" width="34" hidden="0" customWidth="1"/>
    <x:col min="28" max="28" width="21" hidden="0" customWidth="1"/>
    <x:col min="29" max="29" width="27" hidden="0" customWidth="1"/>
    <x:col min="30" max="30" width="34" hidden="0" customWidth="1"/>
    <x:col min="31" max="31" width="52" hidden="0" customWidth="1"/>
    <x:col min="32" max="32" width="34" hidden="0" customWidth="1"/>
    <x:col min="33" max="33" width="52" hidden="0" customWidth="1"/>
  </x:cols>
  <x:sheetData>
    <x:row r="1" ht="32" customHeight="1">
      <x:c r="A1" s="7" t="str">
        <x:v>Name</x:v>
      </x:c>
      <x:c r="B1" s="7" t="str">
        <x:v>Passed_Test</x:v>
      </x:c>
      <x:c r="C1" s="7" t="str">
        <x:v>Assessment</x:v>
      </x:c>
      <x:c r="D1" s="7" t="str">
        <x:v>License_URL</x:v>
      </x:c>
      <x:c r="E1" s="7" t="str">
        <x:v>License_Number</x:v>
      </x:c>
      <x:c r="F1" s="7" t="str">
        <x:v>Business_Address</x:v>
      </x:c>
      <x:c r="G1" s="7" t="str">
        <x:v>Business_Phone</x:v>
      </x:c>
      <x:c r="H1" s="7" t="str">
        <x:v>Directions_URL</x:v>
      </x:c>
      <x:c r="I1" s="7" t="str">
        <x:v>Source_ZIPs</x:v>
      </x:c>
      <x:c r="J1" s="7" t="str">
        <x:v>Checked_On</x:v>
      </x:c>
      <x:c r="K1" s="7" t="str">
        <x:v>Languages</x:v>
      </x:c>
      <x:c r="L1" s="7" t="str">
        <x:v>Active_Qualifications</x:v>
      </x:c>
      <x:c r="M1" s="7" t="str">
        <x:v>Qualification_Details</x:v>
      </x:c>
      <x:c r="N1" s="7" t="str">
        <x:v>Life_Issue_Date</x:v>
      </x:c>
      <x:c r="O1" s="7" t="str">
        <x:v>Years_Since_Life_Issue</x:v>
      </x:c>
      <x:c r="P1" s="7" t="str">
        <x:v>Active_Health_Authority</x:v>
      </x:c>
      <x:c r="Q1" s="7" t="str">
        <x:v>Active_PC_Authority</x:v>
      </x:c>
      <x:c r="R1" s="7" t="str">
        <x:v>Active_Variable_Authority</x:v>
      </x:c>
      <x:c r="S1" s="7" t="str">
        <x:v>Appointed_Insurers</x:v>
      </x:c>
      <x:c r="T1" s="7" t="str">
        <x:v>Appointment_Row_Count</x:v>
      </x:c>
      <x:c r="U1" s="7" t="str">
        <x:v>Unique_Insurer_Count</x:v>
      </x:c>
      <x:c r="V1" s="7" t="str">
        <x:v>Life_Appointed_Insurers</x:v>
      </x:c>
      <x:c r="W1" s="7" t="str">
        <x:v>Unique_Life_Insurer_Count</x:v>
      </x:c>
      <x:c r="X1" s="7" t="str">
        <x:v>Health_Appointed_Insurers</x:v>
      </x:c>
      <x:c r="Y1" s="7" t="str">
        <x:v>PC_Appointed_Insurers</x:v>
      </x:c>
      <x:c r="Z1" s="7" t="str">
        <x:v>Appointment_Details</x:v>
      </x:c>
      <x:c r="AA1" s="7" t="str">
        <x:v>Agency_Organizations</x:v>
      </x:c>
      <x:c r="AB1" s="7" t="str">
        <x:v>Unique_Agency_Count</x:v>
      </x:c>
      <x:c r="AC1" s="7" t="str">
        <x:v>Agency_Relationship_Count</x:v>
      </x:c>
      <x:c r="AD1" s="7" t="str">
        <x:v>Life_Agency_Organizations</x:v>
      </x:c>
      <x:c r="AE1" s="7" t="str">
        <x:v>Agency_Relationship_Details</x:v>
      </x:c>
      <x:c r="AF1" s="7" t="str">
        <x:v>Latest_Displayed_Relationship_Date</x:v>
      </x:c>
      <x:c r="AG1" s="7" t="str">
        <x:v>Rule_Document</x:v>
      </x:c>
    </x:row>
    <x:row r="2" ht="42" customHeight="1">
      <x:c r="A2" s="4" t="str">
        <x:v>ADA LOUIE</x:v>
      </x:c>
      <x:c r="B2" s="8" t="str">
        <x:v>Yes</x:v>
      </x:c>
      <x:c r="C2" s="4" t="str">
        <x:v>Active general Life; Life appointments: ANTHEM BLUE CROSS LIFE AND HEALTH INSURANCE COMPANY; GENWORTH LIFE INSURANCE COMPANY; HEALTH NET LIFE INSURANCE COMPANY; additional insurers listed; no confirmed exclusion.</x:v>
      </x:c>
      <x:c r="D2" s="10" t="e">
        <x:f>HYPERLINK("https://cdicloud.insurance.ca.gov/cal/LicenseDetail?SearchType=IND&amp;SearchLicNbr=0B61421&amp;SearchIndvId=240115","https://cdicloud.insurance.ca.gov/cal/LicenseDetail?SearchType=IND&amp;SearchLicNbr=0B61421&amp;SearchIndvId=240115")</x:f>
        <x:v>HYPERLINK is not implemented. linkLocation=https://cdicloud.insurance.ca.gov/cal/LicenseDetail?SearchType=IND&amp;SearchLicNbr=0B61421&amp;SearchIndvId=240115, friendlyName=https://cdicloud.insurance.ca.gov/cal/LicenseDetail?SearchType=IND&amp;SearchLicNbr=0B61421&amp;SearchIndvId=240115</x:v>
      </x:c>
      <x:c r="E2" s="9" t="str">
        <x:v>0B61421</x:v>
      </x:c>
      <x:c r="F2" s="4" t="str">
        <x:v>768 SIMMONS AVE MONTEBELLO CA, 90640</x:v>
      </x:c>
      <x:c r="G2" s="4" t="str">
        <x:v>626-205-8242</x:v>
      </x:c>
      <x:c r="H2" s="4" t="str">
        <x:v>https://www.google.com/maps/place/768%20SIMMONS%20AVE,%20MONTEBELLO,%20CA,%2090640</x:v>
      </x:c>
      <x:c r="I2" s="4" t="str">
        <x:v>91756</x:v>
      </x:c>
      <x:c r="J2" s="4" t="str">
        <x:v>2026-10-08</x:v>
      </x:c>
      <x:c r="K2" s="4" t="str">
        <x:v>English; Cantonese</x:v>
      </x:c>
      <x:c r="L2" s="4" t="str">
        <x:v>Accident &amp; Health or Sickness; Life; Var Life and Var Annuity</x:v>
      </x:c>
      <x:c r="M2" s="4" t="str">
        <x:v>Accident &amp; Health or Sickness — issued 1995-11-27 | Life — issued 1995-11-27 | Var Life and Var Annuity — issued 1996-10-01</x:v>
      </x:c>
      <x:c r="N2" s="4" t="str">
        <x:v>1995-11-27</x:v>
      </x:c>
      <x:c r="O2" s="4" t="n">
        <x:v>30.86</x:v>
      </x:c>
      <x:c r="P2" s="4" t="str">
        <x:v>Yes</x:v>
      </x:c>
      <x:c r="Q2" s="4" t="str">
        <x:v>No</x:v>
      </x:c>
      <x:c r="R2" s="4" t="str">
        <x:v>Yes</x:v>
      </x:c>
      <x:c r="S2" s="4" t="str">
        <x:v>ANTHEM BLUE CROSS LIFE AND HEALTH INSURANCE COMPANY; GENWORTH LIFE INSURANCE COMPANY; HEALTH NET LIFE INSURANCE COMPANY; KAISER PERMANENTE INSURANCE COMPANY; TRANSAMERICA LIFE INSURANCE COMPANY</x:v>
      </x:c>
      <x:c r="T2" s="4" t="n">
        <x:v>9</x:v>
      </x:c>
      <x:c r="U2" s="4" t="n">
        <x:v>5</x:v>
      </x:c>
      <x:c r="V2" s="4" t="str">
        <x:v>ANTHEM BLUE CROSS LIFE AND HEALTH INSURANCE COMPANY; GENWORTH LIFE INSURANCE COMPANY; HEALTH NET LIFE INSURANCE COMPANY; TRANSAMERICA LIFE INSURANCE COMPANY</x:v>
      </x:c>
      <x:c r="W2" s="4" t="n">
        <x:v>4</x:v>
      </x:c>
      <x:c r="X2" s="4" t="str">
        <x:v>ANTHEM BLUE CROSS LIFE AND HEALTH INSURANCE COMPANY; GENWORTH LIFE INSURANCE COMPANY; HEALTH NET LIFE INSURANCE COMPANY; KAISER PERMANENTE INSURANCE COMPANY; TRANSAMERICA LIFE INSURANCE COMPANY</x:v>
      </x:c>
      <x:c r="Y2" s="4" t="str"/>
      <x:c r="Z2" s="4" t="str">
        <x:v>ANTHEM BLUE CROSS LIFE AND HEALTH INSURANCE COMPANY — Accident &amp; Health or Sickness — 2012-02-23 | ANTHEM BLUE CROSS LIFE AND HEALTH INSURANCE COMPANY — Life — 2012-02-23 | GENWORTH LIFE INSURANCE COMPANY — Accident &amp; Health or Sickness — 2015-03-10 | GENWORTH LIFE INSURANCE COMPANY — Life — 2015-03-10 | HEALTH NET LIFE INSURANCE COMPANY — Accident &amp; Health or Sickness — 2014-01-01 | HEALTH NET LIFE INSURANCE COMPANY — Life — 2014-01-01 | KAISER PERMANENTE INSURANCE COMPANY — Accident &amp; Health or Sickness — 2022-03-24 | TRANSAMERICA LIFE INSURANCE COMPANY — Accident &amp; Health or Sickness — 2025-04-30 | TRANSAMERICA LIFE INSURANCE COMPANY — Life — 2025-04-30</x:v>
      </x:c>
      <x:c r="AA2" s="4" t="str"/>
      <x:c r="AB2" s="4" t="n">
        <x:v>0</x:v>
      </x:c>
      <x:c r="AC2" s="4" t="n">
        <x:v>0</x:v>
      </x:c>
      <x:c r="AD2" s="4" t="str"/>
      <x:c r="AE2" s="4" t="str"/>
      <x:c r="AF2" s="4" t="str">
        <x:v>2025-04-30</x:v>
      </x:c>
      <x:c r="AG2" s="4" t="str">
        <x:v>imo-final-approval-rules.md (2026-10-08)</x:v>
      </x:c>
    </x:row>
  </x:sheetData>
  <x:conditionalFormatting sqref="B2:B2">
    <x:cfRule type="containsText" dxfId="15" priority="1" operator="containsText" text="Yes"/>
    <x:cfRule type="containsText" dxfId="16" priority="2" operator="containsText" text="No"/>
    <x:cfRule type="containsBlanks" dxfId="17" priority="3"/>
  </x:conditionalFormatting>
  <x:pageMargins left="0.7" right="0.7" top="0.75" bottom="0.75" header="0.3" footer="0.3"/>
  <x:tableParts count="1">
    <x:tablePart xmlns:r="http://schemas.openxmlformats.org/officeDocument/2006/relationships" r:id="R5ec3ce6edbba4ab2"/>
  </x:tableParts>
</x:worksheet>
</file>

<file path=xl/worksheets/sheet7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52" hidden="0" customWidth="1"/>
    <x:col min="4" max="4" width="56" hidden="0" customWidth="1"/>
    <x:col min="5" max="5" width="17" hidden="0" customWidth="1"/>
    <x:col min="6" max="6" width="34" hidden="0" customWidth="1"/>
    <x:col min="7" max="7" width="16" hidden="0" customWidth="1"/>
    <x:col min="8" max="8" width="56" hidden="0" customWidth="1"/>
    <x:col min="9" max="9" width="13" hidden="0" customWidth="1"/>
    <x:col min="10" max="10" width="17" hidden="0" customWidth="1"/>
    <x:col min="11" max="11" width="17" hidden="0" customWidth="1"/>
    <x:col min="12" max="12" width="23" hidden="0" customWidth="1"/>
    <x:col min="13" max="13" width="52" hidden="0" customWidth="1"/>
    <x:col min="14" max="14" width="17" hidden="0" customWidth="1"/>
    <x:col min="15" max="15" width="24" hidden="0" customWidth="1"/>
    <x:col min="16" max="16" width="25" hidden="0" customWidth="1"/>
    <x:col min="17" max="17" width="21" hidden="0" customWidth="1"/>
    <x:col min="18" max="18" width="27" hidden="0" customWidth="1"/>
    <x:col min="19" max="19" width="34" hidden="0" customWidth="1"/>
    <x:col min="20" max="20" width="23" hidden="0" customWidth="1"/>
    <x:col min="21" max="21" width="22" hidden="0" customWidth="1"/>
    <x:col min="22" max="22" width="34" hidden="0" customWidth="1"/>
    <x:col min="23" max="23" width="27" hidden="0" customWidth="1"/>
    <x:col min="24" max="24" width="34" hidden="0" customWidth="1"/>
    <x:col min="25" max="25" width="34" hidden="0" customWidth="1"/>
    <x:col min="26" max="26" width="52" hidden="0" customWidth="1"/>
    <x:col min="27" max="27" width="34" hidden="0" customWidth="1"/>
    <x:col min="28" max="28" width="21" hidden="0" customWidth="1"/>
    <x:col min="29" max="29" width="27" hidden="0" customWidth="1"/>
    <x:col min="30" max="30" width="34" hidden="0" customWidth="1"/>
    <x:col min="31" max="31" width="52" hidden="0" customWidth="1"/>
    <x:col min="32" max="32" width="34" hidden="0" customWidth="1"/>
    <x:col min="33" max="33" width="52" hidden="0" customWidth="1"/>
  </x:cols>
  <x:sheetData>
    <x:row r="1" ht="32" customHeight="1">
      <x:c r="A1" s="7" t="str">
        <x:v>Name</x:v>
      </x:c>
      <x:c r="B1" s="7" t="str">
        <x:v>Passed_Test</x:v>
      </x:c>
      <x:c r="C1" s="7" t="str">
        <x:v>Assessment</x:v>
      </x:c>
      <x:c r="D1" s="7" t="str">
        <x:v>License_URL</x:v>
      </x:c>
      <x:c r="E1" s="7" t="str">
        <x:v>License_Number</x:v>
      </x:c>
      <x:c r="F1" s="7" t="str">
        <x:v>Business_Address</x:v>
      </x:c>
      <x:c r="G1" s="7" t="str">
        <x:v>Business_Phone</x:v>
      </x:c>
      <x:c r="H1" s="7" t="str">
        <x:v>Directions_URL</x:v>
      </x:c>
      <x:c r="I1" s="7" t="str">
        <x:v>Source_ZIPs</x:v>
      </x:c>
      <x:c r="J1" s="7" t="str">
        <x:v>Checked_On</x:v>
      </x:c>
      <x:c r="K1" s="7" t="str">
        <x:v>Languages</x:v>
      </x:c>
      <x:c r="L1" s="7" t="str">
        <x:v>Active_Qualifications</x:v>
      </x:c>
      <x:c r="M1" s="7" t="str">
        <x:v>Qualification_Details</x:v>
      </x:c>
      <x:c r="N1" s="7" t="str">
        <x:v>Life_Issue_Date</x:v>
      </x:c>
      <x:c r="O1" s="7" t="str">
        <x:v>Years_Since_Life_Issue</x:v>
      </x:c>
      <x:c r="P1" s="7" t="str">
        <x:v>Active_Health_Authority</x:v>
      </x:c>
      <x:c r="Q1" s="7" t="str">
        <x:v>Active_PC_Authority</x:v>
      </x:c>
      <x:c r="R1" s="7" t="str">
        <x:v>Active_Variable_Authority</x:v>
      </x:c>
      <x:c r="S1" s="7" t="str">
        <x:v>Appointed_Insurers</x:v>
      </x:c>
      <x:c r="T1" s="7" t="str">
        <x:v>Appointment_Row_Count</x:v>
      </x:c>
      <x:c r="U1" s="7" t="str">
        <x:v>Unique_Insurer_Count</x:v>
      </x:c>
      <x:c r="V1" s="7" t="str">
        <x:v>Life_Appointed_Insurers</x:v>
      </x:c>
      <x:c r="W1" s="7" t="str">
        <x:v>Unique_Life_Insurer_Count</x:v>
      </x:c>
      <x:c r="X1" s="7" t="str">
        <x:v>Health_Appointed_Insurers</x:v>
      </x:c>
      <x:c r="Y1" s="7" t="str">
        <x:v>PC_Appointed_Insurers</x:v>
      </x:c>
      <x:c r="Z1" s="7" t="str">
        <x:v>Appointment_Details</x:v>
      </x:c>
      <x:c r="AA1" s="7" t="str">
        <x:v>Agency_Organizations</x:v>
      </x:c>
      <x:c r="AB1" s="7" t="str">
        <x:v>Unique_Agency_Count</x:v>
      </x:c>
      <x:c r="AC1" s="7" t="str">
        <x:v>Agency_Relationship_Count</x:v>
      </x:c>
      <x:c r="AD1" s="7" t="str">
        <x:v>Life_Agency_Organizations</x:v>
      </x:c>
      <x:c r="AE1" s="7" t="str">
        <x:v>Agency_Relationship_Details</x:v>
      </x:c>
      <x:c r="AF1" s="7" t="str">
        <x:v>Latest_Displayed_Relationship_Date</x:v>
      </x:c>
      <x:c r="AG1" s="7" t="str">
        <x:v>Rule_Document</x:v>
      </x:c>
    </x:row>
    <x:row r="2" ht="42" customHeight="1">
      <x:c r="A2" s="4" t="str">
        <x:v>AARON BERO</x:v>
      </x:c>
      <x:c r="B2" s="8" t="str">
        <x:v>Yes</x:v>
      </x:c>
      <x:c r="C2" s="4" t="str">
        <x:v>Active general Life; only non-Life or lower-priority relationships displayed; no confirmed exclusion.</x:v>
      </x:c>
      <x:c r="D2" s="10" t="e">
        <x:f>HYPERLINK("https://cdicloud.insurance.ca.gov/cal/LicenseDetail?SearchType=IND&amp;SearchLicNbr=0F01313&amp;SearchIndvId=983009","https://cdicloud.insurance.ca.gov/cal/LicenseDetail?SearchType=IND&amp;SearchLicNbr=0F01313&amp;SearchIndvId=983009")</x:f>
        <x:v>HYPERLINK is not implemented. linkLocation=https://cdicloud.insurance.ca.gov/cal/LicenseDetail?SearchType=IND&amp;SearchLicNbr=0F01313&amp;SearchIndvId=983009, friendlyName=https://cdicloud.insurance.ca.gov/cal/LicenseDetail?SearchType=IND&amp;SearchLicNbr=0F01313&amp;SearchIndvId=983009</x:v>
      </x:c>
      <x:c r="E2" s="9" t="str">
        <x:v>0F01313</x:v>
      </x:c>
      <x:c r="F2" s="4" t="str">
        <x:v>99 S. OAKLAND AVE. PASADENA CA, 91101</x:v>
      </x:c>
      <x:c r="G2" s="4" t="str">
        <x:v>626-405-5909</x:v>
      </x:c>
      <x:c r="H2" s="4" t="str">
        <x:v>https://www.google.com/maps/place/99%20S.%20OAKLAND%20AVE.,%20PASADENA,%20CA,%2091101</x:v>
      </x:c>
      <x:c r="I2" s="4" t="str">
        <x:v>91352 91504</x:v>
      </x:c>
      <x:c r="J2" s="4" t="str">
        <x:v>2026-10-08</x:v>
      </x:c>
      <x:c r="K2" s="4" t="str">
        <x:v>English</x:v>
      </x:c>
      <x:c r="L2" s="4" t="str">
        <x:v>Accident &amp; Health or Sickness; Life</x:v>
      </x:c>
      <x:c r="M2" s="4" t="str">
        <x:v>Accident &amp; Health or Sickness — issued 2005-12-06 | Life — issued 2005-12-06</x:v>
      </x:c>
      <x:c r="N2" s="4" t="str">
        <x:v>2005-12-06</x:v>
      </x:c>
      <x:c r="O2" s="4" t="n">
        <x:v>20.84</x:v>
      </x:c>
      <x:c r="P2" s="4" t="str">
        <x:v>Yes</x:v>
      </x:c>
      <x:c r="Q2" s="4" t="str">
        <x:v>No</x:v>
      </x:c>
      <x:c r="R2" s="4" t="str">
        <x:v>No</x:v>
      </x:c>
      <x:c r="S2" s="4" t="str">
        <x:v>KAISER PERMANENTE INSURANCE COMPANY</x:v>
      </x:c>
      <x:c r="T2" s="4" t="n">
        <x:v>1</x:v>
      </x:c>
      <x:c r="U2" s="4" t="n">
        <x:v>1</x:v>
      </x:c>
      <x:c r="V2" s="4" t="str"/>
      <x:c r="W2" s="4" t="n">
        <x:v>0</x:v>
      </x:c>
      <x:c r="X2" s="4" t="str"/>
      <x:c r="Y2" s="4" t="str"/>
      <x:c r="Z2" s="4" t="str">
        <x:v>KAISER PERMANENTE INSURANCE COMPANY — Disability Only — 2007-12-26</x:v>
      </x:c>
      <x:c r="AA2" s="4" t="str"/>
      <x:c r="AB2" s="4" t="n">
        <x:v>0</x:v>
      </x:c>
      <x:c r="AC2" s="4" t="n">
        <x:v>0</x:v>
      </x:c>
      <x:c r="AD2" s="4" t="str"/>
      <x:c r="AE2" s="4" t="str"/>
      <x:c r="AF2" s="4" t="str">
        <x:v>2007-12-26</x:v>
      </x:c>
      <x:c r="AG2" s="4" t="str">
        <x:v>imo-final-approval-rules.md (2026-10-08)</x:v>
      </x:c>
    </x:row>
    <x:row r="3" ht="42" customHeight="1">
      <x:c r="A3" s="4" t="str">
        <x:v>AARON BYRD</x:v>
      </x:c>
      <x:c r="B3" s="8" t="str">
        <x:v>Yes</x:v>
      </x:c>
      <x:c r="C3" s="4" t="str">
        <x:v>Active general Life; Life agency relationship: WORLD FINANCIAL GROUP INSURANCE AGENCY, LLC; no confirmed exclusion.</x:v>
      </x:c>
      <x:c r="D3" s="10" t="e">
        <x:f>HYPERLINK("https://cdicloud.insurance.ca.gov/cal/LicenseDetail?SearchType=IND&amp;SearchLicNbr=4260816&amp;SearchIndvId=4260816","https://cdicloud.insurance.ca.gov/cal/LicenseDetail?SearchType=IND&amp;SearchLicNbr=4260816&amp;SearchIndvId=4260816")</x:f>
        <x:v>HYPERLINK is not implemented. linkLocation=https://cdicloud.insurance.ca.gov/cal/LicenseDetail?SearchType=IND&amp;SearchLicNbr=4260816&amp;SearchIndvId=4260816, friendlyName=https://cdicloud.insurance.ca.gov/cal/LicenseDetail?SearchType=IND&amp;SearchLicNbr=4260816&amp;SearchIndvId=4260816</x:v>
      </x:c>
      <x:c r="E3" s="9" t="str">
        <x:v>4260816</x:v>
      </x:c>
      <x:c r="F3" s="4" t="str">
        <x:v>4569 EDGEWOOD PLACE LOS ANGELES CA, 90019</x:v>
      </x:c>
      <x:c r="G3" s="4" t="str"/>
      <x:c r="H3" s="4" t="str">
        <x:v>https://www.google.com/maps/place/4569%20EDGEWOOD%20PLACE,%20LOS%20ANGELES,%20CA,%2090019</x:v>
      </x:c>
      <x:c r="I3" s="4" t="str">
        <x:v>90018</x:v>
      </x:c>
      <x:c r="J3" s="4" t="str">
        <x:v>2026-10-08</x:v>
      </x:c>
      <x:c r="K3" s="4" t="str">
        <x:v>English</x:v>
      </x:c>
      <x:c r="L3" s="4" t="str">
        <x:v>Accident &amp; Health or Sickness; Life</x:v>
      </x:c>
      <x:c r="M3" s="4" t="str">
        <x:v>Accident &amp; Health or Sickness — issued 2022-12-12 | Life — issued 2022-12-12</x:v>
      </x:c>
      <x:c r="N3" s="4" t="str">
        <x:v>2022-12-12</x:v>
      </x:c>
      <x:c r="O3" s="4" t="n">
        <x:v>3.82</x:v>
      </x:c>
      <x:c r="P3" s="4" t="str">
        <x:v>Yes</x:v>
      </x:c>
      <x:c r="Q3" s="4" t="str">
        <x:v>No</x:v>
      </x:c>
      <x:c r="R3" s="4" t="str">
        <x:v>No</x:v>
      </x:c>
      <x:c r="S3" s="4" t="str">
        <x:v>ASSURITY LIFE INSURANCE COMPANY; ATHENE ANNUITY AND LIFE COMPANY; FORETHOUGHT LIFE INSURANCE COMPANY; LIFE INSURANCE COMPANY OF THE SOUTHWEST; PRUCO LIFE INSURANCE COMPANY</x:v>
      </x:c>
      <x:c r="T3" s="4" t="n">
        <x:v>8</x:v>
      </x:c>
      <x:c r="U3" s="4" t="n">
        <x:v>5</x:v>
      </x:c>
      <x:c r="V3" s="4" t="str">
        <x:v>ASSURITY LIFE INSURANCE COMPANY; ATHENE ANNUITY AND LIFE COMPANY; FORETHOUGHT LIFE INSURANCE COMPANY; LIFE INSURANCE COMPANY OF THE SOUTHWEST; PRUCO LIFE INSURANCE COMPANY</x:v>
      </x:c>
      <x:c r="W3" s="4" t="n">
        <x:v>5</x:v>
      </x:c>
      <x:c r="X3" s="4" t="str">
        <x:v>ASSURITY LIFE INSURANCE COMPANY; FORETHOUGHT LIFE INSURANCE COMPANY; LIFE INSURANCE COMPANY OF THE SOUTHWEST</x:v>
      </x:c>
      <x:c r="Y3" s="4" t="str"/>
      <x:c r="Z3" s="4" t="str">
        <x:v>ASSURITY LIFE INSURANCE COMPANY — Accident &amp; Health or Sickness — 2026-05-08 | ASSURITY LIFE INSURANCE COMPANY — Life — 2026-05-08 | ATHENE ANNUITY AND LIFE COMPANY — Life — 2023-02-28 | FORETHOUGHT LIFE INSURANCE COMPANY — Accident &amp; Health or Sickness — 2025-05-15 | FORETHOUGHT LIFE INSURANCE COMPANY — Life — 2025-05-15 | LIFE INSURANCE COMPANY OF THE SOUTHWEST — Accident &amp; Health or Sickness — 2026-07-15 | LIFE INSURANCE COMPANY OF THE SOUTHWEST — Life — 2026-07-15 | PRUCO LIFE INSURANCE COMPANY — Life — 2026-05-19</x:v>
      </x:c>
      <x:c r="AA3" s="4" t="str">
        <x:v>WORLD FINANCIAL GROUP INSURANCE AGENCY, LLC</x:v>
      </x:c>
      <x:c r="AB3" s="4" t="n">
        <x:v>1</x:v>
      </x:c>
      <x:c r="AC3" s="4" t="n">
        <x:v>2</x:v>
      </x:c>
      <x:c r="AD3" s="4" t="str">
        <x:v>WORLD FINANCIAL GROUP INSURANCE AGENCY, LLC</x:v>
      </x:c>
      <x:c r="AE3" s="4" t="str">
        <x:v>WORLD FINANCIAL GROUP INSURANCE AGENCY, LLC — Life — 2022-12-16 | WORLD FINANCIAL GROUP INSURANCE AGENCY, LLC — Accident &amp; Health or Sickness — 2022-12-16</x:v>
      </x:c>
      <x:c r="AF3" s="4" t="str">
        <x:v>2026-07-15</x:v>
      </x:c>
      <x:c r="AG3" s="4" t="str">
        <x:v>imo-final-approval-rules.md (2026-10-08)</x:v>
      </x:c>
    </x:row>
    <x:row r="4" ht="42" customHeight="1">
      <x:c r="A4" s="4" t="str">
        <x:v>AARON COOK</x:v>
      </x:c>
      <x:c r="B4" s="8" t="str">
        <x:v>Yes</x:v>
      </x:c>
      <x:c r="C4" s="4" t="str">
        <x:v>Active general Life; Life appointments: SECURITY BENEFIT LIFE INSURANCE COMPANY; TRANSAMERICA LIFE INSURANCE COMPANY; no confirmed exclusion.</x:v>
      </x:c>
      <x:c r="D4" s="10" t="e">
        <x:f>HYPERLINK("https://cdicloud.insurance.ca.gov/cal/LicenseDetail?SearchType=IND&amp;SearchLicNbr=0B94305&amp;SearchIndvId=271280","https://cdicloud.insurance.ca.gov/cal/LicenseDetail?SearchType=IND&amp;SearchLicNbr=0B94305&amp;SearchIndvId=271280")</x:f>
        <x:v>HYPERLINK is not implemented. linkLocation=https://cdicloud.insurance.ca.gov/cal/LicenseDetail?SearchType=IND&amp;SearchLicNbr=0B94305&amp;SearchIndvId=271280, friendlyName=https://cdicloud.insurance.ca.gov/cal/LicenseDetail?SearchType=IND&amp;SearchLicNbr=0B94305&amp;SearchIndvId=271280</x:v>
      </x:c>
      <x:c r="E4" s="9" t="str">
        <x:v>0B94305</x:v>
      </x:c>
      <x:c r="F4" s="4" t="str">
        <x:v>12130 MILLENNIUM STE 300 LOS ANGELES CA, 90094-3156</x:v>
      </x:c>
      <x:c r="G4" s="4" t="str">
        <x:v>424-360-1133</x:v>
      </x:c>
      <x:c r="H4" s="4" t="str">
        <x:v>https://www.google.com/maps/place/12130%20MILLENNIUM%20STE%20300,%20LOS%20ANGELES,%20CA,%20900943156</x:v>
      </x:c>
      <x:c r="I4" s="4" t="str">
        <x:v>90230</x:v>
      </x:c>
      <x:c r="J4" s="4" t="str">
        <x:v>2026-10-08</x:v>
      </x:c>
      <x:c r="K4" s="4" t="str">
        <x:v>English</x:v>
      </x:c>
      <x:c r="L4" s="4" t="str">
        <x:v>Accident &amp; Health or Sickness; Life; Var Life and Var Annuity</x:v>
      </x:c>
      <x:c r="M4" s="4" t="str">
        <x:v>Accident &amp; Health or Sickness — issued 1996-11-25 | Life — issued 1996-11-25 | Var Life and Var Annuity — issued 1997-07-17</x:v>
      </x:c>
      <x:c r="N4" s="4" t="str">
        <x:v>1996-11-25</x:v>
      </x:c>
      <x:c r="O4" s="4" t="n">
        <x:v>29.87</x:v>
      </x:c>
      <x:c r="P4" s="4" t="str">
        <x:v>Yes</x:v>
      </x:c>
      <x:c r="Q4" s="4" t="str">
        <x:v>No</x:v>
      </x:c>
      <x:c r="R4" s="4" t="str">
        <x:v>Yes</x:v>
      </x:c>
      <x:c r="S4" s="4" t="str">
        <x:v>SECURITY BENEFIT LIFE INSURANCE COMPANY; TRANSAMERICA LIFE INSURANCE COMPANY</x:v>
      </x:c>
      <x:c r="T4" s="4" t="n">
        <x:v>3</x:v>
      </x:c>
      <x:c r="U4" s="4" t="n">
        <x:v>2</x:v>
      </x:c>
      <x:c r="V4" s="4" t="str">
        <x:v>SECURITY BENEFIT LIFE INSURANCE COMPANY; TRANSAMERICA LIFE INSURANCE COMPANY</x:v>
      </x:c>
      <x:c r="W4" s="4" t="n">
        <x:v>2</x:v>
      </x:c>
      <x:c r="X4" s="4" t="str">
        <x:v>SECURITY BENEFIT LIFE INSURANCE COMPANY</x:v>
      </x:c>
      <x:c r="Y4" s="4" t="str"/>
      <x:c r="Z4" s="4" t="str">
        <x:v>SECURITY BENEFIT LIFE INSURANCE COMPANY — Accident &amp; Health or Sickness — 2025-02-04 | SECURITY BENEFIT LIFE INSURANCE COMPANY — Life — 2025-02-04 | TRANSAMERICA LIFE INSURANCE COMPANY — Life — 2025-06-20</x:v>
      </x:c>
      <x:c r="AA4" s="4" t="str"/>
      <x:c r="AB4" s="4" t="n">
        <x:v>0</x:v>
      </x:c>
      <x:c r="AC4" s="4" t="n">
        <x:v>0</x:v>
      </x:c>
      <x:c r="AD4" s="4" t="str"/>
      <x:c r="AE4" s="4" t="str"/>
      <x:c r="AF4" s="4" t="str">
        <x:v>2025-06-20</x:v>
      </x:c>
      <x:c r="AG4" s="4" t="str">
        <x:v>imo-final-approval-rules.md (2026-10-08)</x:v>
      </x:c>
    </x:row>
    <x:row r="5" ht="42" customHeight="1">
      <x:c r="A5" s="4" t="str">
        <x:v>AARON MA</x:v>
      </x:c>
      <x:c r="B5" s="8" t="str">
        <x:v>Yes</x:v>
      </x:c>
      <x:c r="C5" s="4" t="str">
        <x:v>Active general Life; Life agency relationship: CARLYLE SPECIALTY INSURANCE SERVICES LLC; no confirmed exclusion.</x:v>
      </x:c>
      <x:c r="D5" s="10" t="e">
        <x:f>HYPERLINK("https://cdicloud.insurance.ca.gov/cal/LicenseDetail?SearchType=IND&amp;SearchLicNbr=0D42453&amp;SearchIndvId=586849","https://cdicloud.insurance.ca.gov/cal/LicenseDetail?SearchType=IND&amp;SearchLicNbr=0D42453&amp;SearchIndvId=586849")</x:f>
        <x:v>HYPERLINK is not implemented. linkLocation=https://cdicloud.insurance.ca.gov/cal/LicenseDetail?SearchType=IND&amp;SearchLicNbr=0D42453&amp;SearchIndvId=586849, friendlyName=https://cdicloud.insurance.ca.gov/cal/LicenseDetail?SearchType=IND&amp;SearchLicNbr=0D42453&amp;SearchIndvId=586849</x:v>
      </x:c>
      <x:c r="E5" s="9" t="str">
        <x:v>0D42453</x:v>
      </x:c>
      <x:c r="F5" s="4" t="str">
        <x:v>C/O CARLYLE SPECIALTY INSURANCE SERVICES 12100 WILSHIRE BLVD STE 800 LOS ANGELES CA, 90025-7140</x:v>
      </x:c>
      <x:c r="G5" s="4" t="str"/>
      <x:c r="H5" s="4" t="str">
        <x:v>https://www.google.com/maps/place/C/O%20CARLYLE%20SPECIALTY%20INSURANCE%20SERVICES,%20LOS%20ANGELES,%20CA,%20900257140</x:v>
      </x:c>
      <x:c r="I5" s="4" t="str">
        <x:v>90090</x:v>
      </x:c>
      <x:c r="J5" s="4" t="str">
        <x:v>2026-10-08</x:v>
      </x:c>
      <x:c r="K5" s="4" t="str">
        <x:v>English</x:v>
      </x:c>
      <x:c r="L5" s="4" t="str">
        <x:v>Accident &amp; Health or Sickness; Casualty; Life; Property; Surplus Lines Broker</x:v>
      </x:c>
      <x:c r="M5" s="4" t="str">
        <x:v>Accident &amp; Health or Sickness — issued 2010-12-01 | Casualty — issued 2001-09-26 | Life — issued 2010-12-01 | Property — issued 2001-09-26 | Surplus Lines Broker — issued 2008-01-01</x:v>
      </x:c>
      <x:c r="N5" s="4" t="str">
        <x:v>2010-12-01</x:v>
      </x:c>
      <x:c r="O5" s="4" t="n">
        <x:v>15.85</x:v>
      </x:c>
      <x:c r="P5" s="4" t="str">
        <x:v>Yes</x:v>
      </x:c>
      <x:c r="Q5" s="4" t="str">
        <x:v>Yes</x:v>
      </x:c>
      <x:c r="R5" s="4" t="str">
        <x:v>No</x:v>
      </x:c>
      <x:c r="S5" s="4" t="str">
        <x:v>ARCH INDEMNITY INSURANCE COMPANY; ARCH INSURANCE COMPANY; BERKLEY NATIONAL INSURANCE COMPANY; BERKLEY REGIONAL INSURANCE COMPANY; GREAT DIVIDE INSURANCE COMPANY; IMPERIUM INSURANCE COMPANY; NATIONAL UNION FIRE INSURANCE COMPANY OF PITTSBURGH, PA; RIVERPORT INSURANCE COMPANY; SENECA INSURANCE COMPANY, INC.; STARNET INSURANCE COMPANY; TRI-STATE INSURANCE COMPANY OF MINNESOTA</x:v>
      </x:c>
      <x:c r="T5" s="4" t="n">
        <x:v>22</x:v>
      </x:c>
      <x:c r="U5" s="4" t="n">
        <x:v>11</x:v>
      </x:c>
      <x:c r="V5" s="4" t="str"/>
      <x:c r="W5" s="4" t="n">
        <x:v>0</x:v>
      </x:c>
      <x:c r="X5" s="4" t="str">
        <x:v>ARCH INSURANCE COMPANY; NATIONAL UNION FIRE INSURANCE COMPANY OF PITTSBURGH, PA</x:v>
      </x:c>
      <x:c r="Y5" s="4" t="str">
        <x:v>ARCH INDEMNITY INSURANCE COMPANY; ARCH INSURANCE COMPANY; BERKLEY NATIONAL INSURANCE COMPANY; BERKLEY REGIONAL INSURANCE COMPANY; GREAT DIVIDE INSURANCE COMPANY; IMPERIUM INSURANCE COMPANY; RIVERPORT INSURANCE COMPANY; SENECA INSURANCE COMPANY, INC.; STARNET INSURANCE COMPANY; TRI-STATE INSURANCE COMPANY OF MINNESOTA</x:v>
      </x:c>
      <x:c r="Z5" s="4" t="str">
        <x:v>ARCH INDEMNITY INSURANCE COMPANY — Casualty — 2024-04-03 | ARCH INDEMNITY INSURANCE COMPANY — Property — 2024-04-03 | ARCH INSURANCE COMPANY — Accident &amp; Health or Sickness — 2025-06-23 | ARCH INSURANCE COMPANY — Casualty — 2024-04-03 | ARCH INSURANCE COMPANY — Disability Only — 2025-06-23 | ARCH INSURANCE COMPANY — Property — 2024-04-03 | BERKLEY NATIONAL INSURANCE COMPANY — Casualty — 2024-04-24 | BERKLEY NATIONAL INSURANCE COMPANY — Property — 2024-04-24 | BERKLEY REGIONAL INSURANCE COMPANY — Casualty — 2024-04-24 | BERKLEY REGIONAL INSURANCE COMPANY — Property — 2024-04-24 | GREAT DIVIDE INSURANCE COMPANY — Casualty — 2024-04-24 | GREAT DIVIDE INSURANCE COMPANY — Property — 2024-04-24 | IMPERIUM INSURANCE COMPANY — Casualty — 2024-07-30 | IMPERIUM INSURANCE COMPANY — Property — 2024-07-30 | NATIONAL UNION FIRE INSURANCE COMPANY OF PITTSBURGH, PA — Accident &amp; Health or Sickness — 2015-05-05 | RIVERPORT INSURANCE COMPANY — Casualty — 2024-04-24 | RIVERPORT INSURANCE COMPANY — Property — 2024-04-24 | SENECA INSURANCE COMPANY, INC. — Casualty — 2012-07-28 | SENECA INSURANCE COMPANY, INC. — Property — 2012-07-28 | STARNET INSURANCE COMPANY — Casualty — 2024-04-24 | STARNET INSURANCE COMPANY — Property — 2024-04-24 | TRI-STATE INSURANCE COMPANY OF MINNESOTA — Casualty — 2024-04-24</x:v>
      </x:c>
      <x:c r="AA5" s="4" t="str">
        <x:v>CARLYLE SPECIALTY INSURANCE SERVICES LLC</x:v>
      </x:c>
      <x:c r="AB5" s="4" t="n">
        <x:v>1</x:v>
      </x:c>
      <x:c r="AC5" s="4" t="n">
        <x:v>5</x:v>
      </x:c>
      <x:c r="AD5" s="4" t="str">
        <x:v>CARLYLE SPECIALTY INSURANCE SERVICES LLC</x:v>
      </x:c>
      <x:c r="AE5" s="4" t="str">
        <x:v>CARLYLE SPECIALTY INSURANCE SERVICES LLC — Accident &amp; Health or Sickness — 2024-01-22 | CARLYLE SPECIALTY INSURANCE SERVICES LLC — Surplus Lines Broker — 2024-01-22 | CARLYLE SPECIALTY INSURANCE SERVICES LLC — Casualty — 2024-01-22 | CARLYLE SPECIALTY INSURANCE SERVICES LLC — Life — 2024-01-22 | CARLYLE SPECIALTY INSURANCE SERVICES LLC — Property — 2024-01-22</x:v>
      </x:c>
      <x:c r="AF5" s="4" t="str">
        <x:v>2025-06-23</x:v>
      </x:c>
      <x:c r="AG5" s="4" t="str">
        <x:v>imo-final-approval-rules.md (2026-10-08)</x:v>
      </x:c>
    </x:row>
    <x:row r="6" ht="42" customHeight="1">
      <x:c r="A6" s="4" t="str">
        <x:v>AARON WILLIAMS</x:v>
      </x:c>
      <x:c r="B6" s="8" t="str">
        <x:v>Yes</x:v>
      </x:c>
      <x:c r="C6" s="4" t="str">
        <x:v>Active general Life; no displayed agency or insurer relationships; lower priority; no confirmed exclusion.</x:v>
      </x:c>
      <x:c r="D6" s="10" t="e">
        <x:f>HYPERLINK("https://cdicloud.insurance.ca.gov/cal/LicenseDetail?SearchType=IND&amp;SearchLicNbr=0L93589&amp;SearchIndvId=1963035","https://cdicloud.insurance.ca.gov/cal/LicenseDetail?SearchType=IND&amp;SearchLicNbr=0L93589&amp;SearchIndvId=1963035")</x:f>
        <x:v>HYPERLINK is not implemented. linkLocation=https://cdicloud.insurance.ca.gov/cal/LicenseDetail?SearchType=IND&amp;SearchLicNbr=0L93589&amp;SearchIndvId=1963035, friendlyName=https://cdicloud.insurance.ca.gov/cal/LicenseDetail?SearchType=IND&amp;SearchLicNbr=0L93589&amp;SearchIndvId=1963035</x:v>
      </x:c>
      <x:c r="E6" s="9" t="str">
        <x:v>0L93589</x:v>
      </x:c>
      <x:c r="F6" s="4" t="str">
        <x:v>12130 MILLENNIUM STE 300 LOS ANGELES CA, 90094-3156</x:v>
      </x:c>
      <x:c r="G6" s="4" t="str">
        <x:v>310-654-4441</x:v>
      </x:c>
      <x:c r="H6" s="4" t="str">
        <x:v>https://www.google.com/maps/place/12130%20MILLENNIUM%20STE%20300,%20LOS%20ANGELES,%20CA,%20900943156</x:v>
      </x:c>
      <x:c r="I6" s="4" t="str">
        <x:v>90090</x:v>
      </x:c>
      <x:c r="J6" s="4" t="str">
        <x:v>2026-10-08</x:v>
      </x:c>
      <x:c r="K6" s="4" t="str">
        <x:v>English</x:v>
      </x:c>
      <x:c r="L6" s="4" t="str">
        <x:v>Accident &amp; Health or Sickness; Life</x:v>
      </x:c>
      <x:c r="M6" s="4" t="str">
        <x:v>Accident &amp; Health or Sickness — issued 2023-12-01 | Life — issued 2017-09-13</x:v>
      </x:c>
      <x:c r="N6" s="4" t="str">
        <x:v>2017-09-13</x:v>
      </x:c>
      <x:c r="O6" s="4" t="n">
        <x:v>9.07</x:v>
      </x:c>
      <x:c r="P6" s="4" t="str">
        <x:v>Yes</x:v>
      </x:c>
      <x:c r="Q6" s="4" t="str">
        <x:v>No</x:v>
      </x:c>
      <x:c r="R6" s="4" t="str">
        <x:v>No</x:v>
      </x:c>
      <x:c r="S6" s="4" t="str"/>
      <x:c r="T6" s="4" t="n">
        <x:v>0</x:v>
      </x:c>
      <x:c r="U6" s="4" t="n">
        <x:v>0</x:v>
      </x:c>
      <x:c r="V6" s="4" t="str"/>
      <x:c r="W6" s="4" t="n">
        <x:v>0</x:v>
      </x:c>
      <x:c r="X6" s="4" t="str"/>
      <x:c r="Y6" s="4" t="str"/>
      <x:c r="Z6" s="4" t="str"/>
      <x:c r="AA6" s="4" t="str"/>
      <x:c r="AB6" s="4" t="n">
        <x:v>0</x:v>
      </x:c>
      <x:c r="AC6" s="4" t="n">
        <x:v>0</x:v>
      </x:c>
      <x:c r="AD6" s="4" t="str"/>
      <x:c r="AE6" s="4" t="str"/>
      <x:c r="AF6" s="4" t="str"/>
      <x:c r="AG6" s="4" t="str">
        <x:v>imo-final-approval-rules.md (2026-10-08)</x:v>
      </x:c>
    </x:row>
    <x:row r="7" ht="42" customHeight="1">
      <x:c r="A7" s="4" t="str">
        <x:v>ABEL CICCHIELLO</x:v>
      </x:c>
      <x:c r="B7" s="8" t="str">
        <x:v>Yes</x:v>
      </x:c>
      <x:c r="C7" s="4" t="str">
        <x:v>Active general Life; only non-Life or lower-priority relationships displayed; no confirmed exclusion.</x:v>
      </x:c>
      <x:c r="D7" s="10" t="e">
        <x:f>HYPERLINK("https://cdicloud.insurance.ca.gov/cal/LicenseDetail?SearchType=IND&amp;SearchLicNbr=0D52881&amp;SearchIndvId=621509","https://cdicloud.insurance.ca.gov/cal/LicenseDetail?SearchType=IND&amp;SearchLicNbr=0D52881&amp;SearchIndvId=621509")</x:f>
        <x:v>HYPERLINK is not implemented. linkLocation=https://cdicloud.insurance.ca.gov/cal/LicenseDetail?SearchType=IND&amp;SearchLicNbr=0D52881&amp;SearchIndvId=621509, friendlyName=https://cdicloud.insurance.ca.gov/cal/LicenseDetail?SearchType=IND&amp;SearchLicNbr=0D52881&amp;SearchIndvId=621509</x:v>
      </x:c>
      <x:c r="E7" s="9" t="str">
        <x:v>0D52881</x:v>
      </x:c>
      <x:c r="F7" s="4" t="str">
        <x:v>418 N MACLAY AVE SAN FERNANDO CA, 91340</x:v>
      </x:c>
      <x:c r="G7" s="4" t="str">
        <x:v>818-798-0105</x:v>
      </x:c>
      <x:c r="H7" s="4" t="str">
        <x:v>https://www.google.com/maps/place/418%20N%20MACLAY%20AVE,%20SAN%20FERNANDO,%20CA,%2091340</x:v>
      </x:c>
      <x:c r="I7" s="4" t="str">
        <x:v>91333</x:v>
      </x:c>
      <x:c r="J7" s="4" t="str">
        <x:v>2026-10-08</x:v>
      </x:c>
      <x:c r="K7" s="4" t="str">
        <x:v>English</x:v>
      </x:c>
      <x:c r="L7" s="4" t="str">
        <x:v>Accident &amp; Health or Sickness; Casualty; Life; Property</x:v>
      </x:c>
      <x:c r="M7" s="4" t="str">
        <x:v>Accident &amp; Health or Sickness — issued 2006-02-07 | Casualty — issued 2002-01-12 | Life — issued 2006-02-07 | Property — issued 2002-01-12</x:v>
      </x:c>
      <x:c r="N7" s="4" t="str">
        <x:v>2006-02-07</x:v>
      </x:c>
      <x:c r="O7" s="4" t="n">
        <x:v>20.67</x:v>
      </x:c>
      <x:c r="P7" s="4" t="str">
        <x:v>Yes</x:v>
      </x:c>
      <x:c r="Q7" s="4" t="str">
        <x:v>Yes</x:v>
      </x:c>
      <x:c r="R7" s="4" t="str">
        <x:v>No</x:v>
      </x:c>
      <x:c r="S7" s="4" t="str">
        <x:v>AMERICAN MODERN HOME INSURANCE COMPANY; AMERICAN MODERN PROPERTY AND CASUALTY INSURANCE COMPANY; FOREMOST INSURANCE COMPANY GRAND RAPIDS, MICHIGAN; INFINITY INSURANCE COMPANY</x:v>
      </x:c>
      <x:c r="T7" s="4" t="n">
        <x:v>8</x:v>
      </x:c>
      <x:c r="U7" s="4" t="n">
        <x:v>4</x:v>
      </x:c>
      <x:c r="V7" s="4" t="str"/>
      <x:c r="W7" s="4" t="n">
        <x:v>0</x:v>
      </x:c>
      <x:c r="X7" s="4" t="str"/>
      <x:c r="Y7" s="4" t="str">
        <x:v>AMERICAN MODERN HOME INSURANCE COMPANY; AMERICAN MODERN PROPERTY AND CASUALTY INSURANCE COMPANY; FOREMOST INSURANCE COMPANY GRAND RAPIDS, MICHIGAN; INFINITY INSURANCE COMPANY</x:v>
      </x:c>
      <x:c r="Z7" s="4" t="str">
        <x:v>AMERICAN MODERN HOME INSURANCE COMPANY — Casualty — 2022-01-09 | AMERICAN MODERN HOME INSURANCE COMPANY — Property — 2022-01-09 | AMERICAN MODERN PROPERTY AND CASUALTY INSURANCE COMPANY — Casualty — 2022-01-09 | AMERICAN MODERN PROPERTY AND CASUALTY INSURANCE COMPANY — Property — 2022-01-09 | FOREMOST INSURANCE COMPANY GRAND RAPIDS, MICHIGAN — Casualty — 2020-05-11 | FOREMOST INSURANCE COMPANY GRAND RAPIDS, MICHIGAN — Property — 2020-05-11 | INFINITY INSURANCE COMPANY — Casualty — 2023-10-01 | INFINITY INSURANCE COMPANY — Property — 2023-10-01</x:v>
      </x:c>
      <x:c r="AA7" s="4" t="str"/>
      <x:c r="AB7" s="4" t="n">
        <x:v>0</x:v>
      </x:c>
      <x:c r="AC7" s="4" t="n">
        <x:v>0</x:v>
      </x:c>
      <x:c r="AD7" s="4" t="str"/>
      <x:c r="AE7" s="4" t="str"/>
      <x:c r="AF7" s="4" t="str">
        <x:v>2023-10-01</x:v>
      </x:c>
      <x:c r="AG7" s="4" t="str">
        <x:v>imo-final-approval-rules.md (2026-10-08)</x:v>
      </x:c>
    </x:row>
    <x:row r="8" ht="42" customHeight="1">
      <x:c r="A8" s="4" t="str">
        <x:v>ABEL MARTINEZ</x:v>
      </x:c>
      <x:c r="B8" s="8" t="str">
        <x:v>Yes</x:v>
      </x:c>
      <x:c r="C8" s="4" t="str">
        <x:v>Active general Life; Life appointments: AMERICAN GENERAL LIFE INSURANCE COMPANY; AMERICO FINANCIAL LIFE AND ANNUITY INSURANCE COMPANY; MEMBERS LIFE INSURANCE COMPANY; additional insurers listed; no confirmed exclusion.</x:v>
      </x:c>
      <x:c r="D8" s="10" t="e">
        <x:f>HYPERLINK("https://cdicloud.insurance.ca.gov/cal/LicenseDetail?SearchType=IND&amp;SearchLicNbr=4507369&amp;SearchIndvId=4507369","https://cdicloud.insurance.ca.gov/cal/LicenseDetail?SearchType=IND&amp;SearchLicNbr=4507369&amp;SearchIndvId=4507369")</x:f>
        <x:v>HYPERLINK is not implemented. linkLocation=https://cdicloud.insurance.ca.gov/cal/LicenseDetail?SearchType=IND&amp;SearchLicNbr=4507369&amp;SearchIndvId=4507369, friendlyName=https://cdicloud.insurance.ca.gov/cal/LicenseDetail?SearchType=IND&amp;SearchLicNbr=4507369&amp;SearchIndvId=4507369</x:v>
      </x:c>
      <x:c r="E8" s="9" t="str">
        <x:v>4507369</x:v>
      </x:c>
      <x:c r="F8" s="4" t="str">
        <x:v>157 S. VANCOUVER AVE LOS ANGELES CA, 90022</x:v>
      </x:c>
      <x:c r="G8" s="4" t="str">
        <x:v>213-898-5531</x:v>
      </x:c>
      <x:c r="H8" s="4" t="str">
        <x:v>https://www.google.com/maps/place/157%20S.%20VANCOUVER%20AVE,%20LOS%20ANGELES,%20CA,%2090022</x:v>
      </x:c>
      <x:c r="I8" s="4" t="str">
        <x:v>90023 91756</x:v>
      </x:c>
      <x:c r="J8" s="4" t="str">
        <x:v>2026-10-08</x:v>
      </x:c>
      <x:c r="K8" s="4" t="str">
        <x:v>English</x:v>
      </x:c>
      <x:c r="L8" s="4" t="str">
        <x:v>Life</x:v>
      </x:c>
      <x:c r="M8" s="4" t="str">
        <x:v>Life — issued 2025-11-04</x:v>
      </x:c>
      <x:c r="N8" s="4" t="str">
        <x:v>2025-11-04</x:v>
      </x:c>
      <x:c r="O8" s="4" t="n">
        <x:v>0.93</x:v>
      </x:c>
      <x:c r="P8" s="4" t="str">
        <x:v>No</x:v>
      </x:c>
      <x:c r="Q8" s="4" t="str">
        <x:v>No</x:v>
      </x:c>
      <x:c r="R8" s="4" t="str">
        <x:v>No</x:v>
      </x:c>
      <x:c r="S8" s="4" t="str">
        <x:v>AMERICAN GENERAL LIFE INSURANCE COMPANY; AMERICO FINANCIAL LIFE AND ANNUITY INSURANCE COMPANY; MEMBERS LIFE INSURANCE COMPANY; TRANSAMERICA LIFE INSURANCE COMPANY; UNITED OF OMAHA LIFE INSURANCE COMPANY</x:v>
      </x:c>
      <x:c r="T8" s="4" t="n">
        <x:v>5</x:v>
      </x:c>
      <x:c r="U8" s="4" t="n">
        <x:v>5</x:v>
      </x:c>
      <x:c r="V8" s="4" t="str">
        <x:v>AMERICAN GENERAL LIFE INSURANCE COMPANY; AMERICO FINANCIAL LIFE AND ANNUITY INSURANCE COMPANY; MEMBERS LIFE INSURANCE COMPANY; TRANSAMERICA LIFE INSURANCE COMPANY; UNITED OF OMAHA LIFE INSURANCE COMPANY</x:v>
      </x:c>
      <x:c r="W8" s="4" t="n">
        <x:v>5</x:v>
      </x:c>
      <x:c r="X8" s="4" t="str"/>
      <x:c r="Y8" s="4" t="str"/>
      <x:c r="Z8" s="4" t="str">
        <x:v>AMERICAN GENERAL LIFE INSURANCE COMPANY — Life — 2026-01-27 | AMERICO FINANCIAL LIFE AND ANNUITY INSURANCE COMPANY — Life — 2025-11-17 | MEMBERS LIFE INSURANCE COMPANY — Life — 2026-02-04 | TRANSAMERICA LIFE INSURANCE COMPANY — Life — 2025-11-13 | UNITED OF OMAHA LIFE INSURANCE COMPANY — Life — 2025-11-04</x:v>
      </x:c>
      <x:c r="AA8" s="4" t="str"/>
      <x:c r="AB8" s="4" t="n">
        <x:v>0</x:v>
      </x:c>
      <x:c r="AC8" s="4" t="n">
        <x:v>0</x:v>
      </x:c>
      <x:c r="AD8" s="4" t="str"/>
      <x:c r="AE8" s="4" t="str"/>
      <x:c r="AF8" s="4" t="str">
        <x:v>2026-02-04</x:v>
      </x:c>
      <x:c r="AG8" s="4" t="str">
        <x:v>imo-final-approval-rules.md (2026-10-08)</x:v>
      </x:c>
    </x:row>
    <x:row r="9" ht="42" customHeight="1">
      <x:c r="A9" s="4" t="str">
        <x:v>ABELARDO DIAZ</x:v>
      </x:c>
      <x:c r="B9" s="8" t="str">
        <x:v>Yes</x:v>
      </x:c>
      <x:c r="C9" s="4" t="str">
        <x:v>Active general Life; Life appointments: NATIONWIDE LIFE AND ANNUITY INSURANCE COMPANY; NORTH AMERICAN COMPANY FOR LIFE AND HEALTH INSURANCE; no confirmed exclusion.</x:v>
      </x:c>
      <x:c r="D9" s="10" t="e">
        <x:f>HYPERLINK("https://cdicloud.insurance.ca.gov/cal/LicenseDetail?SearchType=IND&amp;SearchLicNbr=0I44731&amp;SearchIndvId=1590576","https://cdicloud.insurance.ca.gov/cal/LicenseDetail?SearchType=IND&amp;SearchLicNbr=0I44731&amp;SearchIndvId=1590576")</x:f>
        <x:v>HYPERLINK is not implemented. linkLocation=https://cdicloud.insurance.ca.gov/cal/LicenseDetail?SearchType=IND&amp;SearchLicNbr=0I44731&amp;SearchIndvId=1590576, friendlyName=https://cdicloud.insurance.ca.gov/cal/LicenseDetail?SearchType=IND&amp;SearchLicNbr=0I44731&amp;SearchIndvId=1590576</x:v>
      </x:c>
      <x:c r="E9" s="9" t="str">
        <x:v>0I44731</x:v>
      </x:c>
      <x:c r="F9" s="4" t="str">
        <x:v>9625 HAYVENHURST AVE NORTHRIDGE CA, 91343</x:v>
      </x:c>
      <x:c r="G9" s="4" t="str">
        <x:v>818-770-8849</x:v>
      </x:c>
      <x:c r="H9" s="4" t="str">
        <x:v>https://www.google.com/maps/place/9625%20HAYVENHURST%20AVE,%20NORTHRIDGE,%20CA,%2091343</x:v>
      </x:c>
      <x:c r="I9" s="4" t="str">
        <x:v>91325</x:v>
      </x:c>
      <x:c r="J9" s="4" t="str">
        <x:v>2026-10-08</x:v>
      </x:c>
      <x:c r="K9" s="4" t="str">
        <x:v>English</x:v>
      </x:c>
      <x:c r="L9" s="4" t="str">
        <x:v>Accident &amp; Health or Sickness; Life</x:v>
      </x:c>
      <x:c r="M9" s="4" t="str">
        <x:v>Accident &amp; Health or Sickness — issued 2026-07-16 | Life — issued 2026-07-16</x:v>
      </x:c>
      <x:c r="N9" s="4" t="str">
        <x:v>2026-07-16</x:v>
      </x:c>
      <x:c r="O9" s="4" t="n">
        <x:v>0.23</x:v>
      </x:c>
      <x:c r="P9" s="4" t="str">
        <x:v>Yes</x:v>
      </x:c>
      <x:c r="Q9" s="4" t="str">
        <x:v>No</x:v>
      </x:c>
      <x:c r="R9" s="4" t="str">
        <x:v>No</x:v>
      </x:c>
      <x:c r="S9" s="4" t="str">
        <x:v>NATIONWIDE LIFE AND ANNUITY INSURANCE COMPANY; NORTH AMERICAN COMPANY FOR LIFE AND HEALTH INSURANCE</x:v>
      </x:c>
      <x:c r="T9" s="4" t="n">
        <x:v>3</x:v>
      </x:c>
      <x:c r="U9" s="4" t="n">
        <x:v>2</x:v>
      </x:c>
      <x:c r="V9" s="4" t="str">
        <x:v>NATIONWIDE LIFE AND ANNUITY INSURANCE COMPANY; NORTH AMERICAN COMPANY FOR LIFE AND HEALTH INSURANCE</x:v>
      </x:c>
      <x:c r="W9" s="4" t="n">
        <x:v>2</x:v>
      </x:c>
      <x:c r="X9" s="4" t="str">
        <x:v>NATIONWIDE LIFE AND ANNUITY INSURANCE COMPANY</x:v>
      </x:c>
      <x:c r="Y9" s="4" t="str"/>
      <x:c r="Z9" s="4" t="str">
        <x:v>NATIONWIDE LIFE AND ANNUITY INSURANCE COMPANY — Accident &amp; Health or Sickness — 2026-08-04 | NATIONWIDE LIFE AND ANNUITY INSURANCE COMPANY — Life — 2026-08-04 | NORTH AMERICAN COMPANY FOR LIFE AND HEALTH INSURANCE — Life — 2026-09-10</x:v>
      </x:c>
      <x:c r="AA9" s="4" t="str"/>
      <x:c r="AB9" s="4" t="n">
        <x:v>0</x:v>
      </x:c>
      <x:c r="AC9" s="4" t="n">
        <x:v>0</x:v>
      </x:c>
      <x:c r="AD9" s="4" t="str"/>
      <x:c r="AE9" s="4" t="str"/>
      <x:c r="AF9" s="4" t="str">
        <x:v>2026-09-10</x:v>
      </x:c>
      <x:c r="AG9" s="4" t="str">
        <x:v>imo-final-approval-rules.md (2026-10-08)</x:v>
      </x:c>
    </x:row>
    <x:row r="10" ht="42" customHeight="1">
      <x:c r="A10" s="4" t="str">
        <x:v>ABIGAIL LOPEZ</x:v>
      </x:c>
      <x:c r="B10" s="8" t="str">
        <x:v>Yes</x:v>
      </x:c>
      <x:c r="C10" s="4" t="str">
        <x:v>Active general Life; no displayed agency or insurer relationships; lower priority; no confirmed exclusion.</x:v>
      </x:c>
      <x:c r="D10" s="10" t="e">
        <x:f>HYPERLINK("https://cdicloud.insurance.ca.gov/cal/LicenseDetail?SearchType=IND&amp;SearchLicNbr=4513650&amp;SearchIndvId=4513650","https://cdicloud.insurance.ca.gov/cal/LicenseDetail?SearchType=IND&amp;SearchLicNbr=4513650&amp;SearchIndvId=4513650")</x:f>
        <x:v>HYPERLINK is not implemented. linkLocation=https://cdicloud.insurance.ca.gov/cal/LicenseDetail?SearchType=IND&amp;SearchLicNbr=4513650&amp;SearchIndvId=4513650, friendlyName=https://cdicloud.insurance.ca.gov/cal/LicenseDetail?SearchType=IND&amp;SearchLicNbr=4513650&amp;SearchIndvId=4513650</x:v>
      </x:c>
      <x:c r="E10" s="9" t="str">
        <x:v>4513650</x:v>
      </x:c>
      <x:c r="F10" s="4" t="str">
        <x:v>9521 LAUREL CANYON BLVD APT 13 ARLETA CA, 91331</x:v>
      </x:c>
      <x:c r="G10" s="4" t="str">
        <x:v>213-834-1784</x:v>
      </x:c>
      <x:c r="H10" s="4" t="str">
        <x:v>https://www.google.com/maps/place/9521%20LAUREL%20CANYON%20BLVD,%20ARLETA,%20CA,%2091331</x:v>
      </x:c>
      <x:c r="I10" s="4" t="str">
        <x:v>91333</x:v>
      </x:c>
      <x:c r="J10" s="4" t="str">
        <x:v>2026-10-08</x:v>
      </x:c>
      <x:c r="K10" s="4" t="str">
        <x:v>English</x:v>
      </x:c>
      <x:c r="L10" s="4" t="str">
        <x:v>Accident &amp; Health or Sickness; Life</x:v>
      </x:c>
      <x:c r="M10" s="4" t="str">
        <x:v>Accident &amp; Health or Sickness — issued 2025-12-03 | Life — issued 2025-12-03</x:v>
      </x:c>
      <x:c r="N10" s="4" t="str">
        <x:v>2025-12-03</x:v>
      </x:c>
      <x:c r="O10" s="4" t="n">
        <x:v>0.85</x:v>
      </x:c>
      <x:c r="P10" s="4" t="str">
        <x:v>Yes</x:v>
      </x:c>
      <x:c r="Q10" s="4" t="str">
        <x:v>No</x:v>
      </x:c>
      <x:c r="R10" s="4" t="str">
        <x:v>No</x:v>
      </x:c>
      <x:c r="S10" s="4" t="str"/>
      <x:c r="T10" s="4" t="n">
        <x:v>0</x:v>
      </x:c>
      <x:c r="U10" s="4" t="n">
        <x:v>0</x:v>
      </x:c>
      <x:c r="V10" s="4" t="str"/>
      <x:c r="W10" s="4" t="n">
        <x:v>0</x:v>
      </x:c>
      <x:c r="X10" s="4" t="str"/>
      <x:c r="Y10" s="4" t="str"/>
      <x:c r="Z10" s="4" t="str"/>
      <x:c r="AA10" s="4" t="str"/>
      <x:c r="AB10" s="4" t="n">
        <x:v>0</x:v>
      </x:c>
      <x:c r="AC10" s="4" t="n">
        <x:v>0</x:v>
      </x:c>
      <x:c r="AD10" s="4" t="str"/>
      <x:c r="AE10" s="4" t="str"/>
      <x:c r="AF10" s="4" t="str"/>
      <x:c r="AG10" s="4" t="str">
        <x:v>imo-final-approval-rules.md (2026-10-08)</x:v>
      </x:c>
    </x:row>
    <x:row r="11" ht="42" customHeight="1">
      <x:c r="A11" s="4" t="str">
        <x:v>ABISHAI COX</x:v>
      </x:c>
      <x:c r="B11" s="8" t="str">
        <x:v>Yes</x:v>
      </x:c>
      <x:c r="C11" s="4" t="str">
        <x:v>Active general Life; Life appointments: AMERICAN-AMICABLE LIFE INSURANCE COMPANY OF TEXAS; INDEPENDENT ORDER OF FORESTERS (THE); no confirmed exclusion.</x:v>
      </x:c>
      <x:c r="D11" s="10" t="e">
        <x:f>HYPERLINK("https://cdicloud.insurance.ca.gov/cal/LicenseDetail?SearchType=IND&amp;SearchLicNbr=4227077&amp;SearchIndvId=4227077","https://cdicloud.insurance.ca.gov/cal/LicenseDetail?SearchType=IND&amp;SearchLicNbr=4227077&amp;SearchIndvId=4227077")</x:f>
        <x:v>HYPERLINK is not implemented. linkLocation=https://cdicloud.insurance.ca.gov/cal/LicenseDetail?SearchType=IND&amp;SearchLicNbr=4227077&amp;SearchIndvId=4227077, friendlyName=https://cdicloud.insurance.ca.gov/cal/LicenseDetail?SearchType=IND&amp;SearchLicNbr=4227077&amp;SearchIndvId=4227077</x:v>
      </x:c>
      <x:c r="E11" s="9" t="str">
        <x:v>4227077</x:v>
      </x:c>
      <x:c r="F11" s="4" t="str">
        <x:v>928 N WESTERN AVE LOS ANGELES CA, 90029-3795</x:v>
      </x:c>
      <x:c r="G11" s="4" t="str">
        <x:v>360-763-2536</x:v>
      </x:c>
      <x:c r="H11" s="4" t="str">
        <x:v>https://www.google.com/maps/place/928%20N%20WESTERN%20AVE,%20LOS%20ANGELES,%20CA,%20900293795</x:v>
      </x:c>
      <x:c r="I11" s="4" t="str">
        <x:v>90028</x:v>
      </x:c>
      <x:c r="J11" s="4" t="str">
        <x:v>2026-10-08</x:v>
      </x:c>
      <x:c r="K11" s="4" t="str">
        <x:v>English</x:v>
      </x:c>
      <x:c r="L11" s="4" t="str">
        <x:v>Accident &amp; Health or Sickness; Life</x:v>
      </x:c>
      <x:c r="M11" s="4" t="str">
        <x:v>Accident &amp; Health or Sickness — issued 2022-10-10 | Life — issued 2022-10-10</x:v>
      </x:c>
      <x:c r="N11" s="4" t="str">
        <x:v>2022-10-10</x:v>
      </x:c>
      <x:c r="O11" s="4" t="n">
        <x:v>3.99</x:v>
      </x:c>
      <x:c r="P11" s="4" t="str">
        <x:v>Yes</x:v>
      </x:c>
      <x:c r="Q11" s="4" t="str">
        <x:v>No</x:v>
      </x:c>
      <x:c r="R11" s="4" t="str">
        <x:v>No</x:v>
      </x:c>
      <x:c r="S11" s="4" t="str">
        <x:v>AMERICAN-AMICABLE LIFE INSURANCE COMPANY OF TEXAS; INDEPENDENT ORDER OF FORESTERS (THE)</x:v>
      </x:c>
      <x:c r="T11" s="4" t="n">
        <x:v>2</x:v>
      </x:c>
      <x:c r="U11" s="4" t="n">
        <x:v>2</x:v>
      </x:c>
      <x:c r="V11" s="4" t="str">
        <x:v>AMERICAN-AMICABLE LIFE INSURANCE COMPANY OF TEXAS; INDEPENDENT ORDER OF FORESTERS (THE)</x:v>
      </x:c>
      <x:c r="W11" s="4" t="n">
        <x:v>2</x:v>
      </x:c>
      <x:c r="X11" s="4" t="str"/>
      <x:c r="Y11" s="4" t="str"/>
      <x:c r="Z11" s="4" t="str">
        <x:v>AMERICAN-AMICABLE LIFE INSURANCE COMPANY OF TEXAS — Life — 2024-11-04 | INDEPENDENT ORDER OF FORESTERS (THE) — Life — 2026-03-04</x:v>
      </x:c>
      <x:c r="AA11" s="4" t="str"/>
      <x:c r="AB11" s="4" t="n">
        <x:v>0</x:v>
      </x:c>
      <x:c r="AC11" s="4" t="n">
        <x:v>0</x:v>
      </x:c>
      <x:c r="AD11" s="4" t="str"/>
      <x:c r="AE11" s="4" t="str"/>
      <x:c r="AF11" s="4" t="str">
        <x:v>2026-03-04</x:v>
      </x:c>
      <x:c r="AG11" s="4" t="str">
        <x:v>imo-final-approval-rules.md (2026-10-08)</x:v>
      </x:c>
    </x:row>
    <x:row r="12" ht="42" customHeight="1">
      <x:c r="A12" s="4" t="str">
        <x:v>ABNER CORDOVA</x:v>
      </x:c>
      <x:c r="B12" s="8" t="str">
        <x:v>Yes</x:v>
      </x:c>
      <x:c r="C12" s="4" t="str">
        <x:v>Active general Life; Life appointments: AMERICAN FAMILY LIFE INSURANCE COMPANY OF COLUMBUS; AMERICAN HERITAGE LIFE INSURANCE COMPANY; BANNER LIFE INSURANCE COMPANY; additional insurers listed; no confirmed exclusion.</x:v>
      </x:c>
      <x:c r="D12" s="10" t="e">
        <x:f>HYPERLINK("https://cdicloud.insurance.ca.gov/cal/LicenseDetail?SearchType=IND&amp;SearchLicNbr=4308584&amp;SearchIndvId=4308584","https://cdicloud.insurance.ca.gov/cal/LicenseDetail?SearchType=IND&amp;SearchLicNbr=4308584&amp;SearchIndvId=4308584")</x:f>
        <x:v>HYPERLINK is not implemented. linkLocation=https://cdicloud.insurance.ca.gov/cal/LicenseDetail?SearchType=IND&amp;SearchLicNbr=4308584&amp;SearchIndvId=4308584, friendlyName=https://cdicloud.insurance.ca.gov/cal/LicenseDetail?SearchType=IND&amp;SearchLicNbr=4308584&amp;SearchIndvId=4308584</x:v>
      </x:c>
      <x:c r="E12" s="9" t="str">
        <x:v>4308584</x:v>
      </x:c>
      <x:c r="F12" s="4" t="str">
        <x:v>6167 BRISTOL PARKWAY SUITE 390 CULVER CITY CA, 90230</x:v>
      </x:c>
      <x:c r="G12" s="4" t="str"/>
      <x:c r="H12" s="4" t="str">
        <x:v>https://www.google.com/maps/place/6167%20BRISTOL%20PARKWAY,%20CULVER%20CITY,%20CA,%2090230</x:v>
      </x:c>
      <x:c r="I12" s="4" t="str">
        <x:v>90230</x:v>
      </x:c>
      <x:c r="J12" s="4" t="str">
        <x:v>2026-10-08</x:v>
      </x:c>
      <x:c r="K12" s="4" t="str">
        <x:v>English</x:v>
      </x:c>
      <x:c r="L12" s="4" t="str">
        <x:v>Accident &amp; Health or Sickness; Life</x:v>
      </x:c>
      <x:c r="M12" s="4" t="str">
        <x:v>Accident &amp; Health or Sickness — issued 2023-08-11 | Life — issued 2023-08-11</x:v>
      </x:c>
      <x:c r="N12" s="4" t="str">
        <x:v>2023-08-11</x:v>
      </x:c>
      <x:c r="O12" s="4" t="n">
        <x:v>3.16</x:v>
      </x:c>
      <x:c r="P12" s="4" t="str">
        <x:v>Yes</x:v>
      </x:c>
      <x:c r="Q12" s="4" t="str">
        <x:v>No</x:v>
      </x:c>
      <x:c r="R12" s="4" t="str">
        <x:v>No</x:v>
      </x:c>
      <x:c r="S12" s="4" t="str">
        <x:v>AMERICAN FAMILY LIFE INSURANCE COMPANY OF COLUMBUS; AMERICAN HERITAGE LIFE INSURANCE COMPANY; BANNER LIFE INSURANCE COMPANY; COLONIAL LIFE &amp; ACCIDENT INSURANCE COMPANY; CONTINENTAL AMERICAN INSURANCE COMPANY; MANHATTANLIFE INSURANCE AND ANNUITY COMPANY</x:v>
      </x:c>
      <x:c r="T12" s="4" t="n">
        <x:v>13</x:v>
      </x:c>
      <x:c r="U12" s="4" t="n">
        <x:v>6</x:v>
      </x:c>
      <x:c r="V12" s="4" t="str">
        <x:v>AMERICAN FAMILY LIFE INSURANCE COMPANY OF COLUMBUS; AMERICAN HERITAGE LIFE INSURANCE COMPANY; BANNER LIFE INSURANCE COMPANY; COLONIAL LIFE &amp; ACCIDENT INSURANCE COMPANY; CONTINENTAL AMERICAN INSURANCE COMPANY; MANHATTANLIFE INSURANCE AND ANNUITY COMPANY</x:v>
      </x:c>
      <x:c r="W12" s="4" t="n">
        <x:v>6</x:v>
      </x:c>
      <x:c r="X12" s="4" t="str">
        <x:v>AMERICAN FAMILY LIFE INSURANCE COMPANY OF COLUMBUS; AMERICAN HERITAGE LIFE INSURANCE COMPANY; COLONIAL LIFE &amp; ACCIDENT INSURANCE COMPANY; CONTINENTAL AMERICAN INSURANCE COMPANY; MANHATTANLIFE INSURANCE AND ANNUITY COMPANY</x:v>
      </x:c>
      <x:c r="Y12" s="4" t="str"/>
      <x:c r="Z12" s="4" t="str">
        <x:v>AMERICAN FAMILY LIFE INSURANCE COMPANY OF COLUMBUS — Accident &amp; Health or Sickness — 2023-08-11 | AMERICAN FAMILY LIFE INSURANCE COMPANY OF COLUMBUS — Life — 2023-08-11 | AMERICAN HERITAGE LIFE INSURANCE COMPANY — Accident &amp; Health or Sickness — 2024-01-03 | AMERICAN HERITAGE LIFE INSURANCE COMPANY — Disability Only — 2024-01-03 | AMERICAN HERITAGE LIFE INSURANCE COMPANY — Life — 2024-01-03 | BANNER LIFE INSURANCE COMPANY — Life — 2025-04-23 | COLONIAL LIFE &amp; ACCIDENT INSURANCE COMPANY — Accident &amp; Health or Sickness — 2025-08-30 | COLONIAL LIFE &amp; ACCIDENT INSURANCE COMPANY — Life — 2025-08-30 | CONTINENTAL AMERICAN INSURANCE COMPANY — Accident &amp; Health or Sickness — 2024-04-11 | CONTINENTAL AMERICAN INSURANCE COMPANY — Disability Only — 2024-04-11 | CONTINENTAL AMERICAN INSURANCE COMPANY — Life — 2024-04-11 | MANHATTANLIFE INSURANCE AND ANNUITY COMPANY — Accident &amp; Health or Sickness — 2023-11-20 | MANHATTANLIFE INSURANCE AND ANNUITY COMPANY — Life — 2023-11-20</x:v>
      </x:c>
      <x:c r="AA12" s="4" t="str"/>
      <x:c r="AB12" s="4" t="n">
        <x:v>0</x:v>
      </x:c>
      <x:c r="AC12" s="4" t="n">
        <x:v>0</x:v>
      </x:c>
      <x:c r="AD12" s="4" t="str"/>
      <x:c r="AE12" s="4" t="str"/>
      <x:c r="AF12" s="4" t="str">
        <x:v>2025-08-30</x:v>
      </x:c>
      <x:c r="AG12" s="4" t="str">
        <x:v>imo-final-approval-rules.md (2026-10-08)</x:v>
      </x:c>
    </x:row>
    <x:row r="13" ht="42" customHeight="1">
      <x:c r="A13" s="4" t="str">
        <x:v>ABNER YANES BARILLAS</x:v>
      </x:c>
      <x:c r="B13" s="8" t="str">
        <x:v>Yes</x:v>
      </x:c>
      <x:c r="C13" s="4" t="str">
        <x:v>Active general Life; Life appointments: AMERICAN NATIONAL INSURANCE COMPANY; FIDELITY &amp; GUARANTY LIFE INSURANCE COMPANY; GREAT WESTERN INSURANCE COMPANY; additional insurers listed; no confirmed exclusion.</x:v>
      </x:c>
      <x:c r="D13" s="10" t="e">
        <x:f>HYPERLINK("https://cdicloud.insurance.ca.gov/cal/LicenseDetail?SearchType=IND&amp;SearchLicNbr=4345308&amp;SearchIndvId=4345308","https://cdicloud.insurance.ca.gov/cal/LicenseDetail?SearchType=IND&amp;SearchLicNbr=4345308&amp;SearchIndvId=4345308")</x:f>
        <x:v>HYPERLINK is not implemented. linkLocation=https://cdicloud.insurance.ca.gov/cal/LicenseDetail?SearchType=IND&amp;SearchLicNbr=4345308&amp;SearchIndvId=4345308, friendlyName=https://cdicloud.insurance.ca.gov/cal/LicenseDetail?SearchType=IND&amp;SearchLicNbr=4345308&amp;SearchIndvId=4345308</x:v>
      </x:c>
      <x:c r="E13" s="9" t="str">
        <x:v>4345308</x:v>
      </x:c>
      <x:c r="F13" s="4" t="str">
        <x:v>2031 E 65TH ST LOS ANGELES CA, 90001-2112</x:v>
      </x:c>
      <x:c r="G13" s="4" t="str">
        <x:v>323-457-9609</x:v>
      </x:c>
      <x:c r="H13" s="4" t="str">
        <x:v>https://www.google.com/maps/place/2031%20E%2065TH%20ST,%20LOS%20ANGELES,%20CA,%20900012112</x:v>
      </x:c>
      <x:c r="I13" s="4" t="str">
        <x:v>90001</x:v>
      </x:c>
      <x:c r="J13" s="4" t="str">
        <x:v>2026-10-08</x:v>
      </x:c>
      <x:c r="K13" s="4" t="str">
        <x:v>English</x:v>
      </x:c>
      <x:c r="L13" s="4" t="str">
        <x:v>Life</x:v>
      </x:c>
      <x:c r="M13" s="4" t="str">
        <x:v>Life — issued 2023-12-05</x:v>
      </x:c>
      <x:c r="N13" s="4" t="str">
        <x:v>2023-12-05</x:v>
      </x:c>
      <x:c r="O13" s="4" t="n">
        <x:v>2.84</x:v>
      </x:c>
      <x:c r="P13" s="4" t="str">
        <x:v>No</x:v>
      </x:c>
      <x:c r="Q13" s="4" t="str">
        <x:v>No</x:v>
      </x:c>
      <x:c r="R13" s="4" t="str">
        <x:v>No</x:v>
      </x:c>
      <x:c r="S13" s="4" t="str">
        <x:v>AMERICAN NATIONAL INSURANCE COMPANY; FIDELITY &amp; GUARANTY LIFE INSURANCE COMPANY; GREAT WESTERN INSURANCE COMPANY; SILAC INSURANCE COMPANY; TRANSAMERICA LIFE INSURANCE COMPANY</x:v>
      </x:c>
      <x:c r="T13" s="4" t="n">
        <x:v>5</x:v>
      </x:c>
      <x:c r="U13" s="4" t="n">
        <x:v>5</x:v>
      </x:c>
      <x:c r="V13" s="4" t="str">
        <x:v>AMERICAN NATIONAL INSURANCE COMPANY; FIDELITY &amp; GUARANTY LIFE INSURANCE COMPANY; GREAT WESTERN INSURANCE COMPANY; SILAC INSURANCE COMPANY; TRANSAMERICA LIFE INSURANCE COMPANY</x:v>
      </x:c>
      <x:c r="W13" s="4" t="n">
        <x:v>5</x:v>
      </x:c>
      <x:c r="X13" s="4" t="str"/>
      <x:c r="Y13" s="4" t="str"/>
      <x:c r="Z13" s="4" t="str">
        <x:v>AMERICAN NATIONAL INSURANCE COMPANY — Life — 2023-12-11 | FIDELITY &amp; GUARANTY LIFE INSURANCE COMPANY — Life — 2023-12-11 | GREAT WESTERN INSURANCE COMPANY — Life — 2024-05-08 | SILAC INSURANCE COMPANY — Life — 2024-09-15 | TRANSAMERICA LIFE INSURANCE COMPANY — Life — 2026-06-26</x:v>
      </x:c>
      <x:c r="AA13" s="4" t="str"/>
      <x:c r="AB13" s="4" t="n">
        <x:v>0</x:v>
      </x:c>
      <x:c r="AC13" s="4" t="n">
        <x:v>0</x:v>
      </x:c>
      <x:c r="AD13" s="4" t="str"/>
      <x:c r="AE13" s="4" t="str"/>
      <x:c r="AF13" s="4" t="str">
        <x:v>2026-06-26</x:v>
      </x:c>
      <x:c r="AG13" s="4" t="str">
        <x:v>imo-final-approval-rules.md (2026-10-08)</x:v>
      </x:c>
    </x:row>
    <x:row r="14" ht="42" customHeight="1">
      <x:c r="A14" s="4" t="str">
        <x:v>ABRAHAM KERYAN</x:v>
      </x:c>
      <x:c r="B14" s="8" t="str">
        <x:v>Yes</x:v>
      </x:c>
      <x:c r="C14" s="4" t="str">
        <x:v>Active general Life; Life agency relationship: PRIMERICA FINANCIAL SERVICES INSURANCE MARKETING, INC.; no confirmed exclusion.</x:v>
      </x:c>
      <x:c r="D14" s="10" t="e">
        <x:f>HYPERLINK("https://cdicloud.insurance.ca.gov/cal/LicenseDetail?SearchType=IND&amp;SearchLicNbr=0D84696&amp;SearchIndvId=823148","https://cdicloud.insurance.ca.gov/cal/LicenseDetail?SearchType=IND&amp;SearchLicNbr=0D84696&amp;SearchIndvId=823148")</x:f>
        <x:v>HYPERLINK is not implemented. linkLocation=https://cdicloud.insurance.ca.gov/cal/LicenseDetail?SearchType=IND&amp;SearchLicNbr=0D84696&amp;SearchIndvId=823148, friendlyName=https://cdicloud.insurance.ca.gov/cal/LicenseDetail?SearchType=IND&amp;SearchLicNbr=0D84696&amp;SearchIndvId=823148</x:v>
      </x:c>
      <x:c r="E14" s="9" t="str">
        <x:v>0D84696</x:v>
      </x:c>
      <x:c r="F14" s="4" t="str">
        <x:v>533 N VICTORY BLVD BURBANK CA, 91502</x:v>
      </x:c>
      <x:c r="G14" s="4" t="str"/>
      <x:c r="H14" s="4" t="str">
        <x:v>https://www.google.com/maps/place/533%20N%20VICTORY%20BLVD,%20BURBANK,%20CA,%2091502</x:v>
      </x:c>
      <x:c r="I14" s="4" t="str">
        <x:v>91204</x:v>
      </x:c>
      <x:c r="J14" s="4" t="str">
        <x:v>2026-10-08</x:v>
      </x:c>
      <x:c r="K14" s="4" t="str">
        <x:v>English; Russian; Armenian</x:v>
      </x:c>
      <x:c r="L14" s="4" t="str">
        <x:v>Accident &amp; Health or Sickness; Life</x:v>
      </x:c>
      <x:c r="M14" s="4" t="str">
        <x:v>Accident &amp; Health or Sickness — issued 2002-12-20 | Life — issued 2002-12-20</x:v>
      </x:c>
      <x:c r="N14" s="4" t="str">
        <x:v>2002-12-20</x:v>
      </x:c>
      <x:c r="O14" s="4" t="n">
        <x:v>23.8</x:v>
      </x:c>
      <x:c r="P14" s="4" t="str">
        <x:v>Yes</x:v>
      </x:c>
      <x:c r="Q14" s="4" t="str">
        <x:v>No</x:v>
      </x:c>
      <x:c r="R14" s="4" t="str">
        <x:v>No</x:v>
      </x:c>
      <x:c r="S14" s="4" t="str">
        <x:v>AMERICAN FAMILY LIFE ASSURANCE COMPANY OF COLUMBUS; AMERICAN GENERAL LIFE INSURANCE COMPANY; ANTHEM BLUE CROSS LIFE AND HEALTH INSURANCE COMPANY; NATIONWIDE LIFE AND ANNUITY INSURANCE COMPANY; PRINCIPAL LIFE INSURANCE COMPANY</x:v>
      </x:c>
      <x:c r="T14" s="4" t="n">
        <x:v>10</x:v>
      </x:c>
      <x:c r="U14" s="4" t="n">
        <x:v>5</x:v>
      </x:c>
      <x:c r="V14" s="4" t="str">
        <x:v>AMERICAN FAMILY LIFE ASSURANCE COMPANY OF COLUMBUS; AMERICAN GENERAL LIFE INSURANCE COMPANY; ANTHEM BLUE CROSS LIFE AND HEALTH INSURANCE COMPANY; NATIONWIDE LIFE AND ANNUITY INSURANCE COMPANY; PRINCIPAL LIFE INSURANCE COMPANY</x:v>
      </x:c>
      <x:c r="W14" s="4" t="n">
        <x:v>5</x:v>
      </x:c>
      <x:c r="X14" s="4" t="str">
        <x:v>AMERICAN FAMILY LIFE ASSURANCE COMPANY OF COLUMBUS; AMERICAN GENERAL LIFE INSURANCE COMPANY; ANTHEM BLUE CROSS LIFE AND HEALTH INSURANCE COMPANY; NATIONWIDE LIFE AND ANNUITY INSURANCE COMPANY; PRINCIPAL LIFE INSURANCE COMPANY</x:v>
      </x:c>
      <x:c r="Y14" s="4" t="str"/>
      <x:c r="Z14" s="4" t="str">
        <x:v>AMERICAN FAMILY LIFE ASSURANCE COMPANY OF COLUMBUS — Accident &amp; Health or Sickness — 2021-02-22 | AMERICAN FAMILY LIFE ASSURANCE COMPANY OF COLUMBUS — Life — 2021-02-22 | AMERICAN GENERAL LIFE INSURANCE COMPANY — Accident &amp; Health or Sickness — 2011-06-17 | AMERICAN GENERAL LIFE INSURANCE COMPANY — Life — 2011-06-17 | ANTHEM BLUE CROSS LIFE AND HEALTH INSURANCE COMPANY — Accident &amp; Health or Sickness — 2011-06-09 | ANTHEM BLUE CROSS LIFE AND HEALTH INSURANCE COMPANY — Life — 2011-06-09 | NATIONWIDE LIFE AND ANNUITY INSURANCE COMPANY — Accident &amp; Health or Sickness — 2021-10-04 | NATIONWIDE LIFE AND ANNUITY INSURANCE COMPANY — Life — 2021-10-04 | PRINCIPAL LIFE INSURANCE COMPANY — Accident &amp; Health or Sickness — 2011-11-23 | PRINCIPAL LIFE INSURANCE COMPANY — Life — 2011-11-23</x:v>
      </x:c>
      <x:c r="AA14" s="4" t="str">
        <x:v>PRIMERICA FINANCIAL SERVICES INSURANCE MARKETING, INC.</x:v>
      </x:c>
      <x:c r="AB14" s="4" t="n">
        <x:v>1</x:v>
      </x:c>
      <x:c r="AC14" s="4" t="n">
        <x:v>2</x:v>
      </x:c>
      <x:c r="AD14" s="4" t="str">
        <x:v>PRIMERICA FINANCIAL SERVICES INSURANCE MARKETING, INC.</x:v>
      </x:c>
      <x:c r="AE14" s="4" t="str">
        <x:v>PRIMERICA FINANCIAL SERVICES INSURANCE MARKETING, INC. — Accident &amp; Health or Sickness — 2015-08-10 | PRIMERICA FINANCIAL SERVICES INSURANCE MARKETING, INC. — Life — 2015-08-10</x:v>
      </x:c>
      <x:c r="AF14" s="4" t="str">
        <x:v>2021-10-04</x:v>
      </x:c>
      <x:c r="AG14" s="4" t="str">
        <x:v>imo-final-approval-rules.md (2026-10-08)</x:v>
      </x:c>
    </x:row>
    <x:row r="15" ht="42" customHeight="1">
      <x:c r="A15" s="4" t="str">
        <x:v>ABRAHAM MENDOZA</x:v>
      </x:c>
      <x:c r="B15" s="8" t="str">
        <x:v>Yes</x:v>
      </x:c>
      <x:c r="C15" s="4" t="str">
        <x:v>Active general Life; no displayed agency or insurer relationships; lower priority; no confirmed exclusion.</x:v>
      </x:c>
      <x:c r="D15" s="10" t="e">
        <x:f>HYPERLINK("https://cdicloud.insurance.ca.gov/cal/LicenseDetail?SearchType=IND&amp;SearchLicNbr=0F88104&amp;SearchIndvId=1110009","https://cdicloud.insurance.ca.gov/cal/LicenseDetail?SearchType=IND&amp;SearchLicNbr=0F88104&amp;SearchIndvId=1110009")</x:f>
        <x:v>HYPERLINK is not implemented. linkLocation=https://cdicloud.insurance.ca.gov/cal/LicenseDetail?SearchType=IND&amp;SearchLicNbr=0F88104&amp;SearchIndvId=1110009, friendlyName=https://cdicloud.insurance.ca.gov/cal/LicenseDetail?SearchType=IND&amp;SearchLicNbr=0F88104&amp;SearchIndvId=1110009</x:v>
      </x:c>
      <x:c r="E15" s="9" t="str">
        <x:v>0F88104</x:v>
      </x:c>
      <x:c r="F15" s="4" t="str">
        <x:v>17130 DEVONSHIRE ST SUITE 102 NORTHRIDGE CA, 91325</x:v>
      </x:c>
      <x:c r="G15" s="4" t="str"/>
      <x:c r="H15" s="4" t="str">
        <x:v>https://www.google.com/maps/place/17130%20DEVONSHIRE%20ST,%20NORTHRIDGE,%20CA,%2091325</x:v>
      </x:c>
      <x:c r="I15" s="4" t="str">
        <x:v>91325</x:v>
      </x:c>
      <x:c r="J15" s="4" t="str">
        <x:v>2026-10-08</x:v>
      </x:c>
      <x:c r="K15" s="4" t="str">
        <x:v>English; Spanish</x:v>
      </x:c>
      <x:c r="L15" s="4" t="str">
        <x:v>Accident &amp; Health or Sickness; Life</x:v>
      </x:c>
      <x:c r="M15" s="4" t="str">
        <x:v>Accident &amp; Health or Sickness — issued 2007-11-05 | Life — issued 2007-11-05</x:v>
      </x:c>
      <x:c r="N15" s="4" t="str">
        <x:v>2007-11-05</x:v>
      </x:c>
      <x:c r="O15" s="4" t="n">
        <x:v>18.92</x:v>
      </x:c>
      <x:c r="P15" s="4" t="str">
        <x:v>Yes</x:v>
      </x:c>
      <x:c r="Q15" s="4" t="str">
        <x:v>No</x:v>
      </x:c>
      <x:c r="R15" s="4" t="str">
        <x:v>No</x:v>
      </x:c>
      <x:c r="S15" s="4" t="str"/>
      <x:c r="T15" s="4" t="n">
        <x:v>0</x:v>
      </x:c>
      <x:c r="U15" s="4" t="n">
        <x:v>0</x:v>
      </x:c>
      <x:c r="V15" s="4" t="str"/>
      <x:c r="W15" s="4" t="n">
        <x:v>0</x:v>
      </x:c>
      <x:c r="X15" s="4" t="str"/>
      <x:c r="Y15" s="4" t="str"/>
      <x:c r="Z15" s="4" t="str"/>
      <x:c r="AA15" s="4" t="str"/>
      <x:c r="AB15" s="4" t="n">
        <x:v>0</x:v>
      </x:c>
      <x:c r="AC15" s="4" t="n">
        <x:v>0</x:v>
      </x:c>
      <x:c r="AD15" s="4" t="str"/>
      <x:c r="AE15" s="4" t="str"/>
      <x:c r="AF15" s="4" t="str"/>
      <x:c r="AG15" s="4" t="str">
        <x:v>imo-final-approval-rules.md (2026-10-08)</x:v>
      </x:c>
    </x:row>
    <x:row r="16" ht="42" customHeight="1">
      <x:c r="A16" s="4" t="str">
        <x:v>ABRIL MORALES</x:v>
      </x:c>
      <x:c r="B16" s="8" t="str">
        <x:v>Yes</x:v>
      </x:c>
      <x:c r="C16" s="4" t="str">
        <x:v>Active general Life; only non-Life or lower-priority relationships displayed; no confirmed exclusion.</x:v>
      </x:c>
      <x:c r="D16" s="10" t="e">
        <x:f>HYPERLINK("https://cdicloud.insurance.ca.gov/cal/LicenseDetail?SearchType=IND&amp;SearchLicNbr=0K30500&amp;SearchIndvId=1762896","https://cdicloud.insurance.ca.gov/cal/LicenseDetail?SearchType=IND&amp;SearchLicNbr=0K30500&amp;SearchIndvId=1762896")</x:f>
        <x:v>HYPERLINK is not implemented. linkLocation=https://cdicloud.insurance.ca.gov/cal/LicenseDetail?SearchType=IND&amp;SearchLicNbr=0K30500&amp;SearchIndvId=1762896, friendlyName=https://cdicloud.insurance.ca.gov/cal/LicenseDetail?SearchType=IND&amp;SearchLicNbr=0K30500&amp;SearchIndvId=1762896</x:v>
      </x:c>
      <x:c r="E16" s="9" t="str">
        <x:v>0K30500</x:v>
      </x:c>
      <x:c r="F16" s="4" t="str">
        <x:v>3100 THORNTON AVENUE BURBANK CA, 91504</x:v>
      </x:c>
      <x:c r="G16" s="4" t="str"/>
      <x:c r="H16" s="4" t="str">
        <x:v>https://www.google.com/maps/place/3100%20THORNTON%20AVENUE,%20BURBANK,%20CA,%2091504</x:v>
      </x:c>
      <x:c r="I16" s="4" t="str">
        <x:v>91352 91504</x:v>
      </x:c>
      <x:c r="J16" s="4" t="str">
        <x:v>2026-10-08</x:v>
      </x:c>
      <x:c r="K16" s="4" t="str">
        <x:v>English</x:v>
      </x:c>
      <x:c r="L16" s="4" t="str">
        <x:v>Accident &amp; Health or Sickness; Life</x:v>
      </x:c>
      <x:c r="M16" s="4" t="str">
        <x:v>Accident &amp; Health or Sickness — issued 2015-06-15 | Life — issued 2015-06-15</x:v>
      </x:c>
      <x:c r="N16" s="4" t="str">
        <x:v>2015-06-15</x:v>
      </x:c>
      <x:c r="O16" s="4" t="n">
        <x:v>11.32</x:v>
      </x:c>
      <x:c r="P16" s="4" t="str">
        <x:v>Yes</x:v>
      </x:c>
      <x:c r="Q16" s="4" t="str">
        <x:v>No</x:v>
      </x:c>
      <x:c r="R16" s="4" t="str">
        <x:v>No</x:v>
      </x:c>
      <x:c r="S16" s="4" t="str">
        <x:v>KAISER PERMANENTE INSURANCE COMPANY</x:v>
      </x:c>
      <x:c r="T16" s="4" t="n">
        <x:v>1</x:v>
      </x:c>
      <x:c r="U16" s="4" t="n">
        <x:v>1</x:v>
      </x:c>
      <x:c r="V16" s="4" t="str"/>
      <x:c r="W16" s="4" t="n">
        <x:v>0</x:v>
      </x:c>
      <x:c r="X16" s="4" t="str">
        <x:v>KAISER PERMANENTE INSURANCE COMPANY</x:v>
      </x:c>
      <x:c r="Y16" s="4" t="str"/>
      <x:c r="Z16" s="4" t="str">
        <x:v>KAISER PERMANENTE INSURANCE COMPANY — Accident &amp; Health or Sickness — 2016-10-31</x:v>
      </x:c>
      <x:c r="AA16" s="4" t="str"/>
      <x:c r="AB16" s="4" t="n">
        <x:v>0</x:v>
      </x:c>
      <x:c r="AC16" s="4" t="n">
        <x:v>0</x:v>
      </x:c>
      <x:c r="AD16" s="4" t="str"/>
      <x:c r="AE16" s="4" t="str"/>
      <x:c r="AF16" s="4" t="str">
        <x:v>2016-10-31</x:v>
      </x:c>
      <x:c r="AG16" s="4" t="str">
        <x:v>imo-final-approval-rules.md (2026-10-08)</x:v>
      </x:c>
    </x:row>
    <x:row r="17" ht="42" customHeight="1">
      <x:c r="A17" s="4" t="str">
        <x:v>Ada Capilla-Slocum</x:v>
      </x:c>
      <x:c r="B17" s="8" t="str">
        <x:v>Yes</x:v>
      </x:c>
      <x:c r="C17" s="4" t="str">
        <x:v>Active general Life; no displayed agency or insurer relationships; lower priority; no confirmed exclusion.</x:v>
      </x:c>
      <x:c r="D17" s="10" t="e">
        <x:f>HYPERLINK("https://cdicloud.insurance.ca.gov/cal/LicenseDetail?SearchType=IND&amp;SearchLicNbr=4178943&amp;SearchIndvId=4178943","https://cdicloud.insurance.ca.gov/cal/LicenseDetail?SearchType=IND&amp;SearchLicNbr=4178943&amp;SearchIndvId=4178943")</x:f>
        <x:v>HYPERLINK is not implemented. linkLocation=https://cdicloud.insurance.ca.gov/cal/LicenseDetail?SearchType=IND&amp;SearchLicNbr=4178943&amp;SearchIndvId=4178943, friendlyName=https://cdicloud.insurance.ca.gov/cal/LicenseDetail?SearchType=IND&amp;SearchLicNbr=4178943&amp;SearchIndvId=4178943</x:v>
      </x:c>
      <x:c r="E17" s="9" t="str">
        <x:v>4178943</x:v>
      </x:c>
      <x:c r="F17" s="4" t="str">
        <x:v>695 SANTA BARBARA ST PASADENA CA, 91101</x:v>
      </x:c>
      <x:c r="G17" s="4" t="str"/>
      <x:c r="H17" s="4" t="str">
        <x:v>https://www.google.com/maps/place/695%20SANTA%20BARBARA%20ST,%20PASADENA,%20CA,%2091101</x:v>
      </x:c>
      <x:c r="I17" s="4" t="str">
        <x:v>91103</x:v>
      </x:c>
      <x:c r="J17" s="4" t="str">
        <x:v>2026-10-08</x:v>
      </x:c>
      <x:c r="K17" s="4" t="str">
        <x:v>English</x:v>
      </x:c>
      <x:c r="L17" s="4" t="str">
        <x:v>Life</x:v>
      </x:c>
      <x:c r="M17" s="4" t="str">
        <x:v>Life — issued 2022-10-13</x:v>
      </x:c>
      <x:c r="N17" s="4" t="str">
        <x:v>2022-10-13</x:v>
      </x:c>
      <x:c r="O17" s="4" t="n">
        <x:v>3.99</x:v>
      </x:c>
      <x:c r="P17" s="4" t="str">
        <x:v>No</x:v>
      </x:c>
      <x:c r="Q17" s="4" t="str">
        <x:v>No</x:v>
      </x:c>
      <x:c r="R17" s="4" t="str">
        <x:v>No</x:v>
      </x:c>
      <x:c r="S17" s="4" t="str"/>
      <x:c r="T17" s="4" t="n">
        <x:v>0</x:v>
      </x:c>
      <x:c r="U17" s="4" t="n">
        <x:v>0</x:v>
      </x:c>
      <x:c r="V17" s="4" t="str"/>
      <x:c r="W17" s="4" t="n">
        <x:v>0</x:v>
      </x:c>
      <x:c r="X17" s="4" t="str"/>
      <x:c r="Y17" s="4" t="str"/>
      <x:c r="Z17" s="4" t="str"/>
      <x:c r="AA17" s="4" t="str"/>
      <x:c r="AB17" s="4" t="n">
        <x:v>0</x:v>
      </x:c>
      <x:c r="AC17" s="4" t="n">
        <x:v>0</x:v>
      </x:c>
      <x:c r="AD17" s="4" t="str"/>
      <x:c r="AE17" s="4" t="str"/>
      <x:c r="AF17" s="4" t="str"/>
      <x:c r="AG17" s="4" t="str">
        <x:v>imo-final-approval-rules.md (2026-10-08)</x:v>
      </x:c>
    </x:row>
    <x:row r="18" ht="42" customHeight="1">
      <x:c r="A18" s="4" t="str">
        <x:v>ADA LOUIE</x:v>
      </x:c>
      <x:c r="B18" s="8" t="str">
        <x:v>Yes</x:v>
      </x:c>
      <x:c r="C18" s="4" t="str">
        <x:v>Active general Life; Life appointments: ANTHEM BLUE CROSS LIFE AND HEALTH INSURANCE COMPANY; GENWORTH LIFE INSURANCE COMPANY; HEALTH NET LIFE INSURANCE COMPANY; additional insurers listed; no confirmed exclusion.</x:v>
      </x:c>
      <x:c r="D18" s="10" t="e">
        <x:f>HYPERLINK("https://cdicloud.insurance.ca.gov/cal/LicenseDetail?SearchType=IND&amp;SearchLicNbr=0B61421&amp;SearchIndvId=240115","https://cdicloud.insurance.ca.gov/cal/LicenseDetail?SearchType=IND&amp;SearchLicNbr=0B61421&amp;SearchIndvId=240115")</x:f>
        <x:v>HYPERLINK is not implemented. linkLocation=https://cdicloud.insurance.ca.gov/cal/LicenseDetail?SearchType=IND&amp;SearchLicNbr=0B61421&amp;SearchIndvId=240115, friendlyName=https://cdicloud.insurance.ca.gov/cal/LicenseDetail?SearchType=IND&amp;SearchLicNbr=0B61421&amp;SearchIndvId=240115</x:v>
      </x:c>
      <x:c r="E18" s="9" t="str">
        <x:v>0B61421</x:v>
      </x:c>
      <x:c r="F18" s="4" t="str">
        <x:v>768 SIMMONS AVE MONTEBELLO CA, 90640</x:v>
      </x:c>
      <x:c r="G18" s="4" t="str">
        <x:v>626-205-8242</x:v>
      </x:c>
      <x:c r="H18" s="4" t="str">
        <x:v>https://www.google.com/maps/place/768%20SIMMONS%20AVE,%20MONTEBELLO,%20CA,%2090640</x:v>
      </x:c>
      <x:c r="I18" s="4" t="str">
        <x:v>91756</x:v>
      </x:c>
      <x:c r="J18" s="4" t="str">
        <x:v>2026-10-08</x:v>
      </x:c>
      <x:c r="K18" s="4" t="str">
        <x:v>English; Cantonese</x:v>
      </x:c>
      <x:c r="L18" s="4" t="str">
        <x:v>Accident &amp; Health or Sickness; Life; Var Life and Var Annuity</x:v>
      </x:c>
      <x:c r="M18" s="4" t="str">
        <x:v>Accident &amp; Health or Sickness — issued 1995-11-27 | Life — issued 1995-11-27 | Var Life and Var Annuity — issued 1996-10-01</x:v>
      </x:c>
      <x:c r="N18" s="4" t="str">
        <x:v>1995-11-27</x:v>
      </x:c>
      <x:c r="O18" s="4" t="n">
        <x:v>30.86</x:v>
      </x:c>
      <x:c r="P18" s="4" t="str">
        <x:v>Yes</x:v>
      </x:c>
      <x:c r="Q18" s="4" t="str">
        <x:v>No</x:v>
      </x:c>
      <x:c r="R18" s="4" t="str">
        <x:v>Yes</x:v>
      </x:c>
      <x:c r="S18" s="4" t="str">
        <x:v>ANTHEM BLUE CROSS LIFE AND HEALTH INSURANCE COMPANY; GENWORTH LIFE INSURANCE COMPANY; HEALTH NET LIFE INSURANCE COMPANY; KAISER PERMANENTE INSURANCE COMPANY; TRANSAMERICA LIFE INSURANCE COMPANY</x:v>
      </x:c>
      <x:c r="T18" s="4" t="n">
        <x:v>9</x:v>
      </x:c>
      <x:c r="U18" s="4" t="n">
        <x:v>5</x:v>
      </x:c>
      <x:c r="V18" s="4" t="str">
        <x:v>ANTHEM BLUE CROSS LIFE AND HEALTH INSURANCE COMPANY; GENWORTH LIFE INSURANCE COMPANY; HEALTH NET LIFE INSURANCE COMPANY; TRANSAMERICA LIFE INSURANCE COMPANY</x:v>
      </x:c>
      <x:c r="W18" s="4" t="n">
        <x:v>4</x:v>
      </x:c>
      <x:c r="X18" s="4" t="str">
        <x:v>ANTHEM BLUE CROSS LIFE AND HEALTH INSURANCE COMPANY; GENWORTH LIFE INSURANCE COMPANY; HEALTH NET LIFE INSURANCE COMPANY; KAISER PERMANENTE INSURANCE COMPANY; TRANSAMERICA LIFE INSURANCE COMPANY</x:v>
      </x:c>
      <x:c r="Y18" s="4" t="str"/>
      <x:c r="Z18" s="4" t="str">
        <x:v>ANTHEM BLUE CROSS LIFE AND HEALTH INSURANCE COMPANY — Accident &amp; Health or Sickness — 2012-02-23 | ANTHEM BLUE CROSS LIFE AND HEALTH INSURANCE COMPANY — Life — 2012-02-23 | GENWORTH LIFE INSURANCE COMPANY — Accident &amp; Health or Sickness — 2015-03-10 | GENWORTH LIFE INSURANCE COMPANY — Life — 2015-03-10 | HEALTH NET LIFE INSURANCE COMPANY — Accident &amp; Health or Sickness — 2014-01-01 | HEALTH NET LIFE INSURANCE COMPANY — Life — 2014-01-01 | KAISER PERMANENTE INSURANCE COMPANY — Accident &amp; Health or Sickness — 2022-03-24 | TRANSAMERICA LIFE INSURANCE COMPANY — Accident &amp; Health or Sickness — 2025-04-30 | TRANSAMERICA LIFE INSURANCE COMPANY — Life — 2025-04-30</x:v>
      </x:c>
      <x:c r="AA18" s="4" t="str"/>
      <x:c r="AB18" s="4" t="n">
        <x:v>0</x:v>
      </x:c>
      <x:c r="AC18" s="4" t="n">
        <x:v>0</x:v>
      </x:c>
      <x:c r="AD18" s="4" t="str"/>
      <x:c r="AE18" s="4" t="str"/>
      <x:c r="AF18" s="4" t="str">
        <x:v>2025-04-30</x:v>
      </x:c>
      <x:c r="AG18" s="4" t="str">
        <x:v>imo-final-approval-rules.md (2026-10-08)</x:v>
      </x:c>
    </x:row>
    <x:row r="19" ht="42" customHeight="1">
      <x:c r="A19" s="4" t="str">
        <x:v>ADA TORRES</x:v>
      </x:c>
      <x:c r="B19" s="8" t="str">
        <x:v>Yes</x:v>
      </x:c>
      <x:c r="C19" s="4" t="str">
        <x:v>Active general Life; Life appointments: INDEPENDENT ORDER OF FORESTERS (THE); no confirmed exclusion.</x:v>
      </x:c>
      <x:c r="D19" s="10" t="e">
        <x:f>HYPERLINK("https://cdicloud.insurance.ca.gov/cal/LicenseDetail?SearchType=IND&amp;SearchLicNbr=4381504&amp;SearchIndvId=4381504","https://cdicloud.insurance.ca.gov/cal/LicenseDetail?SearchType=IND&amp;SearchLicNbr=4381504&amp;SearchIndvId=4381504")</x:f>
        <x:v>HYPERLINK is not implemented. linkLocation=https://cdicloud.insurance.ca.gov/cal/LicenseDetail?SearchType=IND&amp;SearchLicNbr=4381504&amp;SearchIndvId=4381504, friendlyName=https://cdicloud.insurance.ca.gov/cal/LicenseDetail?SearchType=IND&amp;SearchLicNbr=4381504&amp;SearchIndvId=4381504</x:v>
      </x:c>
      <x:c r="E19" s="9" t="str">
        <x:v>4381504</x:v>
      </x:c>
      <x:c r="F19" s="4" t="str">
        <x:v>9062 WOODMAN AVE 9062 WOODMAN AVE ARLETA CA, 91331</x:v>
      </x:c>
      <x:c r="G19" s="4" t="str">
        <x:v>818-714-3099</x:v>
      </x:c>
      <x:c r="H19" s="4" t="str">
        <x:v>https://www.google.com/maps/place/9062%20WOODMAN%20AVE,%20ARLETA,%20CA,%2091331</x:v>
      </x:c>
      <x:c r="I19" s="4" t="str">
        <x:v>91333</x:v>
      </x:c>
      <x:c r="J19" s="4" t="str">
        <x:v>2026-10-08</x:v>
      </x:c>
      <x:c r="K19" s="4" t="str">
        <x:v>English</x:v>
      </x:c>
      <x:c r="L19" s="4" t="str">
        <x:v>Life</x:v>
      </x:c>
      <x:c r="M19" s="4" t="str">
        <x:v>Life — issued 2024-05-16</x:v>
      </x:c>
      <x:c r="N19" s="4" t="str">
        <x:v>2024-05-16</x:v>
      </x:c>
      <x:c r="O19" s="4" t="n">
        <x:v>2.4</x:v>
      </x:c>
      <x:c r="P19" s="4" t="str">
        <x:v>No</x:v>
      </x:c>
      <x:c r="Q19" s="4" t="str">
        <x:v>No</x:v>
      </x:c>
      <x:c r="R19" s="4" t="str">
        <x:v>No</x:v>
      </x:c>
      <x:c r="S19" s="4" t="str">
        <x:v>INDEPENDENT ORDER OF FORESTERS (THE)</x:v>
      </x:c>
      <x:c r="T19" s="4" t="n">
        <x:v>1</x:v>
      </x:c>
      <x:c r="U19" s="4" t="n">
        <x:v>1</x:v>
      </x:c>
      <x:c r="V19" s="4" t="str">
        <x:v>INDEPENDENT ORDER OF FORESTERS (THE)</x:v>
      </x:c>
      <x:c r="W19" s="4" t="n">
        <x:v>1</x:v>
      </x:c>
      <x:c r="X19" s="4" t="str"/>
      <x:c r="Y19" s="4" t="str"/>
      <x:c r="Z19" s="4" t="str">
        <x:v>INDEPENDENT ORDER OF FORESTERS (THE) — Life — 2024-05-20</x:v>
      </x:c>
      <x:c r="AA19" s="4" t="str"/>
      <x:c r="AB19" s="4" t="n">
        <x:v>0</x:v>
      </x:c>
      <x:c r="AC19" s="4" t="n">
        <x:v>0</x:v>
      </x:c>
      <x:c r="AD19" s="4" t="str"/>
      <x:c r="AE19" s="4" t="str"/>
      <x:c r="AF19" s="4" t="str">
        <x:v>2024-05-20</x:v>
      </x:c>
      <x:c r="AG19" s="4" t="str">
        <x:v>imo-final-approval-rules.md (2026-10-08)</x:v>
      </x:c>
    </x:row>
    <x:row r="20" ht="42" customHeight="1">
      <x:c r="A20" s="4" t="str">
        <x:v>ADAM FABERMAN</x:v>
      </x:c>
      <x:c r="B20" s="8" t="str">
        <x:v>Yes</x:v>
      </x:c>
      <x:c r="C20" s="4" t="str">
        <x:v>Active general Life; no displayed agency or insurer relationships; lower priority; no confirmed exclusion.</x:v>
      </x:c>
      <x:c r="D20" s="10" t="e">
        <x:f>HYPERLINK("https://cdicloud.insurance.ca.gov/cal/LicenseDetail?SearchType=IND&amp;SearchLicNbr=4474765&amp;SearchIndvId=4474765","https://cdicloud.insurance.ca.gov/cal/LicenseDetail?SearchType=IND&amp;SearchLicNbr=4474765&amp;SearchIndvId=4474765")</x:f>
        <x:v>HYPERLINK is not implemented. linkLocation=https://cdicloud.insurance.ca.gov/cal/LicenseDetail?SearchType=IND&amp;SearchLicNbr=4474765&amp;SearchIndvId=4474765, friendlyName=https://cdicloud.insurance.ca.gov/cal/LicenseDetail?SearchType=IND&amp;SearchLicNbr=4474765&amp;SearchIndvId=4474765</x:v>
      </x:c>
      <x:c r="E20" s="9" t="str">
        <x:v>4474765</x:v>
      </x:c>
      <x:c r="F20" s="4" t="str">
        <x:v>12629 RIVERSIDE DR APT 519 VALLEY VILLAGE CA, 91607</x:v>
      </x:c>
      <x:c r="G20" s="4" t="str">
        <x:v>818-339-6682</x:v>
      </x:c>
      <x:c r="H20" s="4" t="str">
        <x:v>https://www.google.com/maps/place/12629%20RIVERSIDE%20DR,%20VALLEY%20VILLAGE,%20CA,%2091607</x:v>
      </x:c>
      <x:c r="I20" s="4" t="str">
        <x:v>91604</x:v>
      </x:c>
      <x:c r="J20" s="4" t="str">
        <x:v>2026-10-08</x:v>
      </x:c>
      <x:c r="K20" s="4" t="str">
        <x:v>English</x:v>
      </x:c>
      <x:c r="L20" s="4" t="str">
        <x:v>Accident &amp; Health or Sickness; Life</x:v>
      </x:c>
      <x:c r="M20" s="4" t="str">
        <x:v>Accident &amp; Health or Sickness — issued 2025-10-02 | Life — issued 2025-10-02</x:v>
      </x:c>
      <x:c r="N20" s="4" t="str">
        <x:v>2025-10-02</x:v>
      </x:c>
      <x:c r="O20" s="4" t="n">
        <x:v>1.02</x:v>
      </x:c>
      <x:c r="P20" s="4" t="str">
        <x:v>Yes</x:v>
      </x:c>
      <x:c r="Q20" s="4" t="str">
        <x:v>No</x:v>
      </x:c>
      <x:c r="R20" s="4" t="str">
        <x:v>No</x:v>
      </x:c>
      <x:c r="S20" s="4" t="str"/>
      <x:c r="T20" s="4" t="n">
        <x:v>0</x:v>
      </x:c>
      <x:c r="U20" s="4" t="n">
        <x:v>0</x:v>
      </x:c>
      <x:c r="V20" s="4" t="str"/>
      <x:c r="W20" s="4" t="n">
        <x:v>0</x:v>
      </x:c>
      <x:c r="X20" s="4" t="str"/>
      <x:c r="Y20" s="4" t="str"/>
      <x:c r="Z20" s="4" t="str"/>
      <x:c r="AA20" s="4" t="str"/>
      <x:c r="AB20" s="4" t="n">
        <x:v>0</x:v>
      </x:c>
      <x:c r="AC20" s="4" t="n">
        <x:v>0</x:v>
      </x:c>
      <x:c r="AD20" s="4" t="str"/>
      <x:c r="AE20" s="4" t="str"/>
      <x:c r="AF20" s="4" t="str"/>
      <x:c r="AG20" s="4" t="str">
        <x:v>imo-final-approval-rules.md (2026-10-08)</x:v>
      </x:c>
    </x:row>
    <x:row r="21" ht="42" customHeight="1">
      <x:c r="A21" s="4" t="str">
        <x:v>ADAM FAST</x:v>
      </x:c>
      <x:c r="B21" s="8" t="str">
        <x:v>Yes</x:v>
      </x:c>
      <x:c r="C21" s="4" t="str">
        <x:v>Active general Life; Life agency relationship: ALPHA RISK &amp; INSURANCE SERVICES, INC.; SEVEN ARTS INSURANCE SOLUTIONS, LLC; no confirmed exclusion.</x:v>
      </x:c>
      <x:c r="D21" s="10" t="e">
        <x:f>HYPERLINK("https://cdicloud.insurance.ca.gov/cal/LicenseDetail?SearchType=IND&amp;SearchLicNbr=0H90854&amp;SearchIndvId=1514708","https://cdicloud.insurance.ca.gov/cal/LicenseDetail?SearchType=IND&amp;SearchLicNbr=0H90854&amp;SearchIndvId=1514708")</x:f>
        <x:v>HYPERLINK is not implemented. linkLocation=https://cdicloud.insurance.ca.gov/cal/LicenseDetail?SearchType=IND&amp;SearchLicNbr=0H90854&amp;SearchIndvId=1514708, friendlyName=https://cdicloud.insurance.ca.gov/cal/LicenseDetail?SearchType=IND&amp;SearchLicNbr=0H90854&amp;SearchIndvId=1514708</x:v>
      </x:c>
      <x:c r="E21" s="9" t="str">
        <x:v>0H90854</x:v>
      </x:c>
      <x:c r="F21" s="4" t="str">
        <x:v>170 S BEVERLY DR STE 301 BEVERLY HILLS CA, 90212-3000</x:v>
      </x:c>
      <x:c r="G21" s="4" t="str">
        <x:v>310-277-4939 Ext. 101</x:v>
      </x:c>
      <x:c r="H21" s="4" t="str">
        <x:v>https://www.google.com/maps/place/170%20S%20BEVERLY%20DR%20STE%20301,%20BEVERLY%20HILLS,%20CA,%20902123000</x:v>
      </x:c>
      <x:c r="I21" s="4" t="str">
        <x:v>90209</x:v>
      </x:c>
      <x:c r="J21" s="4" t="str">
        <x:v>2026-10-08</x:v>
      </x:c>
      <x:c r="K21" s="4" t="str">
        <x:v>English</x:v>
      </x:c>
      <x:c r="L21" s="4" t="str">
        <x:v>Accident &amp; Health or Sickness; Casualty; Life; Property</x:v>
      </x:c>
      <x:c r="M21" s="4" t="str">
        <x:v>Accident &amp; Health or Sickness — issued 2012-07-13 | Casualty — issued 2012-06-04 | Life — issued 2012-07-13 | Property — issued 2012-06-04</x:v>
      </x:c>
      <x:c r="N21" s="4" t="str">
        <x:v>2012-07-13</x:v>
      </x:c>
      <x:c r="O21" s="4" t="n">
        <x:v>14.24</x:v>
      </x:c>
      <x:c r="P21" s="4" t="str">
        <x:v>Yes</x:v>
      </x:c>
      <x:c r="Q21" s="4" t="str">
        <x:v>Yes</x:v>
      </x:c>
      <x:c r="R21" s="4" t="str">
        <x:v>No</x:v>
      </x:c>
      <x:c r="S21" s="4" t="str">
        <x:v>ALL SAVERS LIFE INSURANCE COMPANY OF CALIFORNIA; AMERICAN CONTRACTORS INDEMNITY COMPANY; AMERICAN GENERAL LIFE INSURANCE COMPANY; AMERICAN RETIREMENT LIFE INSURANCE COMPANY; ANTHEM BLUE CROSS LIFE AND HEALTH INSURANCE COMPANY; BLUE SHIELD OF CALIFORNIA LIFE &amp; HEALTH INSURANCE COMPANY; EQUITABLE FINANCIAL LIFE INSURANCE COMPANY; FOREMOST INSURANCE COMPANY GRAND RAPIDS, MICHIGAN; GUARDIAN INSURANCE &amp; ANNUITY COMPANY, INC. (THE); GUARDIAN LIFE INSURANCE COMPANY OF AMERICA (THE); HARTFORD LIFE AND ACCIDENT INSURANCE COMPANY; INDEPENDENT ORDER OF FORESTERS (THE); LINCOLN NATIONAL LIFE INSURANCE COMPANY (THE); NATIONAL GUARDIAN LIFE INSURANCE COMPANY; NATIONAL HEALTH INSURANCE COMPANY; NATIONWIDE LIFE INSURANCE COMPANY; PRINCIPAL LIFE INSURANCE COMPANY; PRINCIPAL NATIONAL LIFE INSURANCE COMPANY; PROTECTIVE LIFE INSURANCE COMPANY; PROVIDENT LIFE AND ACCIDENT INSURANCE COMPANY; STANDARD INSURANCE COMPANY; STARMOUNT LIFE INSURANCE COMPANY; U.S. SPECIALTY INSURANCE COMPANY; UNITEDHEALTHCARE INSURANCE COMPANY; UNUM INSURANCE COMPANY; UNUM LIFE INSURANCE COMPANY OF AMERICA</x:v>
      </x:c>
      <x:c r="T21" s="4" t="n">
        <x:v>44</x:v>
      </x:c>
      <x:c r="U21" s="4" t="n">
        <x:v>26</x:v>
      </x:c>
      <x:c r="V21" s="4" t="str">
        <x:v>ALL SAVERS LIFE INSURANCE COMPANY OF CALIFORNIA; AMERICAN GENERAL LIFE INSURANCE COMPANY; ANTHEM BLUE CROSS LIFE AND HEALTH INSURANCE COMPANY; BLUE SHIELD OF CALIFORNIA LIFE &amp; HEALTH INSURANCE COMPANY; EQUITABLE FINANCIAL LIFE INSURANCE COMPANY; GUARDIAN INSURANCE &amp; ANNUITY COMPANY, INC. (THE); GUARDIAN LIFE INSURANCE COMPANY OF AMERICA (THE); HARTFORD LIFE AND ACCIDENT INSURANCE COMPANY; INDEPENDENT ORDER OF FORESTERS (THE); LINCOLN NATIONAL LIFE INSURANCE COMPANY (THE); NATIONAL HEALTH INSURANCE COMPANY; NATIONWIDE LIFE INSURANCE COMPANY; PRINCIPAL LIFE INSURANCE COMPANY; PRINCIPAL NATIONAL LIFE INSURANCE COMPANY; PROTECTIVE LIFE INSURANCE COMPANY; PROVIDENT LIFE AND ACCIDENT INSURANCE COMPANY; STANDARD INSURANCE COMPANY; UNITEDHEALTHCARE INSURANCE COMPANY; UNUM INSURANCE COMPANY; UNUM LIFE INSURANCE COMPANY OF AMERICA</x:v>
      </x:c>
      <x:c r="W21" s="4" t="n">
        <x:v>20</x:v>
      </x:c>
      <x:c r="X21" s="4" t="str">
        <x:v>ALL SAVERS LIFE INSURANCE COMPANY OF CALIFORNIA; AMERICAN GENERAL LIFE INSURANCE COMPANY; AMERICAN RETIREMENT LIFE INSURANCE COMPANY; ANTHEM BLUE CROSS LIFE AND HEALTH INSURANCE COMPANY; BLUE SHIELD OF CALIFORNIA LIFE &amp; HEALTH INSURANCE COMPANY; EQUITABLE FINANCIAL LIFE INSURANCE COMPANY; GUARDIAN LIFE INSURANCE COMPANY OF AMERICA (THE); HARTFORD LIFE AND ACCIDENT INSURANCE COMPANY; LINCOLN NATIONAL LIFE INSURANCE COMPANY (THE); NATIONAL GUARDIAN LIFE INSURANCE COMPANY; NATIONAL HEALTH INSURANCE COMPANY; NATIONWIDE LIFE INSURANCE COMPANY; PRINCIPAL LIFE INSURANCE COMPANY; PROTECTIVE LIFE INSURANCE COMPANY; PROVIDENT LIFE AND ACCIDENT INSURANCE COMPANY; STANDARD INSURANCE COMPANY; STARMOUNT LIFE INSURANCE COMPANY; UNITEDHEALTHCARE INSURANCE COMPANY; UNUM INSURANCE COMPANY; UNUM LIFE INSURANCE COMPANY OF AMERICA</x:v>
      </x:c>
      <x:c r="Y21" s="4" t="str">
        <x:v>AMERICAN CONTRACTORS INDEMNITY COMPANY; FOREMOST INSURANCE COMPANY GRAND RAPIDS, MICHIGAN; U.S. SPECIALTY INSURANCE COMPANY</x:v>
      </x:c>
      <x:c r="Z21" s="4" t="str">
        <x:v>ALL SAVERS LIFE INSURANCE COMPANY OF CALIFORNIA — Accident &amp; Health or Sickness — 2023-12-01 | ALL SAVERS LIFE INSURANCE COMPANY OF CALIFORNIA — Life — 2023-12-01 | AMERICAN CONTRACTORS INDEMNITY COMPANY — Casualty — 2013-12-11 | AMERICAN GENERAL LIFE INSURANCE COMPANY — Accident &amp; Health or Sickness — 2015-01-28 | AMERICAN GENERAL LIFE INSURANCE COMPANY — Life — 2015-01-28 | AMERICAN RETIREMENT LIFE INSURANCE COMPANY — Accident &amp; Health or Sickness — 2026-03-26 | ANTHEM BLUE CROSS LIFE AND HEALTH INSURANCE COMPANY — Accident &amp; Health or Sickness — 2012-10-23 | ANTHEM BLUE CROSS LIFE AND HEALTH INSURANCE COMPANY — Life — 2012-10-23 | BLUE SHIELD OF CALIFORNIA LIFE &amp; HEALTH INSURANCE COMPANY — Accident &amp; Health or Sickness — 2026-07-02 | BLUE SHIELD OF CALIFORNIA LIFE &amp; HEALTH INSURANCE COMPANY — Life — 2026-07-02 | EQUITABLE FINANCIAL LIFE INSURANCE COMPANY — Accident &amp; Health or Sickness — 2013-08-17 | EQUITABLE FINANCIAL LIFE INSURANCE COMPANY — Life — 2013-08-17 | FOREMOST INSURANCE COMPANY GRAND RAPIDS, MICHIGAN — Casualty — 2014-02-05 | FOREMOST INSURANCE COMPANY GRAND RAPIDS, MICHIGAN — Property — 2014-02-05 | GUARDIAN INSURANCE &amp; ANNUITY COMPANY, INC. (THE) — Life — 2025-04-14 | GUARDIAN LIFE INSURANCE COMPANY OF AMERICA (THE) — Accident &amp; Health or Sickness — 2025-04-14 | GUARDIAN LIFE INSURANCE COMPANY OF AMERICA (THE) — Life — 2025-04-14 | HARTFORD LIFE AND ACCIDENT INSURANCE COMPANY — Accident &amp; Health or Sickness — 2019-08-16 | HARTFORD LIFE AND ACCIDENT INSURANCE COMPANY — Life — 2019-08-16 | INDEPENDENT ORDER OF FORESTERS (THE) — Life — 2014-05-07 | LINCOLN NATIONAL LIFE INSURANCE COMPANY (THE) — Accident &amp; Health or Sickness — 2014-03-19 | LINCOLN NATIONAL LIFE INSURANCE COMPANY (THE) — Life — 2014-03-19 | NATIONAL GUARDIAN LIFE INSURANCE COMPANY — Accident &amp; Health or Sickness — 2024-07-26 | NATIONAL HEALTH INSURANCE COMPANY — Accident &amp; Health or Sickness — 2015-09-16 | NATIONAL HEALTH INSURANCE COMPANY — Life — 2015-09-16 | NATIONWIDE LIFE INSURANCE COMPANY — Accident &amp; Health or Sickness — 2021-03-15 | NATIONWIDE LIFE INSURANCE COMPANY — Life — 2021-03-15 | PRINCIPAL LIFE INSURANCE COMPANY — Accident &amp; Health or Sickness — 2024-02-29 | PRINCIPAL LIFE INSURANCE COMPANY — Life — 2024-02-29 | PRINCIPAL NATIONAL LIFE INSURANCE COMPANY — Life — 2014-06-29 | PROTECTIVE LIFE INSURANCE COMPANY — Accident &amp; Health or Sickness — 2017-11-03 | PROTECTIVE LIFE INSURANCE COMPANY — Life — 2017-11-03 | PROVIDENT LIFE AND ACCIDENT INSURANCE COMPANY — Accident &amp; Health or Sickness — 2022-05-19 | PROVIDENT LIFE AND ACCIDENT INSURANCE COMPANY — Life — 2022-05-19 | STANDARD INSURANCE COMPANY — Accident &amp; Health or Sickness — 2025-01-20 | STANDARD INSURANCE COMPANY — Life — 2025-01-20 | STARMOUNT LIFE INSURANCE COMPANY — Accident &amp; Health or Sickness — 2022-05-19 | U.S. SPECIALTY INSURANCE COMPANY — Casualty — 2013-12-11 | UNITEDHEALTHCARE INSURANCE COMPANY — Accident &amp; Health or Sickness — 2017-04-14 | UNITEDHEALTHCARE INSURANCE COMPANY — Life — 2017-04-14 | UNUM INSURANCE COMPANY — Accident &amp; Health or Sickness — 2022-05-19 | UNUM INSURANCE COMPANY — Life — 2022-05-19 | UNUM LIFE INSURANCE COMPANY OF AMERICA — Accident &amp; Health or Sickness — 2022-05-19 | UNUM LIFE INSURANCE COMPANY OF AMERICA — Life — 2022-05-19</x:v>
      </x:c>
      <x:c r="AA21" s="4" t="str">
        <x:v>ALPHA RISK &amp; INSURANCE SERVICES, INC.; SEVEN ARTS INSURANCE SOLUTIONS, LLC; CALIFORNIA HEALTH BENEFIT EXCHANGE</x:v>
      </x:c>
      <x:c r="AB21" s="4" t="n">
        <x:v>3</x:v>
      </x:c>
      <x:c r="AC21" s="4" t="n">
        <x:v>9</x:v>
      </x:c>
      <x:c r="AD21" s="4" t="str">
        <x:v>ALPHA RISK &amp; INSURANCE SERVICES, INC.; SEVEN ARTS INSURANCE SOLUTIONS, LLC</x:v>
      </x:c>
      <x:c r="AE21" s="4" t="str">
        <x:v>ALPHA RISK &amp; INSURANCE SERVICES, INC. — Accident &amp; Health or Sickness — 2013-10-01 | ALPHA RISK &amp; INSURANCE SERVICES, INC. — Life — 2013-10-01 | SEVEN ARTS INSURANCE SOLUTIONS, LLC — Life — 2012-08-23 | SEVEN ARTS INSURANCE SOLUTIONS, LLC — Accident &amp; Health or Sickness — 2012-08-23 | SEVEN ARTS INSURANCE SOLUTIONS, LLC — Property — 2012-08-23 | ALPHA RISK &amp; INSURANCE SERVICES, INC. — Casualty — 2013-10-01 | ALPHA RISK &amp; INSURANCE SERVICES, INC. — Property — 2013-10-01 | CALIFORNIA HEALTH BENEFIT EXCHANGE — Accident &amp; Health or Sickness — 2023-10-05 | SEVEN ARTS INSURANCE SOLUTIONS, LLC — Casualty — 2012-08-23</x:v>
      </x:c>
      <x:c r="AF21" s="4" t="str">
        <x:v>2026-07-02</x:v>
      </x:c>
      <x:c r="AG21" s="4" t="str">
        <x:v>imo-final-approval-rules.md (2026-10-08)</x:v>
      </x:c>
    </x:row>
    <x:row r="22" ht="42" customHeight="1">
      <x:c r="A22" s="4" t="str">
        <x:v>ADAM LIEBERTHAL</x:v>
      </x:c>
      <x:c r="B22" s="8" t="str">
        <x:v>Yes</x:v>
      </x:c>
      <x:c r="C22" s="4" t="str">
        <x:v>Active general Life; Life appointments: ALL SAVERS LIFE INSURANCE COMPANY OF CALIFORNIA; AMERICAN GENERAL LIFE INSURANCE COMPANY; ANTHEM BLUE CROSS LIFE AND HEALTH INSURANCE COMPANY; additional insurers listed; no confirmed exclusion.</x:v>
      </x:c>
      <x:c r="D22" s="10" t="e">
        <x:f>HYPERLINK("https://cdicloud.insurance.ca.gov/cal/LicenseDetail?SearchType=IND&amp;SearchLicNbr=0G76558&amp;SearchIndvId=1301291","https://cdicloud.insurance.ca.gov/cal/LicenseDetail?SearchType=IND&amp;SearchLicNbr=0G76558&amp;SearchIndvId=1301291")</x:f>
        <x:v>HYPERLINK is not implemented. linkLocation=https://cdicloud.insurance.ca.gov/cal/LicenseDetail?SearchType=IND&amp;SearchLicNbr=0G76558&amp;SearchIndvId=1301291, friendlyName=https://cdicloud.insurance.ca.gov/cal/LicenseDetail?SearchType=IND&amp;SearchLicNbr=0G76558&amp;SearchIndvId=1301291</x:v>
      </x:c>
      <x:c r="E22" s="9" t="str">
        <x:v>0G76558</x:v>
      </x:c>
      <x:c r="F22" s="4" t="str">
        <x:v>13351 RIVERSIDE DR # 661 SHERMAN OAKS CA, 91423-2542</x:v>
      </x:c>
      <x:c r="G22" s="4" t="str">
        <x:v>818-419-8031</x:v>
      </x:c>
      <x:c r="H22" s="4" t="str">
        <x:v>https://www.google.com/maps/place/13351%20RIVERSIDE%20DR%20#%20661,%20SHERMAN%20OAKS,%20CA,%20914232542</x:v>
      </x:c>
      <x:c r="I22" s="4" t="str">
        <x:v>91604</x:v>
      </x:c>
      <x:c r="J22" s="4" t="str">
        <x:v>2026-10-08</x:v>
      </x:c>
      <x:c r="K22" s="4" t="str">
        <x:v>English</x:v>
      </x:c>
      <x:c r="L22" s="4" t="str">
        <x:v>Accident &amp; Health or Sickness; Casualty; Life; Property</x:v>
      </x:c>
      <x:c r="M22" s="4" t="str">
        <x:v>Accident &amp; Health or Sickness — issued 2011-02-14 | Casualty — issued 2009-09-30 | Life — issued 2011-02-14 | Property — issued 2009-09-30</x:v>
      </x:c>
      <x:c r="N22" s="4" t="str">
        <x:v>2011-02-14</x:v>
      </x:c>
      <x:c r="O22" s="4" t="n">
        <x:v>15.65</x:v>
      </x:c>
      <x:c r="P22" s="4" t="str">
        <x:v>Yes</x:v>
      </x:c>
      <x:c r="Q22" s="4" t="str">
        <x:v>Yes</x:v>
      </x:c>
      <x:c r="R22" s="4" t="str">
        <x:v>No</x:v>
      </x:c>
      <x:c r="S22" s="4" t="str">
        <x:v>ALL SAVERS LIFE INSURANCE COMPANY OF CALIFORNIA; AMERICAN GENERAL LIFE INSURANCE COMPANY; AMERITAS LIFE INSURANCE CORP.; ANTHEM BLUE CROSS LIFE AND HEALTH INSURANCE COMPANY; ASSURITY LIFE INSURANCE COMPANY; BLUE SHIELD OF CALIFORNIA LIFE &amp; HEALTH INSURANCE COMPANY; HARTFORD CASUALTY INSURANCE COMPANY; HARTFORD UNDERWRITERS INSURANCE COMPANY; HEALTH NET LIFE INSURANCE COMPANY; KAISER PERMANENTE INSURANCE COMPANY; NATIONAL UNION FIRE INSURANCE COMPANY OF PITTSBURGH, PA; PRINCIPAL LIFE INSURANCE COMPANY; PRINCIPAL NATIONAL LIFE INSURANCE COMPANY; PROTECTIVE LIFE INSURANCE COMPANY; PRUCO LIFE INSURANCE COMPANY; SENTINEL INSURANCE COMPANY, LTD.; SYMETRA LIFE INSURANCE COMPANY; TRUMBULL INSURANCE COMPANY; UNITEDHEALTHCARE INSURANCE COMPANY</x:v>
      </x:c>
      <x:c r="T22" s="4" t="n">
        <x:v>33</x:v>
      </x:c>
      <x:c r="U22" s="4" t="n">
        <x:v>19</x:v>
      </x:c>
      <x:c r="V22" s="4" t="str">
        <x:v>ALL SAVERS LIFE INSURANCE COMPANY OF CALIFORNIA; AMERICAN GENERAL LIFE INSURANCE COMPANY; ANTHEM BLUE CROSS LIFE AND HEALTH INSURANCE COMPANY; ASSURITY LIFE INSURANCE COMPANY; BLUE SHIELD OF CALIFORNIA LIFE &amp; HEALTH INSURANCE COMPANY; HEALTH NET LIFE INSURANCE COMPANY; PRINCIPAL LIFE INSURANCE COMPANY; PRINCIPAL NATIONAL LIFE INSURANCE COMPANY; PROTECTIVE LIFE INSURANCE COMPANY; PRUCO LIFE INSURANCE COMPANY; SYMETRA LIFE INSURANCE COMPANY; UNITEDHEALTHCARE INSURANCE COMPANY</x:v>
      </x:c>
      <x:c r="W22" s="4" t="n">
        <x:v>12</x:v>
      </x:c>
      <x:c r="X22" s="4" t="str">
        <x:v>ALL SAVERS LIFE INSURANCE COMPANY OF CALIFORNIA; AMERICAN GENERAL LIFE INSURANCE COMPANY; AMERITAS LIFE INSURANCE CORP.; ANTHEM BLUE CROSS LIFE AND HEALTH INSURANCE COMPANY; ASSURITY LIFE INSURANCE COMPANY; BLUE SHIELD OF CALIFORNIA LIFE &amp; HEALTH INSURANCE COMPANY; HEALTH NET LIFE INSURANCE COMPANY; KAISER PERMANENTE INSURANCE COMPANY; PRINCIPAL LIFE INSURANCE COMPANY; PROTECTIVE LIFE INSURANCE COMPANY; SYMETRA LIFE INSURANCE COMPANY; UNITEDHEALTHCARE INSURANCE COMPANY</x:v>
      </x:c>
      <x:c r="Y22" s="4" t="str">
        <x:v>HARTFORD CASUALTY INSURANCE COMPANY; HARTFORD UNDERWRITERS INSURANCE COMPANY; SENTINEL INSURANCE COMPANY, LTD.; TRUMBULL INSURANCE COMPANY</x:v>
      </x:c>
      <x:c r="Z22" s="4" t="str">
        <x:v>ALL SAVERS LIFE INSURANCE COMPANY OF CALIFORNIA — Accident &amp; Health or Sickness — 2024-08-15 | ALL SAVERS LIFE INSURANCE COMPANY OF CALIFORNIA — Life — 2024-08-15 | AMERICAN GENERAL LIFE INSURANCE COMPANY — Accident &amp; Health or Sickness — 2016-02-17 | AMERICAN GENERAL LIFE INSURANCE COMPANY — Life — 2016-02-17 | AMERITAS LIFE INSURANCE CORP. — Accident &amp; Health or Sickness — 2023-03-01 | ANTHEM BLUE CROSS LIFE AND HEALTH INSURANCE COMPANY — Accident &amp; Health or Sickness — 2011-02-19 | ANTHEM BLUE CROSS LIFE AND HEALTH INSURANCE COMPANY — Life — 2011-02-19 | ASSURITY LIFE INSURANCE COMPANY — Accident &amp; Health or Sickness — 2025-08-05 | ASSURITY LIFE INSURANCE COMPANY — Life — 2025-08-05 | BLUE SHIELD OF CALIFORNIA LIFE &amp; HEALTH INSURANCE COMPANY — Accident &amp; Health or Sickness — 2012-03-12 | BLUE SHIELD OF CALIFORNIA LIFE &amp; HEALTH INSURANCE COMPANY — Life — 2012-03-12 | HARTFORD CASUALTY INSURANCE COMPANY — Casualty — 2014-11-18 | HARTFORD CASUALTY INSURANCE COMPANY — Property — 2014-11-18 | HARTFORD UNDERWRITERS INSURANCE COMPANY — Casualty — 2024-04-10 | HARTFORD UNDERWRITERS INSURANCE COMPANY — Property — 2024-04-10 | HEALTH NET LIFE INSURANCE COMPANY — Accident &amp; Health or Sickness — 2015-01-01 | HEALTH NET LIFE INSURANCE COMPANY — Life — 2015-01-01 | KAISER PERMANENTE INSURANCE COMPANY — Accident &amp; Health or Sickness — 2012-08-30 | NATIONAL UNION FIRE INSURANCE COMPANY OF PITTSBURGH, PA — Travel — 2012-03-23 | PRINCIPAL LIFE INSURANCE COMPANY — Accident &amp; Health or Sickness — 2015-11-17 | PRINCIPAL LIFE INSURANCE COMPANY — Life — 2015-11-17 | PRINCIPAL NATIONAL LIFE INSURANCE COMPANY — Life — 2018-03-15 | PROTECTIVE LIFE INSURANCE COMPANY — Accident &amp; Health or Sickness — 2017-09-25 | PROTECTIVE LIFE INSURANCE COMPANY — Life — 2017-09-25 | PRUCO LIFE INSURANCE COMPANY — Life — 2017-02-17 | SENTINEL INSURANCE COMPANY, LTD. — Casualty — 2014-11-18 | SENTINEL INSURANCE COMPANY, LTD. — Property — 2014-11-18 | SYMETRA LIFE INSURANCE COMPANY — Accident &amp; Health or Sickness — 2025-06-12 | SYMETRA LIFE INSURANCE COMPANY — Life — 2025-06-12 | TRUMBULL INSURANCE COMPANY — Casualty — 2013-02-24 | TRUMBULL INSURANCE COMPANY — Property — 2013-02-24 | UNITEDHEALTHCARE INSURANCE COMPANY — Accident &amp; Health or Sickness — 2024-08-15 | UNITEDHEALTHCARE INSURANCE COMPANY — Life — 2024-08-15</x:v>
      </x:c>
      <x:c r="AA22" s="4" t="str"/>
      <x:c r="AB22" s="4" t="n">
        <x:v>0</x:v>
      </x:c>
      <x:c r="AC22" s="4" t="n">
        <x:v>0</x:v>
      </x:c>
      <x:c r="AD22" s="4" t="str"/>
      <x:c r="AE22" s="4" t="str"/>
      <x:c r="AF22" s="4" t="str">
        <x:v>2025-08-05</x:v>
      </x:c>
      <x:c r="AG22" s="4" t="str">
        <x:v>imo-final-approval-rules.md (2026-10-08)</x:v>
      </x:c>
    </x:row>
    <x:row r="23" ht="42" customHeight="1">
      <x:c r="A23" s="4" t="str">
        <x:v>ADAM MAGSIG</x:v>
      </x:c>
      <x:c r="B23" s="8" t="str">
        <x:v>Yes</x:v>
      </x:c>
      <x:c r="C23" s="4" t="str">
        <x:v>Active general Life; Life appointments: EMPOWER ANNUITY INSURANCE COMPANY; no confirmed exclusion.</x:v>
      </x:c>
      <x:c r="D23" s="10" t="e">
        <x:f>HYPERLINK("https://cdicloud.insurance.ca.gov/cal/LicenseDetail?SearchType=IND&amp;SearchLicNbr=0M15574&amp;SearchIndvId=1971083","https://cdicloud.insurance.ca.gov/cal/LicenseDetail?SearchType=IND&amp;SearchLicNbr=0M15574&amp;SearchIndvId=1971083")</x:f>
        <x:v>HYPERLINK is not implemented. linkLocation=https://cdicloud.insurance.ca.gov/cal/LicenseDetail?SearchType=IND&amp;SearchLicNbr=0M15574&amp;SearchIndvId=1971083, friendlyName=https://cdicloud.insurance.ca.gov/cal/LicenseDetail?SearchType=IND&amp;SearchLicNbr=0M15574&amp;SearchIndvId=1971083</x:v>
      </x:c>
      <x:c r="E23" s="9" t="str">
        <x:v>0M15574</x:v>
      </x:c>
      <x:c r="F23" s="4" t="str">
        <x:v>4901 CARPENTER AVE VALLEY VILLAGE CA, 91607</x:v>
      </x:c>
      <x:c r="G23" s="4" t="str">
        <x:v>917-842-7947</x:v>
      </x:c>
      <x:c r="H23" s="4" t="str">
        <x:v>https://www.google.com/maps/place/4901%20CARPENTER%20AVE,%20VALLEY%20VILLAGE,%20CA,%2091607</x:v>
      </x:c>
      <x:c r="I23" s="4" t="str">
        <x:v>91603 91604</x:v>
      </x:c>
      <x:c r="J23" s="4" t="str">
        <x:v>2026-10-08</x:v>
      </x:c>
      <x:c r="K23" s="4" t="str">
        <x:v>English</x:v>
      </x:c>
      <x:c r="L23" s="4" t="str">
        <x:v>Life</x:v>
      </x:c>
      <x:c r="M23" s="4" t="str">
        <x:v>Life — issued 2018-03-30</x:v>
      </x:c>
      <x:c r="N23" s="4" t="str">
        <x:v>2018-03-30</x:v>
      </x:c>
      <x:c r="O23" s="4" t="n">
        <x:v>8.53</x:v>
      </x:c>
      <x:c r="P23" s="4" t="str">
        <x:v>No</x:v>
      </x:c>
      <x:c r="Q23" s="4" t="str">
        <x:v>No</x:v>
      </x:c>
      <x:c r="R23" s="4" t="str">
        <x:v>No</x:v>
      </x:c>
      <x:c r="S23" s="4" t="str">
        <x:v>EMPOWER ANNUITY INSURANCE COMPANY</x:v>
      </x:c>
      <x:c r="T23" s="4" t="n">
        <x:v>1</x:v>
      </x:c>
      <x:c r="U23" s="4" t="n">
        <x:v>1</x:v>
      </x:c>
      <x:c r="V23" s="4" t="str">
        <x:v>EMPOWER ANNUITY INSURANCE COMPANY</x:v>
      </x:c>
      <x:c r="W23" s="4" t="n">
        <x:v>1</x:v>
      </x:c>
      <x:c r="X23" s="4" t="str"/>
      <x:c r="Y23" s="4" t="str"/>
      <x:c r="Z23" s="4" t="str">
        <x:v>EMPOWER ANNUITY INSURANCE COMPANY — Life — 2018-04-03</x:v>
      </x:c>
      <x:c r="AA23" s="4" t="str"/>
      <x:c r="AB23" s="4" t="n">
        <x:v>0</x:v>
      </x:c>
      <x:c r="AC23" s="4" t="n">
        <x:v>0</x:v>
      </x:c>
      <x:c r="AD23" s="4" t="str"/>
      <x:c r="AE23" s="4" t="str"/>
      <x:c r="AF23" s="4" t="str">
        <x:v>2018-04-03</x:v>
      </x:c>
      <x:c r="AG23" s="4" t="str">
        <x:v>imo-final-approval-rules.md (2026-10-08)</x:v>
      </x:c>
    </x:row>
    <x:row r="24" ht="42" customHeight="1">
      <x:c r="A24" s="4" t="str">
        <x:v>ADAM MALKA</x:v>
      </x:c>
      <x:c r="B24" s="8" t="str">
        <x:v>Yes</x:v>
      </x:c>
      <x:c r="C24" s="4" t="str">
        <x:v>Active general Life; Life appointments: CMFG LIFE INSURANCE COMPANY; no confirmed exclusion.</x:v>
      </x:c>
      <x:c r="D24" s="10" t="e">
        <x:f>HYPERLINK("https://cdicloud.insurance.ca.gov/cal/LicenseDetail?SearchType=IND&amp;SearchLicNbr=0N02320&amp;SearchIndvId=2111874","https://cdicloud.insurance.ca.gov/cal/LicenseDetail?SearchType=IND&amp;SearchLicNbr=0N02320&amp;SearchIndvId=2111874")</x:f>
        <x:v>HYPERLINK is not implemented. linkLocation=https://cdicloud.insurance.ca.gov/cal/LicenseDetail?SearchType=IND&amp;SearchLicNbr=0N02320&amp;SearchIndvId=2111874, friendlyName=https://cdicloud.insurance.ca.gov/cal/LicenseDetail?SearchType=IND&amp;SearchLicNbr=0N02320&amp;SearchIndvId=2111874</x:v>
      </x:c>
      <x:c r="E24" s="9" t="str">
        <x:v>0N02320</x:v>
      </x:c>
      <x:c r="F24" s="4" t="str">
        <x:v>5252 HERMITAGE AVENUE, APT 9 VALLEY VILLAGE CA, 91607</x:v>
      </x:c>
      <x:c r="G24" s="4" t="str"/>
      <x:c r="H24" s="4" t="str">
        <x:v>https://www.google.com/maps/place/5252%20HERMITAGE%20AVENUE,%20APT%209,%20VALLEY%20VILLAGE,%20CA,%2091607</x:v>
      </x:c>
      <x:c r="I24" s="4" t="str">
        <x:v>91604</x:v>
      </x:c>
      <x:c r="J24" s="4" t="str">
        <x:v>2026-10-08</x:v>
      </x:c>
      <x:c r="K24" s="4" t="str">
        <x:v>English</x:v>
      </x:c>
      <x:c r="L24" s="4" t="str">
        <x:v>Accident &amp; Health or Sickness; Casualty; Life; Property</x:v>
      </x:c>
      <x:c r="M24" s="4" t="str">
        <x:v>Accident &amp; Health or Sickness — issued 2019-06-11 | Casualty — issued 2019-06-11 | Life — issued 2019-06-11 | Property — issued 2019-06-11</x:v>
      </x:c>
      <x:c r="N24" s="4" t="str">
        <x:v>2019-06-11</x:v>
      </x:c>
      <x:c r="O24" s="4" t="n">
        <x:v>7.33</x:v>
      </x:c>
      <x:c r="P24" s="4" t="str">
        <x:v>Yes</x:v>
      </x:c>
      <x:c r="Q24" s="4" t="str">
        <x:v>Yes</x:v>
      </x:c>
      <x:c r="R24" s="4" t="str">
        <x:v>No</x:v>
      </x:c>
      <x:c r="S24" s="4" t="str">
        <x:v>CMFG LIFE INSURANCE COMPANY; CUMIS INSURANCE SOCIETY, INC.</x:v>
      </x:c>
      <x:c r="T24" s="4" t="n">
        <x:v>4</x:v>
      </x:c>
      <x:c r="U24" s="4" t="n">
        <x:v>2</x:v>
      </x:c>
      <x:c r="V24" s="4" t="str">
        <x:v>CMFG LIFE INSURANCE COMPANY</x:v>
      </x:c>
      <x:c r="W24" s="4" t="n">
        <x:v>1</x:v>
      </x:c>
      <x:c r="X24" s="4" t="str">
        <x:v>CMFG LIFE INSURANCE COMPANY</x:v>
      </x:c>
      <x:c r="Y24" s="4" t="str">
        <x:v>CUMIS INSURANCE SOCIETY, INC.</x:v>
      </x:c>
      <x:c r="Z24" s="4" t="str">
        <x:v>CMFG LIFE INSURANCE COMPANY — Accident &amp; Health or Sickness — 2019-06-18 | CMFG LIFE INSURANCE COMPANY — Life — 2019-06-18 | CUMIS INSURANCE SOCIETY, INC. — Casualty — 2019-06-18 | CUMIS INSURANCE SOCIETY, INC. — Property — 2019-06-18</x:v>
      </x:c>
      <x:c r="AA24" s="4" t="str"/>
      <x:c r="AB24" s="4" t="n">
        <x:v>0</x:v>
      </x:c>
      <x:c r="AC24" s="4" t="n">
        <x:v>0</x:v>
      </x:c>
      <x:c r="AD24" s="4" t="str"/>
      <x:c r="AE24" s="4" t="str"/>
      <x:c r="AF24" s="4" t="str">
        <x:v>2019-06-18</x:v>
      </x:c>
      <x:c r="AG24" s="4" t="str">
        <x:v>imo-final-approval-rules.md (2026-10-08)</x:v>
      </x:c>
    </x:row>
    <x:row r="25" ht="42" customHeight="1">
      <x:c r="A25" s="4" t="str">
        <x:v>ADAM MICHAELS</x:v>
      </x:c>
      <x:c r="B25" s="8" t="str">
        <x:v>Yes</x:v>
      </x:c>
      <x:c r="C25" s="4" t="str">
        <x:v>Active general Life; Life agency relationship: AURA INSURANCE AGENCY; ENROLLIFY, INC.; no confirmed exclusion.</x:v>
      </x:c>
      <x:c r="D25" s="10" t="e">
        <x:f>HYPERLINK("https://cdicloud.insurance.ca.gov/cal/LicenseDetail?SearchType=IND&amp;SearchLicNbr=0C11891&amp;SearchIndvId=287910","https://cdicloud.insurance.ca.gov/cal/LicenseDetail?SearchType=IND&amp;SearchLicNbr=0C11891&amp;SearchIndvId=287910")</x:f>
        <x:v>HYPERLINK is not implemented. linkLocation=https://cdicloud.insurance.ca.gov/cal/LicenseDetail?SearchType=IND&amp;SearchLicNbr=0C11891&amp;SearchIndvId=287910, friendlyName=https://cdicloud.insurance.ca.gov/cal/LicenseDetail?SearchType=IND&amp;SearchLicNbr=0C11891&amp;SearchIndvId=287910</x:v>
      </x:c>
      <x:c r="E25" s="9" t="str">
        <x:v>0C11891</x:v>
      </x:c>
      <x:c r="F25" s="4" t="str">
        <x:v>2922 CORDA LANE LOS ANGELES CA, 90049</x:v>
      </x:c>
      <x:c r="G25" s="4" t="str">
        <x:v>424-433-4878</x:v>
      </x:c>
      <x:c r="H25" s="4" t="str">
        <x:v>https://www.google.com/maps/place/2922%20CORDA%20LANE,%20LOS%20ANGELES,%20CA,%2090049</x:v>
      </x:c>
      <x:c r="I25" s="4" t="str">
        <x:v>90049</x:v>
      </x:c>
      <x:c r="J25" s="4" t="str">
        <x:v>2026-10-08</x:v>
      </x:c>
      <x:c r="K25" s="4" t="str">
        <x:v>English</x:v>
      </x:c>
      <x:c r="L25" s="4" t="str">
        <x:v>Accident &amp; Health or Sickness; Casualty; Life; Property</x:v>
      </x:c>
      <x:c r="M25" s="4" t="str">
        <x:v>Accident &amp; Health or Sickness — issued 2010-02-08 | Casualty — issued 2024-05-20 | Life — issued 2010-02-08 | Property — issued 2024-05-20</x:v>
      </x:c>
      <x:c r="N25" s="4" t="str">
        <x:v>2010-02-08</x:v>
      </x:c>
      <x:c r="O25" s="4" t="n">
        <x:v>16.66</x:v>
      </x:c>
      <x:c r="P25" s="4" t="str">
        <x:v>Yes</x:v>
      </x:c>
      <x:c r="Q25" s="4" t="str">
        <x:v>Yes</x:v>
      </x:c>
      <x:c r="R25" s="4" t="str">
        <x:v>No</x:v>
      </x:c>
      <x:c r="S25" s="4" t="str">
        <x:v>COMBINED INSURANCE COMPANY OF AMERICA; CONTINENTAL AMERICAN INSURANCE COMPANY; FEDERAL LIFE INSURANCE COMPANY; FIDELITY LIFE ASSOCIATION, A LEGAL RESERVE LIFE INSURANCE COMPANY; GUARDIAN LIFE INSURANCE COMPANY OF AMERICA (THE); INDEPENDENCE AMERICAN INSURANCE COMPANY; TIER ONE INSURANCE COMPANY; TRANSAMERICA LIFE INSURANCE COMPANY</x:v>
      </x:c>
      <x:c r="T25" s="4" t="n">
        <x:v>15</x:v>
      </x:c>
      <x:c r="U25" s="4" t="n">
        <x:v>8</x:v>
      </x:c>
      <x:c r="V25" s="4" t="str">
        <x:v>COMBINED INSURANCE COMPANY OF AMERICA; CONTINENTAL AMERICAN INSURANCE COMPANY; FEDERAL LIFE INSURANCE COMPANY; FIDELITY LIFE ASSOCIATION, A LEGAL RESERVE LIFE INSURANCE COMPANY; GUARDIAN LIFE INSURANCE COMPANY OF AMERICA (THE); TRANSAMERICA LIFE INSURANCE COMPANY</x:v>
      </x:c>
      <x:c r="W25" s="4" t="n">
        <x:v>6</x:v>
      </x:c>
      <x:c r="X25" s="4" t="str">
        <x:v>COMBINED INSURANCE COMPANY OF AMERICA; CONTINENTAL AMERICAN INSURANCE COMPANY; FEDERAL LIFE INSURANCE COMPANY; GUARDIAN LIFE INSURANCE COMPANY OF AMERICA (THE); TIER ONE INSURANCE COMPANY; TRANSAMERICA LIFE INSURANCE COMPANY</x:v>
      </x:c>
      <x:c r="Y25" s="4" t="str">
        <x:v>INDEPENDENCE AMERICAN INSURANCE COMPANY</x:v>
      </x:c>
      <x:c r="Z25" s="4" t="str">
        <x:v>COMBINED INSURANCE COMPANY OF AMERICA — Accident &amp; Health or Sickness — 2018-08-08 | COMBINED INSURANCE COMPANY OF AMERICA — Life — 2018-08-08 | CONTINENTAL AMERICAN INSURANCE COMPANY — Accident &amp; Health or Sickness — 2020-12-21 | CONTINENTAL AMERICAN INSURANCE COMPANY — Disability Only — 2024-10-22 | CONTINENTAL AMERICAN INSURANCE COMPANY — Life — 2020-12-21 | FEDERAL LIFE INSURANCE COMPANY — Accident &amp; Health or Sickness — 2024-12-03 | FEDERAL LIFE INSURANCE COMPANY — Life — 2024-12-03 | FIDELITY LIFE ASSOCIATION, A LEGAL RESERVE LIFE INSURANCE COMPANY — Life — 2025-06-26 | GUARDIAN LIFE INSURANCE COMPANY OF AMERICA (THE) — Accident &amp; Health or Sickness — 2022-01-24 | GUARDIAN LIFE INSURANCE COMPANY OF AMERICA (THE) — Life — 2022-01-24 | INDEPENDENCE AMERICAN INSURANCE COMPANY — Casualty — 2024-07-10 | INDEPENDENCE AMERICAN INSURANCE COMPANY — Property — 2024-07-10 | TIER ONE INSURANCE COMPANY — Accident &amp; Health or Sickness — 2023-12-13 | TRANSAMERICA LIFE INSURANCE COMPANY — Accident &amp; Health or Sickness — 2018-07-13 | TRANSAMERICA LIFE INSURANCE COMPANY — Life — 2018-07-13</x:v>
      </x:c>
      <x:c r="AA25" s="4" t="str">
        <x:v>AURA INSURANCE AGENCY; ENROLLIFY, INC.</x:v>
      </x:c>
      <x:c r="AB25" s="4" t="n">
        <x:v>2</x:v>
      </x:c>
      <x:c r="AC25" s="4" t="n">
        <x:v>6</x:v>
      </x:c>
      <x:c r="AD25" s="4" t="str">
        <x:v>AURA INSURANCE AGENCY; ENROLLIFY, INC.</x:v>
      </x:c>
      <x:c r="AE25" s="4" t="str">
        <x:v>AURA INSURANCE AGENCY — Life — 2023-11-16 | ENROLLIFY, INC. — Accident &amp; Health or Sickness — 2021-03-04 | ENROLLIFY, INC. — Life — 2021-03-04 | AURA INSURANCE AGENCY — Casualty — 2024-06-04 | AURA INSURANCE AGENCY — Property — 2024-06-04 | AURA INSURANCE AGENCY — Accident &amp; Health or Sickness — 2023-11-16</x:v>
      </x:c>
      <x:c r="AF25" s="4" t="str">
        <x:v>2025-06-26</x:v>
      </x:c>
      <x:c r="AG25" s="4" t="str">
        <x:v>imo-final-approval-rules.md (2026-10-08)</x:v>
      </x:c>
    </x:row>
    <x:row r="26" ht="42" customHeight="1">
      <x:c r="A26" s="4" t="str">
        <x:v>ADAM PINELESS</x:v>
      </x:c>
      <x:c r="B26" s="8" t="str">
        <x:v>Yes</x:v>
      </x:c>
      <x:c r="C26" s="4" t="str">
        <x:v>Active general Life; no displayed agency or insurer relationships; lower priority; no confirmed exclusion.</x:v>
      </x:c>
      <x:c r="D26" s="10" t="e">
        <x:f>HYPERLINK("https://cdicloud.insurance.ca.gov/cal/LicenseDetail?SearchType=IND&amp;SearchLicNbr=4439782&amp;SearchIndvId=4439782","https://cdicloud.insurance.ca.gov/cal/LicenseDetail?SearchType=IND&amp;SearchLicNbr=4439782&amp;SearchIndvId=4439782")</x:f>
        <x:v>HYPERLINK is not implemented. linkLocation=https://cdicloud.insurance.ca.gov/cal/LicenseDetail?SearchType=IND&amp;SearchLicNbr=4439782&amp;SearchIndvId=4439782, friendlyName=https://cdicloud.insurance.ca.gov/cal/LicenseDetail?SearchType=IND&amp;SearchLicNbr=4439782&amp;SearchIndvId=4439782</x:v>
      </x:c>
      <x:c r="E26" s="9" t="str">
        <x:v>4439782</x:v>
      </x:c>
      <x:c r="F26" s="4" t="str">
        <x:v>5025 COLDWATER CANYON AVE #27 SHERMAN OAKS CA, 91423</x:v>
      </x:c>
      <x:c r="G26" s="4" t="str">
        <x:v>310-878-2242</x:v>
      </x:c>
      <x:c r="H26" s="4" t="str">
        <x:v>https://www.google.com/maps/place/5025%20COLDWATER%20CANYON%20AVE,%20SHERMAN%20OAKS,%20CA,%2091423</x:v>
      </x:c>
      <x:c r="I26" s="4" t="str">
        <x:v>91604</x:v>
      </x:c>
      <x:c r="J26" s="4" t="str">
        <x:v>2026-10-08</x:v>
      </x:c>
      <x:c r="K26" s="4" t="str">
        <x:v>English</x:v>
      </x:c>
      <x:c r="L26" s="4" t="str">
        <x:v>Accident &amp; Health or Sickness; Life</x:v>
      </x:c>
      <x:c r="M26" s="4" t="str">
        <x:v>Accident &amp; Health or Sickness — issued 2025-02-14 | Life — issued 2025-02-14</x:v>
      </x:c>
      <x:c r="N26" s="4" t="str">
        <x:v>2025-02-14</x:v>
      </x:c>
      <x:c r="O26" s="4" t="n">
        <x:v>1.65</x:v>
      </x:c>
      <x:c r="P26" s="4" t="str">
        <x:v>Yes</x:v>
      </x:c>
      <x:c r="Q26" s="4" t="str">
        <x:v>No</x:v>
      </x:c>
      <x:c r="R26" s="4" t="str">
        <x:v>No</x:v>
      </x:c>
      <x:c r="S26" s="4" t="str"/>
      <x:c r="T26" s="4" t="n">
        <x:v>0</x:v>
      </x:c>
      <x:c r="U26" s="4" t="n">
        <x:v>0</x:v>
      </x:c>
      <x:c r="V26" s="4" t="str"/>
      <x:c r="W26" s="4" t="n">
        <x:v>0</x:v>
      </x:c>
      <x:c r="X26" s="4" t="str"/>
      <x:c r="Y26" s="4" t="str"/>
      <x:c r="Z26" s="4" t="str"/>
      <x:c r="AA26" s="4" t="str"/>
      <x:c r="AB26" s="4" t="n">
        <x:v>0</x:v>
      </x:c>
      <x:c r="AC26" s="4" t="n">
        <x:v>0</x:v>
      </x:c>
      <x:c r="AD26" s="4" t="str"/>
      <x:c r="AE26" s="4" t="str"/>
      <x:c r="AF26" s="4" t="str"/>
      <x:c r="AG26" s="4" t="str">
        <x:v>imo-final-approval-rules.md (2026-10-08)</x:v>
      </x:c>
    </x:row>
    <x:row r="27" ht="42" customHeight="1">
      <x:c r="A27" s="4" t="str">
        <x:v>ADAM PRYOR</x:v>
      </x:c>
      <x:c r="B27" s="8" t="str">
        <x:v>Yes</x:v>
      </x:c>
      <x:c r="C27" s="4" t="str">
        <x:v>Active general Life; no displayed agency or insurer relationships; lower priority; no confirmed exclusion.</x:v>
      </x:c>
      <x:c r="D27" s="10" t="e">
        <x:f>HYPERLINK("https://cdicloud.insurance.ca.gov/cal/LicenseDetail?SearchType=IND&amp;SearchLicNbr=4514497&amp;SearchIndvId=4514497","https://cdicloud.insurance.ca.gov/cal/LicenseDetail?SearchType=IND&amp;SearchLicNbr=4514497&amp;SearchIndvId=4514497")</x:f>
        <x:v>HYPERLINK is not implemented. linkLocation=https://cdicloud.insurance.ca.gov/cal/LicenseDetail?SearchType=IND&amp;SearchLicNbr=4514497&amp;SearchIndvId=4514497, friendlyName=https://cdicloud.insurance.ca.gov/cal/LicenseDetail?SearchType=IND&amp;SearchLicNbr=4514497&amp;SearchIndvId=4514497</x:v>
      </x:c>
      <x:c r="E27" s="9" t="str">
        <x:v>4514497</x:v>
      </x:c>
      <x:c r="F27" s="4" t="str">
        <x:v>15474 LOOM PL. LOS ANGELES CA, 91403</x:v>
      </x:c>
      <x:c r="G27" s="4" t="str">
        <x:v>407-702-9390</x:v>
      </x:c>
      <x:c r="H27" s="4" t="str">
        <x:v>https://www.google.com/maps/place/15474%20LOOM%20PL.,%20LOS%20ANGELES,%20CA,%2091403</x:v>
      </x:c>
      <x:c r="I27" s="4" t="str">
        <x:v>90049</x:v>
      </x:c>
      <x:c r="J27" s="4" t="str">
        <x:v>2026-10-08</x:v>
      </x:c>
      <x:c r="K27" s="4" t="str">
        <x:v>English</x:v>
      </x:c>
      <x:c r="L27" s="4" t="str">
        <x:v>Accident &amp; Health or Sickness; Life</x:v>
      </x:c>
      <x:c r="M27" s="4" t="str">
        <x:v>Accident &amp; Health or Sickness — issued 2025-12-08 | Life — issued 2025-12-08</x:v>
      </x:c>
      <x:c r="N27" s="4" t="str">
        <x:v>2025-12-08</x:v>
      </x:c>
      <x:c r="O27" s="4" t="n">
        <x:v>0.83</x:v>
      </x:c>
      <x:c r="P27" s="4" t="str">
        <x:v>Yes</x:v>
      </x:c>
      <x:c r="Q27" s="4" t="str">
        <x:v>No</x:v>
      </x:c>
      <x:c r="R27" s="4" t="str">
        <x:v>No</x:v>
      </x:c>
      <x:c r="S27" s="4" t="str"/>
      <x:c r="T27" s="4" t="n">
        <x:v>0</x:v>
      </x:c>
      <x:c r="U27" s="4" t="n">
        <x:v>0</x:v>
      </x:c>
      <x:c r="V27" s="4" t="str"/>
      <x:c r="W27" s="4" t="n">
        <x:v>0</x:v>
      </x:c>
      <x:c r="X27" s="4" t="str"/>
      <x:c r="Y27" s="4" t="str"/>
      <x:c r="Z27" s="4" t="str"/>
      <x:c r="AA27" s="4" t="str"/>
      <x:c r="AB27" s="4" t="n">
        <x:v>0</x:v>
      </x:c>
      <x:c r="AC27" s="4" t="n">
        <x:v>0</x:v>
      </x:c>
      <x:c r="AD27" s="4" t="str"/>
      <x:c r="AE27" s="4" t="str"/>
      <x:c r="AF27" s="4" t="str"/>
      <x:c r="AG27" s="4" t="str">
        <x:v>imo-final-approval-rules.md (2026-10-08)</x:v>
      </x:c>
    </x:row>
    <x:row r="28" ht="42" customHeight="1">
      <x:c r="A28" s="4" t="str">
        <x:v>ADAM STRAUSS</x:v>
      </x:c>
      <x:c r="B28" s="8" t="str">
        <x:v>Yes</x:v>
      </x:c>
      <x:c r="C28" s="4" t="str">
        <x:v>Active general Life; Life appointments: ATHENE ANNUITY AND LIFE COMPANY; no confirmed exclusion.</x:v>
      </x:c>
      <x:c r="D28" s="10" t="e">
        <x:f>HYPERLINK("https://cdicloud.insurance.ca.gov/cal/LicenseDetail?SearchType=IND&amp;SearchLicNbr=0H84652&amp;SearchIndvId=1508957","https://cdicloud.insurance.ca.gov/cal/LicenseDetail?SearchType=IND&amp;SearchLicNbr=0H84652&amp;SearchIndvId=1508957")</x:f>
        <x:v>HYPERLINK is not implemented. linkLocation=https://cdicloud.insurance.ca.gov/cal/LicenseDetail?SearchType=IND&amp;SearchLicNbr=0H84652&amp;SearchIndvId=1508957, friendlyName=https://cdicloud.insurance.ca.gov/cal/LicenseDetail?SearchType=IND&amp;SearchLicNbr=0H84652&amp;SearchIndvId=1508957</x:v>
      </x:c>
      <x:c r="E28" s="9" t="str">
        <x:v>0H84652</x:v>
      </x:c>
      <x:c r="F28" s="4" t="str">
        <x:v>2567 HARGRAVE DR LOS ANGELES CA, 90068</x:v>
      </x:c>
      <x:c r="G28" s="4" t="str">
        <x:v>818-688-2170</x:v>
      </x:c>
      <x:c r="H28" s="4" t="str">
        <x:v>https://www.google.com/maps/place/2567%20HARGRAVE%20DR,%20LOS%20ANGELES,%20CA,%2090068</x:v>
      </x:c>
      <x:c r="I28" s="4" t="str">
        <x:v>90028</x:v>
      </x:c>
      <x:c r="J28" s="4" t="str">
        <x:v>2026-10-08</x:v>
      </x:c>
      <x:c r="K28" s="4" t="str">
        <x:v>English</x:v>
      </x:c>
      <x:c r="L28" s="4" t="str">
        <x:v>Accident &amp; Health or Sickness; Life</x:v>
      </x:c>
      <x:c r="M28" s="4" t="str">
        <x:v>Accident &amp; Health or Sickness — issued 2012-04-24 | Life — issued 2012-04-24</x:v>
      </x:c>
      <x:c r="N28" s="4" t="str">
        <x:v>2012-04-24</x:v>
      </x:c>
      <x:c r="O28" s="4" t="n">
        <x:v>14.46</x:v>
      </x:c>
      <x:c r="P28" s="4" t="str">
        <x:v>Yes</x:v>
      </x:c>
      <x:c r="Q28" s="4" t="str">
        <x:v>No</x:v>
      </x:c>
      <x:c r="R28" s="4" t="str">
        <x:v>No</x:v>
      </x:c>
      <x:c r="S28" s="4" t="str">
        <x:v>ATHENE ANNUITY AND LIFE COMPANY</x:v>
      </x:c>
      <x:c r="T28" s="4" t="n">
        <x:v>1</x:v>
      </x:c>
      <x:c r="U28" s="4" t="n">
        <x:v>1</x:v>
      </x:c>
      <x:c r="V28" s="4" t="str">
        <x:v>ATHENE ANNUITY AND LIFE COMPANY</x:v>
      </x:c>
      <x:c r="W28" s="4" t="n">
        <x:v>1</x:v>
      </x:c>
      <x:c r="X28" s="4" t="str"/>
      <x:c r="Y28" s="4" t="str"/>
      <x:c r="Z28" s="4" t="str">
        <x:v>ATHENE ANNUITY AND LIFE COMPANY — Life — 2026-07-24</x:v>
      </x:c>
      <x:c r="AA28" s="4" t="str"/>
      <x:c r="AB28" s="4" t="n">
        <x:v>0</x:v>
      </x:c>
      <x:c r="AC28" s="4" t="n">
        <x:v>0</x:v>
      </x:c>
      <x:c r="AD28" s="4" t="str"/>
      <x:c r="AE28" s="4" t="str"/>
      <x:c r="AF28" s="4" t="str">
        <x:v>2026-07-24</x:v>
      </x:c>
      <x:c r="AG28" s="4" t="str">
        <x:v>imo-final-approval-rules.md (2026-10-08)</x:v>
      </x:c>
    </x:row>
    <x:row r="29" ht="42" customHeight="1">
      <x:c r="A29" s="4" t="str">
        <x:v>ADEL SAID</x:v>
      </x:c>
      <x:c r="B29" s="8" t="str">
        <x:v>Yes</x:v>
      </x:c>
      <x:c r="C29" s="4" t="str">
        <x:v>Active general Life; no displayed agency or insurer relationships; lower priority; no confirmed exclusion.</x:v>
      </x:c>
      <x:c r="D29" s="10" t="e">
        <x:f>HYPERLINK("https://cdicloud.insurance.ca.gov/cal/LicenseDetail?SearchType=IND&amp;SearchLicNbr=0708051&amp;SearchIndvId=418619","https://cdicloud.insurance.ca.gov/cal/LicenseDetail?SearchType=IND&amp;SearchLicNbr=0708051&amp;SearchIndvId=418619")</x:f>
        <x:v>HYPERLINK is not implemented. linkLocation=https://cdicloud.insurance.ca.gov/cal/LicenseDetail?SearchType=IND&amp;SearchLicNbr=0708051&amp;SearchIndvId=418619, friendlyName=https://cdicloud.insurance.ca.gov/cal/LicenseDetail?SearchType=IND&amp;SearchLicNbr=0708051&amp;SearchIndvId=418619</x:v>
      </x:c>
      <x:c r="E29" s="9" t="str">
        <x:v>0708051</x:v>
      </x:c>
      <x:c r="F29" s="4" t="str">
        <x:v>17225 LASSEN STREET NORTHRIDGE CA, 91325</x:v>
      </x:c>
      <x:c r="G29" s="4" t="str">
        <x:v>818-425-1365</x:v>
      </x:c>
      <x:c r="H29" s="4" t="str">
        <x:v>https://www.google.com/maps/place/17225%20LASSEN%20STREET,%20NORTHRIDGE,%20CA,%2091325</x:v>
      </x:c>
      <x:c r="I29" s="4" t="str">
        <x:v>91325</x:v>
      </x:c>
      <x:c r="J29" s="4" t="str">
        <x:v>2026-10-08</x:v>
      </x:c>
      <x:c r="K29" s="4" t="str">
        <x:v>English</x:v>
      </x:c>
      <x:c r="L29" s="4" t="str">
        <x:v>Accident &amp; Health or Sickness; Casualty; Life; Property</x:v>
      </x:c>
      <x:c r="M29" s="4" t="str">
        <x:v>Accident &amp; Health or Sickness — issued 1990-10-16 | Casualty — issued 1990-10-16 | Life — issued 1990-10-16 | Property — issued 1990-10-16</x:v>
      </x:c>
      <x:c r="N29" s="4" t="str">
        <x:v>1990-10-16</x:v>
      </x:c>
      <x:c r="O29" s="4" t="n">
        <x:v>35.98</x:v>
      </x:c>
      <x:c r="P29" s="4" t="str">
        <x:v>Yes</x:v>
      </x:c>
      <x:c r="Q29" s="4" t="str">
        <x:v>Yes</x:v>
      </x:c>
      <x:c r="R29" s="4" t="str">
        <x:v>No</x:v>
      </x:c>
      <x:c r="S29" s="4" t="str"/>
      <x:c r="T29" s="4" t="n">
        <x:v>0</x:v>
      </x:c>
      <x:c r="U29" s="4" t="n">
        <x:v>0</x:v>
      </x:c>
      <x:c r="V29" s="4" t="str"/>
      <x:c r="W29" s="4" t="n">
        <x:v>0</x:v>
      </x:c>
      <x:c r="X29" s="4" t="str"/>
      <x:c r="Y29" s="4" t="str"/>
      <x:c r="Z29" s="4" t="str"/>
      <x:c r="AA29" s="4" t="str"/>
      <x:c r="AB29" s="4" t="n">
        <x:v>0</x:v>
      </x:c>
      <x:c r="AC29" s="4" t="n">
        <x:v>0</x:v>
      </x:c>
      <x:c r="AD29" s="4" t="str"/>
      <x:c r="AE29" s="4" t="str"/>
      <x:c r="AF29" s="4" t="str"/>
      <x:c r="AG29" s="4" t="str">
        <x:v>imo-final-approval-rules.md (2026-10-08)</x:v>
      </x:c>
    </x:row>
    <x:row r="30" ht="42" customHeight="1">
      <x:c r="A30" s="4" t="str">
        <x:v>ADELA CORTEZ</x:v>
      </x:c>
      <x:c r="B30" s="8" t="str">
        <x:v>Yes</x:v>
      </x:c>
      <x:c r="C30" s="4" t="str">
        <x:v>Active general Life; Life appointments: AMERICAN NATIONAL INSURANCE COMPANY; FIDELITY &amp; GUARANTY LIFE INSURANCE COMPANY; INDEPENDENT ORDER OF FORESTERS (THE); additional insurers listed; no confirmed exclusion.</x:v>
      </x:c>
      <x:c r="D30" s="10" t="e">
        <x:f>HYPERLINK("https://cdicloud.insurance.ca.gov/cal/LicenseDetail?SearchType=IND&amp;SearchLicNbr=0H24234&amp;SearchIndvId=1363878","https://cdicloud.insurance.ca.gov/cal/LicenseDetail?SearchType=IND&amp;SearchLicNbr=0H24234&amp;SearchIndvId=1363878")</x:f>
        <x:v>HYPERLINK is not implemented. linkLocation=https://cdicloud.insurance.ca.gov/cal/LicenseDetail?SearchType=IND&amp;SearchLicNbr=0H24234&amp;SearchIndvId=1363878, friendlyName=https://cdicloud.insurance.ca.gov/cal/LicenseDetail?SearchType=IND&amp;SearchLicNbr=0H24234&amp;SearchIndvId=1363878</x:v>
      </x:c>
      <x:c r="E30" s="9" t="str">
        <x:v>0H24234</x:v>
      </x:c>
      <x:c r="F30" s="4" t="str">
        <x:v>11559 SHERMAN WAY B NORTH HOLLYWOOD CA, 91605</x:v>
      </x:c>
      <x:c r="G30" s="4" t="str">
        <x:v>818-255-1449</x:v>
      </x:c>
      <x:c r="H30" s="4" t="str">
        <x:v>https://www.google.com/maps/place/11559%20SHERMAN%20WAY,%20NORTH%20HOLLYWOOD,%20CA,%2091605</x:v>
      </x:c>
      <x:c r="I30" s="4" t="str">
        <x:v>91353 91609</x:v>
      </x:c>
      <x:c r="J30" s="4" t="str">
        <x:v>2026-10-08</x:v>
      </x:c>
      <x:c r="K30" s="4" t="str">
        <x:v>English</x:v>
      </x:c>
      <x:c r="L30" s="4" t="str">
        <x:v>Life</x:v>
      </x:c>
      <x:c r="M30" s="4" t="str">
        <x:v>Life — issued 2010-11-16</x:v>
      </x:c>
      <x:c r="N30" s="4" t="str">
        <x:v>2010-11-16</x:v>
      </x:c>
      <x:c r="O30" s="4" t="n">
        <x:v>15.89</x:v>
      </x:c>
      <x:c r="P30" s="4" t="str">
        <x:v>No</x:v>
      </x:c>
      <x:c r="Q30" s="4" t="str">
        <x:v>No</x:v>
      </x:c>
      <x:c r="R30" s="4" t="str">
        <x:v>No</x:v>
      </x:c>
      <x:c r="S30" s="4" t="str">
        <x:v>AMERICAN NATIONAL INSURANCE COMPANY; FIDELITY &amp; GUARANTY LIFE INSURANCE COMPANY; INDEPENDENT ORDER OF FORESTERS (THE); LIFE INSURANCE COMPANY OF THE SOUTHWEST</x:v>
      </x:c>
      <x:c r="T30" s="4" t="n">
        <x:v>4</x:v>
      </x:c>
      <x:c r="U30" s="4" t="n">
        <x:v>4</x:v>
      </x:c>
      <x:c r="V30" s="4" t="str">
        <x:v>AMERICAN NATIONAL INSURANCE COMPANY; FIDELITY &amp; GUARANTY LIFE INSURANCE COMPANY; INDEPENDENT ORDER OF FORESTERS (THE); LIFE INSURANCE COMPANY OF THE SOUTHWEST</x:v>
      </x:c>
      <x:c r="W30" s="4" t="n">
        <x:v>4</x:v>
      </x:c>
      <x:c r="X30" s="4" t="str"/>
      <x:c r="Y30" s="4" t="str"/>
      <x:c r="Z30" s="4" t="str">
        <x:v>AMERICAN NATIONAL INSURANCE COMPANY — Life — 2025-08-13 | FIDELITY &amp; GUARANTY LIFE INSURANCE COMPANY — Life — 2026-06-02 | INDEPENDENT ORDER OF FORESTERS (THE) — Life — 2025-09-18 | LIFE INSURANCE COMPANY OF THE SOUTHWEST — Life — 2025-08-14</x:v>
      </x:c>
      <x:c r="AA30" s="4" t="str"/>
      <x:c r="AB30" s="4" t="n">
        <x:v>0</x:v>
      </x:c>
      <x:c r="AC30" s="4" t="n">
        <x:v>0</x:v>
      </x:c>
      <x:c r="AD30" s="4" t="str"/>
      <x:c r="AE30" s="4" t="str"/>
      <x:c r="AF30" s="4" t="str">
        <x:v>2026-06-02</x:v>
      </x:c>
      <x:c r="AG30" s="4" t="str">
        <x:v>imo-final-approval-rules.md (2026-10-08)</x:v>
      </x:c>
    </x:row>
    <x:row r="31" ht="42" customHeight="1">
      <x:c r="A31" s="4" t="str">
        <x:v>ADELA RAMOS GONZALEZ</x:v>
      </x:c>
      <x:c r="B31" s="8" t="str">
        <x:v>Yes</x:v>
      </x:c>
      <x:c r="C31" s="4" t="str">
        <x:v>Active general Life; Life appointments: AMERICAN NATIONAL INSURANCE COMPANY; INDEPENDENT ORDER OF FORESTERS (THE); LIFE INSURANCE COMPANY OF THE SOUTHWEST; no confirmed exclusion.</x:v>
      </x:c>
      <x:c r="D31" s="10" t="e">
        <x:f>HYPERLINK("https://cdicloud.insurance.ca.gov/cal/LicenseDetail?SearchType=IND&amp;SearchLicNbr=4418703&amp;SearchIndvId=4418703","https://cdicloud.insurance.ca.gov/cal/LicenseDetail?SearchType=IND&amp;SearchLicNbr=4418703&amp;SearchIndvId=4418703")</x:f>
        <x:v>HYPERLINK is not implemented. linkLocation=https://cdicloud.insurance.ca.gov/cal/LicenseDetail?SearchType=IND&amp;SearchLicNbr=4418703&amp;SearchIndvId=4418703, friendlyName=https://cdicloud.insurance.ca.gov/cal/LicenseDetail?SearchType=IND&amp;SearchLicNbr=4418703&amp;SearchIndvId=4418703</x:v>
      </x:c>
      <x:c r="E31" s="9" t="str">
        <x:v>4418703</x:v>
      </x:c>
      <x:c r="F31" s="4" t="str">
        <x:v>533 N VICTORY BLVD BURBANK CA, 91502</x:v>
      </x:c>
      <x:c r="G31" s="4" t="str">
        <x:v>323-742-0388</x:v>
      </x:c>
      <x:c r="H31" s="4" t="str">
        <x:v>https://www.google.com/maps/place/533%20N%20VICTORY%20BLVD,%20BURBANK,%20CA,%2091502</x:v>
      </x:c>
      <x:c r="I31" s="4" t="str">
        <x:v>91506</x:v>
      </x:c>
      <x:c r="J31" s="4" t="str">
        <x:v>2026-10-08</x:v>
      </x:c>
      <x:c r="K31" s="4" t="str">
        <x:v>English</x:v>
      </x:c>
      <x:c r="L31" s="4" t="str">
        <x:v>Life</x:v>
      </x:c>
      <x:c r="M31" s="4" t="str">
        <x:v>Life — issued 2025-04-16</x:v>
      </x:c>
      <x:c r="N31" s="4" t="str">
        <x:v>2025-04-16</x:v>
      </x:c>
      <x:c r="O31" s="4" t="n">
        <x:v>1.48</x:v>
      </x:c>
      <x:c r="P31" s="4" t="str">
        <x:v>No</x:v>
      </x:c>
      <x:c r="Q31" s="4" t="str">
        <x:v>No</x:v>
      </x:c>
      <x:c r="R31" s="4" t="str">
        <x:v>No</x:v>
      </x:c>
      <x:c r="S31" s="4" t="str">
        <x:v>AMERICAN NATIONAL INSURANCE COMPANY; INDEPENDENT ORDER OF FORESTERS (THE); LIFE INSURANCE COMPANY OF THE SOUTHWEST</x:v>
      </x:c>
      <x:c r="T31" s="4" t="n">
        <x:v>3</x:v>
      </x:c>
      <x:c r="U31" s="4" t="n">
        <x:v>3</x:v>
      </x:c>
      <x:c r="V31" s="4" t="str">
        <x:v>AMERICAN NATIONAL INSURANCE COMPANY; INDEPENDENT ORDER OF FORESTERS (THE); LIFE INSURANCE COMPANY OF THE SOUTHWEST</x:v>
      </x:c>
      <x:c r="W31" s="4" t="n">
        <x:v>3</x:v>
      </x:c>
      <x:c r="X31" s="4" t="str"/>
      <x:c r="Y31" s="4" t="str"/>
      <x:c r="Z31" s="4" t="str">
        <x:v>AMERICAN NATIONAL INSURANCE COMPANY — Life — 2025-05-20 | INDEPENDENT ORDER OF FORESTERS (THE) — Life — 2025-06-25 | LIFE INSURANCE COMPANY OF THE SOUTHWEST — Life — 2025-08-19</x:v>
      </x:c>
      <x:c r="AA31" s="4" t="str"/>
      <x:c r="AB31" s="4" t="n">
        <x:v>0</x:v>
      </x:c>
      <x:c r="AC31" s="4" t="n">
        <x:v>0</x:v>
      </x:c>
      <x:c r="AD31" s="4" t="str"/>
      <x:c r="AE31" s="4" t="str"/>
      <x:c r="AF31" s="4" t="str">
        <x:v>2025-08-19</x:v>
      </x:c>
      <x:c r="AG31" s="4" t="str">
        <x:v>imo-final-approval-rules.md (2026-10-08)</x:v>
      </x:c>
    </x:row>
    <x:row r="32" ht="42" customHeight="1">
      <x:c r="A32" s="4" t="str">
        <x:v>ADELA WONG</x:v>
      </x:c>
      <x:c r="B32" s="8" t="str">
        <x:v>Yes</x:v>
      </x:c>
      <x:c r="C32" s="4" t="str">
        <x:v>Active general Life; no displayed agency or insurer relationships; lower priority; no confirmed exclusion.</x:v>
      </x:c>
      <x:c r="D32" s="10" t="e">
        <x:f>HYPERLINK("https://cdicloud.insurance.ca.gov/cal/LicenseDetail?SearchType=IND&amp;SearchLicNbr=0B40716&amp;SearchIndvId=220587","https://cdicloud.insurance.ca.gov/cal/LicenseDetail?SearchType=IND&amp;SearchLicNbr=0B40716&amp;SearchIndvId=220587")</x:f>
        <x:v>HYPERLINK is not implemented. linkLocation=https://cdicloud.insurance.ca.gov/cal/LicenseDetail?SearchType=IND&amp;SearchLicNbr=0B40716&amp;SearchIndvId=220587, friendlyName=https://cdicloud.insurance.ca.gov/cal/LicenseDetail?SearchType=IND&amp;SearchLicNbr=0B40716&amp;SearchIndvId=220587</x:v>
      </x:c>
      <x:c r="E32" s="9" t="str">
        <x:v>0B40716</x:v>
      </x:c>
      <x:c r="F32" s="4" t="str">
        <x:v>4141 VIA MARISOL APT 218 4141 VIA MARISOL APT 218 LOS ANGELES CA, 90042</x:v>
      </x:c>
      <x:c r="G32" s="4" t="str">
        <x:v>323-804-5617</x:v>
      </x:c>
      <x:c r="H32" s="4" t="str">
        <x:v>https://www.google.com/maps/place/4141%20VIA%20MARISOL%20APT%20218,%20LOS%20ANGELES,%20CA,%2090042</x:v>
      </x:c>
      <x:c r="I32" s="4" t="str">
        <x:v>90042</x:v>
      </x:c>
      <x:c r="J32" s="4" t="str">
        <x:v>2026-10-08</x:v>
      </x:c>
      <x:c r="K32" s="4" t="str">
        <x:v>English</x:v>
      </x:c>
      <x:c r="L32" s="4" t="str">
        <x:v>Accident &amp; Health or Sickness; Life</x:v>
      </x:c>
      <x:c r="M32" s="4" t="str">
        <x:v>Accident &amp; Health or Sickness — issued 1994-06-21 | Life — issued 1994-06-21</x:v>
      </x:c>
      <x:c r="N32" s="4" t="str">
        <x:v>1994-06-21</x:v>
      </x:c>
      <x:c r="O32" s="4" t="n">
        <x:v>32.3</x:v>
      </x:c>
      <x:c r="P32" s="4" t="str">
        <x:v>Yes</x:v>
      </x:c>
      <x:c r="Q32" s="4" t="str">
        <x:v>No</x:v>
      </x:c>
      <x:c r="R32" s="4" t="str">
        <x:v>No</x:v>
      </x:c>
      <x:c r="S32" s="4" t="str"/>
      <x:c r="T32" s="4" t="n">
        <x:v>0</x:v>
      </x:c>
      <x:c r="U32" s="4" t="n">
        <x:v>0</x:v>
      </x:c>
      <x:c r="V32" s="4" t="str"/>
      <x:c r="W32" s="4" t="n">
        <x:v>0</x:v>
      </x:c>
      <x:c r="X32" s="4" t="str"/>
      <x:c r="Y32" s="4" t="str"/>
      <x:c r="Z32" s="4" t="str"/>
      <x:c r="AA32" s="4" t="str"/>
      <x:c r="AB32" s="4" t="n">
        <x:v>0</x:v>
      </x:c>
      <x:c r="AC32" s="4" t="n">
        <x:v>0</x:v>
      </x:c>
      <x:c r="AD32" s="4" t="str"/>
      <x:c r="AE32" s="4" t="str"/>
      <x:c r="AF32" s="4" t="str"/>
      <x:c r="AG32" s="4" t="str">
        <x:v>imo-final-approval-rules.md (2026-10-08)</x:v>
      </x:c>
    </x:row>
    <x:row r="33" ht="42" customHeight="1">
      <x:c r="A33" s="4" t="str">
        <x:v>ADELAIDA SIMONYAN</x:v>
      </x:c>
      <x:c r="B33" s="8" t="str">
        <x:v>Yes</x:v>
      </x:c>
      <x:c r="C33" s="4" t="str">
        <x:v>Active general Life; Life agency relationship: WORLD FINANCIAL GROUP INSURANCE AGENCY, LLC; no confirmed exclusion.</x:v>
      </x:c>
      <x:c r="D33" s="10" t="e">
        <x:f>HYPERLINK("https://cdicloud.insurance.ca.gov/cal/LicenseDetail?SearchType=IND&amp;SearchLicNbr=0H50806&amp;SearchIndvId=1464787","https://cdicloud.insurance.ca.gov/cal/LicenseDetail?SearchType=IND&amp;SearchLicNbr=0H50806&amp;SearchIndvId=1464787")</x:f>
        <x:v>HYPERLINK is not implemented. linkLocation=https://cdicloud.insurance.ca.gov/cal/LicenseDetail?SearchType=IND&amp;SearchLicNbr=0H50806&amp;SearchIndvId=1464787, friendlyName=https://cdicloud.insurance.ca.gov/cal/LicenseDetail?SearchType=IND&amp;SearchLicNbr=0H50806&amp;SearchIndvId=1464787</x:v>
      </x:c>
      <x:c r="E33" s="9" t="str">
        <x:v>0H50806</x:v>
      </x:c>
      <x:c r="F33" s="4" t="str">
        <x:v>4605 LANKERSHIM BLVD SUITE 510 NORTH HOLLYWOOD CA, 91602</x:v>
      </x:c>
      <x:c r="G33" s="4" t="str">
        <x:v>626-482-6812</x:v>
      </x:c>
      <x:c r="H33" s="4" t="str">
        <x:v>https://www.google.com/maps/place/4605%20LANKERSHIM%20BLVD%20SUITE%20510,%20NORTH%20HOLLYWOOD,%20CA,%2091602</x:v>
      </x:c>
      <x:c r="I33" s="4" t="str">
        <x:v>91608</x:v>
      </x:c>
      <x:c r="J33" s="4" t="str">
        <x:v>2026-10-08</x:v>
      </x:c>
      <x:c r="K33" s="4" t="str">
        <x:v>English</x:v>
      </x:c>
      <x:c r="L33" s="4" t="str">
        <x:v>Accident &amp; Health or Sickness; Life</x:v>
      </x:c>
      <x:c r="M33" s="4" t="str">
        <x:v>Accident &amp; Health or Sickness — issued 2011-07-28 | Life — issued 2011-07-28</x:v>
      </x:c>
      <x:c r="N33" s="4" t="str">
        <x:v>2011-07-28</x:v>
      </x:c>
      <x:c r="O33" s="4" t="n">
        <x:v>15.2</x:v>
      </x:c>
      <x:c r="P33" s="4" t="str">
        <x:v>Yes</x:v>
      </x:c>
      <x:c r="Q33" s="4" t="str">
        <x:v>No</x:v>
      </x:c>
      <x:c r="R33" s="4" t="str">
        <x:v>No</x:v>
      </x:c>
      <x:c r="S33" s="4" t="str">
        <x:v>ATHENE ANNUITY AND LIFE COMPANY; COLONIAL LIFE &amp; ACCIDENT INSURANCE COMPANY; IA AMERICAN LIFE INSURANCE COMPANY; NATIONWIDE LIFE AND ANNUITY INSURANCE COMPANY; NATIONWIDE LIFE INSURANCE COMPANY; STANDARD INSURANCE COMPANY</x:v>
      </x:c>
      <x:c r="T33" s="4" t="n">
        <x:v>9</x:v>
      </x:c>
      <x:c r="U33" s="4" t="n">
        <x:v>6</x:v>
      </x:c>
      <x:c r="V33" s="4" t="str">
        <x:v>ATHENE ANNUITY AND LIFE COMPANY; COLONIAL LIFE &amp; ACCIDENT INSURANCE COMPANY; IA AMERICAN LIFE INSURANCE COMPANY; NATIONWIDE LIFE AND ANNUITY INSURANCE COMPANY; NATIONWIDE LIFE INSURANCE COMPANY</x:v>
      </x:c>
      <x:c r="W33" s="4" t="n">
        <x:v>5</x:v>
      </x:c>
      <x:c r="X33" s="4" t="str">
        <x:v>COLONIAL LIFE &amp; ACCIDENT INSURANCE COMPANY; NATIONWIDE LIFE AND ANNUITY INSURANCE COMPANY; NATIONWIDE LIFE INSURANCE COMPANY; STANDARD INSURANCE COMPANY</x:v>
      </x:c>
      <x:c r="Y33" s="4" t="str"/>
      <x:c r="Z33" s="4" t="str">
        <x:v>ATHENE ANNUITY AND LIFE COMPANY — Life — 2021-05-27 | COLONIAL LIFE &amp; ACCIDENT INSURANCE COMPANY — Accident &amp; Health or Sickness — 2022-10-23 | COLONIAL LIFE &amp; ACCIDENT INSURANCE COMPANY — Life — 2022-10-23 | IA AMERICAN LIFE INSURANCE COMPANY — Life — 2018-06-15 | NATIONWIDE LIFE AND ANNUITY INSURANCE COMPANY — Accident &amp; Health or Sickness — 2023-01-27 | NATIONWIDE LIFE AND ANNUITY INSURANCE COMPANY — Life — 2023-01-27 | NATIONWIDE LIFE INSURANCE COMPANY — Accident &amp; Health or Sickness — 2020-09-03 | NATIONWIDE LIFE INSURANCE COMPANY — Life — 2020-09-03 | STANDARD INSURANCE COMPANY — Accident &amp; Health or Sickness — 2021-10-09</x:v>
      </x:c>
      <x:c r="AA33" s="4" t="str">
        <x:v>WORLD FINANCIAL GROUP INSURANCE AGENCY, LLC</x:v>
      </x:c>
      <x:c r="AB33" s="4" t="n">
        <x:v>1</x:v>
      </x:c>
      <x:c r="AC33" s="4" t="n">
        <x:v>2</x:v>
      </x:c>
      <x:c r="AD33" s="4" t="str">
        <x:v>WORLD FINANCIAL GROUP INSURANCE AGENCY, LLC</x:v>
      </x:c>
      <x:c r="AE33" s="4" t="str">
        <x:v>WORLD FINANCIAL GROUP INSURANCE AGENCY, LLC — Life — 2016-04-14 | WORLD FINANCIAL GROUP INSURANCE AGENCY, LLC — Accident &amp; Health or Sickness — 2016-04-14</x:v>
      </x:c>
      <x:c r="AF33" s="4" t="str">
        <x:v>2023-01-27</x:v>
      </x:c>
      <x:c r="AG33" s="4" t="str">
        <x:v>imo-final-approval-rules.md (2026-10-08)</x:v>
      </x:c>
    </x:row>
    <x:row r="34" ht="42" customHeight="1">
      <x:c r="A34" s="4" t="str">
        <x:v>ADELIENNE MAGANA</x:v>
      </x:c>
      <x:c r="B34" s="8" t="str">
        <x:v>Yes</x:v>
      </x:c>
      <x:c r="C34" s="4" t="str">
        <x:v>Active general Life; Life appointments: AMERICAN GENERAL LIFE INSURANCE COMPANY; AMERICAN NATIONAL INSURANCE COMPANY; AMERICAN-AMICABLE LIFE INSURANCE COMPANY OF TEXAS; additional insurers listed; no confirmed exclusion.</x:v>
      </x:c>
      <x:c r="D34" s="10" t="e">
        <x:f>HYPERLINK("https://cdicloud.insurance.ca.gov/cal/LicenseDetail?SearchType=IND&amp;SearchLicNbr=0M59100&amp;SearchIndvId=2059176","https://cdicloud.insurance.ca.gov/cal/LicenseDetail?SearchType=IND&amp;SearchLicNbr=0M59100&amp;SearchIndvId=2059176")</x:f>
        <x:v>HYPERLINK is not implemented. linkLocation=https://cdicloud.insurance.ca.gov/cal/LicenseDetail?SearchType=IND&amp;SearchLicNbr=0M59100&amp;SearchIndvId=2059176, friendlyName=https://cdicloud.insurance.ca.gov/cal/LicenseDetail?SearchType=IND&amp;SearchLicNbr=0M59100&amp;SearchIndvId=2059176</x:v>
      </x:c>
      <x:c r="E34" s="9" t="str">
        <x:v>0M59100</x:v>
      </x:c>
      <x:c r="F34" s="4" t="str">
        <x:v>16933 PARTHENIA ST STE 200 NORTHRIDGE CA, 91343-4564</x:v>
      </x:c>
      <x:c r="G34" s="4" t="str"/>
      <x:c r="H34" s="4" t="str">
        <x:v>https://www.google.com/maps/place/16933%20PARTHENIA%20ST%20STE%20200,%20NORTHRIDGE,%20CA,%20913434564</x:v>
      </x:c>
      <x:c r="I34" s="4" t="str">
        <x:v>91325</x:v>
      </x:c>
      <x:c r="J34" s="4" t="str">
        <x:v>2026-10-08</x:v>
      </x:c>
      <x:c r="K34" s="4" t="str">
        <x:v>English</x:v>
      </x:c>
      <x:c r="L34" s="4" t="str">
        <x:v>Life</x:v>
      </x:c>
      <x:c r="M34" s="4" t="str">
        <x:v>Life — issued 2018-09-28</x:v>
      </x:c>
      <x:c r="N34" s="4" t="str">
        <x:v>2018-09-28</x:v>
      </x:c>
      <x:c r="O34" s="4" t="n">
        <x:v>8.03</x:v>
      </x:c>
      <x:c r="P34" s="4" t="str">
        <x:v>No</x:v>
      </x:c>
      <x:c r="Q34" s="4" t="str">
        <x:v>No</x:v>
      </x:c>
      <x:c r="R34" s="4" t="str">
        <x:v>No</x:v>
      </x:c>
      <x:c r="S34" s="4" t="str">
        <x:v>AMERICAN GENERAL LIFE INSURANCE COMPANY; AMERICAN NATIONAL INSURANCE COMPANY; AMERICAN-AMICABLE LIFE INSURANCE COMPANY OF TEXAS; ATHENE ANNUITY AND LIFE COMPANY; FIDELITY &amp; GUARANTY LIFE INSURANCE COMPANY; INDEPENDENT ORDER OF FORESTERS (THE); NATIONWIDE LIFE AND ANNUITY INSURANCE COMPANY</x:v>
      </x:c>
      <x:c r="T34" s="4" t="n">
        <x:v>7</x:v>
      </x:c>
      <x:c r="U34" s="4" t="n">
        <x:v>7</x:v>
      </x:c>
      <x:c r="V34" s="4" t="str">
        <x:v>AMERICAN GENERAL LIFE INSURANCE COMPANY; AMERICAN NATIONAL INSURANCE COMPANY; AMERICAN-AMICABLE LIFE INSURANCE COMPANY OF TEXAS; ATHENE ANNUITY AND LIFE COMPANY; FIDELITY &amp; GUARANTY LIFE INSURANCE COMPANY; INDEPENDENT ORDER OF FORESTERS (THE); NATIONWIDE LIFE AND ANNUITY INSURANCE COMPANY</x:v>
      </x:c>
      <x:c r="W34" s="4" t="n">
        <x:v>7</x:v>
      </x:c>
      <x:c r="X34" s="4" t="str"/>
      <x:c r="Y34" s="4" t="str"/>
      <x:c r="Z34" s="4" t="str">
        <x:v>AMERICAN GENERAL LIFE INSURANCE COMPANY — Life — 2026-06-30 | AMERICAN NATIONAL INSURANCE COMPANY — Life — 2026-09-22 | AMERICAN-AMICABLE LIFE INSURANCE COMPANY OF TEXAS — Life — 2026-09-16 | ATHENE ANNUITY AND LIFE COMPANY — Life — 2026-05-05 | FIDELITY &amp; GUARANTY LIFE INSURANCE COMPANY — Life — 2026-02-17 | INDEPENDENT ORDER OF FORESTERS (THE) — Life — 2026-09-05 | NATIONWIDE LIFE AND ANNUITY INSURANCE COMPANY — Life — 2026-04-20</x:v>
      </x:c>
      <x:c r="AA34" s="4" t="str"/>
      <x:c r="AB34" s="4" t="n">
        <x:v>0</x:v>
      </x:c>
      <x:c r="AC34" s="4" t="n">
        <x:v>0</x:v>
      </x:c>
      <x:c r="AD34" s="4" t="str"/>
      <x:c r="AE34" s="4" t="str"/>
      <x:c r="AF34" s="4" t="str">
        <x:v>2026-09-22</x:v>
      </x:c>
      <x:c r="AG34" s="4" t="str">
        <x:v>imo-final-approval-rules.md (2026-10-08)</x:v>
      </x:c>
    </x:row>
    <x:row r="35" ht="42" customHeight="1">
      <x:c r="A35" s="4" t="str">
        <x:v>ADELINE BARNUEVO</x:v>
      </x:c>
      <x:c r="B35" s="8" t="str">
        <x:v>Yes</x:v>
      </x:c>
      <x:c r="C35" s="4" t="str">
        <x:v>Active general Life; Life appointments: FIDELITY &amp; GUARANTY LIFE INSURANCE COMPANY; no confirmed exclusion.</x:v>
      </x:c>
      <x:c r="D35" s="10" t="e">
        <x:f>HYPERLINK("https://cdicloud.insurance.ca.gov/cal/LicenseDetail?SearchType=IND&amp;SearchLicNbr=4000098&amp;SearchIndvId=4000098","https://cdicloud.insurance.ca.gov/cal/LicenseDetail?SearchType=IND&amp;SearchLicNbr=4000098&amp;SearchIndvId=4000098")</x:f>
        <x:v>HYPERLINK is not implemented. linkLocation=https://cdicloud.insurance.ca.gov/cal/LicenseDetail?SearchType=IND&amp;SearchLicNbr=4000098&amp;SearchIndvId=4000098, friendlyName=https://cdicloud.insurance.ca.gov/cal/LicenseDetail?SearchType=IND&amp;SearchLicNbr=4000098&amp;SearchIndvId=4000098</x:v>
      </x:c>
      <x:c r="E35" s="9" t="str">
        <x:v>4000098</x:v>
      </x:c>
      <x:c r="F35" s="4" t="str">
        <x:v>9036 RESEDA BLVD UNIT 103 NORTHRIDGE CA, 91324</x:v>
      </x:c>
      <x:c r="G35" s="4" t="str">
        <x:v>818-203-0144</x:v>
      </x:c>
      <x:c r="H35" s="4" t="str">
        <x:v>https://www.google.com/maps/place/9036%20RESEDA%20BLVD%20UNIT%20103,%20NORTHRIDGE,%20CA,%2091324</x:v>
      </x:c>
      <x:c r="I35" s="4" t="str">
        <x:v>91316</x:v>
      </x:c>
      <x:c r="J35" s="4" t="str">
        <x:v>2026-10-08</x:v>
      </x:c>
      <x:c r="K35" s="4" t="str">
        <x:v>English</x:v>
      </x:c>
      <x:c r="L35" s="4" t="str">
        <x:v>Life</x:v>
      </x:c>
      <x:c r="M35" s="4" t="str">
        <x:v>Life — issued 2019-10-02</x:v>
      </x:c>
      <x:c r="N35" s="4" t="str">
        <x:v>2019-10-02</x:v>
      </x:c>
      <x:c r="O35" s="4" t="n">
        <x:v>7.02</x:v>
      </x:c>
      <x:c r="P35" s="4" t="str">
        <x:v>No</x:v>
      </x:c>
      <x:c r="Q35" s="4" t="str">
        <x:v>No</x:v>
      </x:c>
      <x:c r="R35" s="4" t="str">
        <x:v>No</x:v>
      </x:c>
      <x:c r="S35" s="4" t="str">
        <x:v>FIDELITY &amp; GUARANTY LIFE INSURANCE COMPANY</x:v>
      </x:c>
      <x:c r="T35" s="4" t="n">
        <x:v>1</x:v>
      </x:c>
      <x:c r="U35" s="4" t="n">
        <x:v>1</x:v>
      </x:c>
      <x:c r="V35" s="4" t="str">
        <x:v>FIDELITY &amp; GUARANTY LIFE INSURANCE COMPANY</x:v>
      </x:c>
      <x:c r="W35" s="4" t="n">
        <x:v>1</x:v>
      </x:c>
      <x:c r="X35" s="4" t="str"/>
      <x:c r="Y35" s="4" t="str"/>
      <x:c r="Z35" s="4" t="str">
        <x:v>FIDELITY &amp; GUARANTY LIFE INSURANCE COMPANY — Life — 2025-08-19</x:v>
      </x:c>
      <x:c r="AA35" s="4" t="str"/>
      <x:c r="AB35" s="4" t="n">
        <x:v>0</x:v>
      </x:c>
      <x:c r="AC35" s="4" t="n">
        <x:v>0</x:v>
      </x:c>
      <x:c r="AD35" s="4" t="str"/>
      <x:c r="AE35" s="4" t="str"/>
      <x:c r="AF35" s="4" t="str">
        <x:v>2025-08-19</x:v>
      </x:c>
      <x:c r="AG35" s="4" t="str">
        <x:v>imo-final-approval-rules.md (2026-10-08)</x:v>
      </x:c>
    </x:row>
    <x:row r="36" ht="42" customHeight="1">
      <x:c r="A36" s="4" t="str">
        <x:v>ADELINE SALGADO</x:v>
      </x:c>
      <x:c r="B36" s="8" t="str">
        <x:v>Yes</x:v>
      </x:c>
      <x:c r="C36" s="4" t="str">
        <x:v>Active general Life; Life appointments: FIDELITY &amp; GUARANTY LIFE INSURANCE COMPANY; no confirmed exclusion.</x:v>
      </x:c>
      <x:c r="D36" s="10" t="e">
        <x:f>HYPERLINK("https://cdicloud.insurance.ca.gov/cal/LicenseDetail?SearchType=IND&amp;SearchLicNbr=4531698&amp;SearchIndvId=4531698","https://cdicloud.insurance.ca.gov/cal/LicenseDetail?SearchType=IND&amp;SearchLicNbr=4531698&amp;SearchIndvId=4531698")</x:f>
        <x:v>HYPERLINK is not implemented. linkLocation=https://cdicloud.insurance.ca.gov/cal/LicenseDetail?SearchType=IND&amp;SearchLicNbr=4531698&amp;SearchIndvId=4531698, friendlyName=https://cdicloud.insurance.ca.gov/cal/LicenseDetail?SearchType=IND&amp;SearchLicNbr=4531698&amp;SearchIndvId=4531698</x:v>
      </x:c>
      <x:c r="E36" s="9" t="str">
        <x:v>4531698</x:v>
      </x:c>
      <x:c r="F36" s="4" t="str">
        <x:v>10201 LINDLEY AVE APT 157 NORTHRIDGE CA, 91325</x:v>
      </x:c>
      <x:c r="G36" s="4" t="str">
        <x:v>747-250-0510</x:v>
      </x:c>
      <x:c r="H36" s="4" t="str">
        <x:v>https://www.google.com/maps/place/10201%20LINDLEY%20AVE,%20NORTHRIDGE,%20CA,%2091325</x:v>
      </x:c>
      <x:c r="I36" s="4" t="str">
        <x:v>91325</x:v>
      </x:c>
      <x:c r="J36" s="4" t="str">
        <x:v>2026-10-08</x:v>
      </x:c>
      <x:c r="K36" s="4" t="str">
        <x:v>English</x:v>
      </x:c>
      <x:c r="L36" s="4" t="str">
        <x:v>Life</x:v>
      </x:c>
      <x:c r="M36" s="4" t="str">
        <x:v>Life — issued 2026-03-02</x:v>
      </x:c>
      <x:c r="N36" s="4" t="str">
        <x:v>2026-03-02</x:v>
      </x:c>
      <x:c r="O36" s="4" t="n">
        <x:v>0.6</x:v>
      </x:c>
      <x:c r="P36" s="4" t="str">
        <x:v>No</x:v>
      </x:c>
      <x:c r="Q36" s="4" t="str">
        <x:v>No</x:v>
      </x:c>
      <x:c r="R36" s="4" t="str">
        <x:v>No</x:v>
      </x:c>
      <x:c r="S36" s="4" t="str">
        <x:v>FIDELITY &amp; GUARANTY LIFE INSURANCE COMPANY</x:v>
      </x:c>
      <x:c r="T36" s="4" t="n">
        <x:v>1</x:v>
      </x:c>
      <x:c r="U36" s="4" t="n">
        <x:v>1</x:v>
      </x:c>
      <x:c r="V36" s="4" t="str">
        <x:v>FIDELITY &amp; GUARANTY LIFE INSURANCE COMPANY</x:v>
      </x:c>
      <x:c r="W36" s="4" t="n">
        <x:v>1</x:v>
      </x:c>
      <x:c r="X36" s="4" t="str"/>
      <x:c r="Y36" s="4" t="str"/>
      <x:c r="Z36" s="4" t="str">
        <x:v>FIDELITY &amp; GUARANTY LIFE INSURANCE COMPANY — Life — 2026-03-06</x:v>
      </x:c>
      <x:c r="AA36" s="4" t="str"/>
      <x:c r="AB36" s="4" t="n">
        <x:v>0</x:v>
      </x:c>
      <x:c r="AC36" s="4" t="n">
        <x:v>0</x:v>
      </x:c>
      <x:c r="AD36" s="4" t="str"/>
      <x:c r="AE36" s="4" t="str"/>
      <x:c r="AF36" s="4" t="str">
        <x:v>2026-03-06</x:v>
      </x:c>
      <x:c r="AG36" s="4" t="str">
        <x:v>imo-final-approval-rules.md (2026-10-08)</x:v>
      </x:c>
    </x:row>
    <x:row r="37" ht="42" customHeight="1">
      <x:c r="A37" s="4" t="str">
        <x:v>ADMIREE FAJARDO</x:v>
      </x:c>
      <x:c r="B37" s="8" t="str">
        <x:v>Yes</x:v>
      </x:c>
      <x:c r="C37" s="4" t="str">
        <x:v>Active general Life; no displayed agency or insurer relationships; lower priority; no confirmed exclusion.</x:v>
      </x:c>
      <x:c r="D37" s="10" t="e">
        <x:f>HYPERLINK("https://cdicloud.insurance.ca.gov/cal/LicenseDetail?SearchType=IND&amp;SearchLicNbr=0J04538&amp;SearchIndvId=1697873","https://cdicloud.insurance.ca.gov/cal/LicenseDetail?SearchType=IND&amp;SearchLicNbr=0J04538&amp;SearchIndvId=1697873")</x:f>
        <x:v>HYPERLINK is not implemented. linkLocation=https://cdicloud.insurance.ca.gov/cal/LicenseDetail?SearchType=IND&amp;SearchLicNbr=0J04538&amp;SearchIndvId=1697873, friendlyName=https://cdicloud.insurance.ca.gov/cal/LicenseDetail?SearchType=IND&amp;SearchLicNbr=0J04538&amp;SearchIndvId=1697873</x:v>
      </x:c>
      <x:c r="E37" s="9" t="str">
        <x:v>0J04538</x:v>
      </x:c>
      <x:c r="F37" s="4" t="str">
        <x:v>12200 STAGG STREET NORTH HOLLYWOOD CA, 91605</x:v>
      </x:c>
      <x:c r="G37" s="4" t="str">
        <x:v>818-795-3298</x:v>
      </x:c>
      <x:c r="H37" s="4" t="str">
        <x:v>https://www.google.com/maps/place/12200%20STAGG%20STREET,%20NORTH%20HOLLYWOOD,%20CA,%2091605</x:v>
      </x:c>
      <x:c r="I37" s="4" t="str">
        <x:v>91353</x:v>
      </x:c>
      <x:c r="J37" s="4" t="str">
        <x:v>2026-10-08</x:v>
      </x:c>
      <x:c r="K37" s="4" t="str">
        <x:v>English</x:v>
      </x:c>
      <x:c r="L37" s="4" t="str">
        <x:v>Accident &amp; Health or Sickness; Life</x:v>
      </x:c>
      <x:c r="M37" s="4" t="str">
        <x:v>Accident &amp; Health or Sickness — issued 2023-11-15 | Life — issued 2023-11-15</x:v>
      </x:c>
      <x:c r="N37" s="4" t="str">
        <x:v>2023-11-15</x:v>
      </x:c>
      <x:c r="O37" s="4" t="n">
        <x:v>2.9</x:v>
      </x:c>
      <x:c r="P37" s="4" t="str">
        <x:v>Yes</x:v>
      </x:c>
      <x:c r="Q37" s="4" t="str">
        <x:v>No</x:v>
      </x:c>
      <x:c r="R37" s="4" t="str">
        <x:v>No</x:v>
      </x:c>
      <x:c r="S37" s="4" t="str"/>
      <x:c r="T37" s="4" t="n">
        <x:v>0</x:v>
      </x:c>
      <x:c r="U37" s="4" t="n">
        <x:v>0</x:v>
      </x:c>
      <x:c r="V37" s="4" t="str"/>
      <x:c r="W37" s="4" t="n">
        <x:v>0</x:v>
      </x:c>
      <x:c r="X37" s="4" t="str"/>
      <x:c r="Y37" s="4" t="str"/>
      <x:c r="Z37" s="4" t="str"/>
      <x:c r="AA37" s="4" t="str"/>
      <x:c r="AB37" s="4" t="n">
        <x:v>0</x:v>
      </x:c>
      <x:c r="AC37" s="4" t="n">
        <x:v>0</x:v>
      </x:c>
      <x:c r="AD37" s="4" t="str"/>
      <x:c r="AE37" s="4" t="str"/>
      <x:c r="AF37" s="4" t="str"/>
      <x:c r="AG37" s="4" t="str">
        <x:v>imo-final-approval-rules.md (2026-10-08)</x:v>
      </x:c>
    </x:row>
    <x:row r="38" ht="42" customHeight="1">
      <x:c r="A38" s="4" t="str">
        <x:v>ADRIAN BAKER</x:v>
      </x:c>
      <x:c r="B38" s="8" t="str">
        <x:v>Yes</x:v>
      </x:c>
      <x:c r="C38" s="4" t="str">
        <x:v>Active general Life; Life appointments: AMERICAN GENERAL LIFE INSURANCE COMPANY; FIDELITY &amp; GUARANTY LIFE INSURANCE COMPANY; LIFE INSURANCE COMPANY OF THE SOUTHWEST; additional insurers listed; no confirmed exclusion.</x:v>
      </x:c>
      <x:c r="D38" s="10" t="e">
        <x:f>HYPERLINK("https://cdicloud.insurance.ca.gov/cal/LicenseDetail?SearchType=IND&amp;SearchLicNbr=0I71794&amp;SearchIndvId=1604925","https://cdicloud.insurance.ca.gov/cal/LicenseDetail?SearchType=IND&amp;SearchLicNbr=0I71794&amp;SearchIndvId=1604925")</x:f>
        <x:v>HYPERLINK is not implemented. linkLocation=https://cdicloud.insurance.ca.gov/cal/LicenseDetail?SearchType=IND&amp;SearchLicNbr=0I71794&amp;SearchIndvId=1604925, friendlyName=https://cdicloud.insurance.ca.gov/cal/LicenseDetail?SearchType=IND&amp;SearchLicNbr=0I71794&amp;SearchIndvId=1604925</x:v>
      </x:c>
      <x:c r="E38" s="9" t="str">
        <x:v>0I71794</x:v>
      </x:c>
      <x:c r="F38" s="4" t="str">
        <x:v>415 N EL MOLINO AVENUE 14 PASADENA CA, 91101</x:v>
      </x:c>
      <x:c r="G38" s="4" t="str"/>
      <x:c r="H38" s="4" t="str">
        <x:v>https://www.google.com/maps/place/415%20N%20EL%20MOLINO%20AVENUE,%20PASADENA,%20CA,%2091101</x:v>
      </x:c>
      <x:c r="I38" s="4" t="str">
        <x:v>91103</x:v>
      </x:c>
      <x:c r="J38" s="4" t="str">
        <x:v>2026-10-08</x:v>
      </x:c>
      <x:c r="K38" s="4" t="str">
        <x:v>English</x:v>
      </x:c>
      <x:c r="L38" s="4" t="str">
        <x:v>Accident &amp; Health or Sickness; Life</x:v>
      </x:c>
      <x:c r="M38" s="4" t="str">
        <x:v>Accident &amp; Health or Sickness — issued 2014-01-16 | Life — issued 2014-01-16</x:v>
      </x:c>
      <x:c r="N38" s="4" t="str">
        <x:v>2014-01-16</x:v>
      </x:c>
      <x:c r="O38" s="4" t="n">
        <x:v>12.73</x:v>
      </x:c>
      <x:c r="P38" s="4" t="str">
        <x:v>Yes</x:v>
      </x:c>
      <x:c r="Q38" s="4" t="str">
        <x:v>No</x:v>
      </x:c>
      <x:c r="R38" s="4" t="str">
        <x:v>No</x:v>
      </x:c>
      <x:c r="S38" s="4" t="str">
        <x:v>AMERICAN GENERAL LIFE INSURANCE COMPANY; FIDELITY &amp; GUARANTY LIFE INSURANCE COMPANY; LIFE INSURANCE COMPANY OF THE SOUTHWEST; NORTH AMERICAN COMPANY FOR LIFE AND HEALTH INSURANCE; UNITED OF OMAHA LIFE INSURANCE COMPANY</x:v>
      </x:c>
      <x:c r="T38" s="4" t="n">
        <x:v>8</x:v>
      </x:c>
      <x:c r="U38" s="4" t="n">
        <x:v>5</x:v>
      </x:c>
      <x:c r="V38" s="4" t="str">
        <x:v>AMERICAN GENERAL LIFE INSURANCE COMPANY; FIDELITY &amp; GUARANTY LIFE INSURANCE COMPANY; LIFE INSURANCE COMPANY OF THE SOUTHWEST; NORTH AMERICAN COMPANY FOR LIFE AND HEALTH INSURANCE; UNITED OF OMAHA LIFE INSURANCE COMPANY</x:v>
      </x:c>
      <x:c r="W38" s="4" t="n">
        <x:v>5</x:v>
      </x:c>
      <x:c r="X38" s="4" t="str">
        <x:v>AMERICAN GENERAL LIFE INSURANCE COMPANY; LIFE INSURANCE COMPANY OF THE SOUTHWEST; UNITED OF OMAHA LIFE INSURANCE COMPANY</x:v>
      </x:c>
      <x:c r="Y38" s="4" t="str"/>
      <x:c r="Z38" s="4" t="str">
        <x:v>AMERICAN GENERAL LIFE INSURANCE COMPANY — Accident &amp; Health or Sickness — 2020-09-03 | AMERICAN GENERAL LIFE INSURANCE COMPANY — Life — 2020-09-03 | FIDELITY &amp; GUARANTY LIFE INSURANCE COMPANY — Life — 2024-08-22 | LIFE INSURANCE COMPANY OF THE SOUTHWEST — Accident &amp; Health or Sickness — 2020-02-06 | LIFE INSURANCE COMPANY OF THE SOUTHWEST — Life — 2020-02-06 | NORTH AMERICAN COMPANY FOR LIFE AND HEALTH INSURANCE — Life — 2022-11-30 | UNITED OF OMAHA LIFE INSURANCE COMPANY — Accident &amp; Health or Sickness — 2021-02-11 | UNITED OF OMAHA LIFE INSURANCE COMPANY — Life — 2021-02-11</x:v>
      </x:c>
      <x:c r="AA38" s="4" t="str"/>
      <x:c r="AB38" s="4" t="n">
        <x:v>0</x:v>
      </x:c>
      <x:c r="AC38" s="4" t="n">
        <x:v>0</x:v>
      </x:c>
      <x:c r="AD38" s="4" t="str"/>
      <x:c r="AE38" s="4" t="str"/>
      <x:c r="AF38" s="4" t="str">
        <x:v>2024-08-22</x:v>
      </x:c>
      <x:c r="AG38" s="4" t="str">
        <x:v>imo-final-approval-rules.md (2026-10-08)</x:v>
      </x:c>
    </x:row>
    <x:row r="39" ht="42" customHeight="1">
      <x:c r="A39" s="4" t="str">
        <x:v>ADRIAN CEJUDO CARRILLO</x:v>
      </x:c>
      <x:c r="B39" s="8" t="str">
        <x:v>Yes</x:v>
      </x:c>
      <x:c r="C39" s="4" t="str">
        <x:v>Active general Life; no displayed agency or insurer relationships; lower priority; no confirmed exclusion.</x:v>
      </x:c>
      <x:c r="D39" s="10" t="e">
        <x:f>HYPERLINK("https://cdicloud.insurance.ca.gov/cal/LicenseDetail?SearchType=IND&amp;SearchLicNbr=4562544&amp;SearchIndvId=4562544","https://cdicloud.insurance.ca.gov/cal/LicenseDetail?SearchType=IND&amp;SearchLicNbr=4562544&amp;SearchIndvId=4562544")</x:f>
        <x:v>HYPERLINK is not implemented. linkLocation=https://cdicloud.insurance.ca.gov/cal/LicenseDetail?SearchType=IND&amp;SearchLicNbr=4562544&amp;SearchIndvId=4562544, friendlyName=https://cdicloud.insurance.ca.gov/cal/LicenseDetail?SearchType=IND&amp;SearchLicNbr=4562544&amp;SearchIndvId=4562544</x:v>
      </x:c>
      <x:c r="E39" s="9" t="str">
        <x:v>4562544</x:v>
      </x:c>
      <x:c r="F39" s="4" t="str">
        <x:v>2108 N ST # 15494 SACRAMENTO CA, 95816-5712</x:v>
      </x:c>
      <x:c r="G39" s="4" t="str">
        <x:v>213-460-5869</x:v>
      </x:c>
      <x:c r="H39" s="4" t="str">
        <x:v>https://www.google.com/maps/place/2108%20N%20ST%20#%2015494,%20SACRAMENTO,%20CA,%20958165712</x:v>
      </x:c>
      <x:c r="I39" s="4" t="str">
        <x:v>91353 91609</x:v>
      </x:c>
      <x:c r="J39" s="4" t="str">
        <x:v>2026-10-08</x:v>
      </x:c>
      <x:c r="K39" s="4" t="str">
        <x:v>English</x:v>
      </x:c>
      <x:c r="L39" s="4" t="str">
        <x:v>Accident &amp; Health or Sickness; Life</x:v>
      </x:c>
      <x:c r="M39" s="4" t="str">
        <x:v>Accident &amp; Health or Sickness — issued 2026-07-09 | Life — issued 2026-07-09</x:v>
      </x:c>
      <x:c r="N39" s="4" t="str">
        <x:v>2026-07-09</x:v>
      </x:c>
      <x:c r="O39" s="4" t="n">
        <x:v>0.25</x:v>
      </x:c>
      <x:c r="P39" s="4" t="str">
        <x:v>Yes</x:v>
      </x:c>
      <x:c r="Q39" s="4" t="str">
        <x:v>No</x:v>
      </x:c>
      <x:c r="R39" s="4" t="str">
        <x:v>No</x:v>
      </x:c>
      <x:c r="S39" s="4" t="str"/>
      <x:c r="T39" s="4" t="n">
        <x:v>0</x:v>
      </x:c>
      <x:c r="U39" s="4" t="n">
        <x:v>0</x:v>
      </x:c>
      <x:c r="V39" s="4" t="str"/>
      <x:c r="W39" s="4" t="n">
        <x:v>0</x:v>
      </x:c>
      <x:c r="X39" s="4" t="str"/>
      <x:c r="Y39" s="4" t="str"/>
      <x:c r="Z39" s="4" t="str"/>
      <x:c r="AA39" s="4" t="str"/>
      <x:c r="AB39" s="4" t="n">
        <x:v>0</x:v>
      </x:c>
      <x:c r="AC39" s="4" t="n">
        <x:v>0</x:v>
      </x:c>
      <x:c r="AD39" s="4" t="str"/>
      <x:c r="AE39" s="4" t="str"/>
      <x:c r="AF39" s="4" t="str"/>
      <x:c r="AG39" s="4" t="str">
        <x:v>imo-final-approval-rules.md (2026-10-08)</x:v>
      </x:c>
    </x:row>
    <x:row r="40" ht="42" customHeight="1">
      <x:c r="A40" s="4" t="str">
        <x:v>ADRIAN ESQUIVIAS</x:v>
      </x:c>
      <x:c r="B40" s="8" t="str">
        <x:v>Yes</x:v>
      </x:c>
      <x:c r="C40" s="4" t="str">
        <x:v>Active general Life; Life agency relationship: WORLD FINANCIAL GROUP INSURANCE AGENCY, LLC; no confirmed exclusion.</x:v>
      </x:c>
      <x:c r="D40" s="10" t="e">
        <x:f>HYPERLINK("https://cdicloud.insurance.ca.gov/cal/LicenseDetail?SearchType=IND&amp;SearchLicNbr=4538207&amp;SearchIndvId=4538207","https://cdicloud.insurance.ca.gov/cal/LicenseDetail?SearchType=IND&amp;SearchLicNbr=4538207&amp;SearchIndvId=4538207")</x:f>
        <x:v>HYPERLINK is not implemented. linkLocation=https://cdicloud.insurance.ca.gov/cal/LicenseDetail?SearchType=IND&amp;SearchLicNbr=4538207&amp;SearchIndvId=4538207, friendlyName=https://cdicloud.insurance.ca.gov/cal/LicenseDetail?SearchType=IND&amp;SearchLicNbr=4538207&amp;SearchIndvId=4538207</x:v>
      </x:c>
      <x:c r="E40" s="9" t="str">
        <x:v>4538207</x:v>
      </x:c>
      <x:c r="F40" s="4" t="str">
        <x:v>179 N SUNOL DR LOS ANGELES CA, 90063</x:v>
      </x:c>
      <x:c r="G40" s="4" t="str">
        <x:v>323-719-8374</x:v>
      </x:c>
      <x:c r="H40" s="4" t="str">
        <x:v>https://www.google.com/maps/place/179%20N%20SUNOL%20DR,%20LOS%20ANGELES,%20CA,%2090063</x:v>
      </x:c>
      <x:c r="I40" s="4" t="str">
        <x:v>90023</x:v>
      </x:c>
      <x:c r="J40" s="4" t="str">
        <x:v>2026-10-08</x:v>
      </x:c>
      <x:c r="K40" s="4" t="str">
        <x:v>English</x:v>
      </x:c>
      <x:c r="L40" s="4" t="str">
        <x:v>Accident &amp; Health or Sickness; Life</x:v>
      </x:c>
      <x:c r="M40" s="4" t="str">
        <x:v>Accident &amp; Health or Sickness — issued 2026-03-30 | Life — issued 2026-03-30</x:v>
      </x:c>
      <x:c r="N40" s="4" t="str">
        <x:v>2026-03-30</x:v>
      </x:c>
      <x:c r="O40" s="4" t="n">
        <x:v>0.53</x:v>
      </x:c>
      <x:c r="P40" s="4" t="str">
        <x:v>Yes</x:v>
      </x:c>
      <x:c r="Q40" s="4" t="str">
        <x:v>No</x:v>
      </x:c>
      <x:c r="R40" s="4" t="str">
        <x:v>No</x:v>
      </x:c>
      <x:c r="S40" s="4" t="str"/>
      <x:c r="T40" s="4" t="n">
        <x:v>0</x:v>
      </x:c>
      <x:c r="U40" s="4" t="n">
        <x:v>0</x:v>
      </x:c>
      <x:c r="V40" s="4" t="str"/>
      <x:c r="W40" s="4" t="n">
        <x:v>0</x:v>
      </x:c>
      <x:c r="X40" s="4" t="str"/>
      <x:c r="Y40" s="4" t="str"/>
      <x:c r="Z40" s="4" t="str"/>
      <x:c r="AA40" s="4" t="str">
        <x:v>WORLD FINANCIAL GROUP INSURANCE AGENCY, LLC</x:v>
      </x:c>
      <x:c r="AB40" s="4" t="n">
        <x:v>1</x:v>
      </x:c>
      <x:c r="AC40" s="4" t="n">
        <x:v>2</x:v>
      </x:c>
      <x:c r="AD40" s="4" t="str">
        <x:v>WORLD FINANCIAL GROUP INSURANCE AGENCY, LLC</x:v>
      </x:c>
      <x:c r="AE40" s="4" t="str">
        <x:v>WORLD FINANCIAL GROUP INSURANCE AGENCY, LLC — Accident &amp; Health or Sickness — 2026-04-02 | WORLD FINANCIAL GROUP INSURANCE AGENCY, LLC — Life — 2026-04-02</x:v>
      </x:c>
      <x:c r="AF40" s="4" t="str">
        <x:v>2026-04-02</x:v>
      </x:c>
      <x:c r="AG40" s="4" t="str">
        <x:v>imo-final-approval-rules.md (2026-10-08)</x:v>
      </x:c>
    </x:row>
    <x:row r="41" ht="42" customHeight="1">
      <x:c r="A41" s="4" t="str">
        <x:v>Adrian Martinez</x:v>
      </x:c>
      <x:c r="B41" s="8" t="str">
        <x:v>Yes</x:v>
      </x:c>
      <x:c r="C41" s="4" t="str">
        <x:v>Active general Life; Life appointments: AMERICAN GENERAL LIFE INSURANCE COMPANY; no confirmed exclusion.</x:v>
      </x:c>
      <x:c r="D41" s="10" t="e">
        <x:f>HYPERLINK("https://cdicloud.insurance.ca.gov/cal/LicenseDetail?SearchType=IND&amp;SearchLicNbr=4586761&amp;SearchIndvId=4586761","https://cdicloud.insurance.ca.gov/cal/LicenseDetail?SearchType=IND&amp;SearchLicNbr=4586761&amp;SearchIndvId=4586761")</x:f>
        <x:v>HYPERLINK is not implemented. linkLocation=https://cdicloud.insurance.ca.gov/cal/LicenseDetail?SearchType=IND&amp;SearchLicNbr=4586761&amp;SearchIndvId=4586761, friendlyName=https://cdicloud.insurance.ca.gov/cal/LicenseDetail?SearchType=IND&amp;SearchLicNbr=4586761&amp;SearchIndvId=4586761</x:v>
      </x:c>
      <x:c r="E41" s="9" t="str">
        <x:v>4586761</x:v>
      </x:c>
      <x:c r="F41" s="4" t="str">
        <x:v>800 S ROWAN AVE LOS ANGELES CA, 90023</x:v>
      </x:c>
      <x:c r="G41" s="4" t="str">
        <x:v>323-517-7548</x:v>
      </x:c>
      <x:c r="H41" s="4" t="str">
        <x:v>https://www.google.com/maps/place/800%20S%20ROWAN%20AVE,%20LOS%20ANGELES,%20CA,%2090023</x:v>
      </x:c>
      <x:c r="I41" s="4" t="str">
        <x:v>90023</x:v>
      </x:c>
      <x:c r="J41" s="4" t="str">
        <x:v>2026-10-08</x:v>
      </x:c>
      <x:c r="K41" s="4" t="str">
        <x:v>English</x:v>
      </x:c>
      <x:c r="L41" s="4" t="str">
        <x:v>Life</x:v>
      </x:c>
      <x:c r="M41" s="4" t="str">
        <x:v>Life — issued 2026-09-30</x:v>
      </x:c>
      <x:c r="N41" s="4" t="str">
        <x:v>2026-09-30</x:v>
      </x:c>
      <x:c r="O41" s="4" t="n">
        <x:v>0.02</x:v>
      </x:c>
      <x:c r="P41" s="4" t="str">
        <x:v>No</x:v>
      </x:c>
      <x:c r="Q41" s="4" t="str">
        <x:v>No</x:v>
      </x:c>
      <x:c r="R41" s="4" t="str">
        <x:v>No</x:v>
      </x:c>
      <x:c r="S41" s="4" t="str">
        <x:v>AMERICAN GENERAL LIFE INSURANCE COMPANY</x:v>
      </x:c>
      <x:c r="T41" s="4" t="n">
        <x:v>1</x:v>
      </x:c>
      <x:c r="U41" s="4" t="n">
        <x:v>1</x:v>
      </x:c>
      <x:c r="V41" s="4" t="str">
        <x:v>AMERICAN GENERAL LIFE INSURANCE COMPANY</x:v>
      </x:c>
      <x:c r="W41" s="4" t="n">
        <x:v>1</x:v>
      </x:c>
      <x:c r="X41" s="4" t="str"/>
      <x:c r="Y41" s="4" t="str"/>
      <x:c r="Z41" s="4" t="str">
        <x:v>AMERICAN GENERAL LIFE INSURANCE COMPANY — Life — 2026-10-08</x:v>
      </x:c>
      <x:c r="AA41" s="4" t="str"/>
      <x:c r="AB41" s="4" t="n">
        <x:v>0</x:v>
      </x:c>
      <x:c r="AC41" s="4" t="n">
        <x:v>0</x:v>
      </x:c>
      <x:c r="AD41" s="4" t="str"/>
      <x:c r="AE41" s="4" t="str"/>
      <x:c r="AF41" s="4" t="str">
        <x:v>2026-10-08</x:v>
      </x:c>
      <x:c r="AG41" s="4" t="str">
        <x:v>imo-final-approval-rules.md (2026-10-08)</x:v>
      </x:c>
    </x:row>
    <x:row r="42" ht="42" customHeight="1">
      <x:c r="A42" s="4" t="str">
        <x:v>ADRIAN MILLANARCILA</x:v>
      </x:c>
      <x:c r="B42" s="8" t="str">
        <x:v>Yes</x:v>
      </x:c>
      <x:c r="C42" s="4" t="str">
        <x:v>Active general Life; no displayed agency or insurer relationships; lower priority; no confirmed exclusion.</x:v>
      </x:c>
      <x:c r="D42" s="10" t="e">
        <x:f>HYPERLINK("https://cdicloud.insurance.ca.gov/cal/LicenseDetail?SearchType=IND&amp;SearchLicNbr=1996241&amp;SearchIndvId=1996241","https://cdicloud.insurance.ca.gov/cal/LicenseDetail?SearchType=IND&amp;SearchLicNbr=1996241&amp;SearchIndvId=1996241")</x:f>
        <x:v>HYPERLINK is not implemented. linkLocation=https://cdicloud.insurance.ca.gov/cal/LicenseDetail?SearchType=IND&amp;SearchLicNbr=1996241&amp;SearchIndvId=1996241, friendlyName=https://cdicloud.insurance.ca.gov/cal/LicenseDetail?SearchType=IND&amp;SearchLicNbr=1996241&amp;SearchIndvId=1996241</x:v>
      </x:c>
      <x:c r="E42" s="9" t="str">
        <x:v>1996241</x:v>
      </x:c>
      <x:c r="F42" s="4" t="str">
        <x:v>7645 WYNGATE ST TUJUNGA CA, 91042</x:v>
      </x:c>
      <x:c r="G42" s="4" t="str">
        <x:v>818-317-5752</x:v>
      </x:c>
      <x:c r="H42" s="4" t="str">
        <x:v>https://www.google.com/maps/place/7645%20WYNGATE%20ST,%20TUJUNGA,%20CA,%2091042</x:v>
      </x:c>
      <x:c r="I42" s="4" t="str">
        <x:v>91043</x:v>
      </x:c>
      <x:c r="J42" s="4" t="str">
        <x:v>2026-10-08</x:v>
      </x:c>
      <x:c r="K42" s="4" t="str">
        <x:v>English</x:v>
      </x:c>
      <x:c r="L42" s="4" t="str">
        <x:v>Life</x:v>
      </x:c>
      <x:c r="M42" s="4" t="str">
        <x:v>Life — issued 2023-02-09</x:v>
      </x:c>
      <x:c r="N42" s="4" t="str">
        <x:v>2023-02-09</x:v>
      </x:c>
      <x:c r="O42" s="4" t="n">
        <x:v>3.66</x:v>
      </x:c>
      <x:c r="P42" s="4" t="str">
        <x:v>No</x:v>
      </x:c>
      <x:c r="Q42" s="4" t="str">
        <x:v>No</x:v>
      </x:c>
      <x:c r="R42" s="4" t="str">
        <x:v>No</x:v>
      </x:c>
      <x:c r="S42" s="4" t="str"/>
      <x:c r="T42" s="4" t="n">
        <x:v>0</x:v>
      </x:c>
      <x:c r="U42" s="4" t="n">
        <x:v>0</x:v>
      </x:c>
      <x:c r="V42" s="4" t="str"/>
      <x:c r="W42" s="4" t="n">
        <x:v>0</x:v>
      </x:c>
      <x:c r="X42" s="4" t="str"/>
      <x:c r="Y42" s="4" t="str"/>
      <x:c r="Z42" s="4" t="str"/>
      <x:c r="AA42" s="4" t="str"/>
      <x:c r="AB42" s="4" t="n">
        <x:v>0</x:v>
      </x:c>
      <x:c r="AC42" s="4" t="n">
        <x:v>0</x:v>
      </x:c>
      <x:c r="AD42" s="4" t="str"/>
      <x:c r="AE42" s="4" t="str"/>
      <x:c r="AF42" s="4" t="str"/>
      <x:c r="AG42" s="4" t="str">
        <x:v>imo-final-approval-rules.md (2026-10-08)</x:v>
      </x:c>
    </x:row>
  </x:sheetData>
  <x:conditionalFormatting sqref="B2:B42">
    <x:cfRule type="containsText" dxfId="18" priority="1" operator="containsText" text="Yes"/>
    <x:cfRule type="containsText" dxfId="19" priority="2" operator="containsText" text="No"/>
    <x:cfRule type="containsBlanks" dxfId="20" priority="3"/>
  </x:conditionalFormatting>
  <x:pageMargins left="0.7" right="0.7" top="0.75" bottom="0.75" header="0.3" footer="0.3"/>
  <x:tableParts count="1">
    <x:tablePart xmlns:r="http://schemas.openxmlformats.org/officeDocument/2006/relationships" r:id="R5f890b7d8ae849bc"/>
  </x:tableParts>
</x:worksheet>
</file>

<file path=xl/worksheets/sheet8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52" hidden="0" customWidth="1"/>
    <x:col min="4" max="4" width="56" hidden="0" customWidth="1"/>
    <x:col min="5" max="5" width="17" hidden="0" customWidth="1"/>
    <x:col min="6" max="6" width="34" hidden="0" customWidth="1"/>
    <x:col min="7" max="7" width="16" hidden="0" customWidth="1"/>
    <x:col min="8" max="8" width="56" hidden="0" customWidth="1"/>
    <x:col min="9" max="9" width="13" hidden="0" customWidth="1"/>
    <x:col min="10" max="10" width="17" hidden="0" customWidth="1"/>
    <x:col min="11" max="11" width="17" hidden="0" customWidth="1"/>
    <x:col min="12" max="12" width="23" hidden="0" customWidth="1"/>
    <x:col min="13" max="13" width="52" hidden="0" customWidth="1"/>
    <x:col min="14" max="14" width="17" hidden="0" customWidth="1"/>
    <x:col min="15" max="15" width="24" hidden="0" customWidth="1"/>
    <x:col min="16" max="16" width="25" hidden="0" customWidth="1"/>
    <x:col min="17" max="17" width="21" hidden="0" customWidth="1"/>
    <x:col min="18" max="18" width="27" hidden="0" customWidth="1"/>
    <x:col min="19" max="19" width="34" hidden="0" customWidth="1"/>
    <x:col min="20" max="20" width="23" hidden="0" customWidth="1"/>
    <x:col min="21" max="21" width="22" hidden="0" customWidth="1"/>
    <x:col min="22" max="22" width="34" hidden="0" customWidth="1"/>
    <x:col min="23" max="23" width="27" hidden="0" customWidth="1"/>
    <x:col min="24" max="24" width="34" hidden="0" customWidth="1"/>
    <x:col min="25" max="25" width="34" hidden="0" customWidth="1"/>
    <x:col min="26" max="26" width="52" hidden="0" customWidth="1"/>
    <x:col min="27" max="27" width="34" hidden="0" customWidth="1"/>
    <x:col min="28" max="28" width="21" hidden="0" customWidth="1"/>
    <x:col min="29" max="29" width="27" hidden="0" customWidth="1"/>
    <x:col min="30" max="30" width="34" hidden="0" customWidth="1"/>
    <x:col min="31" max="31" width="52" hidden="0" customWidth="1"/>
    <x:col min="32" max="32" width="34" hidden="0" customWidth="1"/>
    <x:col min="33" max="33" width="52" hidden="0" customWidth="1"/>
  </x:cols>
  <x:sheetData>
    <x:row r="1" ht="32" customHeight="1">
      <x:c r="A1" s="7" t="str">
        <x:v>Name</x:v>
      </x:c>
      <x:c r="B1" s="7" t="str">
        <x:v>Passed_Test</x:v>
      </x:c>
      <x:c r="C1" s="7" t="str">
        <x:v>Assessment</x:v>
      </x:c>
      <x:c r="D1" s="7" t="str">
        <x:v>License_URL</x:v>
      </x:c>
      <x:c r="E1" s="7" t="str">
        <x:v>License_Number</x:v>
      </x:c>
      <x:c r="F1" s="7" t="str">
        <x:v>Business_Address</x:v>
      </x:c>
      <x:c r="G1" s="7" t="str">
        <x:v>Business_Phone</x:v>
      </x:c>
      <x:c r="H1" s="7" t="str">
        <x:v>Directions_URL</x:v>
      </x:c>
      <x:c r="I1" s="7" t="str">
        <x:v>Source_ZIPs</x:v>
      </x:c>
      <x:c r="J1" s="7" t="str">
        <x:v>Checked_On</x:v>
      </x:c>
      <x:c r="K1" s="7" t="str">
        <x:v>Languages</x:v>
      </x:c>
      <x:c r="L1" s="7" t="str">
        <x:v>Active_Qualifications</x:v>
      </x:c>
      <x:c r="M1" s="7" t="str">
        <x:v>Qualification_Details</x:v>
      </x:c>
      <x:c r="N1" s="7" t="str">
        <x:v>Life_Issue_Date</x:v>
      </x:c>
      <x:c r="O1" s="7" t="str">
        <x:v>Years_Since_Life_Issue</x:v>
      </x:c>
      <x:c r="P1" s="7" t="str">
        <x:v>Active_Health_Authority</x:v>
      </x:c>
      <x:c r="Q1" s="7" t="str">
        <x:v>Active_PC_Authority</x:v>
      </x:c>
      <x:c r="R1" s="7" t="str">
        <x:v>Active_Variable_Authority</x:v>
      </x:c>
      <x:c r="S1" s="7" t="str">
        <x:v>Appointed_Insurers</x:v>
      </x:c>
      <x:c r="T1" s="7" t="str">
        <x:v>Appointment_Row_Count</x:v>
      </x:c>
      <x:c r="U1" s="7" t="str">
        <x:v>Unique_Insurer_Count</x:v>
      </x:c>
      <x:c r="V1" s="7" t="str">
        <x:v>Life_Appointed_Insurers</x:v>
      </x:c>
      <x:c r="W1" s="7" t="str">
        <x:v>Unique_Life_Insurer_Count</x:v>
      </x:c>
      <x:c r="X1" s="7" t="str">
        <x:v>Health_Appointed_Insurers</x:v>
      </x:c>
      <x:c r="Y1" s="7" t="str">
        <x:v>PC_Appointed_Insurers</x:v>
      </x:c>
      <x:c r="Z1" s="7" t="str">
        <x:v>Appointment_Details</x:v>
      </x:c>
      <x:c r="AA1" s="7" t="str">
        <x:v>Agency_Organizations</x:v>
      </x:c>
      <x:c r="AB1" s="7" t="str">
        <x:v>Unique_Agency_Count</x:v>
      </x:c>
      <x:c r="AC1" s="7" t="str">
        <x:v>Agency_Relationship_Count</x:v>
      </x:c>
      <x:c r="AD1" s="7" t="str">
        <x:v>Life_Agency_Organizations</x:v>
      </x:c>
      <x:c r="AE1" s="7" t="str">
        <x:v>Agency_Relationship_Details</x:v>
      </x:c>
      <x:c r="AF1" s="7" t="str">
        <x:v>Latest_Displayed_Relationship_Date</x:v>
      </x:c>
      <x:c r="AG1" s="7" t="str">
        <x:v>Rule_Document</x:v>
      </x:c>
    </x:row>
    <x:row r="2" ht="42" customHeight="1">
      <x:c r="A2" s="4" t="str">
        <x:v>ABRAHAM KERYAN</x:v>
      </x:c>
      <x:c r="B2" s="8" t="str">
        <x:v>Yes</x:v>
      </x:c>
      <x:c r="C2" s="4" t="str">
        <x:v>Active general Life; Life agency relationship: PRIMERICA FINANCIAL SERVICES INSURANCE MARKETING, INC.; no confirmed exclusion.</x:v>
      </x:c>
      <x:c r="D2" s="10" t="e">
        <x:f>HYPERLINK("https://cdicloud.insurance.ca.gov/cal/LicenseDetail?SearchType=IND&amp;SearchLicNbr=0D84696&amp;SearchIndvId=823148","https://cdicloud.insurance.ca.gov/cal/LicenseDetail?SearchType=IND&amp;SearchLicNbr=0D84696&amp;SearchIndvId=823148")</x:f>
        <x:v>HYPERLINK is not implemented. linkLocation=https://cdicloud.insurance.ca.gov/cal/LicenseDetail?SearchType=IND&amp;SearchLicNbr=0D84696&amp;SearchIndvId=823148, friendlyName=https://cdicloud.insurance.ca.gov/cal/LicenseDetail?SearchType=IND&amp;SearchLicNbr=0D84696&amp;SearchIndvId=823148</x:v>
      </x:c>
      <x:c r="E2" s="9" t="str">
        <x:v>0D84696</x:v>
      </x:c>
      <x:c r="F2" s="4" t="str">
        <x:v>533 N VICTORY BLVD BURBANK CA, 91502</x:v>
      </x:c>
      <x:c r="G2" s="4" t="str"/>
      <x:c r="H2" s="4" t="str">
        <x:v>https://www.google.com/maps/place/533%20N%20VICTORY%20BLVD,%20BURBANK,%20CA,%2091502</x:v>
      </x:c>
      <x:c r="I2" s="4" t="str">
        <x:v>91204</x:v>
      </x:c>
      <x:c r="J2" s="4" t="str">
        <x:v>2026-10-08</x:v>
      </x:c>
      <x:c r="K2" s="4" t="str">
        <x:v>English; Russian; Armenian</x:v>
      </x:c>
      <x:c r="L2" s="4" t="str">
        <x:v>Accident &amp; Health or Sickness; Life</x:v>
      </x:c>
      <x:c r="M2" s="4" t="str">
        <x:v>Accident &amp; Health or Sickness — issued 2002-12-20 | Life — issued 2002-12-20</x:v>
      </x:c>
      <x:c r="N2" s="4" t="str">
        <x:v>2002-12-20</x:v>
      </x:c>
      <x:c r="O2" s="4" t="n">
        <x:v>23.8</x:v>
      </x:c>
      <x:c r="P2" s="4" t="str">
        <x:v>Yes</x:v>
      </x:c>
      <x:c r="Q2" s="4" t="str">
        <x:v>No</x:v>
      </x:c>
      <x:c r="R2" s="4" t="str">
        <x:v>No</x:v>
      </x:c>
      <x:c r="S2" s="4" t="str">
        <x:v>AMERICAN FAMILY LIFE ASSURANCE COMPANY OF COLUMBUS; AMERICAN GENERAL LIFE INSURANCE COMPANY; ANTHEM BLUE CROSS LIFE AND HEALTH INSURANCE COMPANY; NATIONWIDE LIFE AND ANNUITY INSURANCE COMPANY; PRINCIPAL LIFE INSURANCE COMPANY</x:v>
      </x:c>
      <x:c r="T2" s="4" t="n">
        <x:v>10</x:v>
      </x:c>
      <x:c r="U2" s="4" t="n">
        <x:v>5</x:v>
      </x:c>
      <x:c r="V2" s="4" t="str">
        <x:v>AMERICAN FAMILY LIFE ASSURANCE COMPANY OF COLUMBUS; AMERICAN GENERAL LIFE INSURANCE COMPANY; ANTHEM BLUE CROSS LIFE AND HEALTH INSURANCE COMPANY; NATIONWIDE LIFE AND ANNUITY INSURANCE COMPANY; PRINCIPAL LIFE INSURANCE COMPANY</x:v>
      </x:c>
      <x:c r="W2" s="4" t="n">
        <x:v>5</x:v>
      </x:c>
      <x:c r="X2" s="4" t="str">
        <x:v>AMERICAN FAMILY LIFE ASSURANCE COMPANY OF COLUMBUS; AMERICAN GENERAL LIFE INSURANCE COMPANY; ANTHEM BLUE CROSS LIFE AND HEALTH INSURANCE COMPANY; NATIONWIDE LIFE AND ANNUITY INSURANCE COMPANY; PRINCIPAL LIFE INSURANCE COMPANY</x:v>
      </x:c>
      <x:c r="Y2" s="4" t="str"/>
      <x:c r="Z2" s="4" t="str">
        <x:v>AMERICAN FAMILY LIFE ASSURANCE COMPANY OF COLUMBUS — Accident &amp; Health or Sickness — 2021-02-22 | AMERICAN FAMILY LIFE ASSURANCE COMPANY OF COLUMBUS — Life — 2021-02-22 | AMERICAN GENERAL LIFE INSURANCE COMPANY — Accident &amp; Health or Sickness — 2011-06-17 | AMERICAN GENERAL LIFE INSURANCE COMPANY — Life — 2011-06-17 | ANTHEM BLUE CROSS LIFE AND HEALTH INSURANCE COMPANY — Accident &amp; Health or Sickness — 2011-06-09 | ANTHEM BLUE CROSS LIFE AND HEALTH INSURANCE COMPANY — Life — 2011-06-09 | NATIONWIDE LIFE AND ANNUITY INSURANCE COMPANY — Accident &amp; Health or Sickness — 2021-10-04 | NATIONWIDE LIFE AND ANNUITY INSURANCE COMPANY — Life — 2021-10-04 | PRINCIPAL LIFE INSURANCE COMPANY — Accident &amp; Health or Sickness — 2011-11-23 | PRINCIPAL LIFE INSURANCE COMPANY — Life — 2011-11-23</x:v>
      </x:c>
      <x:c r="AA2" s="4" t="str">
        <x:v>PRIMERICA FINANCIAL SERVICES INSURANCE MARKETING, INC.</x:v>
      </x:c>
      <x:c r="AB2" s="4" t="n">
        <x:v>1</x:v>
      </x:c>
      <x:c r="AC2" s="4" t="n">
        <x:v>2</x:v>
      </x:c>
      <x:c r="AD2" s="4" t="str">
        <x:v>PRIMERICA FINANCIAL SERVICES INSURANCE MARKETING, INC.</x:v>
      </x:c>
      <x:c r="AE2" s="4" t="str">
        <x:v>PRIMERICA FINANCIAL SERVICES INSURANCE MARKETING, INC. — Accident &amp; Health or Sickness — 2015-08-10 | PRIMERICA FINANCIAL SERVICES INSURANCE MARKETING, INC. — Life — 2015-08-10</x:v>
      </x:c>
      <x:c r="AF2" s="4" t="str">
        <x:v>2021-10-04</x:v>
      </x:c>
      <x:c r="AG2" s="4" t="str">
        <x:v>imo-final-approval-rules.md (2026-10-08)</x:v>
      </x:c>
    </x:row>
  </x:sheetData>
  <x:conditionalFormatting sqref="B2:B2">
    <x:cfRule type="containsText" dxfId="21" priority="1" operator="containsText" text="Yes"/>
    <x:cfRule type="containsText" dxfId="22" priority="2" operator="containsText" text="No"/>
    <x:cfRule type="containsBlanks" dxfId="23" priority="3"/>
  </x:conditionalFormatting>
  <x:pageMargins left="0.7" right="0.7" top="0.75" bottom="0.75" header="0.3" footer="0.3"/>
  <x:tableParts count="1">
    <x:tablePart xmlns:r="http://schemas.openxmlformats.org/officeDocument/2006/relationships" r:id="R2b64f228898d4759"/>
  </x:tableParts>
</x:worksheet>
</file>

<file path=xl/worksheets/sheet9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52" hidden="0" customWidth="1"/>
    <x:col min="4" max="4" width="56" hidden="0" customWidth="1"/>
    <x:col min="5" max="5" width="17" hidden="0" customWidth="1"/>
    <x:col min="6" max="6" width="34" hidden="0" customWidth="1"/>
    <x:col min="7" max="7" width="16" hidden="0" customWidth="1"/>
    <x:col min="8" max="8" width="56" hidden="0" customWidth="1"/>
    <x:col min="9" max="9" width="13" hidden="0" customWidth="1"/>
    <x:col min="10" max="10" width="17" hidden="0" customWidth="1"/>
    <x:col min="11" max="11" width="17" hidden="0" customWidth="1"/>
    <x:col min="12" max="12" width="23" hidden="0" customWidth="1"/>
    <x:col min="13" max="13" width="52" hidden="0" customWidth="1"/>
    <x:col min="14" max="14" width="17" hidden="0" customWidth="1"/>
    <x:col min="15" max="15" width="24" hidden="0" customWidth="1"/>
    <x:col min="16" max="16" width="25" hidden="0" customWidth="1"/>
    <x:col min="17" max="17" width="21" hidden="0" customWidth="1"/>
    <x:col min="18" max="18" width="27" hidden="0" customWidth="1"/>
    <x:col min="19" max="19" width="34" hidden="0" customWidth="1"/>
    <x:col min="20" max="20" width="23" hidden="0" customWidth="1"/>
    <x:col min="21" max="21" width="22" hidden="0" customWidth="1"/>
    <x:col min="22" max="22" width="34" hidden="0" customWidth="1"/>
    <x:col min="23" max="23" width="27" hidden="0" customWidth="1"/>
    <x:col min="24" max="24" width="34" hidden="0" customWidth="1"/>
    <x:col min="25" max="25" width="34" hidden="0" customWidth="1"/>
    <x:col min="26" max="26" width="52" hidden="0" customWidth="1"/>
    <x:col min="27" max="27" width="34" hidden="0" customWidth="1"/>
    <x:col min="28" max="28" width="21" hidden="0" customWidth="1"/>
    <x:col min="29" max="29" width="27" hidden="0" customWidth="1"/>
    <x:col min="30" max="30" width="34" hidden="0" customWidth="1"/>
    <x:col min="31" max="31" width="52" hidden="0" customWidth="1"/>
    <x:col min="32" max="32" width="34" hidden="0" customWidth="1"/>
    <x:col min="33" max="33" width="52" hidden="0" customWidth="1"/>
  </x:cols>
  <x:sheetData>
    <x:row r="1" ht="32" customHeight="1">
      <x:c r="A1" s="7" t="str">
        <x:v>Name</x:v>
      </x:c>
      <x:c r="B1" s="7" t="str">
        <x:v>Passed_Test</x:v>
      </x:c>
      <x:c r="C1" s="7" t="str">
        <x:v>Assessment</x:v>
      </x:c>
      <x:c r="D1" s="7" t="str">
        <x:v>License_URL</x:v>
      </x:c>
      <x:c r="E1" s="7" t="str">
        <x:v>License_Number</x:v>
      </x:c>
      <x:c r="F1" s="7" t="str">
        <x:v>Business_Address</x:v>
      </x:c>
      <x:c r="G1" s="7" t="str">
        <x:v>Business_Phone</x:v>
      </x:c>
      <x:c r="H1" s="7" t="str">
        <x:v>Directions_URL</x:v>
      </x:c>
      <x:c r="I1" s="7" t="str">
        <x:v>Source_ZIPs</x:v>
      </x:c>
      <x:c r="J1" s="7" t="str">
        <x:v>Checked_On</x:v>
      </x:c>
      <x:c r="K1" s="7" t="str">
        <x:v>Languages</x:v>
      </x:c>
      <x:c r="L1" s="7" t="str">
        <x:v>Active_Qualifications</x:v>
      </x:c>
      <x:c r="M1" s="7" t="str">
        <x:v>Qualification_Details</x:v>
      </x:c>
      <x:c r="N1" s="7" t="str">
        <x:v>Life_Issue_Date</x:v>
      </x:c>
      <x:c r="O1" s="7" t="str">
        <x:v>Years_Since_Life_Issue</x:v>
      </x:c>
      <x:c r="P1" s="7" t="str">
        <x:v>Active_Health_Authority</x:v>
      </x:c>
      <x:c r="Q1" s="7" t="str">
        <x:v>Active_PC_Authority</x:v>
      </x:c>
      <x:c r="R1" s="7" t="str">
        <x:v>Active_Variable_Authority</x:v>
      </x:c>
      <x:c r="S1" s="7" t="str">
        <x:v>Appointed_Insurers</x:v>
      </x:c>
      <x:c r="T1" s="7" t="str">
        <x:v>Appointment_Row_Count</x:v>
      </x:c>
      <x:c r="U1" s="7" t="str">
        <x:v>Unique_Insurer_Count</x:v>
      </x:c>
      <x:c r="V1" s="7" t="str">
        <x:v>Life_Appointed_Insurers</x:v>
      </x:c>
      <x:c r="W1" s="7" t="str">
        <x:v>Unique_Life_Insurer_Count</x:v>
      </x:c>
      <x:c r="X1" s="7" t="str">
        <x:v>Health_Appointed_Insurers</x:v>
      </x:c>
      <x:c r="Y1" s="7" t="str">
        <x:v>PC_Appointed_Insurers</x:v>
      </x:c>
      <x:c r="Z1" s="7" t="str">
        <x:v>Appointment_Details</x:v>
      </x:c>
      <x:c r="AA1" s="7" t="str">
        <x:v>Agency_Organizations</x:v>
      </x:c>
      <x:c r="AB1" s="7" t="str">
        <x:v>Unique_Agency_Count</x:v>
      </x:c>
      <x:c r="AC1" s="7" t="str">
        <x:v>Agency_Relationship_Count</x:v>
      </x:c>
      <x:c r="AD1" s="7" t="str">
        <x:v>Life_Agency_Organizations</x:v>
      </x:c>
      <x:c r="AE1" s="7" t="str">
        <x:v>Agency_Relationship_Details</x:v>
      </x:c>
      <x:c r="AF1" s="7" t="str">
        <x:v>Latest_Displayed_Relationship_Date</x:v>
      </x:c>
      <x:c r="AG1" s="7" t="str">
        <x:v>Rule_Document</x:v>
      </x:c>
    </x:row>
    <x:row r="2" ht="42" customHeight="1">
      <x:c r="A2" s="4" t="str">
        <x:v>ABRAHAM MENDOZA</x:v>
      </x:c>
      <x:c r="B2" s="8" t="str">
        <x:v>Yes</x:v>
      </x:c>
      <x:c r="C2" s="4" t="str">
        <x:v>Active general Life; no displayed agency or insurer relationships; lower priority; no confirmed exclusion.</x:v>
      </x:c>
      <x:c r="D2" s="10" t="e">
        <x:f>HYPERLINK("https://cdicloud.insurance.ca.gov/cal/LicenseDetail?SearchType=IND&amp;SearchLicNbr=0F88104&amp;SearchIndvId=1110009","https://cdicloud.insurance.ca.gov/cal/LicenseDetail?SearchType=IND&amp;SearchLicNbr=0F88104&amp;SearchIndvId=1110009")</x:f>
        <x:v>HYPERLINK is not implemented. linkLocation=https://cdicloud.insurance.ca.gov/cal/LicenseDetail?SearchType=IND&amp;SearchLicNbr=0F88104&amp;SearchIndvId=1110009, friendlyName=https://cdicloud.insurance.ca.gov/cal/LicenseDetail?SearchType=IND&amp;SearchLicNbr=0F88104&amp;SearchIndvId=1110009</x:v>
      </x:c>
      <x:c r="E2" s="9" t="str">
        <x:v>0F88104</x:v>
      </x:c>
      <x:c r="F2" s="4" t="str">
        <x:v>17130 DEVONSHIRE ST SUITE 102 NORTHRIDGE CA, 91325</x:v>
      </x:c>
      <x:c r="G2" s="4" t="str"/>
      <x:c r="H2" s="4" t="str">
        <x:v>https://www.google.com/maps/place/17130%20DEVONSHIRE%20ST,%20NORTHRIDGE,%20CA,%2091325</x:v>
      </x:c>
      <x:c r="I2" s="4" t="str">
        <x:v>91325</x:v>
      </x:c>
      <x:c r="J2" s="4" t="str">
        <x:v>2026-10-08</x:v>
      </x:c>
      <x:c r="K2" s="4" t="str">
        <x:v>English; Spanish</x:v>
      </x:c>
      <x:c r="L2" s="4" t="str">
        <x:v>Accident &amp; Health or Sickness; Life</x:v>
      </x:c>
      <x:c r="M2" s="4" t="str">
        <x:v>Accident &amp; Health or Sickness — issued 2007-11-05 | Life — issued 2007-11-05</x:v>
      </x:c>
      <x:c r="N2" s="4" t="str">
        <x:v>2007-11-05</x:v>
      </x:c>
      <x:c r="O2" s="4" t="n">
        <x:v>18.92</x:v>
      </x:c>
      <x:c r="P2" s="4" t="str">
        <x:v>Yes</x:v>
      </x:c>
      <x:c r="Q2" s="4" t="str">
        <x:v>No</x:v>
      </x:c>
      <x:c r="R2" s="4" t="str">
        <x:v>No</x:v>
      </x:c>
      <x:c r="S2" s="4" t="str"/>
      <x:c r="T2" s="4" t="n">
        <x:v>0</x:v>
      </x:c>
      <x:c r="U2" s="4" t="n">
        <x:v>0</x:v>
      </x:c>
      <x:c r="V2" s="4" t="str"/>
      <x:c r="W2" s="4" t="n">
        <x:v>0</x:v>
      </x:c>
      <x:c r="X2" s="4" t="str"/>
      <x:c r="Y2" s="4" t="str"/>
      <x:c r="Z2" s="4" t="str"/>
      <x:c r="AA2" s="4" t="str"/>
      <x:c r="AB2" s="4" t="n">
        <x:v>0</x:v>
      </x:c>
      <x:c r="AC2" s="4" t="n">
        <x:v>0</x:v>
      </x:c>
      <x:c r="AD2" s="4" t="str"/>
      <x:c r="AE2" s="4" t="str"/>
      <x:c r="AF2" s="4" t="str"/>
      <x:c r="AG2" s="4" t="str">
        <x:v>imo-final-approval-rules.md (2026-10-08)</x:v>
      </x:c>
    </x:row>
  </x:sheetData>
  <x:conditionalFormatting sqref="B2:B2">
    <x:cfRule type="containsText" dxfId="24" priority="1" operator="containsText" text="Yes"/>
    <x:cfRule type="containsText" dxfId="25" priority="2" operator="containsText" text="No"/>
    <x:cfRule type="containsBlanks" dxfId="26" priority="3"/>
  </x:conditionalFormatting>
  <x:pageMargins left="0.7" right="0.7" top="0.75" bottom="0.75" header="0.3" footer="0.3"/>
  <x:tableParts count="1">
    <x:tablePart xmlns:r="http://schemas.openxmlformats.org/officeDocument/2006/relationships" r:id="R59b22395bc614288"/>
  </x:tableParts>
</x:worksheet>
</file>